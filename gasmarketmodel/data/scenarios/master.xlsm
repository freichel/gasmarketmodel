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ivotTables/pivotTable1.xml" ContentType="application/vnd.openxmlformats-officedocument.spreadsheetml.pivot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0B566939-BA6A-48C1-A870-B2A2054727FD}" xr6:coauthVersionLast="47" xr6:coauthVersionMax="47" xr10:uidLastSave="{00000000-0000-0000-0000-000000000000}"/>
  <bookViews>
    <workbookView xWindow="28680" yWindow="-120" windowWidth="29040" windowHeight="15990" tabRatio="703" firstSheet="6" activeTab="11" xr2:uid="{35972E5C-DBFD-4285-A5D4-7060776B8027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Storage &gt; Index" sheetId="21" r:id="rId18"/>
    <sheet name="Storage &gt; Connections" sheetId="22" r:id="rId19"/>
    <sheet name="Storage &gt; Data" sheetId="23" r:id="rId20"/>
    <sheet name="Storage &gt; Target Balance" sheetId="29" r:id="rId21"/>
    <sheet name="Unit Conversions" sheetId="16" r:id="rId22"/>
    <sheet name="Forex Conversions" sheetId="25" r:id="rId23"/>
    <sheet name="Cycles" sheetId="30" r:id="rId24"/>
    <sheet name="External Data" sheetId="26" r:id="rId25"/>
    <sheet name="Version Control" sheetId="31" r:id="rId26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0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/>
  <c r="U10" i="5" s="1"/>
  <c r="B10" i="1"/>
  <c r="U10" i="1" s="1"/>
  <c r="B11" i="2"/>
  <c r="E11" i="2" s="1"/>
  <c r="B10" i="2"/>
  <c r="E10" i="2"/>
  <c r="B6" i="2"/>
  <c r="B7" i="2"/>
  <c r="B8" i="2"/>
  <c r="B9" i="2"/>
  <c r="B9" i="22"/>
  <c r="D9" i="22"/>
  <c r="B15" i="12"/>
  <c r="D15" i="12"/>
  <c r="G6" i="18"/>
  <c r="B11" i="9"/>
  <c r="D11" i="9"/>
  <c r="E8" i="2"/>
  <c r="D10" i="9"/>
  <c r="A29" i="24"/>
  <c r="A30" i="24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7" i="24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E10" i="16"/>
  <c r="E9" i="16" s="1"/>
  <c r="D9" i="16"/>
  <c r="J9" i="16"/>
  <c r="C16" i="16" s="1"/>
  <c r="J8" i="16"/>
  <c r="B16" i="16" s="1"/>
  <c r="D8" i="16"/>
  <c r="B7" i="16" a="1"/>
  <c r="B7" i="16" s="1"/>
  <c r="B6" i="23"/>
  <c r="A10" i="23"/>
  <c r="B10" i="23" s="1"/>
  <c r="A7" i="23"/>
  <c r="A8" i="23" s="1"/>
  <c r="B8" i="22"/>
  <c r="B7" i="21"/>
  <c r="E7" i="21" s="1"/>
  <c r="B6" i="21"/>
  <c r="E6" i="21" s="1"/>
  <c r="B6" i="19"/>
  <c r="A10" i="19"/>
  <c r="B10" i="19" s="1"/>
  <c r="A7" i="19"/>
  <c r="A8" i="19" s="1"/>
  <c r="D6" i="17"/>
  <c r="B7" i="17"/>
  <c r="D7" i="17" s="1"/>
  <c r="B6" i="17"/>
  <c r="B6" i="18" s="1"/>
  <c r="F15" i="16"/>
  <c r="I12" i="16" s="1"/>
  <c r="H13" i="16"/>
  <c r="G12" i="16"/>
  <c r="H12" i="16" s="1"/>
  <c r="F11" i="16"/>
  <c r="G11" i="16" s="1"/>
  <c r="H11" i="16" s="1"/>
  <c r="C10" i="16"/>
  <c r="C8" i="16"/>
  <c r="B9" i="16" s="1"/>
  <c r="G14" i="16"/>
  <c r="F13" i="16"/>
  <c r="F14" i="16" s="1"/>
  <c r="E12" i="16"/>
  <c r="E13" i="16" s="1"/>
  <c r="E14" i="16" s="1"/>
  <c r="B6" i="15"/>
  <c r="A10" i="15"/>
  <c r="B10" i="15" s="1"/>
  <c r="D10" i="15" s="1"/>
  <c r="A7" i="15"/>
  <c r="A8" i="15" s="1"/>
  <c r="B6" i="10"/>
  <c r="B7" i="6"/>
  <c r="D7" i="6" s="1"/>
  <c r="B8" i="12"/>
  <c r="D6" i="12"/>
  <c r="B6" i="12"/>
  <c r="F6" i="12" s="1"/>
  <c r="G6" i="12" s="1"/>
  <c r="A7" i="10"/>
  <c r="A8" i="10" s="1"/>
  <c r="A9" i="10" s="1"/>
  <c r="A10" i="10"/>
  <c r="A11" i="10" s="1"/>
  <c r="A12" i="10" s="1"/>
  <c r="A13" i="10" s="1"/>
  <c r="E7" i="2"/>
  <c r="B6" i="6"/>
  <c r="D6" i="6" s="1"/>
  <c r="B6" i="5"/>
  <c r="U6" i="5" s="1"/>
  <c r="E6" i="2"/>
  <c r="C6" i="25"/>
  <c r="C7" i="25"/>
  <c r="D6" i="25"/>
  <c r="D7" i="25"/>
  <c r="E6" i="25"/>
  <c r="E7" i="25"/>
  <c r="F7" i="25" s="1"/>
  <c r="F6" i="25"/>
  <c r="G6" i="25"/>
  <c r="G7" i="25"/>
  <c r="H6" i="25"/>
  <c r="H7" i="25"/>
  <c r="I6" i="25"/>
  <c r="J6" i="25" s="1"/>
  <c r="K6" i="25" s="1"/>
  <c r="L6" i="25" s="1"/>
  <c r="M6" i="25" s="1"/>
  <c r="N6" i="25" s="1"/>
  <c r="O6" i="25" s="1"/>
  <c r="P6" i="25" s="1"/>
  <c r="Q6" i="25"/>
  <c r="R6" i="25" s="1"/>
  <c r="I7" i="25"/>
  <c r="J7" i="25" s="1"/>
  <c r="K7" i="25" s="1"/>
  <c r="L7" i="25" s="1"/>
  <c r="M7" i="25" s="1"/>
  <c r="N7" i="25" s="1"/>
  <c r="O7" i="25" s="1"/>
  <c r="P7" i="25" s="1"/>
  <c r="Q7" i="25"/>
  <c r="R7" i="25"/>
  <c r="B6" i="25"/>
  <c r="B7" i="25"/>
  <c r="A14" i="23" l="1"/>
  <c r="F15" i="12"/>
  <c r="F9" i="22"/>
  <c r="I6" i="12"/>
  <c r="W6" i="15" s="1"/>
  <c r="X6" i="15" s="1"/>
  <c r="F10" i="16"/>
  <c r="G10" i="16" s="1"/>
  <c r="H10" i="16" s="1"/>
  <c r="B6" i="22"/>
  <c r="B7" i="22"/>
  <c r="B7" i="18"/>
  <c r="B8" i="18"/>
  <c r="F11" i="9"/>
  <c r="E9" i="2"/>
  <c r="D10" i="12"/>
  <c r="D6" i="22"/>
  <c r="B9" i="1"/>
  <c r="U9" i="1" s="1"/>
  <c r="D7" i="12"/>
  <c r="D13" i="12"/>
  <c r="B8" i="9"/>
  <c r="D7" i="18"/>
  <c r="D7" i="22"/>
  <c r="B6" i="9"/>
  <c r="B6" i="1"/>
  <c r="U6" i="1" s="1"/>
  <c r="B7" i="5"/>
  <c r="U7" i="5" s="1"/>
  <c r="B9" i="5"/>
  <c r="U9" i="5" s="1"/>
  <c r="B7" i="12"/>
  <c r="B14" i="12"/>
  <c r="B10" i="12"/>
  <c r="D6" i="9"/>
  <c r="B6" i="8"/>
  <c r="U6" i="8" s="1"/>
  <c r="D9" i="12"/>
  <c r="B7" i="9"/>
  <c r="B8" i="1"/>
  <c r="U8" i="1" s="1"/>
  <c r="D8" i="12"/>
  <c r="D11" i="12"/>
  <c r="D8" i="9"/>
  <c r="B8" i="5"/>
  <c r="U8" i="5" s="1"/>
  <c r="B9" i="12"/>
  <c r="B12" i="12"/>
  <c r="D6" i="18"/>
  <c r="F6" i="18" s="1"/>
  <c r="G7" i="18" s="1"/>
  <c r="B10" i="9"/>
  <c r="D7" i="9"/>
  <c r="D9" i="9"/>
  <c r="B11" i="12"/>
  <c r="B13" i="12"/>
  <c r="B9" i="9"/>
  <c r="D8" i="18"/>
  <c r="D8" i="22"/>
  <c r="B7" i="1"/>
  <c r="U7" i="1" s="1"/>
  <c r="D12" i="12"/>
  <c r="D14" i="12"/>
  <c r="B7" i="8"/>
  <c r="U7" i="8" s="1"/>
  <c r="J10" i="16"/>
  <c r="D16" i="16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23"/>
  <c r="D10" i="23"/>
  <c r="D13" i="23"/>
  <c r="C10" i="23"/>
  <c r="C13" i="23"/>
  <c r="D11" i="23"/>
  <c r="D12" i="23"/>
  <c r="C12" i="23"/>
  <c r="C11" i="23"/>
  <c r="A11" i="23"/>
  <c r="A18" i="23"/>
  <c r="B18" i="23" s="1"/>
  <c r="A9" i="19"/>
  <c r="D10" i="19"/>
  <c r="C12" i="19"/>
  <c r="D13" i="19"/>
  <c r="C10" i="19"/>
  <c r="C13" i="19"/>
  <c r="D11" i="19"/>
  <c r="C11" i="19"/>
  <c r="D12" i="19"/>
  <c r="A14" i="19"/>
  <c r="E15" i="16"/>
  <c r="I11" i="16" s="1"/>
  <c r="G15" i="16"/>
  <c r="B10" i="16"/>
  <c r="D11" i="16"/>
  <c r="D15" i="16"/>
  <c r="C15" i="16" s="1"/>
  <c r="C10" i="15"/>
  <c r="D13" i="15"/>
  <c r="C13" i="15"/>
  <c r="C11" i="15"/>
  <c r="D12" i="15"/>
  <c r="C12" i="15"/>
  <c r="D11" i="15"/>
  <c r="A11" i="15"/>
  <c r="A14" i="15"/>
  <c r="A15" i="23" l="1"/>
  <c r="A16" i="23" s="1"/>
  <c r="B14" i="23"/>
  <c r="F12" i="12"/>
  <c r="F7" i="12"/>
  <c r="F7" i="22"/>
  <c r="F6" i="22"/>
  <c r="G6" i="22" s="1"/>
  <c r="I6" i="22" s="1"/>
  <c r="F8" i="22"/>
  <c r="F13" i="12"/>
  <c r="F14" i="12"/>
  <c r="F9" i="12"/>
  <c r="F11" i="12"/>
  <c r="F10" i="12"/>
  <c r="F8" i="12"/>
  <c r="G8" i="12" s="1"/>
  <c r="I8" i="12" s="1"/>
  <c r="W14" i="15" s="1"/>
  <c r="X14" i="15" s="1"/>
  <c r="F8" i="18"/>
  <c r="I7" i="18"/>
  <c r="W10" i="19" s="1"/>
  <c r="X10" i="19" s="1"/>
  <c r="F7" i="18"/>
  <c r="G8" i="18" s="1"/>
  <c r="I8" i="18" s="1"/>
  <c r="W14" i="19" s="1"/>
  <c r="X14" i="19" s="1"/>
  <c r="I6" i="18"/>
  <c r="W6" i="19" s="1"/>
  <c r="X6" i="19" s="1"/>
  <c r="F10" i="9"/>
  <c r="F7" i="9"/>
  <c r="F8" i="9"/>
  <c r="F9" i="9"/>
  <c r="F6" i="9"/>
  <c r="W8" i="15"/>
  <c r="X8" i="15" s="1"/>
  <c r="W9" i="15"/>
  <c r="X9" i="15" s="1"/>
  <c r="W7" i="15"/>
  <c r="X7" i="15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D16" i="23"/>
  <c r="C16" i="23"/>
  <c r="D14" i="23"/>
  <c r="C15" i="23"/>
  <c r="D17" i="23"/>
  <c r="C14" i="23"/>
  <c r="D15" i="23"/>
  <c r="C17" i="23"/>
  <c r="A12" i="23"/>
  <c r="A17" i="23"/>
  <c r="A19" i="23"/>
  <c r="A22" i="23"/>
  <c r="A15" i="19"/>
  <c r="A18" i="19"/>
  <c r="I13" i="16"/>
  <c r="H15" i="16"/>
  <c r="I14" i="16" s="1"/>
  <c r="I10" i="16"/>
  <c r="C11" i="16"/>
  <c r="D12" i="16"/>
  <c r="D13" i="16" s="1"/>
  <c r="D14" i="16" s="1"/>
  <c r="F9" i="16"/>
  <c r="G9" i="16" s="1"/>
  <c r="H9" i="16" s="1"/>
  <c r="E8" i="16"/>
  <c r="A15" i="15"/>
  <c r="A18" i="15"/>
  <c r="A12" i="15"/>
  <c r="W22" i="23" l="1"/>
  <c r="X22" i="23" s="1"/>
  <c r="B22" i="23"/>
  <c r="G11" i="12"/>
  <c r="I11" i="12" s="1"/>
  <c r="W6" i="23"/>
  <c r="X6" i="23" s="1"/>
  <c r="W7" i="23"/>
  <c r="X7" i="23" s="1"/>
  <c r="W8" i="23"/>
  <c r="X8" i="23" s="1"/>
  <c r="W9" i="23"/>
  <c r="X9" i="23" s="1"/>
  <c r="G9" i="22"/>
  <c r="I9" i="22" s="1"/>
  <c r="G10" i="12"/>
  <c r="I10" i="12" s="1"/>
  <c r="G9" i="12"/>
  <c r="I9" i="12" s="1"/>
  <c r="W18" i="15" s="1"/>
  <c r="X18" i="15" s="1"/>
  <c r="G7" i="22"/>
  <c r="I7" i="22" s="1"/>
  <c r="G14" i="12"/>
  <c r="I14" i="12" s="1"/>
  <c r="G13" i="12"/>
  <c r="I13" i="12" s="1"/>
  <c r="W15" i="15"/>
  <c r="X15" i="15" s="1"/>
  <c r="G7" i="12"/>
  <c r="I7" i="12" s="1"/>
  <c r="W10" i="15" s="1"/>
  <c r="X10" i="15" s="1"/>
  <c r="G15" i="12"/>
  <c r="I15" i="12" s="1"/>
  <c r="G8" i="22"/>
  <c r="I8" i="22" s="1"/>
  <c r="G12" i="12"/>
  <c r="I12" i="12" s="1"/>
  <c r="W7" i="19"/>
  <c r="X7" i="19" s="1"/>
  <c r="W9" i="19"/>
  <c r="X9" i="19" s="1"/>
  <c r="W8" i="19"/>
  <c r="X8" i="19" s="1"/>
  <c r="W11" i="19"/>
  <c r="X11" i="19" s="1"/>
  <c r="W15" i="19"/>
  <c r="X15" i="19" s="1"/>
  <c r="G8" i="9"/>
  <c r="I8" i="9" s="1"/>
  <c r="W14" i="10" s="1"/>
  <c r="X14" i="10" s="1"/>
  <c r="G11" i="9"/>
  <c r="I11" i="9" s="1"/>
  <c r="G9" i="9"/>
  <c r="I9" i="9" s="1"/>
  <c r="W18" i="10" s="1"/>
  <c r="X18" i="10" s="1"/>
  <c r="G7" i="9"/>
  <c r="I7" i="9" s="1"/>
  <c r="W12" i="10" s="1"/>
  <c r="X12" i="10" s="1"/>
  <c r="G6" i="9"/>
  <c r="I6" i="9" s="1"/>
  <c r="G10" i="9"/>
  <c r="I10" i="9" s="1"/>
  <c r="D15" i="10"/>
  <c r="C16" i="10"/>
  <c r="C17" i="10"/>
  <c r="F8" i="16"/>
  <c r="G8" i="16" s="1"/>
  <c r="H8" i="16" s="1"/>
  <c r="A2" i="16" s="1"/>
  <c r="E16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A26" i="23"/>
  <c r="A23" i="23"/>
  <c r="W23" i="23" s="1"/>
  <c r="X23" i="23" s="1"/>
  <c r="A20" i="23"/>
  <c r="C21" i="23"/>
  <c r="C18" i="23"/>
  <c r="D19" i="23"/>
  <c r="D18" i="23"/>
  <c r="C19" i="23"/>
  <c r="D21" i="23"/>
  <c r="D20" i="23"/>
  <c r="C20" i="23"/>
  <c r="A13" i="23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C12" i="16"/>
  <c r="C13" i="16" s="1"/>
  <c r="C14" i="16" s="1"/>
  <c r="B11" i="16"/>
  <c r="B12" i="16" s="1"/>
  <c r="B13" i="16" s="1"/>
  <c r="B14" i="16" s="1"/>
  <c r="I9" i="16"/>
  <c r="B15" i="16"/>
  <c r="I8" i="16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W26" i="23" l="1"/>
  <c r="X26" i="23" s="1"/>
  <c r="B26" i="23"/>
  <c r="W13" i="23"/>
  <c r="X13" i="23" s="1"/>
  <c r="W15" i="10"/>
  <c r="X15" i="10" s="1"/>
  <c r="W15" i="23"/>
  <c r="X15" i="23" s="1"/>
  <c r="W17" i="23"/>
  <c r="X17" i="23" s="1"/>
  <c r="W14" i="23"/>
  <c r="X14" i="23" s="1"/>
  <c r="W16" i="23"/>
  <c r="X16" i="23" s="1"/>
  <c r="W20" i="23"/>
  <c r="X20" i="23" s="1"/>
  <c r="W19" i="23"/>
  <c r="X19" i="23" s="1"/>
  <c r="W18" i="23"/>
  <c r="X18" i="23" s="1"/>
  <c r="W12" i="23"/>
  <c r="X12" i="23" s="1"/>
  <c r="W12" i="15"/>
  <c r="X12" i="15" s="1"/>
  <c r="W13" i="15"/>
  <c r="X13" i="15" s="1"/>
  <c r="W10" i="23"/>
  <c r="X10" i="23" s="1"/>
  <c r="W19" i="15"/>
  <c r="X19" i="15" s="1"/>
  <c r="W11" i="15"/>
  <c r="X11" i="15" s="1"/>
  <c r="W11" i="23"/>
  <c r="X11" i="23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J11" i="16"/>
  <c r="F16" i="16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21" i="23"/>
  <c r="W21" i="23" s="1"/>
  <c r="X21" i="23" s="1"/>
  <c r="A24" i="23"/>
  <c r="W24" i="23" s="1"/>
  <c r="X24" i="23" s="1"/>
  <c r="C24" i="23"/>
  <c r="D22" i="23"/>
  <c r="D25" i="23"/>
  <c r="C22" i="23"/>
  <c r="C25" i="23"/>
  <c r="D23" i="23"/>
  <c r="C23" i="23"/>
  <c r="D24" i="23"/>
  <c r="A27" i="23"/>
  <c r="W27" i="23" s="1"/>
  <c r="X27" i="23" s="1"/>
  <c r="A30" i="23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W30" i="23" l="1"/>
  <c r="X30" i="23" s="1"/>
  <c r="B30" i="23"/>
  <c r="C25" i="10"/>
  <c r="D22" i="10"/>
  <c r="D24" i="10"/>
  <c r="D23" i="10"/>
  <c r="G16" i="16"/>
  <c r="J12" i="16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31" i="23"/>
  <c r="W31" i="23" s="1"/>
  <c r="X31" i="23" s="1"/>
  <c r="A34" i="23"/>
  <c r="C27" i="23"/>
  <c r="D28" i="23"/>
  <c r="C28" i="23"/>
  <c r="D27" i="23"/>
  <c r="D26" i="23"/>
  <c r="C29" i="23"/>
  <c r="D29" i="23"/>
  <c r="C26" i="23"/>
  <c r="A28" i="23"/>
  <c r="W28" i="23" s="1"/>
  <c r="X28" i="23" s="1"/>
  <c r="A25" i="23"/>
  <c r="W25" i="23" s="1"/>
  <c r="X25" i="23" s="1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B34" i="23" l="1"/>
  <c r="W34" i="23"/>
  <c r="X34" i="23" s="1"/>
  <c r="H16" i="16"/>
  <c r="J13" i="16"/>
  <c r="W30" i="15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29" i="23"/>
  <c r="W29" i="23" s="1"/>
  <c r="X29" i="23" s="1"/>
  <c r="A38" i="23"/>
  <c r="A35" i="23"/>
  <c r="W35" i="23" s="1"/>
  <c r="X35" i="23" s="1"/>
  <c r="A32" i="23"/>
  <c r="W32" i="23" s="1"/>
  <c r="X32" i="23" s="1"/>
  <c r="D33" i="23"/>
  <c r="C30" i="23"/>
  <c r="D30" i="23"/>
  <c r="C33" i="23"/>
  <c r="D31" i="23"/>
  <c r="C31" i="23"/>
  <c r="C32" i="23"/>
  <c r="D32" i="23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B38" i="23" l="1"/>
  <c r="W38" i="23"/>
  <c r="X38" i="23" s="1"/>
  <c r="J14" i="16"/>
  <c r="I16" i="16"/>
  <c r="J15" i="16" s="1"/>
  <c r="B34" i="15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36" i="23"/>
  <c r="W36" i="23" s="1"/>
  <c r="X36" i="23" s="1"/>
  <c r="A33" i="23"/>
  <c r="W33" i="23" s="1"/>
  <c r="X33" i="23" s="1"/>
  <c r="D36" i="23"/>
  <c r="C36" i="23"/>
  <c r="D34" i="23"/>
  <c r="D37" i="23"/>
  <c r="C34" i="23"/>
  <c r="C37" i="23"/>
  <c r="C35" i="23"/>
  <c r="D35" i="23"/>
  <c r="A39" i="23"/>
  <c r="W39" i="23" s="1"/>
  <c r="X39" i="23" s="1"/>
  <c r="A42" i="23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B42" i="23" l="1"/>
  <c r="W42" i="23"/>
  <c r="X42" i="23" s="1"/>
  <c r="W38" i="15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9" i="23"/>
  <c r="C39" i="23"/>
  <c r="D41" i="23"/>
  <c r="D40" i="23"/>
  <c r="C38" i="23"/>
  <c r="C41" i="23"/>
  <c r="C40" i="23"/>
  <c r="D38" i="23"/>
  <c r="A46" i="23"/>
  <c r="A43" i="23"/>
  <c r="W43" i="23" s="1"/>
  <c r="X43" i="23" s="1"/>
  <c r="A40" i="23"/>
  <c r="W40" i="23" s="1"/>
  <c r="X40" i="23" s="1"/>
  <c r="A37" i="23"/>
  <c r="W37" i="23" s="1"/>
  <c r="X37" i="23" s="1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W46" i="23" l="1"/>
  <c r="X46" i="23" s="1"/>
  <c r="B46" i="23"/>
  <c r="B42" i="15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4" i="23"/>
  <c r="W44" i="23" s="1"/>
  <c r="X44" i="23" s="1"/>
  <c r="A41" i="23"/>
  <c r="W41" i="23" s="1"/>
  <c r="X41" i="23" s="1"/>
  <c r="A47" i="23"/>
  <c r="W47" i="23" s="1"/>
  <c r="X47" i="23" s="1"/>
  <c r="A50" i="23"/>
  <c r="D42" i="23"/>
  <c r="D45" i="23"/>
  <c r="C42" i="23"/>
  <c r="C45" i="23"/>
  <c r="D43" i="23"/>
  <c r="C44" i="23"/>
  <c r="C43" i="23"/>
  <c r="D44" i="23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W50" i="23" l="1"/>
  <c r="X50" i="23" s="1"/>
  <c r="B50" i="23"/>
  <c r="B46" i="15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D48" i="23"/>
  <c r="C48" i="23"/>
  <c r="D46" i="23"/>
  <c r="C47" i="23"/>
  <c r="D49" i="23"/>
  <c r="C46" i="23"/>
  <c r="C49" i="23"/>
  <c r="D47" i="23"/>
  <c r="A48" i="23"/>
  <c r="W48" i="23" s="1"/>
  <c r="X48" i="23" s="1"/>
  <c r="A51" i="23"/>
  <c r="W51" i="23" s="1"/>
  <c r="X51" i="23" s="1"/>
  <c r="A54" i="23"/>
  <c r="A45" i="23"/>
  <c r="W45" i="23" s="1"/>
  <c r="X45" i="23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W54" i="23" l="1"/>
  <c r="X54" i="23" s="1"/>
  <c r="B54" i="23"/>
  <c r="A58" i="23"/>
  <c r="B50" i="15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A55" i="23"/>
  <c r="W55" i="23" s="1"/>
  <c r="X55" i="23" s="1"/>
  <c r="A52" i="23"/>
  <c r="W52" i="23" s="1"/>
  <c r="X52" i="23" s="1"/>
  <c r="C53" i="23"/>
  <c r="D51" i="23"/>
  <c r="D50" i="23"/>
  <c r="C51" i="23"/>
  <c r="D53" i="23"/>
  <c r="C50" i="23"/>
  <c r="D52" i="23"/>
  <c r="C52" i="23"/>
  <c r="A49" i="23"/>
  <c r="W49" i="23" s="1"/>
  <c r="X49" i="23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W58" i="23" l="1"/>
  <c r="X58" i="23" s="1"/>
  <c r="A59" i="23"/>
  <c r="B58" i="23"/>
  <c r="A62" i="23"/>
  <c r="A59" i="15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53" i="23"/>
  <c r="W53" i="23" s="1"/>
  <c r="X53" i="23" s="1"/>
  <c r="A56" i="23"/>
  <c r="W56" i="23" s="1"/>
  <c r="X56" i="23" s="1"/>
  <c r="C56" i="23"/>
  <c r="D54" i="23"/>
  <c r="D57" i="23"/>
  <c r="C54" i="23"/>
  <c r="C57" i="23"/>
  <c r="D55" i="23"/>
  <c r="C55" i="23"/>
  <c r="D56" i="23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A63" i="23" l="1"/>
  <c r="A66" i="23"/>
  <c r="W62" i="23"/>
  <c r="X62" i="23" s="1"/>
  <c r="B62" i="23"/>
  <c r="D58" i="23"/>
  <c r="D61" i="23"/>
  <c r="C58" i="23"/>
  <c r="D59" i="23"/>
  <c r="C59" i="23"/>
  <c r="C61" i="23"/>
  <c r="D60" i="23"/>
  <c r="C60" i="23"/>
  <c r="W59" i="23"/>
  <c r="X59" i="23" s="1"/>
  <c r="A60" i="23"/>
  <c r="D59" i="15"/>
  <c r="D60" i="15"/>
  <c r="C60" i="15"/>
  <c r="D58" i="15"/>
  <c r="C59" i="15"/>
  <c r="D61" i="15"/>
  <c r="C58" i="15"/>
  <c r="C61" i="15"/>
  <c r="W62" i="15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C58" i="19"/>
  <c r="D60" i="19"/>
  <c r="C60" i="19"/>
  <c r="D58" i="19"/>
  <c r="D61" i="19"/>
  <c r="C61" i="19"/>
  <c r="D59" i="19"/>
  <c r="C59" i="19"/>
  <c r="B58" i="10"/>
  <c r="A62" i="10"/>
  <c r="W58" i="10"/>
  <c r="X58" i="10" s="1"/>
  <c r="A59" i="10"/>
  <c r="A53" i="10"/>
  <c r="W53" i="10" s="1"/>
  <c r="X53" i="10" s="1"/>
  <c r="W52" i="10"/>
  <c r="X52" i="10" s="1"/>
  <c r="A57" i="23"/>
  <c r="W57" i="23" s="1"/>
  <c r="X57" i="23" s="1"/>
  <c r="C56" i="19"/>
  <c r="D56" i="19"/>
  <c r="D54" i="19"/>
  <c r="D57" i="19"/>
  <c r="C54" i="19"/>
  <c r="C57" i="19"/>
  <c r="D55" i="19"/>
  <c r="C55" i="19"/>
  <c r="A53" i="19"/>
  <c r="W53" i="19" s="1"/>
  <c r="X53" i="19" s="1"/>
  <c r="A56" i="19"/>
  <c r="W56" i="19" s="1"/>
  <c r="X56" i="19" s="1"/>
  <c r="A53" i="15"/>
  <c r="W53" i="15" s="1"/>
  <c r="X53" i="15" s="1"/>
  <c r="D55" i="15"/>
  <c r="C55" i="15"/>
  <c r="C56" i="15"/>
  <c r="D56" i="15"/>
  <c r="D57" i="15"/>
  <c r="C57" i="15"/>
  <c r="D54" i="15"/>
  <c r="C54" i="15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C63" i="23" l="1"/>
  <c r="D65" i="23"/>
  <c r="D64" i="23"/>
  <c r="C64" i="23"/>
  <c r="D62" i="23"/>
  <c r="C65" i="23"/>
  <c r="C62" i="23"/>
  <c r="D63" i="23"/>
  <c r="B66" i="23"/>
  <c r="A70" i="23"/>
  <c r="A67" i="23"/>
  <c r="W66" i="23"/>
  <c r="X66" i="23" s="1"/>
  <c r="W60" i="23"/>
  <c r="X60" i="23" s="1"/>
  <c r="A61" i="23"/>
  <c r="W61" i="23" s="1"/>
  <c r="X61" i="23" s="1"/>
  <c r="W63" i="23"/>
  <c r="X63" i="23" s="1"/>
  <c r="A64" i="23"/>
  <c r="W60" i="15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W64" i="23" l="1"/>
  <c r="X64" i="23" s="1"/>
  <c r="A65" i="23"/>
  <c r="W65" i="23" s="1"/>
  <c r="X65" i="23" s="1"/>
  <c r="W67" i="23"/>
  <c r="X67" i="23" s="1"/>
  <c r="A68" i="23"/>
  <c r="W70" i="23"/>
  <c r="X70" i="23" s="1"/>
  <c r="B70" i="23"/>
  <c r="A71" i="23"/>
  <c r="A74" i="23"/>
  <c r="C67" i="23"/>
  <c r="C68" i="23"/>
  <c r="D66" i="23"/>
  <c r="D67" i="23"/>
  <c r="D69" i="23"/>
  <c r="C66" i="23"/>
  <c r="D68" i="23"/>
  <c r="C69" i="23"/>
  <c r="D69" i="15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A72" i="23" l="1"/>
  <c r="W71" i="23"/>
  <c r="X71" i="23" s="1"/>
  <c r="D70" i="23"/>
  <c r="D71" i="23"/>
  <c r="C72" i="23"/>
  <c r="D73" i="23"/>
  <c r="C70" i="23"/>
  <c r="C73" i="23"/>
  <c r="C71" i="23"/>
  <c r="D72" i="23"/>
  <c r="A69" i="23"/>
  <c r="W69" i="23" s="1"/>
  <c r="X69" i="23" s="1"/>
  <c r="W68" i="23"/>
  <c r="X68" i="23" s="1"/>
  <c r="W74" i="23"/>
  <c r="X74" i="23" s="1"/>
  <c r="A75" i="23"/>
  <c r="A78" i="23"/>
  <c r="B74" i="23"/>
  <c r="C72" i="15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C76" i="23" l="1"/>
  <c r="D77" i="23"/>
  <c r="C74" i="23"/>
  <c r="C77" i="23"/>
  <c r="D75" i="23"/>
  <c r="D76" i="23"/>
  <c r="C75" i="23"/>
  <c r="D74" i="23"/>
  <c r="A79" i="23"/>
  <c r="W78" i="23"/>
  <c r="X78" i="23" s="1"/>
  <c r="B78" i="23"/>
  <c r="A82" i="23"/>
  <c r="A76" i="23"/>
  <c r="W75" i="23"/>
  <c r="X75" i="23" s="1"/>
  <c r="A73" i="23"/>
  <c r="W73" i="23" s="1"/>
  <c r="X73" i="23" s="1"/>
  <c r="W72" i="23"/>
  <c r="X72" i="23" s="1"/>
  <c r="W78" i="15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23" l="1"/>
  <c r="W77" i="23" s="1"/>
  <c r="X77" i="23" s="1"/>
  <c r="W76" i="23"/>
  <c r="X76" i="23" s="1"/>
  <c r="W82" i="23"/>
  <c r="X82" i="23" s="1"/>
  <c r="A83" i="23"/>
  <c r="B82" i="23"/>
  <c r="A86" i="23"/>
  <c r="D78" i="23"/>
  <c r="C79" i="23"/>
  <c r="D81" i="23"/>
  <c r="C78" i="23"/>
  <c r="C81" i="23"/>
  <c r="D79" i="23"/>
  <c r="D80" i="23"/>
  <c r="C80" i="23"/>
  <c r="A80" i="23"/>
  <c r="W79" i="23"/>
  <c r="X79" i="23" s="1"/>
  <c r="A77" i="15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W80" i="23" l="1"/>
  <c r="X80" i="23" s="1"/>
  <c r="A81" i="23"/>
  <c r="W81" i="23" s="1"/>
  <c r="X81" i="23" s="1"/>
  <c r="B86" i="23"/>
  <c r="A90" i="23"/>
  <c r="W86" i="23"/>
  <c r="X86" i="23" s="1"/>
  <c r="A87" i="23"/>
  <c r="C82" i="23"/>
  <c r="C85" i="23"/>
  <c r="D84" i="23"/>
  <c r="D85" i="23"/>
  <c r="C84" i="23"/>
  <c r="D82" i="23"/>
  <c r="D83" i="23"/>
  <c r="C83" i="23"/>
  <c r="A84" i="23"/>
  <c r="W83" i="23"/>
  <c r="X83" i="23" s="1"/>
  <c r="A81" i="15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W87" i="23" l="1"/>
  <c r="X87" i="23" s="1"/>
  <c r="A88" i="23"/>
  <c r="A94" i="23"/>
  <c r="A91" i="23"/>
  <c r="B90" i="23"/>
  <c r="W90" i="23"/>
  <c r="X90" i="23" s="1"/>
  <c r="D88" i="23"/>
  <c r="C89" i="23"/>
  <c r="D87" i="23"/>
  <c r="C87" i="23"/>
  <c r="C88" i="23"/>
  <c r="D86" i="23"/>
  <c r="D89" i="23"/>
  <c r="C86" i="23"/>
  <c r="W84" i="23"/>
  <c r="X84" i="23" s="1"/>
  <c r="A85" i="23"/>
  <c r="W85" i="23" s="1"/>
  <c r="X85" i="23" s="1"/>
  <c r="A94" i="15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C90" i="23" l="1"/>
  <c r="D91" i="23"/>
  <c r="C91" i="23"/>
  <c r="C93" i="23"/>
  <c r="D92" i="23"/>
  <c r="C92" i="23"/>
  <c r="D93" i="23"/>
  <c r="D90" i="23"/>
  <c r="A92" i="23"/>
  <c r="W91" i="23"/>
  <c r="X91" i="23" s="1"/>
  <c r="B94" i="23"/>
  <c r="W94" i="23"/>
  <c r="X94" i="23" s="1"/>
  <c r="A98" i="23"/>
  <c r="A95" i="23"/>
  <c r="A89" i="23"/>
  <c r="W89" i="23" s="1"/>
  <c r="X89" i="23" s="1"/>
  <c r="W88" i="23"/>
  <c r="X88" i="23" s="1"/>
  <c r="A89" i="15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W95" i="23" l="1"/>
  <c r="X95" i="23" s="1"/>
  <c r="A96" i="23"/>
  <c r="W98" i="23"/>
  <c r="X98" i="23" s="1"/>
  <c r="B98" i="23"/>
  <c r="A99" i="23"/>
  <c r="A102" i="23"/>
  <c r="C94" i="23"/>
  <c r="D94" i="23"/>
  <c r="D95" i="23"/>
  <c r="C95" i="23"/>
  <c r="D96" i="23"/>
  <c r="D97" i="23"/>
  <c r="C97" i="23"/>
  <c r="C96" i="23"/>
  <c r="A93" i="23"/>
  <c r="W93" i="23" s="1"/>
  <c r="X93" i="23" s="1"/>
  <c r="W92" i="23"/>
  <c r="X92" i="23" s="1"/>
  <c r="A96" i="15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A103" i="23" l="1"/>
  <c r="A106" i="23"/>
  <c r="W102" i="23"/>
  <c r="X102" i="23" s="1"/>
  <c r="B102" i="23"/>
  <c r="A100" i="23"/>
  <c r="W99" i="23"/>
  <c r="X99" i="23" s="1"/>
  <c r="D98" i="23"/>
  <c r="D101" i="23"/>
  <c r="C98" i="23"/>
  <c r="C101" i="23"/>
  <c r="D99" i="23"/>
  <c r="C99" i="23"/>
  <c r="D100" i="23"/>
  <c r="C100" i="23"/>
  <c r="A97" i="23"/>
  <c r="W97" i="23" s="1"/>
  <c r="X97" i="23" s="1"/>
  <c r="W96" i="23"/>
  <c r="X96" i="23" s="1"/>
  <c r="D100" i="15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A101" i="23" l="1"/>
  <c r="W101" i="23" s="1"/>
  <c r="X101" i="23" s="1"/>
  <c r="W100" i="23"/>
  <c r="X100" i="23" s="1"/>
  <c r="D105" i="23"/>
  <c r="C103" i="23"/>
  <c r="D104" i="23"/>
  <c r="C105" i="23"/>
  <c r="D103" i="23"/>
  <c r="C104" i="23"/>
  <c r="D102" i="23"/>
  <c r="C102" i="23"/>
  <c r="A110" i="23"/>
  <c r="B106" i="23"/>
  <c r="A107" i="23"/>
  <c r="W106" i="23"/>
  <c r="X106" i="23" s="1"/>
  <c r="W103" i="23"/>
  <c r="X103" i="23" s="1"/>
  <c r="A104" i="23"/>
  <c r="W100" i="15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23" l="1"/>
  <c r="X104" i="23" s="1"/>
  <c r="A105" i="23"/>
  <c r="W105" i="23" s="1"/>
  <c r="X105" i="23" s="1"/>
  <c r="W107" i="23"/>
  <c r="X107" i="23" s="1"/>
  <c r="A108" i="23"/>
  <c r="C109" i="23"/>
  <c r="D107" i="23"/>
  <c r="C107" i="23"/>
  <c r="D108" i="23"/>
  <c r="C108" i="23"/>
  <c r="C106" i="23"/>
  <c r="D106" i="23"/>
  <c r="D109" i="23"/>
  <c r="B110" i="23"/>
  <c r="A111" i="23"/>
  <c r="A114" i="23"/>
  <c r="W110" i="23"/>
  <c r="X110" i="23" s="1"/>
  <c r="W104" i="15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A112" i="23" l="1"/>
  <c r="W111" i="23"/>
  <c r="X111" i="23" s="1"/>
  <c r="C113" i="23"/>
  <c r="C110" i="23"/>
  <c r="C111" i="23"/>
  <c r="D112" i="23"/>
  <c r="C112" i="23"/>
  <c r="D111" i="23"/>
  <c r="D110" i="23"/>
  <c r="D113" i="23"/>
  <c r="A109" i="23"/>
  <c r="W109" i="23" s="1"/>
  <c r="X109" i="23" s="1"/>
  <c r="W108" i="23"/>
  <c r="X108" i="23" s="1"/>
  <c r="W114" i="23"/>
  <c r="X114" i="23" s="1"/>
  <c r="B114" i="23"/>
  <c r="A118" i="23"/>
  <c r="A115" i="23"/>
  <c r="W108" i="15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5" i="23" l="1"/>
  <c r="X115" i="23" s="1"/>
  <c r="A116" i="23"/>
  <c r="B118" i="23"/>
  <c r="A119" i="23"/>
  <c r="W118" i="23"/>
  <c r="X118" i="23" s="1"/>
  <c r="A122" i="23"/>
  <c r="C114" i="23"/>
  <c r="C117" i="23"/>
  <c r="D115" i="23"/>
  <c r="C115" i="23"/>
  <c r="D114" i="23"/>
  <c r="D117" i="23"/>
  <c r="D116" i="23"/>
  <c r="C116" i="23"/>
  <c r="A113" i="23"/>
  <c r="W113" i="23" s="1"/>
  <c r="X113" i="23" s="1"/>
  <c r="W112" i="23"/>
  <c r="X112" i="23" s="1"/>
  <c r="W112" i="15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3" i="23" l="1"/>
  <c r="A126" i="23"/>
  <c r="W122" i="23"/>
  <c r="X122" i="23" s="1"/>
  <c r="B122" i="23"/>
  <c r="W119" i="23"/>
  <c r="X119" i="23" s="1"/>
  <c r="A120" i="23"/>
  <c r="C119" i="23"/>
  <c r="D119" i="23"/>
  <c r="D120" i="23"/>
  <c r="D118" i="23"/>
  <c r="D121" i="23"/>
  <c r="C118" i="23"/>
  <c r="C121" i="23"/>
  <c r="C120" i="23"/>
  <c r="A117" i="23"/>
  <c r="W117" i="23" s="1"/>
  <c r="X117" i="23" s="1"/>
  <c r="W116" i="23"/>
  <c r="X116" i="23" s="1"/>
  <c r="A120" i="15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D125" i="23" l="1"/>
  <c r="C122" i="23"/>
  <c r="C125" i="23"/>
  <c r="D123" i="23"/>
  <c r="C123" i="23"/>
  <c r="D124" i="23"/>
  <c r="C124" i="23"/>
  <c r="D122" i="23"/>
  <c r="W120" i="23"/>
  <c r="X120" i="23" s="1"/>
  <c r="A121" i="23"/>
  <c r="W121" i="23" s="1"/>
  <c r="X121" i="23" s="1"/>
  <c r="A127" i="23"/>
  <c r="A130" i="23"/>
  <c r="W126" i="23"/>
  <c r="X126" i="23" s="1"/>
  <c r="B126" i="23"/>
  <c r="W123" i="23"/>
  <c r="X123" i="23" s="1"/>
  <c r="A124" i="23"/>
  <c r="C124" i="15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W124" i="23" l="1"/>
  <c r="X124" i="23" s="1"/>
  <c r="A125" i="23"/>
  <c r="W125" i="23" s="1"/>
  <c r="X125" i="23" s="1"/>
  <c r="D126" i="23"/>
  <c r="C126" i="23"/>
  <c r="D129" i="23"/>
  <c r="C129" i="23"/>
  <c r="D127" i="23"/>
  <c r="C127" i="23"/>
  <c r="C128" i="23"/>
  <c r="D128" i="23"/>
  <c r="A131" i="23"/>
  <c r="A134" i="23"/>
  <c r="B130" i="23"/>
  <c r="W130" i="23"/>
  <c r="X130" i="23" s="1"/>
  <c r="W127" i="23"/>
  <c r="X127" i="23" s="1"/>
  <c r="A128" i="23"/>
  <c r="A128" i="15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A129" i="23" l="1"/>
  <c r="W129" i="23" s="1"/>
  <c r="X129" i="23" s="1"/>
  <c r="W128" i="23"/>
  <c r="X128" i="23" s="1"/>
  <c r="D132" i="23"/>
  <c r="C133" i="23"/>
  <c r="D131" i="23"/>
  <c r="C130" i="23"/>
  <c r="C132" i="23"/>
  <c r="D130" i="23"/>
  <c r="C131" i="23"/>
  <c r="D133" i="23"/>
  <c r="A135" i="23"/>
  <c r="A138" i="23"/>
  <c r="W134" i="23"/>
  <c r="X134" i="23" s="1"/>
  <c r="B134" i="23"/>
  <c r="W131" i="23"/>
  <c r="X131" i="23" s="1"/>
  <c r="A132" i="23"/>
  <c r="W131" i="15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W132" i="23" l="1"/>
  <c r="X132" i="23" s="1"/>
  <c r="A133" i="23"/>
  <c r="W133" i="23" s="1"/>
  <c r="X133" i="23" s="1"/>
  <c r="D137" i="23"/>
  <c r="C134" i="23"/>
  <c r="C135" i="23"/>
  <c r="C136" i="23"/>
  <c r="C137" i="23"/>
  <c r="D136" i="23"/>
  <c r="D134" i="23"/>
  <c r="D135" i="23"/>
  <c r="A139" i="23"/>
  <c r="W138" i="23"/>
  <c r="X138" i="23" s="1"/>
  <c r="B138" i="23"/>
  <c r="A142" i="23"/>
  <c r="A136" i="23"/>
  <c r="W135" i="23"/>
  <c r="X135" i="23" s="1"/>
  <c r="A142" i="15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A146" i="23" l="1"/>
  <c r="W142" i="23"/>
  <c r="X142" i="23" s="1"/>
  <c r="B142" i="23"/>
  <c r="A143" i="23"/>
  <c r="C141" i="23"/>
  <c r="D139" i="23"/>
  <c r="C139" i="23"/>
  <c r="C140" i="23"/>
  <c r="D141" i="23"/>
  <c r="C138" i="23"/>
  <c r="D140" i="23"/>
  <c r="D138" i="23"/>
  <c r="A140" i="23"/>
  <c r="W139" i="23"/>
  <c r="X139" i="23" s="1"/>
  <c r="W136" i="23"/>
  <c r="X136" i="23" s="1"/>
  <c r="A137" i="23"/>
  <c r="W137" i="23" s="1"/>
  <c r="X137" i="23" s="1"/>
  <c r="W136" i="15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W140" i="23" l="1"/>
  <c r="X140" i="23" s="1"/>
  <c r="A141" i="23"/>
  <c r="W141" i="23" s="1"/>
  <c r="X141" i="23" s="1"/>
  <c r="A144" i="23"/>
  <c r="W143" i="23"/>
  <c r="X143" i="23" s="1"/>
  <c r="C145" i="23"/>
  <c r="C143" i="23"/>
  <c r="D145" i="23"/>
  <c r="D144" i="23"/>
  <c r="C144" i="23"/>
  <c r="D143" i="23"/>
  <c r="C142" i="23"/>
  <c r="D142" i="23"/>
  <c r="B146" i="23"/>
  <c r="A147" i="23"/>
  <c r="A150" i="23"/>
  <c r="W146" i="23"/>
  <c r="X146" i="23" s="1"/>
  <c r="C144" i="15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48" i="23" l="1"/>
  <c r="W147" i="23"/>
  <c r="X147" i="23" s="1"/>
  <c r="C147" i="23"/>
  <c r="D148" i="23"/>
  <c r="C149" i="23"/>
  <c r="D146" i="23"/>
  <c r="C148" i="23"/>
  <c r="D149" i="23"/>
  <c r="C146" i="23"/>
  <c r="D147" i="23"/>
  <c r="W144" i="23"/>
  <c r="X144" i="23" s="1"/>
  <c r="A145" i="23"/>
  <c r="W145" i="23" s="1"/>
  <c r="X145" i="23" s="1"/>
  <c r="A151" i="23"/>
  <c r="B150" i="23"/>
  <c r="W150" i="23"/>
  <c r="X150" i="23" s="1"/>
  <c r="A154" i="23"/>
  <c r="A154" i="15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W154" i="23" l="1"/>
  <c r="X154" i="23" s="1"/>
  <c r="A155" i="23"/>
  <c r="A158" i="23"/>
  <c r="B154" i="23"/>
  <c r="C150" i="23"/>
  <c r="C153" i="23"/>
  <c r="D151" i="23"/>
  <c r="D152" i="23"/>
  <c r="D153" i="23"/>
  <c r="C151" i="23"/>
  <c r="C152" i="23"/>
  <c r="D150" i="23"/>
  <c r="W151" i="23"/>
  <c r="X151" i="23" s="1"/>
  <c r="A152" i="23"/>
  <c r="A149" i="23"/>
  <c r="W149" i="23" s="1"/>
  <c r="X149" i="23" s="1"/>
  <c r="W148" i="23"/>
  <c r="X148" i="23" s="1"/>
  <c r="A152" i="15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W152" i="23" l="1"/>
  <c r="X152" i="23" s="1"/>
  <c r="A153" i="23"/>
  <c r="W153" i="23" s="1"/>
  <c r="X153" i="23" s="1"/>
  <c r="C157" i="23"/>
  <c r="C156" i="23"/>
  <c r="D157" i="23"/>
  <c r="C155" i="23"/>
  <c r="D156" i="23"/>
  <c r="D154" i="23"/>
  <c r="D155" i="23"/>
  <c r="C154" i="23"/>
  <c r="B158" i="23"/>
  <c r="A159" i="23"/>
  <c r="A162" i="23"/>
  <c r="W158" i="23"/>
  <c r="X158" i="23" s="1"/>
  <c r="W155" i="23"/>
  <c r="X155" i="23" s="1"/>
  <c r="A156" i="23"/>
  <c r="B158" i="15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W156" i="23" l="1"/>
  <c r="X156" i="23" s="1"/>
  <c r="A157" i="23"/>
  <c r="W157" i="23" s="1"/>
  <c r="X157" i="23" s="1"/>
  <c r="A166" i="23"/>
  <c r="W162" i="23"/>
  <c r="X162" i="23" s="1"/>
  <c r="B162" i="23"/>
  <c r="A163" i="23"/>
  <c r="W159" i="23"/>
  <c r="X159" i="23" s="1"/>
  <c r="A160" i="23"/>
  <c r="D159" i="23"/>
  <c r="C160" i="23"/>
  <c r="C159" i="23"/>
  <c r="D161" i="23"/>
  <c r="C158" i="23"/>
  <c r="D160" i="23"/>
  <c r="D158" i="23"/>
  <c r="C161" i="23"/>
  <c r="A157" i="15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W160" i="23" l="1"/>
  <c r="X160" i="23" s="1"/>
  <c r="A161" i="23"/>
  <c r="W161" i="23" s="1"/>
  <c r="X161" i="23" s="1"/>
  <c r="A164" i="23"/>
  <c r="W163" i="23"/>
  <c r="X163" i="23" s="1"/>
  <c r="D163" i="23"/>
  <c r="D164" i="23"/>
  <c r="C164" i="23"/>
  <c r="C163" i="23"/>
  <c r="C162" i="23"/>
  <c r="C165" i="23"/>
  <c r="D162" i="23"/>
  <c r="D165" i="23"/>
  <c r="A167" i="23"/>
  <c r="B166" i="23"/>
  <c r="W166" i="23"/>
  <c r="X166" i="23" s="1"/>
  <c r="A170" i="23"/>
  <c r="D163" i="15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D168" i="23" l="1"/>
  <c r="C168" i="23"/>
  <c r="D169" i="23"/>
  <c r="D166" i="23"/>
  <c r="C166" i="23"/>
  <c r="D167" i="23"/>
  <c r="C169" i="23"/>
  <c r="C167" i="23"/>
  <c r="A165" i="23"/>
  <c r="W165" i="23" s="1"/>
  <c r="X165" i="23" s="1"/>
  <c r="W164" i="23"/>
  <c r="X164" i="23" s="1"/>
  <c r="B170" i="23"/>
  <c r="A174" i="23"/>
  <c r="A171" i="23"/>
  <c r="W170" i="23"/>
  <c r="X170" i="23" s="1"/>
  <c r="A168" i="23"/>
  <c r="W167" i="23"/>
  <c r="X167" i="23" s="1"/>
  <c r="W170" i="15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W171" i="23" l="1"/>
  <c r="X171" i="23" s="1"/>
  <c r="A172" i="23"/>
  <c r="A178" i="23"/>
  <c r="W174" i="23"/>
  <c r="X174" i="23" s="1"/>
  <c r="B174" i="23"/>
  <c r="A175" i="23"/>
  <c r="D173" i="23"/>
  <c r="C170" i="23"/>
  <c r="C173" i="23"/>
  <c r="D171" i="23"/>
  <c r="D170" i="23"/>
  <c r="C171" i="23"/>
  <c r="C172" i="23"/>
  <c r="D172" i="23"/>
  <c r="A169" i="23"/>
  <c r="W169" i="23" s="1"/>
  <c r="X169" i="23" s="1"/>
  <c r="W168" i="23"/>
  <c r="X168" i="23" s="1"/>
  <c r="A169" i="15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D174" i="23" l="1"/>
  <c r="D177" i="23"/>
  <c r="C174" i="23"/>
  <c r="C176" i="23"/>
  <c r="C177" i="23"/>
  <c r="C175" i="23"/>
  <c r="D176" i="23"/>
  <c r="D175" i="23"/>
  <c r="A176" i="23"/>
  <c r="W175" i="23"/>
  <c r="X175" i="23" s="1"/>
  <c r="B178" i="23"/>
  <c r="W178" i="23"/>
  <c r="X178" i="23" s="1"/>
  <c r="A182" i="23"/>
  <c r="A179" i="23"/>
  <c r="A173" i="23"/>
  <c r="W173" i="23" s="1"/>
  <c r="X173" i="23" s="1"/>
  <c r="W172" i="23"/>
  <c r="X172" i="23" s="1"/>
  <c r="C177" i="15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B182" i="23" l="1"/>
  <c r="A183" i="23"/>
  <c r="A186" i="23"/>
  <c r="W182" i="23"/>
  <c r="X182" i="23" s="1"/>
  <c r="A180" i="23"/>
  <c r="W179" i="23"/>
  <c r="X179" i="23" s="1"/>
  <c r="C180" i="23"/>
  <c r="C178" i="23"/>
  <c r="D180" i="23"/>
  <c r="C181" i="23"/>
  <c r="D181" i="23"/>
  <c r="D179" i="23"/>
  <c r="C179" i="23"/>
  <c r="D178" i="23"/>
  <c r="W176" i="23"/>
  <c r="X176" i="23" s="1"/>
  <c r="A177" i="23"/>
  <c r="W177" i="23" s="1"/>
  <c r="X177" i="23" s="1"/>
  <c r="W176" i="15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23" l="1"/>
  <c r="W181" i="23" s="1"/>
  <c r="X181" i="23" s="1"/>
  <c r="W180" i="23"/>
  <c r="X180" i="23" s="1"/>
  <c r="B186" i="23"/>
  <c r="A187" i="23"/>
  <c r="A190" i="23"/>
  <c r="W186" i="23"/>
  <c r="X186" i="23" s="1"/>
  <c r="W183" i="23"/>
  <c r="X183" i="23" s="1"/>
  <c r="A184" i="23"/>
  <c r="C185" i="23"/>
  <c r="D183" i="23"/>
  <c r="C183" i="23"/>
  <c r="D184" i="23"/>
  <c r="C184" i="23"/>
  <c r="C182" i="23"/>
  <c r="D182" i="23"/>
  <c r="D185" i="23"/>
  <c r="A181" i="15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W184" i="23" l="1"/>
  <c r="X184" i="23" s="1"/>
  <c r="A185" i="23"/>
  <c r="W185" i="23" s="1"/>
  <c r="X185" i="23" s="1"/>
  <c r="A194" i="23"/>
  <c r="W190" i="23"/>
  <c r="X190" i="23" s="1"/>
  <c r="B190" i="23"/>
  <c r="A191" i="23"/>
  <c r="W187" i="23"/>
  <c r="X187" i="23" s="1"/>
  <c r="A188" i="23"/>
  <c r="D186" i="23"/>
  <c r="C188" i="23"/>
  <c r="D189" i="23"/>
  <c r="C186" i="23"/>
  <c r="C189" i="23"/>
  <c r="D188" i="23"/>
  <c r="D187" i="23"/>
  <c r="C187" i="23"/>
  <c r="A194" i="15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23" l="1"/>
  <c r="W189" i="23" s="1"/>
  <c r="X189" i="23" s="1"/>
  <c r="W188" i="23"/>
  <c r="X188" i="23" s="1"/>
  <c r="A192" i="23"/>
  <c r="W191" i="23"/>
  <c r="X191" i="23" s="1"/>
  <c r="C190" i="23"/>
  <c r="C193" i="23"/>
  <c r="D191" i="23"/>
  <c r="C191" i="23"/>
  <c r="D193" i="23"/>
  <c r="D192" i="23"/>
  <c r="C192" i="23"/>
  <c r="D190" i="23"/>
  <c r="A195" i="23"/>
  <c r="B194" i="23"/>
  <c r="A198" i="23"/>
  <c r="W194" i="23"/>
  <c r="X194" i="23" s="1"/>
  <c r="A189" i="15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D196" i="23" l="1"/>
  <c r="C196" i="23"/>
  <c r="C195" i="23"/>
  <c r="D194" i="23"/>
  <c r="D197" i="23"/>
  <c r="C197" i="23"/>
  <c r="C194" i="23"/>
  <c r="D195" i="23"/>
  <c r="W195" i="23"/>
  <c r="X195" i="23" s="1"/>
  <c r="A196" i="23"/>
  <c r="A193" i="23"/>
  <c r="W193" i="23" s="1"/>
  <c r="X193" i="23" s="1"/>
  <c r="W192" i="23"/>
  <c r="X192" i="23" s="1"/>
  <c r="B198" i="23"/>
  <c r="A199" i="23"/>
  <c r="W198" i="23"/>
  <c r="X198" i="23" s="1"/>
  <c r="A202" i="23"/>
  <c r="A199" i="15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A203" i="23" l="1"/>
  <c r="A206" i="23"/>
  <c r="B202" i="23"/>
  <c r="W202" i="23"/>
  <c r="X202" i="23" s="1"/>
  <c r="A200" i="23"/>
  <c r="W199" i="23"/>
  <c r="X199" i="23" s="1"/>
  <c r="C200" i="23"/>
  <c r="D200" i="23"/>
  <c r="C199" i="23"/>
  <c r="D198" i="23"/>
  <c r="D201" i="23"/>
  <c r="C198" i="23"/>
  <c r="C201" i="23"/>
  <c r="D199" i="23"/>
  <c r="A197" i="23"/>
  <c r="W197" i="23" s="1"/>
  <c r="X197" i="23" s="1"/>
  <c r="W196" i="23"/>
  <c r="X196" i="23" s="1"/>
  <c r="W196" i="15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1" i="23" l="1"/>
  <c r="W201" i="23" s="1"/>
  <c r="X201" i="23" s="1"/>
  <c r="W200" i="23"/>
  <c r="X200" i="23" s="1"/>
  <c r="D205" i="23"/>
  <c r="D202" i="23"/>
  <c r="C202" i="23"/>
  <c r="C205" i="23"/>
  <c r="D203" i="23"/>
  <c r="C203" i="23"/>
  <c r="D204" i="23"/>
  <c r="C204" i="23"/>
  <c r="W206" i="23"/>
  <c r="X206" i="23" s="1"/>
  <c r="B206" i="23"/>
  <c r="A210" i="23"/>
  <c r="A207" i="23"/>
  <c r="A204" i="23"/>
  <c r="W203" i="23"/>
  <c r="X203" i="23" s="1"/>
  <c r="A204" i="15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W207" i="23" l="1"/>
  <c r="X207" i="23" s="1"/>
  <c r="A208" i="23"/>
  <c r="A211" i="23"/>
  <c r="A214" i="23"/>
  <c r="W210" i="23"/>
  <c r="X210" i="23" s="1"/>
  <c r="B210" i="23"/>
  <c r="C208" i="23"/>
  <c r="D209" i="23"/>
  <c r="D207" i="23"/>
  <c r="D206" i="23"/>
  <c r="D208" i="23"/>
  <c r="C206" i="23"/>
  <c r="C207" i="23"/>
  <c r="C209" i="23"/>
  <c r="A205" i="23"/>
  <c r="W205" i="23" s="1"/>
  <c r="X205" i="23" s="1"/>
  <c r="W204" i="23"/>
  <c r="X204" i="23" s="1"/>
  <c r="C208" i="15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C213" i="23" l="1"/>
  <c r="D211" i="23"/>
  <c r="C211" i="23"/>
  <c r="D210" i="23"/>
  <c r="D212" i="23"/>
  <c r="C212" i="23"/>
  <c r="D213" i="23"/>
  <c r="C210" i="23"/>
  <c r="W214" i="23"/>
  <c r="X214" i="23" s="1"/>
  <c r="B214" i="23"/>
  <c r="A215" i="23"/>
  <c r="A218" i="23"/>
  <c r="A212" i="23"/>
  <c r="W211" i="23"/>
  <c r="X211" i="23" s="1"/>
  <c r="A209" i="23"/>
  <c r="W209" i="23" s="1"/>
  <c r="X209" i="23" s="1"/>
  <c r="W208" i="23"/>
  <c r="X208" i="23" s="1"/>
  <c r="W208" i="15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A213" i="23" l="1"/>
  <c r="W213" i="23" s="1"/>
  <c r="X213" i="23" s="1"/>
  <c r="W212" i="23"/>
  <c r="X212" i="23" s="1"/>
  <c r="A222" i="23"/>
  <c r="A219" i="23"/>
  <c r="B218" i="23"/>
  <c r="W218" i="23"/>
  <c r="X218" i="23" s="1"/>
  <c r="W215" i="23"/>
  <c r="X215" i="23" s="1"/>
  <c r="A216" i="23"/>
  <c r="C217" i="23"/>
  <c r="D216" i="23"/>
  <c r="C216" i="23"/>
  <c r="D215" i="23"/>
  <c r="C215" i="23"/>
  <c r="D217" i="23"/>
  <c r="D214" i="23"/>
  <c r="C214" i="23"/>
  <c r="D216" i="15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A217" i="23" l="1"/>
  <c r="W217" i="23" s="1"/>
  <c r="X217" i="23" s="1"/>
  <c r="W216" i="23"/>
  <c r="X216" i="23" s="1"/>
  <c r="D221" i="23"/>
  <c r="C221" i="23"/>
  <c r="C218" i="23"/>
  <c r="C219" i="23"/>
  <c r="D220" i="23"/>
  <c r="D219" i="23"/>
  <c r="C220" i="23"/>
  <c r="D218" i="23"/>
  <c r="A220" i="23"/>
  <c r="W219" i="23"/>
  <c r="X219" i="23" s="1"/>
  <c r="A226" i="23"/>
  <c r="W222" i="23"/>
  <c r="X222" i="23" s="1"/>
  <c r="B222" i="23"/>
  <c r="A223" i="23"/>
  <c r="W216" i="15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C222" i="23" l="1"/>
  <c r="D223" i="23"/>
  <c r="D225" i="23"/>
  <c r="C225" i="23"/>
  <c r="C223" i="23"/>
  <c r="D224" i="23"/>
  <c r="C224" i="23"/>
  <c r="D222" i="23"/>
  <c r="A221" i="23"/>
  <c r="W221" i="23" s="1"/>
  <c r="X221" i="23" s="1"/>
  <c r="W220" i="23"/>
  <c r="X220" i="23" s="1"/>
  <c r="A224" i="23"/>
  <c r="W223" i="23"/>
  <c r="X223" i="23" s="1"/>
  <c r="A227" i="23"/>
  <c r="A230" i="23"/>
  <c r="B226" i="23"/>
  <c r="W226" i="23"/>
  <c r="X226" i="23" s="1"/>
  <c r="A221" i="15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W224" i="23" l="1"/>
  <c r="X224" i="23" s="1"/>
  <c r="A225" i="23"/>
  <c r="W225" i="23" s="1"/>
  <c r="X225" i="23" s="1"/>
  <c r="B230" i="23"/>
  <c r="A231" i="23"/>
  <c r="A234" i="23"/>
  <c r="W230" i="23"/>
  <c r="X230" i="23" s="1"/>
  <c r="D227" i="23"/>
  <c r="C227" i="23"/>
  <c r="D228" i="23"/>
  <c r="D229" i="23"/>
  <c r="C228" i="23"/>
  <c r="C229" i="23"/>
  <c r="D226" i="23"/>
  <c r="C226" i="23"/>
  <c r="A228" i="23"/>
  <c r="W227" i="23"/>
  <c r="X227" i="23" s="1"/>
  <c r="A228" i="15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5" i="23" l="1"/>
  <c r="A238" i="23"/>
  <c r="W234" i="23"/>
  <c r="X234" i="23" s="1"/>
  <c r="B234" i="23"/>
  <c r="A232" i="23"/>
  <c r="W231" i="23"/>
  <c r="X231" i="23" s="1"/>
  <c r="D230" i="23"/>
  <c r="D233" i="23"/>
  <c r="C232" i="23"/>
  <c r="C230" i="23"/>
  <c r="D232" i="23"/>
  <c r="C233" i="23"/>
  <c r="D231" i="23"/>
  <c r="C231" i="23"/>
  <c r="A229" i="23"/>
  <c r="W229" i="23" s="1"/>
  <c r="X229" i="23" s="1"/>
  <c r="W228" i="23"/>
  <c r="X228" i="23" s="1"/>
  <c r="A238" i="15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23" l="1"/>
  <c r="W233" i="23" s="1"/>
  <c r="X233" i="23" s="1"/>
  <c r="W232" i="23"/>
  <c r="X232" i="23" s="1"/>
  <c r="D236" i="23"/>
  <c r="D235" i="23"/>
  <c r="C235" i="23"/>
  <c r="C236" i="23"/>
  <c r="D234" i="23"/>
  <c r="D237" i="23"/>
  <c r="C234" i="23"/>
  <c r="C237" i="23"/>
  <c r="B238" i="23"/>
  <c r="A239" i="23"/>
  <c r="A242" i="23"/>
  <c r="W238" i="23"/>
  <c r="X238" i="23" s="1"/>
  <c r="W235" i="23"/>
  <c r="X235" i="23" s="1"/>
  <c r="A236" i="23"/>
  <c r="A233" i="15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B242" i="23" l="1"/>
  <c r="W242" i="23"/>
  <c r="X242" i="23" s="1"/>
  <c r="A243" i="23"/>
  <c r="A246" i="23"/>
  <c r="A240" i="23"/>
  <c r="W239" i="23"/>
  <c r="X239" i="23" s="1"/>
  <c r="C241" i="23"/>
  <c r="D239" i="23"/>
  <c r="D240" i="23"/>
  <c r="C239" i="23"/>
  <c r="D241" i="23"/>
  <c r="C240" i="23"/>
  <c r="C238" i="23"/>
  <c r="D238" i="23"/>
  <c r="W236" i="23"/>
  <c r="X236" i="23" s="1"/>
  <c r="A237" i="23"/>
  <c r="W237" i="23" s="1"/>
  <c r="X237" i="23" s="1"/>
  <c r="C241" i="15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23" l="1"/>
  <c r="X240" i="23" s="1"/>
  <c r="A241" i="23"/>
  <c r="W241" i="23" s="1"/>
  <c r="X241" i="23" s="1"/>
  <c r="A250" i="23"/>
  <c r="A247" i="23"/>
  <c r="W246" i="23"/>
  <c r="X246" i="23" s="1"/>
  <c r="B246" i="23"/>
  <c r="A244" i="23"/>
  <c r="W243" i="23"/>
  <c r="X243" i="23" s="1"/>
  <c r="D245" i="23"/>
  <c r="C242" i="23"/>
  <c r="D243" i="23"/>
  <c r="D242" i="23"/>
  <c r="C245" i="23"/>
  <c r="C244" i="23"/>
  <c r="C243" i="23"/>
  <c r="D244" i="23"/>
  <c r="W240" i="15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23" l="1"/>
  <c r="C246" i="23"/>
  <c r="D247" i="23"/>
  <c r="C248" i="23"/>
  <c r="C249" i="23"/>
  <c r="C247" i="23"/>
  <c r="D246" i="23"/>
  <c r="D248" i="23"/>
  <c r="W247" i="23"/>
  <c r="X247" i="23" s="1"/>
  <c r="A248" i="23"/>
  <c r="W244" i="23"/>
  <c r="X244" i="23" s="1"/>
  <c r="A245" i="23"/>
  <c r="W245" i="23" s="1"/>
  <c r="X245" i="23" s="1"/>
  <c r="B250" i="23"/>
  <c r="W250" i="23"/>
  <c r="X250" i="23" s="1"/>
  <c r="A251" i="23"/>
  <c r="A254" i="23"/>
  <c r="D249" i="15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W251" i="23" l="1"/>
  <c r="X251" i="23" s="1"/>
  <c r="A252" i="23"/>
  <c r="A258" i="23"/>
  <c r="W254" i="23"/>
  <c r="X254" i="23" s="1"/>
  <c r="B254" i="23"/>
  <c r="A255" i="23"/>
  <c r="D253" i="23"/>
  <c r="C253" i="23"/>
  <c r="C252" i="23"/>
  <c r="C250" i="23"/>
  <c r="D251" i="23"/>
  <c r="D252" i="23"/>
  <c r="C251" i="23"/>
  <c r="D250" i="23"/>
  <c r="W248" i="23"/>
  <c r="X248" i="23" s="1"/>
  <c r="A249" i="23"/>
  <c r="W249" i="23" s="1"/>
  <c r="X249" i="23" s="1"/>
  <c r="D253" i="15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D255" i="23" l="1"/>
  <c r="C255" i="23"/>
  <c r="D257" i="23"/>
  <c r="C254" i="23"/>
  <c r="D256" i="23"/>
  <c r="C256" i="23"/>
  <c r="D254" i="23"/>
  <c r="C257" i="23"/>
  <c r="A256" i="23"/>
  <c r="W255" i="23"/>
  <c r="X255" i="23" s="1"/>
  <c r="A259" i="23"/>
  <c r="A262" i="23"/>
  <c r="W258" i="23"/>
  <c r="X258" i="23" s="1"/>
  <c r="B258" i="23"/>
  <c r="A253" i="23"/>
  <c r="W253" i="23" s="1"/>
  <c r="X253" i="23" s="1"/>
  <c r="W252" i="23"/>
  <c r="X252" i="23" s="1"/>
  <c r="C255" i="15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B262" i="23" l="1"/>
  <c r="A263" i="23"/>
  <c r="A266" i="23"/>
  <c r="W262" i="23"/>
  <c r="X262" i="23" s="1"/>
  <c r="W259" i="23"/>
  <c r="X259" i="23" s="1"/>
  <c r="A260" i="23"/>
  <c r="D259" i="23"/>
  <c r="C261" i="23"/>
  <c r="C259" i="23"/>
  <c r="D261" i="23"/>
  <c r="D260" i="23"/>
  <c r="C260" i="23"/>
  <c r="D258" i="23"/>
  <c r="C258" i="23"/>
  <c r="W256" i="23"/>
  <c r="X256" i="23" s="1"/>
  <c r="A257" i="23"/>
  <c r="W257" i="23" s="1"/>
  <c r="X257" i="23" s="1"/>
  <c r="W256" i="15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A261" i="23" l="1"/>
  <c r="W261" i="23" s="1"/>
  <c r="X261" i="23" s="1"/>
  <c r="W260" i="23"/>
  <c r="X260" i="23" s="1"/>
  <c r="A270" i="23"/>
  <c r="B266" i="23"/>
  <c r="A267" i="23"/>
  <c r="W266" i="23"/>
  <c r="X266" i="23" s="1"/>
  <c r="A264" i="23"/>
  <c r="W263" i="23"/>
  <c r="X263" i="23" s="1"/>
  <c r="D262" i="23"/>
  <c r="D264" i="23"/>
  <c r="D265" i="23"/>
  <c r="C262" i="23"/>
  <c r="D263" i="23"/>
  <c r="C265" i="23"/>
  <c r="C263" i="23"/>
  <c r="C264" i="23"/>
  <c r="D265" i="15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W267" i="23" l="1"/>
  <c r="X267" i="23" s="1"/>
  <c r="A268" i="23"/>
  <c r="D268" i="23"/>
  <c r="C268" i="23"/>
  <c r="D267" i="23"/>
  <c r="D266" i="23"/>
  <c r="D269" i="23"/>
  <c r="C266" i="23"/>
  <c r="C269" i="23"/>
  <c r="C267" i="23"/>
  <c r="B270" i="23"/>
  <c r="A271" i="23"/>
  <c r="A274" i="23"/>
  <c r="W270" i="23"/>
  <c r="X270" i="23" s="1"/>
  <c r="A265" i="23"/>
  <c r="W265" i="23" s="1"/>
  <c r="X265" i="23" s="1"/>
  <c r="W264" i="23"/>
  <c r="X264" i="23" s="1"/>
  <c r="A268" i="15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C273" i="23" l="1"/>
  <c r="D271" i="23"/>
  <c r="C271" i="23"/>
  <c r="C272" i="23"/>
  <c r="C270" i="23"/>
  <c r="D272" i="23"/>
  <c r="D270" i="23"/>
  <c r="D273" i="23"/>
  <c r="A278" i="23"/>
  <c r="B274" i="23"/>
  <c r="W274" i="23"/>
  <c r="X274" i="23" s="1"/>
  <c r="A275" i="23"/>
  <c r="W268" i="23"/>
  <c r="X268" i="23" s="1"/>
  <c r="A269" i="23"/>
  <c r="W269" i="23" s="1"/>
  <c r="X269" i="23" s="1"/>
  <c r="W271" i="23"/>
  <c r="X271" i="23" s="1"/>
  <c r="A272" i="23"/>
  <c r="A272" i="15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A273" i="23" l="1"/>
  <c r="W273" i="23" s="1"/>
  <c r="X273" i="23" s="1"/>
  <c r="W272" i="23"/>
  <c r="X272" i="23" s="1"/>
  <c r="D277" i="23"/>
  <c r="C274" i="23"/>
  <c r="C277" i="23"/>
  <c r="C275" i="23"/>
  <c r="D276" i="23"/>
  <c r="D275" i="23"/>
  <c r="C276" i="23"/>
  <c r="D274" i="23"/>
  <c r="A276" i="23"/>
  <c r="W275" i="23"/>
  <c r="X275" i="23" s="1"/>
  <c r="A279" i="23"/>
  <c r="A282" i="23"/>
  <c r="B278" i="23"/>
  <c r="W278" i="23"/>
  <c r="X278" i="23" s="1"/>
  <c r="C275" i="15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C279" i="23" l="1"/>
  <c r="D278" i="23"/>
  <c r="C281" i="23"/>
  <c r="D280" i="23"/>
  <c r="C280" i="23"/>
  <c r="D281" i="23"/>
  <c r="C278" i="23"/>
  <c r="D279" i="23"/>
  <c r="W279" i="23"/>
  <c r="X279" i="23" s="1"/>
  <c r="A280" i="23"/>
  <c r="A277" i="23"/>
  <c r="W277" i="23" s="1"/>
  <c r="X277" i="23" s="1"/>
  <c r="W276" i="23"/>
  <c r="X276" i="23" s="1"/>
  <c r="B282" i="23"/>
  <c r="A283" i="23"/>
  <c r="A286" i="23"/>
  <c r="W282" i="23"/>
  <c r="X282" i="23" s="1"/>
  <c r="A286" i="15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B286" i="23" l="1"/>
  <c r="A287" i="23"/>
  <c r="A290" i="23"/>
  <c r="W286" i="23"/>
  <c r="X286" i="23" s="1"/>
  <c r="W283" i="23"/>
  <c r="X283" i="23" s="1"/>
  <c r="A284" i="23"/>
  <c r="D285" i="23"/>
  <c r="C282" i="23"/>
  <c r="D283" i="23"/>
  <c r="C285" i="23"/>
  <c r="D282" i="23"/>
  <c r="C283" i="23"/>
  <c r="D284" i="23"/>
  <c r="C284" i="23"/>
  <c r="W280" i="23"/>
  <c r="X280" i="23" s="1"/>
  <c r="A281" i="23"/>
  <c r="W281" i="23" s="1"/>
  <c r="X281" i="23" s="1"/>
  <c r="A284" i="15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W284" i="23" l="1"/>
  <c r="X284" i="23" s="1"/>
  <c r="A285" i="23"/>
  <c r="W285" i="23" s="1"/>
  <c r="X285" i="23" s="1"/>
  <c r="A294" i="23"/>
  <c r="A291" i="23"/>
  <c r="B290" i="23"/>
  <c r="W290" i="23"/>
  <c r="X290" i="23" s="1"/>
  <c r="A288" i="23"/>
  <c r="W287" i="23"/>
  <c r="X287" i="23" s="1"/>
  <c r="D287" i="23"/>
  <c r="C287" i="23"/>
  <c r="C288" i="23"/>
  <c r="D288" i="23"/>
  <c r="D286" i="23"/>
  <c r="D289" i="23"/>
  <c r="C286" i="23"/>
  <c r="C289" i="23"/>
  <c r="B290" i="15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C291" i="23" l="1"/>
  <c r="D292" i="23"/>
  <c r="C292" i="23"/>
  <c r="D291" i="23"/>
  <c r="D290" i="23"/>
  <c r="C290" i="23"/>
  <c r="D293" i="23"/>
  <c r="C293" i="23"/>
  <c r="A292" i="23"/>
  <c r="W291" i="23"/>
  <c r="X291" i="23" s="1"/>
  <c r="A289" i="23"/>
  <c r="W289" i="23" s="1"/>
  <c r="X289" i="23" s="1"/>
  <c r="W288" i="23"/>
  <c r="X288" i="23" s="1"/>
  <c r="A295" i="23"/>
  <c r="W294" i="23"/>
  <c r="X294" i="23" s="1"/>
  <c r="A298" i="23"/>
  <c r="B294" i="23"/>
  <c r="W288" i="15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W298" i="23" l="1"/>
  <c r="X298" i="23" s="1"/>
  <c r="A299" i="23"/>
  <c r="A302" i="23"/>
  <c r="B298" i="23"/>
  <c r="A296" i="23"/>
  <c r="W295" i="23"/>
  <c r="X295" i="23" s="1"/>
  <c r="D295" i="23"/>
  <c r="C295" i="23"/>
  <c r="C297" i="23"/>
  <c r="C296" i="23"/>
  <c r="D296" i="23"/>
  <c r="D294" i="23"/>
  <c r="C294" i="23"/>
  <c r="D297" i="23"/>
  <c r="W292" i="23"/>
  <c r="X292" i="23" s="1"/>
  <c r="A293" i="23"/>
  <c r="W293" i="23" s="1"/>
  <c r="X293" i="23" s="1"/>
  <c r="A293" i="15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W296" i="23" l="1"/>
  <c r="X296" i="23" s="1"/>
  <c r="A297" i="23"/>
  <c r="W297" i="23" s="1"/>
  <c r="X297" i="23" s="1"/>
  <c r="C298" i="23"/>
  <c r="C299" i="23"/>
  <c r="C301" i="23"/>
  <c r="D299" i="23"/>
  <c r="D301" i="23"/>
  <c r="D298" i="23"/>
  <c r="D300" i="23"/>
  <c r="C300" i="23"/>
  <c r="A306" i="23"/>
  <c r="A303" i="23"/>
  <c r="W302" i="23"/>
  <c r="X302" i="23" s="1"/>
  <c r="B302" i="23"/>
  <c r="A300" i="23"/>
  <c r="W299" i="23"/>
  <c r="X299" i="23" s="1"/>
  <c r="A300" i="15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3" i="23" l="1"/>
  <c r="C303" i="23"/>
  <c r="D305" i="23"/>
  <c r="D304" i="23"/>
  <c r="D302" i="23"/>
  <c r="C304" i="23"/>
  <c r="C302" i="23"/>
  <c r="C305" i="23"/>
  <c r="W300" i="23"/>
  <c r="X300" i="23" s="1"/>
  <c r="A301" i="23"/>
  <c r="W301" i="23" s="1"/>
  <c r="X301" i="23" s="1"/>
  <c r="A304" i="23"/>
  <c r="W303" i="23"/>
  <c r="X303" i="23" s="1"/>
  <c r="A310" i="23"/>
  <c r="B306" i="23"/>
  <c r="A307" i="23"/>
  <c r="W306" i="23"/>
  <c r="X306" i="23" s="1"/>
  <c r="D305" i="15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C309" i="23" l="1"/>
  <c r="D307" i="23"/>
  <c r="D308" i="23"/>
  <c r="C307" i="23"/>
  <c r="D309" i="23"/>
  <c r="C308" i="23"/>
  <c r="D306" i="23"/>
  <c r="C306" i="23"/>
  <c r="A305" i="23"/>
  <c r="W305" i="23" s="1"/>
  <c r="X305" i="23" s="1"/>
  <c r="W304" i="23"/>
  <c r="X304" i="23" s="1"/>
  <c r="A308" i="23"/>
  <c r="W307" i="23"/>
  <c r="X307" i="23" s="1"/>
  <c r="W310" i="23"/>
  <c r="X310" i="23" s="1"/>
  <c r="A314" i="23"/>
  <c r="A311" i="23"/>
  <c r="B310" i="23"/>
  <c r="A314" i="15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12" i="23" l="1"/>
  <c r="W311" i="23"/>
  <c r="X311" i="23" s="1"/>
  <c r="A309" i="23"/>
  <c r="W309" i="23" s="1"/>
  <c r="X309" i="23" s="1"/>
  <c r="W308" i="23"/>
  <c r="X308" i="23" s="1"/>
  <c r="D313" i="23"/>
  <c r="C310" i="23"/>
  <c r="C313" i="23"/>
  <c r="D311" i="23"/>
  <c r="D310" i="23"/>
  <c r="D312" i="23"/>
  <c r="C311" i="23"/>
  <c r="C312" i="23"/>
  <c r="A315" i="23"/>
  <c r="B314" i="23"/>
  <c r="W314" i="23"/>
  <c r="X314" i="23" s="1"/>
  <c r="A318" i="23"/>
  <c r="A309" i="15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23" l="1"/>
  <c r="A319" i="23"/>
  <c r="A322" i="23"/>
  <c r="W318" i="23"/>
  <c r="X318" i="23" s="1"/>
  <c r="C316" i="23"/>
  <c r="D316" i="23"/>
  <c r="D315" i="23"/>
  <c r="D314" i="23"/>
  <c r="D317" i="23"/>
  <c r="C314" i="23"/>
  <c r="C317" i="23"/>
  <c r="C315" i="23"/>
  <c r="A316" i="23"/>
  <c r="W315" i="23"/>
  <c r="X315" i="23" s="1"/>
  <c r="A313" i="23"/>
  <c r="W313" i="23" s="1"/>
  <c r="X313" i="23" s="1"/>
  <c r="W312" i="23"/>
  <c r="X312" i="23" s="1"/>
  <c r="B318" i="15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W322" i="23" l="1"/>
  <c r="X322" i="23" s="1"/>
  <c r="A323" i="23"/>
  <c r="A326" i="23"/>
  <c r="B322" i="23"/>
  <c r="W319" i="23"/>
  <c r="X319" i="23" s="1"/>
  <c r="A320" i="23"/>
  <c r="W316" i="23"/>
  <c r="X316" i="23" s="1"/>
  <c r="A317" i="23"/>
  <c r="W317" i="23" s="1"/>
  <c r="X317" i="23" s="1"/>
  <c r="D320" i="23"/>
  <c r="C320" i="23"/>
  <c r="D321" i="23"/>
  <c r="C318" i="23"/>
  <c r="C321" i="23"/>
  <c r="D319" i="23"/>
  <c r="C319" i="23"/>
  <c r="D318" i="23"/>
  <c r="A317" i="15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C322" i="23" l="1"/>
  <c r="D323" i="23"/>
  <c r="C323" i="23"/>
  <c r="D325" i="23"/>
  <c r="C325" i="23"/>
  <c r="D324" i="23"/>
  <c r="C324" i="23"/>
  <c r="D322" i="23"/>
  <c r="A327" i="23"/>
  <c r="A330" i="23"/>
  <c r="W326" i="23"/>
  <c r="X326" i="23" s="1"/>
  <c r="B326" i="23"/>
  <c r="W323" i="23"/>
  <c r="X323" i="23" s="1"/>
  <c r="A324" i="23"/>
  <c r="A321" i="23"/>
  <c r="W321" i="23" s="1"/>
  <c r="X321" i="23" s="1"/>
  <c r="W320" i="23"/>
  <c r="X320" i="23" s="1"/>
  <c r="D325" i="15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24" i="23" l="1"/>
  <c r="X324" i="23" s="1"/>
  <c r="A325" i="23"/>
  <c r="W325" i="23" s="1"/>
  <c r="X325" i="23" s="1"/>
  <c r="D326" i="23"/>
  <c r="D329" i="23"/>
  <c r="C326" i="23"/>
  <c r="C329" i="23"/>
  <c r="C327" i="23"/>
  <c r="D328" i="23"/>
  <c r="C328" i="23"/>
  <c r="D327" i="23"/>
  <c r="A334" i="23"/>
  <c r="B330" i="23"/>
  <c r="W330" i="23"/>
  <c r="X330" i="23" s="1"/>
  <c r="A331" i="23"/>
  <c r="A328" i="23"/>
  <c r="W327" i="23"/>
  <c r="X327" i="23" s="1"/>
  <c r="W330" i="15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23" l="1"/>
  <c r="X328" i="23" s="1"/>
  <c r="A329" i="23"/>
  <c r="W329" i="23" s="1"/>
  <c r="X329" i="23" s="1"/>
  <c r="D332" i="23"/>
  <c r="C332" i="23"/>
  <c r="D333" i="23"/>
  <c r="C330" i="23"/>
  <c r="C333" i="23"/>
  <c r="D330" i="23"/>
  <c r="D331" i="23"/>
  <c r="C331" i="23"/>
  <c r="A338" i="23"/>
  <c r="W334" i="23"/>
  <c r="X334" i="23" s="1"/>
  <c r="A335" i="23"/>
  <c r="B334" i="23"/>
  <c r="W331" i="23"/>
  <c r="X331" i="23" s="1"/>
  <c r="A332" i="23"/>
  <c r="W328" i="15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5" i="23" l="1"/>
  <c r="C337" i="23"/>
  <c r="D336" i="23"/>
  <c r="C336" i="23"/>
  <c r="D335" i="23"/>
  <c r="D334" i="23"/>
  <c r="D337" i="23"/>
  <c r="C334" i="23"/>
  <c r="W338" i="23"/>
  <c r="X338" i="23" s="1"/>
  <c r="A342" i="23"/>
  <c r="B338" i="23"/>
  <c r="A339" i="23"/>
  <c r="A333" i="23"/>
  <c r="W333" i="23" s="1"/>
  <c r="X333" i="23" s="1"/>
  <c r="W332" i="23"/>
  <c r="X332" i="23" s="1"/>
  <c r="A336" i="23"/>
  <c r="W335" i="23"/>
  <c r="X335" i="23" s="1"/>
  <c r="C337" i="15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W336" i="23" l="1"/>
  <c r="X336" i="23" s="1"/>
  <c r="A337" i="23"/>
  <c r="W337" i="23" s="1"/>
  <c r="X337" i="23" s="1"/>
  <c r="D341" i="23"/>
  <c r="C338" i="23"/>
  <c r="C341" i="23"/>
  <c r="C340" i="23"/>
  <c r="D339" i="23"/>
  <c r="C339" i="23"/>
  <c r="D340" i="23"/>
  <c r="D338" i="23"/>
  <c r="A343" i="23"/>
  <c r="B342" i="23"/>
  <c r="W342" i="23"/>
  <c r="X342" i="23" s="1"/>
  <c r="A346" i="23"/>
  <c r="W339" i="23"/>
  <c r="X339" i="23" s="1"/>
  <c r="A340" i="23"/>
  <c r="C340" i="15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D342" i="23" l="1"/>
  <c r="D345" i="23"/>
  <c r="C342" i="23"/>
  <c r="C343" i="23"/>
  <c r="C345" i="23"/>
  <c r="D343" i="23"/>
  <c r="D344" i="23"/>
  <c r="C344" i="23"/>
  <c r="A344" i="23"/>
  <c r="W343" i="23"/>
  <c r="X343" i="23" s="1"/>
  <c r="A341" i="23"/>
  <c r="W341" i="23" s="1"/>
  <c r="X341" i="23" s="1"/>
  <c r="W340" i="23"/>
  <c r="X340" i="23" s="1"/>
  <c r="B346" i="23"/>
  <c r="A347" i="23"/>
  <c r="A350" i="23"/>
  <c r="W346" i="23"/>
  <c r="X346" i="23" s="1"/>
  <c r="A341" i="15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B350" i="23" l="1"/>
  <c r="A351" i="23"/>
  <c r="A354" i="23"/>
  <c r="W350" i="23"/>
  <c r="X350" i="23" s="1"/>
  <c r="A348" i="23"/>
  <c r="W347" i="23"/>
  <c r="X347" i="23" s="1"/>
  <c r="C346" i="23"/>
  <c r="C349" i="23"/>
  <c r="D348" i="23"/>
  <c r="C348" i="23"/>
  <c r="D349" i="23"/>
  <c r="D346" i="23"/>
  <c r="D347" i="23"/>
  <c r="C347" i="23"/>
  <c r="A345" i="23"/>
  <c r="W345" i="23" s="1"/>
  <c r="X345" i="23" s="1"/>
  <c r="W344" i="23"/>
  <c r="X344" i="23" s="1"/>
  <c r="A348" i="15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W348" i="23" l="1"/>
  <c r="X348" i="23" s="1"/>
  <c r="A349" i="23"/>
  <c r="W349" i="23" s="1"/>
  <c r="X349" i="23" s="1"/>
  <c r="A355" i="23"/>
  <c r="W354" i="23"/>
  <c r="X354" i="23" s="1"/>
  <c r="B354" i="23"/>
  <c r="A358" i="23"/>
  <c r="W351" i="23"/>
  <c r="X351" i="23" s="1"/>
  <c r="A352" i="23"/>
  <c r="C350" i="23"/>
  <c r="D352" i="23"/>
  <c r="D353" i="23"/>
  <c r="C352" i="23"/>
  <c r="C353" i="23"/>
  <c r="D351" i="23"/>
  <c r="C351" i="23"/>
  <c r="D350" i="23"/>
  <c r="A355" i="15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8" i="23" l="1"/>
  <c r="X358" i="23" s="1"/>
  <c r="B358" i="23"/>
  <c r="A359" i="23"/>
  <c r="A362" i="23"/>
  <c r="D355" i="23"/>
  <c r="C357" i="23"/>
  <c r="C355" i="23"/>
  <c r="C356" i="23"/>
  <c r="D356" i="23"/>
  <c r="D354" i="23"/>
  <c r="D357" i="23"/>
  <c r="C354" i="23"/>
  <c r="A353" i="23"/>
  <c r="W353" i="23" s="1"/>
  <c r="X353" i="23" s="1"/>
  <c r="W352" i="23"/>
  <c r="X352" i="23" s="1"/>
  <c r="A356" i="23"/>
  <c r="W355" i="23"/>
  <c r="X355" i="23" s="1"/>
  <c r="W352" i="15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56" i="23" l="1"/>
  <c r="X356" i="23" s="1"/>
  <c r="A357" i="23"/>
  <c r="W357" i="23" s="1"/>
  <c r="X357" i="23" s="1"/>
  <c r="W362" i="23"/>
  <c r="X362" i="23" s="1"/>
  <c r="A366" i="23"/>
  <c r="B362" i="23"/>
  <c r="A363" i="23"/>
  <c r="A360" i="23"/>
  <c r="W359" i="23"/>
  <c r="X359" i="23" s="1"/>
  <c r="C360" i="23"/>
  <c r="D359" i="23"/>
  <c r="C361" i="23"/>
  <c r="C358" i="23"/>
  <c r="D358" i="23"/>
  <c r="D361" i="23"/>
  <c r="C359" i="23"/>
  <c r="D360" i="23"/>
  <c r="W362" i="15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3" i="23" l="1"/>
  <c r="X363" i="23" s="1"/>
  <c r="A364" i="23"/>
  <c r="D365" i="23"/>
  <c r="C362" i="23"/>
  <c r="D363" i="23"/>
  <c r="C365" i="23"/>
  <c r="C363" i="23"/>
  <c r="D362" i="23"/>
  <c r="C364" i="23"/>
  <c r="D364" i="23"/>
  <c r="B366" i="23"/>
  <c r="A370" i="23"/>
  <c r="W366" i="23"/>
  <c r="X366" i="23" s="1"/>
  <c r="A367" i="23"/>
  <c r="W360" i="23"/>
  <c r="X360" i="23" s="1"/>
  <c r="A361" i="23"/>
  <c r="W361" i="23" s="1"/>
  <c r="X361" i="23" s="1"/>
  <c r="W360" i="15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C366" i="23" l="1"/>
  <c r="C368" i="23"/>
  <c r="C369" i="23"/>
  <c r="C367" i="23"/>
  <c r="D367" i="23"/>
  <c r="D368" i="23"/>
  <c r="D369" i="23"/>
  <c r="D366" i="23"/>
  <c r="A365" i="23"/>
  <c r="W365" i="23" s="1"/>
  <c r="X365" i="23" s="1"/>
  <c r="W364" i="23"/>
  <c r="X364" i="23" s="1"/>
  <c r="A368" i="23"/>
  <c r="W367" i="23"/>
  <c r="X367" i="23" s="1"/>
  <c r="A371" i="23"/>
  <c r="A374" i="23"/>
  <c r="W370" i="23"/>
  <c r="X370" i="23" s="1"/>
  <c r="B370" i="23"/>
  <c r="A368" i="15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23" l="1"/>
  <c r="D373" i="23"/>
  <c r="C371" i="23"/>
  <c r="C373" i="23"/>
  <c r="D372" i="23"/>
  <c r="C372" i="23"/>
  <c r="C370" i="23"/>
  <c r="D370" i="23"/>
  <c r="W368" i="23"/>
  <c r="X368" i="23" s="1"/>
  <c r="A369" i="23"/>
  <c r="W369" i="23" s="1"/>
  <c r="X369" i="23" s="1"/>
  <c r="B374" i="23"/>
  <c r="A378" i="23"/>
  <c r="A375" i="23"/>
  <c r="W374" i="23"/>
  <c r="X374" i="23" s="1"/>
  <c r="A372" i="23"/>
  <c r="W371" i="23"/>
  <c r="X371" i="23" s="1"/>
  <c r="D371" i="15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3" i="23" l="1"/>
  <c r="W373" i="23" s="1"/>
  <c r="X373" i="23" s="1"/>
  <c r="W372" i="23"/>
  <c r="X372" i="23" s="1"/>
  <c r="A376" i="23"/>
  <c r="W375" i="23"/>
  <c r="X375" i="23" s="1"/>
  <c r="W378" i="23"/>
  <c r="X378" i="23" s="1"/>
  <c r="A379" i="23"/>
  <c r="A382" i="23"/>
  <c r="B378" i="23"/>
  <c r="D374" i="23"/>
  <c r="D377" i="23"/>
  <c r="C374" i="23"/>
  <c r="C377" i="23"/>
  <c r="C376" i="23"/>
  <c r="D375" i="23"/>
  <c r="C375" i="23"/>
  <c r="D376" i="23"/>
  <c r="A376" i="15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D378" i="23" l="1"/>
  <c r="D381" i="23"/>
  <c r="C378" i="23"/>
  <c r="D379" i="23"/>
  <c r="D380" i="23"/>
  <c r="C381" i="23"/>
  <c r="C379" i="23"/>
  <c r="C380" i="23"/>
  <c r="A380" i="23"/>
  <c r="W379" i="23"/>
  <c r="X379" i="23" s="1"/>
  <c r="A377" i="23"/>
  <c r="W377" i="23" s="1"/>
  <c r="X377" i="23" s="1"/>
  <c r="W376" i="23"/>
  <c r="X376" i="23" s="1"/>
  <c r="B382" i="23"/>
  <c r="A383" i="23"/>
  <c r="A386" i="23"/>
  <c r="W382" i="23"/>
  <c r="X382" i="23" s="1"/>
  <c r="W379" i="15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C385" i="23" l="1"/>
  <c r="D383" i="23"/>
  <c r="C383" i="23"/>
  <c r="D384" i="23"/>
  <c r="D382" i="23"/>
  <c r="C382" i="23"/>
  <c r="D385" i="23"/>
  <c r="C384" i="23"/>
  <c r="W386" i="23"/>
  <c r="X386" i="23" s="1"/>
  <c r="B386" i="23"/>
  <c r="A387" i="23"/>
  <c r="A390" i="23"/>
  <c r="W383" i="23"/>
  <c r="X383" i="23" s="1"/>
  <c r="A384" i="23"/>
  <c r="W380" i="23"/>
  <c r="X380" i="23" s="1"/>
  <c r="A381" i="23"/>
  <c r="W381" i="23" s="1"/>
  <c r="X381" i="23" s="1"/>
  <c r="D382" i="15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91" i="23" l="1"/>
  <c r="A394" i="23"/>
  <c r="W390" i="23"/>
  <c r="X390" i="23" s="1"/>
  <c r="B390" i="23"/>
  <c r="W387" i="23"/>
  <c r="X387" i="23" s="1"/>
  <c r="A388" i="23"/>
  <c r="A385" i="23"/>
  <c r="W385" i="23" s="1"/>
  <c r="X385" i="23" s="1"/>
  <c r="W384" i="23"/>
  <c r="X384" i="23" s="1"/>
  <c r="D389" i="23"/>
  <c r="C386" i="23"/>
  <c r="C387" i="23"/>
  <c r="C389" i="23"/>
  <c r="D387" i="23"/>
  <c r="D388" i="23"/>
  <c r="C388" i="23"/>
  <c r="D386" i="23"/>
  <c r="A388" i="15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D391" i="23" l="1"/>
  <c r="C390" i="23"/>
  <c r="D392" i="23"/>
  <c r="C391" i="23"/>
  <c r="D393" i="23"/>
  <c r="C392" i="23"/>
  <c r="C393" i="23"/>
  <c r="D390" i="23"/>
  <c r="A395" i="23"/>
  <c r="B394" i="23"/>
  <c r="W394" i="23"/>
  <c r="X394" i="23" s="1"/>
  <c r="A398" i="23"/>
  <c r="A389" i="23"/>
  <c r="W389" i="23" s="1"/>
  <c r="X389" i="23" s="1"/>
  <c r="W388" i="23"/>
  <c r="X388" i="23" s="1"/>
  <c r="A392" i="23"/>
  <c r="W391" i="23"/>
  <c r="X391" i="23" s="1"/>
  <c r="C393" i="15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23" l="1"/>
  <c r="X392" i="23" s="1"/>
  <c r="A393" i="23"/>
  <c r="W393" i="23" s="1"/>
  <c r="X393" i="23" s="1"/>
  <c r="C395" i="23"/>
  <c r="C396" i="23"/>
  <c r="D396" i="23"/>
  <c r="D394" i="23"/>
  <c r="D395" i="23"/>
  <c r="D397" i="23"/>
  <c r="C397" i="23"/>
  <c r="C394" i="23"/>
  <c r="A399" i="23"/>
  <c r="A402" i="23"/>
  <c r="W398" i="23"/>
  <c r="X398" i="23" s="1"/>
  <c r="B398" i="23"/>
  <c r="A396" i="23"/>
  <c r="W395" i="23"/>
  <c r="X395" i="23" s="1"/>
  <c r="W392" i="15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A400" i="23" l="1"/>
  <c r="W399" i="23"/>
  <c r="X399" i="23" s="1"/>
  <c r="A397" i="23"/>
  <c r="W397" i="23" s="1"/>
  <c r="X397" i="23" s="1"/>
  <c r="W396" i="23"/>
  <c r="X396" i="23" s="1"/>
  <c r="D400" i="23"/>
  <c r="D398" i="23"/>
  <c r="C399" i="23"/>
  <c r="D399" i="23"/>
  <c r="C400" i="23"/>
  <c r="D401" i="23"/>
  <c r="C398" i="23"/>
  <c r="C401" i="23"/>
  <c r="A403" i="23"/>
  <c r="A406" i="23"/>
  <c r="W402" i="23"/>
  <c r="X402" i="23" s="1"/>
  <c r="B402" i="23"/>
  <c r="D401" i="15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C405" i="23" l="1"/>
  <c r="D402" i="23"/>
  <c r="D403" i="23"/>
  <c r="C403" i="23"/>
  <c r="D404" i="23"/>
  <c r="C404" i="23"/>
  <c r="D405" i="23"/>
  <c r="C402" i="23"/>
  <c r="A407" i="23"/>
  <c r="B406" i="23"/>
  <c r="A410" i="23"/>
  <c r="W406" i="23"/>
  <c r="X406" i="23" s="1"/>
  <c r="A404" i="23"/>
  <c r="W403" i="23"/>
  <c r="X403" i="23" s="1"/>
  <c r="W400" i="23"/>
  <c r="X400" i="23" s="1"/>
  <c r="A401" i="23"/>
  <c r="W401" i="23" s="1"/>
  <c r="X401" i="23" s="1"/>
  <c r="W403" i="15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11" i="23" l="1"/>
  <c r="A414" i="23"/>
  <c r="W410" i="23"/>
  <c r="X410" i="23" s="1"/>
  <c r="B410" i="23"/>
  <c r="C406" i="23"/>
  <c r="C409" i="23"/>
  <c r="D407" i="23"/>
  <c r="C407" i="23"/>
  <c r="D409" i="23"/>
  <c r="D408" i="23"/>
  <c r="C408" i="23"/>
  <c r="D406" i="23"/>
  <c r="A405" i="23"/>
  <c r="W405" i="23" s="1"/>
  <c r="X405" i="23" s="1"/>
  <c r="W404" i="23"/>
  <c r="X404" i="23" s="1"/>
  <c r="W407" i="23"/>
  <c r="X407" i="23" s="1"/>
  <c r="A408" i="23"/>
  <c r="A408" i="15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D410" i="23" l="1"/>
  <c r="D411" i="23"/>
  <c r="C413" i="23"/>
  <c r="D413" i="23"/>
  <c r="C410" i="23"/>
  <c r="C411" i="23"/>
  <c r="D412" i="23"/>
  <c r="C412" i="23"/>
  <c r="A409" i="23"/>
  <c r="W409" i="23" s="1"/>
  <c r="X409" i="23" s="1"/>
  <c r="W408" i="23"/>
  <c r="X408" i="23" s="1"/>
  <c r="B414" i="23"/>
  <c r="A415" i="23"/>
  <c r="A418" i="23"/>
  <c r="W414" i="23"/>
  <c r="X414" i="23" s="1"/>
  <c r="A412" i="23"/>
  <c r="W411" i="23"/>
  <c r="X411" i="23" s="1"/>
  <c r="B414" i="15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W418" i="23" l="1"/>
  <c r="X418" i="23" s="1"/>
  <c r="B418" i="23"/>
  <c r="A419" i="23"/>
  <c r="A422" i="23"/>
  <c r="W415" i="23"/>
  <c r="X415" i="23" s="1"/>
  <c r="A416" i="23"/>
  <c r="C415" i="23"/>
  <c r="D416" i="23"/>
  <c r="D415" i="23"/>
  <c r="D414" i="23"/>
  <c r="C417" i="23"/>
  <c r="D417" i="23"/>
  <c r="C416" i="23"/>
  <c r="C414" i="23"/>
  <c r="W412" i="23"/>
  <c r="X412" i="23" s="1"/>
  <c r="A413" i="23"/>
  <c r="W413" i="23" s="1"/>
  <c r="X413" i="23" s="1"/>
  <c r="A413" i="15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A423" i="23" l="1"/>
  <c r="A426" i="23"/>
  <c r="W422" i="23"/>
  <c r="X422" i="23" s="1"/>
  <c r="B422" i="23"/>
  <c r="A420" i="23"/>
  <c r="W419" i="23"/>
  <c r="X419" i="23" s="1"/>
  <c r="C420" i="23"/>
  <c r="C418" i="23"/>
  <c r="C421" i="23"/>
  <c r="D418" i="23"/>
  <c r="C419" i="23"/>
  <c r="D421" i="23"/>
  <c r="D419" i="23"/>
  <c r="D420" i="23"/>
  <c r="A417" i="23"/>
  <c r="W417" i="23" s="1"/>
  <c r="X417" i="23" s="1"/>
  <c r="W416" i="23"/>
  <c r="X416" i="23" s="1"/>
  <c r="W419" i="15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21" i="23" l="1"/>
  <c r="W421" i="23" s="1"/>
  <c r="X421" i="23" s="1"/>
  <c r="W420" i="23"/>
  <c r="X420" i="23" s="1"/>
  <c r="C425" i="23"/>
  <c r="D422" i="23"/>
  <c r="D425" i="23"/>
  <c r="D423" i="23"/>
  <c r="C423" i="23"/>
  <c r="D424" i="23"/>
  <c r="C424" i="23"/>
  <c r="C422" i="23"/>
  <c r="W426" i="23"/>
  <c r="X426" i="23" s="1"/>
  <c r="B426" i="23"/>
  <c r="A427" i="23"/>
  <c r="A430" i="23"/>
  <c r="A424" i="23"/>
  <c r="W423" i="23"/>
  <c r="X423" i="23" s="1"/>
  <c r="A430" i="15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W424" i="23" l="1"/>
  <c r="X424" i="23" s="1"/>
  <c r="A425" i="23"/>
  <c r="W425" i="23" s="1"/>
  <c r="X425" i="23" s="1"/>
  <c r="W427" i="23"/>
  <c r="X427" i="23" s="1"/>
  <c r="A428" i="23"/>
  <c r="D429" i="23"/>
  <c r="C426" i="23"/>
  <c r="D428" i="23"/>
  <c r="C429" i="23"/>
  <c r="D427" i="23"/>
  <c r="C428" i="23"/>
  <c r="C427" i="23"/>
  <c r="D426" i="23"/>
  <c r="A431" i="23"/>
  <c r="A434" i="23"/>
  <c r="W430" i="23"/>
  <c r="X430" i="23" s="1"/>
  <c r="B430" i="23"/>
  <c r="D428" i="15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A432" i="23" l="1"/>
  <c r="W431" i="23"/>
  <c r="X431" i="23" s="1"/>
  <c r="D432" i="23"/>
  <c r="D431" i="23"/>
  <c r="C432" i="23"/>
  <c r="C433" i="23"/>
  <c r="D430" i="23"/>
  <c r="D433" i="23"/>
  <c r="C430" i="23"/>
  <c r="C431" i="23"/>
  <c r="W428" i="23"/>
  <c r="X428" i="23" s="1"/>
  <c r="A429" i="23"/>
  <c r="W429" i="23" s="1"/>
  <c r="X429" i="23" s="1"/>
  <c r="A435" i="23"/>
  <c r="A438" i="23"/>
  <c r="W434" i="23"/>
  <c r="X434" i="23" s="1"/>
  <c r="B434" i="23"/>
  <c r="D431" i="15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C434" i="23" l="1"/>
  <c r="C435" i="23"/>
  <c r="D434" i="23"/>
  <c r="D437" i="23"/>
  <c r="C437" i="23"/>
  <c r="D435" i="23"/>
  <c r="D436" i="23"/>
  <c r="C436" i="23"/>
  <c r="B438" i="23"/>
  <c r="A439" i="23"/>
  <c r="A442" i="23"/>
  <c r="W438" i="23"/>
  <c r="X438" i="23" s="1"/>
  <c r="A436" i="23"/>
  <c r="W435" i="23"/>
  <c r="X435" i="23" s="1"/>
  <c r="A433" i="23"/>
  <c r="W433" i="23" s="1"/>
  <c r="X433" i="23" s="1"/>
  <c r="W432" i="23"/>
  <c r="X432" i="23" s="1"/>
  <c r="A436" i="15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A443" i="23" l="1"/>
  <c r="W442" i="23"/>
  <c r="X442" i="23" s="1"/>
  <c r="B442" i="23"/>
  <c r="W439" i="23"/>
  <c r="X439" i="23" s="1"/>
  <c r="A440" i="23"/>
  <c r="A437" i="23"/>
  <c r="W437" i="23" s="1"/>
  <c r="X437" i="23" s="1"/>
  <c r="W436" i="23"/>
  <c r="X436" i="23" s="1"/>
  <c r="D441" i="23"/>
  <c r="C438" i="23"/>
  <c r="C440" i="23"/>
  <c r="D438" i="23"/>
  <c r="C441" i="23"/>
  <c r="D439" i="23"/>
  <c r="D440" i="23"/>
  <c r="C439" i="23"/>
  <c r="B442" i="15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A441" i="23" l="1"/>
  <c r="W441" i="23" s="1"/>
  <c r="X441" i="23" s="1"/>
  <c r="W440" i="23"/>
  <c r="X440" i="23" s="1"/>
  <c r="C442" i="23"/>
  <c r="C445" i="23"/>
  <c r="D442" i="23"/>
  <c r="D443" i="23"/>
  <c r="C443" i="23"/>
  <c r="D444" i="23"/>
  <c r="D445" i="23"/>
  <c r="C444" i="23"/>
  <c r="W443" i="23"/>
  <c r="X443" i="23" s="1"/>
  <c r="A444" i="23"/>
  <c r="W440" i="15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W444" i="23" l="1"/>
  <c r="X444" i="23" s="1"/>
  <c r="A445" i="23"/>
  <c r="W445" i="23" s="1"/>
  <c r="X445" i="23" s="1"/>
  <c r="A445" i="15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A9AB63-FA4A-42EC-9C58-8006F3AB3041}" keepAlive="1" name="Query - Forex" description="Connection to the 'Forex' query in the workbook." type="5" refreshedVersion="7" background="1">
    <dbPr connection="Provider=Microsoft.Mashup.OleDb.1;Data Source=$Workbook$;Location=Forex;Extended Properties=&quot;&quot;" command="SELECT * FROM [Forex]"/>
  </connection>
  <connection id="2" xr16:uid="{385FB577-6590-4E90-B45A-3E7C17EAFCFC}" keepAlive="1" name="Query - OFX - EUR/GBP" description="Connection to the 'OFX - EUR/GBP' query in the workbook." type="5" refreshedVersion="0" background="1">
    <dbPr connection="Provider=Microsoft.Mashup.OleDb.1;Data Source=$Workbook$;Location=&quot;OFX - EUR/GBP&quot;;Extended Properties=&quot;&quot;" command="SELECT * FROM [OFX - EUR/GBP]"/>
  </connection>
  <connection id="3" xr16:uid="{BBE38D2E-40A4-4582-A613-FE7A28DED65E}" keepAlive="1" name="Query - OFX - EUR/USD" description="Connection to the 'OFX - EUR/USD' query in the workbook." type="5" refreshedVersion="0" background="1">
    <dbPr connection="Provider=Microsoft.Mashup.OleDb.1;Data Source=$Workbook$;Location=&quot;OFX - EUR/USD&quot;;Extended Properties=&quot;&quot;" command="SELECT * FROM [OFX - EUR/USD]"/>
  </connection>
</connections>
</file>

<file path=xl/sharedStrings.xml><?xml version="1.0" encoding="utf-8"?>
<sst xmlns="http://schemas.openxmlformats.org/spreadsheetml/2006/main" count="513" uniqueCount="192">
  <si>
    <t>Region</t>
  </si>
  <si>
    <t>Index</t>
  </si>
  <si>
    <t>Master</t>
  </si>
  <si>
    <t>Comments</t>
  </si>
  <si>
    <t>Index wird automatisch ausgefüllt - bitte keine Zeilen löschen oder verschieben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</si>
  <si>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</si>
  <si>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</si>
  <si>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</si>
  <si>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</si>
  <si>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</si>
  <si>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</si>
  <si>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</si>
  <si>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</si>
  <si>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</si>
  <si>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</si>
  <si>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</si>
  <si>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</si>
  <si>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</si>
  <si>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</si>
  <si>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</si>
  <si>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</si>
  <si>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</si>
  <si>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</si>
  <si>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</si>
  <si>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</si>
  <si>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</si>
  <si>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</si>
  <si>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</si>
  <si>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</si>
  <si>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</si>
  <si>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Norwegen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</si>
  <si>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</si>
  <si>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</si>
  <si>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</si>
  <si>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</si>
  <si>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</si>
  <si>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</si>
  <si>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</si>
  <si>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</si>
  <si>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</si>
  <si>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</si>
  <si>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</si>
  <si>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</si>
  <si>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</si>
  <si>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</si>
  <si>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</si>
  <si>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</si>
  <si>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</si>
  <si>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</si>
  <si>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</si>
  <si>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</si>
  <si>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</si>
  <si>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</si>
  <si>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</si>
  <si>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</si>
  <si>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</si>
  <si>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Deutschland</t>
  </si>
  <si>
    <t>Frankreich</t>
  </si>
  <si>
    <t>Niederlande</t>
  </si>
  <si>
    <t>Schweiz</t>
  </si>
  <si>
    <t>FR-DE</t>
  </si>
  <si>
    <t>DE-NL</t>
  </si>
  <si>
    <t>NL-DE</t>
  </si>
  <si>
    <t>DE-CH</t>
  </si>
  <si>
    <t>FR-NL</t>
  </si>
  <si>
    <t>NL-FR</t>
  </si>
  <si>
    <t>FR-CH</t>
  </si>
  <si>
    <t>CH-FR</t>
  </si>
  <si>
    <t>Transitrouten sind unidirektional. Falls Pipelines in beide Richtungen genutzt werden können, müssen beide Routen definiert werden</t>
  </si>
  <si>
    <t>Algerien</t>
  </si>
  <si>
    <t>Import Nor-FR</t>
  </si>
  <si>
    <t>Import Nor-NL</t>
  </si>
  <si>
    <t>Import Alg-FR</t>
  </si>
  <si>
    <t>Import Alg-CH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</si>
  <si>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</si>
  <si>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</si>
  <si>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</si>
  <si>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</si>
  <si>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</si>
  <si>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</si>
  <si>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</si>
  <si>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</si>
  <si>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</si>
  <si>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</si>
  <si>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</si>
  <si>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</si>
  <si>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</si>
  <si>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</si>
  <si>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</si>
  <si>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</si>
  <si>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GATE</t>
  </si>
  <si>
    <t>Dunkirk</t>
  </si>
  <si>
    <t>GATE NL</t>
  </si>
  <si>
    <t>GATE DE</t>
  </si>
  <si>
    <t>Dunkirk FR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</si>
  <si>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</si>
  <si>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</si>
  <si>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</si>
  <si>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Speicher hier auflisten.</t>
  </si>
  <si>
    <t>Storage</t>
  </si>
  <si>
    <t>Storage A</t>
  </si>
  <si>
    <t>Storage B</t>
  </si>
  <si>
    <t>WGV (bcm)</t>
  </si>
  <si>
    <t>StorageID</t>
  </si>
  <si>
    <t>StorageConnectionID</t>
  </si>
  <si>
    <t>LNG Import Connection</t>
  </si>
  <si>
    <t>LNGImporterDataID</t>
  </si>
  <si>
    <t>Transit Connection</t>
  </si>
  <si>
    <t>St A CH</t>
  </si>
  <si>
    <t>St B FR</t>
  </si>
  <si>
    <t>Storage Connection</t>
  </si>
  <si>
    <t>StorageDataID</t>
  </si>
  <si>
    <t>Relevante Werte für jede Speicherroute eintragen.</t>
  </si>
  <si>
    <t>Kapazitäten &lt; 0 erlauben Einspeicherungen.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</si>
  <si>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</si>
  <si>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</si>
  <si>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</si>
  <si>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</si>
  <si>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</si>
  <si>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mcm/day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</si>
  <si>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</si>
  <si>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</si>
  <si>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</si>
  <si>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</si>
  <si>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</si>
  <si>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</si>
  <si>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</si>
  <si>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</si>
  <si>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</si>
  <si>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</si>
  <si>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</si>
  <si>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</si>
  <si>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</si>
  <si>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</si>
  <si>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</si>
  <si>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</si>
  <si>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</si>
  <si>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</si>
  <si>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</si>
  <si>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</si>
  <si>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</si>
  <si>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</si>
  <si>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</si>
  <si>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</si>
  <si>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</si>
  <si>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</si>
  <si>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</si>
  <si>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</si>
  <si>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(für Master nicht relevant)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</si>
  <si>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</si>
  <si>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</si>
  <si>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</si>
  <si>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</si>
  <si>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von außerhalb der Märkte hier auflisten.</t>
  </si>
  <si>
    <t>Import Nor-DE II</t>
  </si>
  <si>
    <t>Import Nor-DE I</t>
  </si>
  <si>
    <t>Importer und Zielmarkt auswählen und Importroute eindeutig benennen</t>
  </si>
  <si>
    <t>Importer Index</t>
  </si>
  <si>
    <t>Connection Index</t>
  </si>
  <si>
    <t>Connection Code</t>
  </si>
  <si>
    <t>Importer auswählen und monatliche für die Märkte verfügbare Gesamtproduktion eintragen.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</si>
  <si>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</si>
  <si>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</si>
  <si>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</si>
  <si>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</si>
  <si>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DE-FR I</t>
  </si>
  <si>
    <t>DE-FR II</t>
  </si>
  <si>
    <t>Storage Index</t>
  </si>
  <si>
    <t>Speicher und Zielmarkt auswählen und Route eindeutig benennen</t>
  </si>
  <si>
    <t>St A DE II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</si>
  <si>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</si>
  <si>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</si>
  <si>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</si>
  <si>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</si>
  <si>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</si>
  <si>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(Weitere Diskussionen erforderlich.)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</si>
  <si>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</si>
  <si>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</si>
  <si>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</si>
  <si>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</si>
  <si>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St A DE I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</si>
  <si>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</si>
  <si>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</si>
  <si>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</si>
  <si>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</si>
  <si>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</si>
  <si>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</si>
  <si>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</si>
  <si>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</si>
  <si>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</si>
  <si>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Luxemburg</t>
  </si>
  <si>
    <t>Benelux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</si>
</sst>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"/>
    <numFmt numFmtId="165" formatCode="mmm\-yy"/>
    <numFmt numFmtId="166" formatCode="#,##0.0000"/>
    <numFmt numFmtId="167" formatCode="yyyy\-mm\-dd;@"/>
  </numFmts>
  <fonts count="9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20">
    <xf numFmtId="0" fontId="0" fillId="0" borderId="0" xfId="0"/>
    <xf numFmtId="0" fontId="1" fillId="0" borderId="0" xfId="1"/>
    <xf numFmtId="165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65" fontId="4" fillId="4" borderId="8" xfId="0" applyNumberFormat="1" applyFont="1" applyFill="1" applyBorder="1"/>
    <xf numFmtId="165" fontId="4" fillId="4" borderId="9" xfId="0" applyNumberFormat="1" applyFont="1" applyFill="1" applyBorder="1"/>
    <xf numFmtId="164" fontId="0" fillId="0" borderId="0" xfId="0" applyNumberFormat="1" applyAlignment="1">
      <alignment vertical="center"/>
    </xf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8" xfId="0" applyNumberFormat="1" applyFont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65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6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6" fontId="0" fillId="8" borderId="22" xfId="0" applyNumberFormat="1" applyFill="1" applyBorder="1"/>
    <xf numFmtId="166" fontId="0" fillId="8" borderId="23" xfId="0" applyNumberFormat="1" applyFill="1" applyBorder="1"/>
    <xf numFmtId="166" fontId="0" fillId="8" borderId="24" xfId="0" applyNumberFormat="1" applyFill="1" applyBorder="1"/>
    <xf numFmtId="166" fontId="0" fillId="8" borderId="25" xfId="0" applyNumberFormat="1" applyFill="1" applyBorder="1"/>
    <xf numFmtId="166" fontId="0" fillId="9" borderId="25" xfId="0" applyNumberFormat="1" applyFill="1" applyBorder="1"/>
    <xf numFmtId="166" fontId="0" fillId="11" borderId="24" xfId="0" applyNumberFormat="1" applyFill="1" applyBorder="1"/>
    <xf numFmtId="166" fontId="0" fillId="11" borderId="25" xfId="0" applyNumberFormat="1" applyFill="1" applyBorder="1"/>
    <xf numFmtId="166" fontId="0" fillId="11" borderId="23" xfId="0" applyNumberFormat="1" applyFill="1" applyBorder="1"/>
    <xf numFmtId="0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6" fontId="0" fillId="12" borderId="25" xfId="0" applyNumberFormat="1" applyFill="1" applyBorder="1"/>
    <xf numFmtId="166" fontId="0" fillId="13" borderId="25" xfId="0" applyNumberFormat="1" applyFill="1" applyBorder="1"/>
    <xf numFmtId="166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6" fontId="0" fillId="10" borderId="25" xfId="0" applyNumberFormat="1" applyFill="1" applyBorder="1"/>
    <xf numFmtId="166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6" fontId="0" fillId="7" borderId="39" xfId="0" applyNumberFormat="1" applyFill="1" applyBorder="1"/>
    <xf numFmtId="166" fontId="0" fillId="7" borderId="26" xfId="0" applyNumberFormat="1" applyFill="1" applyBorder="1"/>
    <xf numFmtId="166" fontId="0" fillId="14" borderId="26" xfId="0" applyNumberFormat="1" applyFill="1" applyBorder="1"/>
    <xf numFmtId="166" fontId="0" fillId="15" borderId="26" xfId="0" applyNumberFormat="1" applyFill="1" applyBorder="1"/>
    <xf numFmtId="166" fontId="0" fillId="15" borderId="27" xfId="0" applyNumberFormat="1" applyFill="1" applyBorder="1"/>
    <xf numFmtId="166" fontId="0" fillId="14" borderId="27" xfId="0" applyNumberFormat="1" applyFill="1" applyBorder="1"/>
    <xf numFmtId="166" fontId="0" fillId="7" borderId="35" xfId="0" applyNumberFormat="1" applyFill="1" applyBorder="1"/>
    <xf numFmtId="166" fontId="0" fillId="7" borderId="27" xfId="0" applyNumberFormat="1" applyFill="1" applyBorder="1"/>
    <xf numFmtId="1" fontId="0" fillId="5" borderId="8" xfId="0" applyNumberFormat="1" applyFont="1" applyFill="1" applyBorder="1" applyAlignment="1">
      <alignment horizontal="center" vertical="center" wrapText="1"/>
    </xf>
    <xf numFmtId="1" fontId="0" fillId="0" borderId="8" xfId="0" applyNumberFormat="1" applyFont="1" applyBorder="1" applyAlignment="1">
      <alignment horizontal="center" vertical="center"/>
    </xf>
    <xf numFmtId="1" fontId="0" fillId="5" borderId="8" xfId="0" applyNumberFormat="1" applyFont="1" applyFill="1" applyBorder="1" applyAlignment="1">
      <alignment horizontal="center" vertical="center"/>
    </xf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2" borderId="0" xfId="0" applyNumberFormat="1" applyFill="1" applyAlignment="1">
      <alignment horizontal="center" vertical="center" wrapText="1"/>
    </xf>
    <xf numFmtId="0" fontId="0" fillId="2" borderId="0" xfId="0" applyNumberFormat="1" applyFill="1" applyAlignment="1">
      <alignment vertical="center"/>
    </xf>
    <xf numFmtId="0" fontId="0" fillId="0" borderId="0" xfId="0" applyFill="1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49" fontId="0" fillId="0" borderId="0" xfId="0" applyNumberFormat="1" applyFill="1" applyAlignment="1">
      <alignment horizontal="left" vertical="center"/>
    </xf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65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180">
    <dxf>
      <fill>
        <patternFill>
          <bgColor rgb="FFFF0000"/>
        </patternFill>
      </fill>
    </dxf>
    <dxf>
      <fill>
        <patternFill>
          <bgColor rgb="FFFF0000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5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Data'!A1"/><Relationship Id="rId2" Type="http://schemas.openxmlformats.org/officeDocument/2006/relationships/hyperlink" Target="#Conversions!A1"/><Relationship Id="rId16" Type="http://schemas.openxmlformats.org/officeDocument/2006/relationships/hyperlink" Target="#'Storage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Storage &gt; Target Balance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457763</xdr:colOff>
      <xdr:row>36</xdr:row>
      <xdr:rowOff>142875</xdr:rowOff>
    </xdr:from>
    <xdr:to>
      <xdr:col>4</xdr:col>
      <xdr:colOff>314888</xdr:colOff>
      <xdr:row>40</xdr:row>
      <xdr:rowOff>47625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2429998" y="7000875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Speichern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38100</xdr:colOff>
      <xdr:row>36</xdr:row>
      <xdr:rowOff>142875</xdr:rowOff>
    </xdr:from>
    <xdr:to>
      <xdr:col>8</xdr:col>
      <xdr:colOff>209550</xdr:colOff>
      <xdr:row>40</xdr:row>
      <xdr:rowOff>47625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755776" y="7000875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Speicher-Region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485775</xdr:colOff>
      <xdr:row>12</xdr:row>
      <xdr:rowOff>104775</xdr:rowOff>
    </xdr:from>
    <xdr:to>
      <xdr:col>6</xdr:col>
      <xdr:colOff>426384</xdr:colOff>
      <xdr:row>40</xdr:row>
      <xdr:rowOff>47625</xdr:rowOff>
    </xdr:to>
    <xdr:cxnSp macro="">
      <xdr:nvCxnSpPr>
        <xdr:cNvPr id="177" name="Connector: Elbow 176">
          <a:extLst>
            <a:ext uri="{FF2B5EF4-FFF2-40B4-BE49-F238E27FC236}">
              <a16:creationId xmlns:a16="http://schemas.microsoft.com/office/drawing/2014/main" id="{0E0573D6-EFAF-4F68-9154-D877DE73DB4F}"/>
            </a:ext>
          </a:extLst>
        </xdr:cNvPr>
        <xdr:cNvCxnSpPr>
          <a:stCxn id="6" idx="1"/>
          <a:endCxn id="173" idx="2"/>
        </xdr:cNvCxnSpPr>
      </xdr:nvCxnSpPr>
      <xdr:spPr>
        <a:xfrm rot="10800000" flipH="1" flipV="1">
          <a:off x="2458010" y="2390775"/>
          <a:ext cx="3291168" cy="5276850"/>
        </a:xfrm>
        <a:prstGeom prst="bentConnector4">
          <a:avLst>
            <a:gd name="adj1" fmla="val -3541"/>
            <a:gd name="adj2" fmla="val 104332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36</xdr:row>
      <xdr:rowOff>146237</xdr:rowOff>
    </xdr:from>
    <xdr:to>
      <xdr:col>12</xdr:col>
      <xdr:colOff>238125</xdr:colOff>
      <xdr:row>40</xdr:row>
      <xdr:rowOff>50987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7204822" y="7004237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Speicher-Region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9525</xdr:colOff>
      <xdr:row>17</xdr:row>
      <xdr:rowOff>190499</xdr:rowOff>
    </xdr:from>
    <xdr:to>
      <xdr:col>10</xdr:col>
      <xdr:colOff>454959</xdr:colOff>
      <xdr:row>40</xdr:row>
      <xdr:rowOff>50986</xdr:rowOff>
    </xdr:to>
    <xdr:cxnSp macro="">
      <xdr:nvCxnSpPr>
        <xdr:cNvPr id="184" name="Connector: Elbow 183">
          <a:extLst>
            <a:ext uri="{FF2B5EF4-FFF2-40B4-BE49-F238E27FC236}">
              <a16:creationId xmlns:a16="http://schemas.microsoft.com/office/drawing/2014/main" id="{28C01EC8-CC88-46DB-B6DC-3F566D94316D}"/>
            </a:ext>
          </a:extLst>
        </xdr:cNvPr>
        <xdr:cNvCxnSpPr>
          <a:stCxn id="5" idx="2"/>
          <a:endCxn id="183" idx="2"/>
        </xdr:cNvCxnSpPr>
      </xdr:nvCxnSpPr>
      <xdr:spPr>
        <a:xfrm rot="16200000" flipH="1">
          <a:off x="2475940" y="1948702"/>
          <a:ext cx="4241987" cy="7202581"/>
        </a:xfrm>
        <a:prstGeom prst="bentConnector3">
          <a:avLst>
            <a:gd name="adj1" fmla="val 105389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13</xdr:col>
      <xdr:colOff>17930</xdr:colOff>
      <xdr:row>36</xdr:row>
      <xdr:rowOff>150719</xdr:rowOff>
    </xdr:from>
    <xdr:to>
      <xdr:col>16</xdr:col>
      <xdr:colOff>184897</xdr:colOff>
      <xdr:row>40</xdr:row>
      <xdr:rowOff>55469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9576548" y="7008719"/>
          <a:ext cx="1982320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chemeClr val="bg1"/>
              </a:solidFill>
            </a:rPr>
            <a:t>Speicherfüllgrad (TBC)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314888</xdr:colOff>
      <xdr:row>38</xdr:row>
      <xdr:rowOff>95250</xdr:rowOff>
    </xdr:from>
    <xdr:to>
      <xdr:col>5</xdr:col>
      <xdr:colOff>38100</xdr:colOff>
      <xdr:row>38</xdr:row>
      <xdr:rowOff>95250</xdr:rowOff>
    </xdr:to>
    <xdr:cxnSp macro="">
      <xdr:nvCxnSpPr>
        <xdr:cNvPr id="46" name="Connector: Elbow 176">
          <a:extLst>
            <a:ext uri="{FF2B5EF4-FFF2-40B4-BE49-F238E27FC236}">
              <a16:creationId xmlns:a16="http://schemas.microsoft.com/office/drawing/2014/main" id="{83DDE113-54E8-41B2-9E73-68551D2DA185}"/>
            </a:ext>
          </a:extLst>
        </xdr:cNvPr>
        <xdr:cNvCxnSpPr>
          <a:stCxn id="172" idx="3"/>
          <a:endCxn id="173" idx="1"/>
        </xdr:cNvCxnSpPr>
      </xdr:nvCxnSpPr>
      <xdr:spPr>
        <a:xfrm>
          <a:off x="4427447" y="7334250"/>
          <a:ext cx="32832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38</xdr:row>
      <xdr:rowOff>95250</xdr:rowOff>
    </xdr:from>
    <xdr:to>
      <xdr:col>9</xdr:col>
      <xdr:colOff>66675</xdr:colOff>
      <xdr:row>38</xdr:row>
      <xdr:rowOff>98612</xdr:rowOff>
    </xdr:to>
    <xdr:cxnSp macro="">
      <xdr:nvCxnSpPr>
        <xdr:cNvPr id="49" name="Connector: Elbow 176">
          <a:extLst>
            <a:ext uri="{FF2B5EF4-FFF2-40B4-BE49-F238E27FC236}">
              <a16:creationId xmlns:a16="http://schemas.microsoft.com/office/drawing/2014/main" id="{60909C0F-1F22-4BB8-B7EC-73147F360875}"/>
            </a:ext>
          </a:extLst>
        </xdr:cNvPr>
        <xdr:cNvCxnSpPr>
          <a:stCxn id="173" idx="3"/>
          <a:endCxn id="183" idx="1"/>
        </xdr:cNvCxnSpPr>
      </xdr:nvCxnSpPr>
      <xdr:spPr>
        <a:xfrm>
          <a:off x="6742579" y="7334250"/>
          <a:ext cx="462243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238125</xdr:colOff>
      <xdr:row>38</xdr:row>
      <xdr:rowOff>98612</xdr:rowOff>
    </xdr:from>
    <xdr:to>
      <xdr:col>13</xdr:col>
      <xdr:colOff>17930</xdr:colOff>
      <xdr:row>38</xdr:row>
      <xdr:rowOff>103094</xdr:rowOff>
    </xdr:to>
    <xdr:cxnSp macro="">
      <xdr:nvCxnSpPr>
        <xdr:cNvPr id="52" name="Connector: Elbow 176">
          <a:extLst>
            <a:ext uri="{FF2B5EF4-FFF2-40B4-BE49-F238E27FC236}">
              <a16:creationId xmlns:a16="http://schemas.microsoft.com/office/drawing/2014/main" id="{3A3C5AC1-CD01-4E21-8D19-AB0B8FE8CF6A}"/>
            </a:ext>
          </a:extLst>
        </xdr:cNvPr>
        <xdr:cNvCxnSpPr>
          <a:stCxn id="183" idx="3"/>
          <a:endCxn id="189" idx="1"/>
        </xdr:cNvCxnSpPr>
      </xdr:nvCxnSpPr>
      <xdr:spPr>
        <a:xfrm>
          <a:off x="9191625" y="7337612"/>
          <a:ext cx="384923" cy="448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488.900078009261" backgroundQuery="1" createdVersion="7" refreshedVersion="7" minRefreshableVersion="3" recordCount="12" xr:uid="{2FCD6BB2-2E51-4789-A181-4A71B59A7B5A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0" count="6">
        <n v="5"/>
        <n v="6"/>
        <n v="7"/>
        <n v="8"/>
        <n v="9"/>
        <n v="10"/>
      </sharedItems>
    </cacheField>
    <cacheField name="Interbank Rate" numFmtId="0">
      <sharedItems containsSemiMixedTypes="0" containsString="0" containsNumber="1" minValue="0.84920600000000002" maxValue="1.2146490000000001" count="12">
        <n v="1.2146490000000001"/>
        <n v="1.2039260000000001"/>
        <n v="1.1825410000000001"/>
        <n v="1.1770229999999999"/>
        <n v="1.1773579999999999"/>
        <n v="1.158342"/>
        <n v="0.86335700000000004"/>
        <n v="0.85900900000000002"/>
        <n v="0.85619400000000001"/>
        <n v="0.85315600000000003"/>
        <n v="0.85644299999999995"/>
        <n v="0.84920600000000002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3279A7-0D5E-4BC3-92EA-AB55648DC2E1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/>
    </i>
    <i r="1">
      <x v="1"/>
    </i>
    <i r="1">
      <x v="2"/>
    </i>
    <i r="1">
      <x v="3"/>
    </i>
    <i r="1">
      <x v="4"/>
    </i>
    <i r="1">
      <x v="5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ED35FA-D665-4797-B290-C21E34CA1115}" name="TBL_INSTRUCTIONS" displayName="TBL_INSTRUCTIONS" ref="B3:D4" insertRow="1" totalsRowShown="0" headerRowDxfId="179" dataDxfId="177" headerRowBorderDxfId="178" tableBorderDxfId="176" totalsRowBorderDxfId="175">
  <autoFilter ref="B3:D4" xr:uid="{23ED35FA-D665-4797-B290-C21E34CA1115}"/>
  <tableColumns count="3">
    <tableColumn id="1" xr3:uid="{4E5EDBF7-8E96-4711-B615-A1F0CA060770}" name="Spalte 1" dataDxfId="174"/>
    <tableColumn id="2" xr3:uid="{34CB25CC-44B6-4AF1-9E40-FB9C9F7983D1}" name="Spalte 2" dataDxfId="173"/>
    <tableColumn id="3" xr3:uid="{935455CB-CC6A-4A3D-984E-584929F9A943}" name="Spalte 3" dataDxfId="17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09D25F2-44E6-42E8-BE24-3F223C3937C8}" name="TBL_OTHER_LNG_DEMAND" displayName="TBL_OTHER_LNG_DEMAND" ref="A5:S6" totalsRowShown="0" headerRowDxfId="171" dataDxfId="170">
  <autoFilter ref="A5:S6" xr:uid="{8751DC78-FCE5-4BB4-8671-C7AC44AED329}"/>
  <tableColumns count="19">
    <tableColumn id="1" xr3:uid="{04F9B2BD-E1A3-4450-A27A-5FA70866CBB0}" name="Demand" dataDxfId="169"/>
    <tableColumn id="3" xr3:uid="{3ADC0D39-85A1-40AF-9F52-32F002EDD8E0}" name="Aug-21" dataDxfId="168"/>
    <tableColumn id="4" xr3:uid="{DEA42AEE-CC05-4D8D-B13A-227EBC2030C7}" name="Sep-21" dataDxfId="167"/>
    <tableColumn id="5" xr3:uid="{0A5A481C-5646-44C7-8767-B1BDAE5DC768}" name="Okt-21" dataDxfId="166"/>
    <tableColumn id="6" xr3:uid="{4CFAB43A-056D-4AE8-B252-D3212C41E937}" name="Nov-21" dataDxfId="165"/>
    <tableColumn id="7" xr3:uid="{B6DC47FA-921C-49F5-A2A1-298FE806339F}" name="Dez-21" dataDxfId="164"/>
    <tableColumn id="8" xr3:uid="{538AF47D-6540-41E6-8189-60AC2649719F}" name="Jan-22" dataDxfId="163"/>
    <tableColumn id="9" xr3:uid="{5E98711E-400C-4E4B-9AB8-D26BE0869ABF}" name="Feb-22" dataDxfId="162"/>
    <tableColumn id="10" xr3:uid="{25AEAFED-CABA-44FB-8700-782BF4B57970}" name="Mrz-22" dataDxfId="161"/>
    <tableColumn id="11" xr3:uid="{0BE30021-8AE1-4663-91C9-F5A4F72BC237}" name="Apr-22" dataDxfId="160"/>
    <tableColumn id="12" xr3:uid="{5AFA7D65-8F33-4E50-9A61-DC41EF6011C7}" name="Mai-22" dataDxfId="159"/>
    <tableColumn id="13" xr3:uid="{1DA4DFF0-1751-4B16-B77B-A12270CBB85F}" name="Jun-22" dataDxfId="158"/>
    <tableColumn id="14" xr3:uid="{697E00BC-75CE-4D34-A325-DABCFE27973E}" name="Jul-22" dataDxfId="157"/>
    <tableColumn id="15" xr3:uid="{B1943EF2-2FE7-41FD-B8F5-D17077984561}" name="Aug-22" dataDxfId="156"/>
    <tableColumn id="16" xr3:uid="{870CEBFC-E691-43E2-B3A5-F904802B1707}" name="Sep-22" dataDxfId="155"/>
    <tableColumn id="17" xr3:uid="{B3480C27-9EAD-403A-AF15-7D1C92E0E6D9}" name="Okt-22" dataDxfId="154"/>
    <tableColumn id="18" xr3:uid="{A8DD9313-864D-47A5-BEF9-D0D5E28D45EB}" name="Nov-22" dataDxfId="153"/>
    <tableColumn id="19" xr3:uid="{B3FB3534-B685-45E4-9713-A4B9BE08842B}" name="Dez-22" dataDxfId="152"/>
    <tableColumn id="20" xr3:uid="{CE14C67D-56BB-459A-9021-DC79FE29FB8C}" name="Source/Comments" dataDxfId="15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6A734-63D0-4B31-86A0-BD4216FF0009}" name="TBL_REGIONS_INDEX" displayName="TBL_REGIONS_INDEX" ref="A5:E11" totalsRowShown="0" dataDxfId="149">
  <autoFilter ref="A5:E11" xr:uid="{4B56A734-63D0-4B31-86A0-BD4216FF0009}"/>
  <tableColumns count="5">
    <tableColumn id="2" xr3:uid="{1E67B4CC-2B15-441A-AAB5-DF1007E3257E}" name="Region" dataDxfId="148"/>
    <tableColumn id="1" xr3:uid="{EF68B607-957F-48E6-8340-00E4DB5229A0}" name="Index" dataDxfId="147">
      <calculatedColumnFormula>ROW(1:1)</calculatedColumnFormula>
    </tableColumn>
    <tableColumn id="3" xr3:uid="{D5E5BEE3-A91E-4212-99D2-DF8836097482}" name="Master" dataDxfId="146"/>
    <tableColumn id="4" xr3:uid="{1425BEEF-177B-4A8A-A71B-56511A11176E}" name="Comments" dataDxfId="145"/>
    <tableColumn id="5" xr3:uid="{3CFECBD0-A2C5-4996-9AD6-EE5624ACAD9E}" name="RegionID" dataDxfId="14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51DC78-FCE5-4BB4-8671-C7AC44AED329}" name="TBL_DEMAND" displayName="TBL_DEMAND" ref="A5:U10" totalsRowShown="0" headerRowDxfId="143" dataDxfId="142">
  <autoFilter ref="A5:U10" xr:uid="{8751DC78-FCE5-4BB4-8671-C7AC44AED329}"/>
  <tableColumns count="21">
    <tableColumn id="1" xr3:uid="{DD38FE41-9FA7-4A61-906C-7A5357FF03B6}" name="Region" dataDxfId="141"/>
    <tableColumn id="2" xr3:uid="{FC287B56-0FEC-4F4D-AF46-CF2617AFEABE}" name="Index" dataDxfId="140">
      <calculatedColumnFormula>INDEX(TBL_REGIONS_INDEX[Index],MATCH(TBL_DEMAND[[#This Row],[Region]],TBL_REGIONS_INDEX[Region],0))</calculatedColumnFormula>
    </tableColumn>
    <tableColumn id="3" xr3:uid="{B2135DCC-6F1C-43F1-91E0-5AC2C9D2ED74}" name="Aug-21" dataDxfId="139"/>
    <tableColumn id="4" xr3:uid="{AC8D9F29-BBFB-4660-886D-3EAAD7EEB53E}" name="Sep-21" dataDxfId="138"/>
    <tableColumn id="5" xr3:uid="{7AA67216-5CAC-47DA-9AA2-CC9B528A020B}" name="Okt-21" dataDxfId="137"/>
    <tableColumn id="6" xr3:uid="{C92350F9-3047-4B3A-9DC0-3C6A7312A993}" name="Nov-21" dataDxfId="136"/>
    <tableColumn id="7" xr3:uid="{7409149A-C59A-4BAC-B62F-C9B59AA32124}" name="Dez-21" dataDxfId="135"/>
    <tableColumn id="8" xr3:uid="{809E4AFC-CAE2-42B3-899C-5A4F875DEC21}" name="Jan-22" dataDxfId="134"/>
    <tableColumn id="9" xr3:uid="{78B268E2-63E6-455E-B8A6-881A785DCE62}" name="Feb-22" dataDxfId="133"/>
    <tableColumn id="10" xr3:uid="{782A8A52-D0B8-43D0-9E7A-DAF31BBDA2C9}" name="Mrz-22" dataDxfId="132"/>
    <tableColumn id="11" xr3:uid="{6BB465B6-7FE5-45DF-930A-9C888749AD3C}" name="Apr-22" dataDxfId="131"/>
    <tableColumn id="12" xr3:uid="{55AD3E3E-468D-414F-9134-55B3AA3EDC5B}" name="Mai-22" dataDxfId="130"/>
    <tableColumn id="13" xr3:uid="{6B6E972C-E063-4785-A764-9D7453C72DED}" name="Jun-22" dataDxfId="129"/>
    <tableColumn id="14" xr3:uid="{BF57AA13-21CE-4486-9BD5-41C1E4241EC2}" name="Jul-22" dataDxfId="128"/>
    <tableColumn id="15" xr3:uid="{8CDC5B3A-DEDC-4AF1-A607-E8BA2B7D9565}" name="Aug-22" dataDxfId="127"/>
    <tableColumn id="16" xr3:uid="{E2954CCC-276C-44A2-94B6-EA633D9FFC8C}" name="Sep-22" dataDxfId="126"/>
    <tableColumn id="17" xr3:uid="{7CAAC090-2F14-4855-ABB8-52C2103479F8}" name="Okt-22" dataDxfId="125"/>
    <tableColumn id="18" xr3:uid="{1D69C69F-F48F-4170-887E-E093A24D94CE}" name="Nov-22" dataDxfId="124"/>
    <tableColumn id="19" xr3:uid="{E9B02E5C-F2B9-41A7-B804-B650096D7E99}" name="Dez-22" dataDxfId="123"/>
    <tableColumn id="20" xr3:uid="{07C088E2-9036-4FF5-9176-B9EF0D19FBC1}" name="Source/Comments" dataDxfId="122"/>
    <tableColumn id="21" xr3:uid="{821840CA-3ADC-4381-B3E8-0D2444FF1AB5}" name="DemandID" dataDxfId="12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89BCF64-91E8-47DB-A840-13543090D92F}" name="TBL_PRODUCTION" displayName="TBL_PRODUCTION" ref="A5:U10" totalsRowShown="0" headerRowDxfId="120" dataDxfId="119">
  <autoFilter ref="A5:U10" xr:uid="{8751DC78-FCE5-4BB4-8671-C7AC44AED329}"/>
  <tableColumns count="21">
    <tableColumn id="1" xr3:uid="{491A1BAA-091D-4CBB-ACDF-E23D4860F310}" name="Region" dataDxfId="118"/>
    <tableColumn id="2" xr3:uid="{46889411-2E88-4995-8A60-CAF9F8A6A280}" name="Index" dataDxfId="117">
      <calculatedColumnFormula>INDEX(TBL_REGIONS_INDEX[Index],MATCH(TBL_PRODUCTION[[#This Row],[Region]],TBL_REGIONS_INDEX[Region],0))</calculatedColumnFormula>
    </tableColumn>
    <tableColumn id="3" xr3:uid="{9D5BEE12-92CF-4B51-ABDF-E7B53F64DF2F}" name="Aug-21" dataDxfId="116"/>
    <tableColumn id="4" xr3:uid="{092B86C2-81F8-420F-BF82-7C5BFBA2BAE9}" name="Sep-21" dataDxfId="115"/>
    <tableColumn id="5" xr3:uid="{5BA5CC20-251D-4071-8985-84D76A9861E6}" name="Okt-21" dataDxfId="114"/>
    <tableColumn id="6" xr3:uid="{546E94A5-63CC-4147-A99F-0BDD8077FBC8}" name="Nov-21" dataDxfId="113"/>
    <tableColumn id="7" xr3:uid="{00218DDC-D6A7-45E0-8A6C-1107C69DF313}" name="Dez-21" dataDxfId="112"/>
    <tableColumn id="8" xr3:uid="{22ED3074-0F97-43F6-AF06-5DAA84581EA7}" name="Jan-22" dataDxfId="111"/>
    <tableColumn id="9" xr3:uid="{E1AB1944-BFEB-429B-ABF1-1FE741E629AB}" name="Feb-22" dataDxfId="110"/>
    <tableColumn id="10" xr3:uid="{BAB31200-CF81-408A-9E13-3C10A8785D39}" name="Mrz-22" dataDxfId="109"/>
    <tableColumn id="11" xr3:uid="{9A430FD2-45F7-41F7-AC37-1A401B84C1D8}" name="Apr-22" dataDxfId="108"/>
    <tableColumn id="12" xr3:uid="{D2937329-02E5-4C27-BFF2-1201D941A564}" name="Mai-22" dataDxfId="107"/>
    <tableColumn id="13" xr3:uid="{7EDBF56F-C110-4A2F-94A4-50FB839B4866}" name="Jun-22" dataDxfId="106"/>
    <tableColumn id="14" xr3:uid="{4608F217-A7A9-4A8B-B4A0-F9DBB90BCF5F}" name="Jul-22" dataDxfId="105"/>
    <tableColumn id="15" xr3:uid="{FAFA2A99-2FAA-474B-BF28-93AB43193A09}" name="Aug-22" dataDxfId="104"/>
    <tableColumn id="16" xr3:uid="{412C6D68-DF56-4A25-B309-D61FE563D79D}" name="Sep-22" dataDxfId="103"/>
    <tableColumn id="17" xr3:uid="{15E2CE68-CCDD-4EAC-A0E0-3A072B15AFEB}" name="Okt-22" dataDxfId="102"/>
    <tableColumn id="18" xr3:uid="{ED69AF51-4E3B-4E70-9F8C-F51592801703}" name="Nov-22" dataDxfId="101"/>
    <tableColumn id="19" xr3:uid="{31C64D97-0B98-4FC4-A3D0-D62AD46167B0}" name="Dez-22" dataDxfId="100"/>
    <tableColumn id="20" xr3:uid="{96FB89F0-BE30-4D96-B62C-7CF01454ADCA}" name="Source/Comments" dataDxfId="99"/>
    <tableColumn id="21" xr3:uid="{9E24E5B0-E3EE-4DDE-BE05-8D5F6A824B89}" name="ProductionID" dataDxfId="9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7DAD0F-E6FC-4462-8085-4A07B69B1847}" name="TBL_PIPED_IMPORTERS" displayName="TBL_PIPED_IMPORTERS" ref="A5:D7" totalsRowShown="0" headerRowDxfId="97" dataDxfId="96">
  <autoFilter ref="A5:D7" xr:uid="{8751DC78-FCE5-4BB4-8671-C7AC44AED329}"/>
  <tableColumns count="4">
    <tableColumn id="1" xr3:uid="{60340D46-BB87-42A6-B0B6-459839AD6D74}" name="Importer" dataDxfId="95"/>
    <tableColumn id="2" xr3:uid="{EB87486E-8BE0-45A4-91DE-BE89FA950D52}" name="Index" dataDxfId="94">
      <calculatedColumnFormula>ROW(1:1)</calculatedColumnFormula>
    </tableColumn>
    <tableColumn id="22" xr3:uid="{72A3645E-252D-402A-83E8-A98AFFEC9D53}" name="Comments" dataDxfId="93"/>
    <tableColumn id="21" xr3:uid="{F9F564C2-0A7A-46CA-ACDB-80E42DB869A9}" name="PipedImporterID" dataDxfId="92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BEF59E6-7CAC-46A7-86C4-4689EEA57707}" name="TBL_PIPED_IMPORTERS_PRODUCTION" displayName="TBL_PIPED_IMPORTERS_PRODUCTION" ref="A5:U7" totalsRowShown="0" headerRowDxfId="91" dataDxfId="90">
  <autoFilter ref="A5:U7" xr:uid="{8751DC78-FCE5-4BB4-8671-C7AC44AED329}"/>
  <tableColumns count="21">
    <tableColumn id="1" xr3:uid="{BFDCA5EC-D5CB-48F4-BB51-88A5B444D8A0}" name="Importer" dataDxfId="89"/>
    <tableColumn id="2" xr3:uid="{EF9BC90E-809C-4620-B4AC-46DF3DB64EC2}" name="Index" dataDxfId="88">
      <calculatedColumnFormula>INDEX(TBL_REGIONS_INDEX[Index],MATCH(TBL_PIPED_IMPORTERS_PRODUCTION[[#This Row],[Importer]],TBL_PIPED_IMPORTERS[Importer],0))</calculatedColumnFormula>
    </tableColumn>
    <tableColumn id="3" xr3:uid="{05E60C8D-2BDC-4F4D-BE3B-50C504DA2E87}" name="Aug-21" dataDxfId="87"/>
    <tableColumn id="4" xr3:uid="{97863D9F-99D5-4B73-8235-2E850E9F3B50}" name="Sep-21" dataDxfId="86"/>
    <tableColumn id="5" xr3:uid="{F98583EB-9067-454A-9E14-0EA86A5BD0CF}" name="Okt-21" dataDxfId="85"/>
    <tableColumn id="6" xr3:uid="{D74F0D1C-B052-4B89-B2D2-80BB4767DC2B}" name="Nov-21" dataDxfId="84"/>
    <tableColumn id="7" xr3:uid="{F4BF4A98-B3B7-4DB3-AD45-BF5D3290E80A}" name="Dez-21" dataDxfId="83"/>
    <tableColumn id="8" xr3:uid="{7152E2C6-2882-4920-91AB-DC889CCE74D7}" name="Jan-22" dataDxfId="82"/>
    <tableColumn id="9" xr3:uid="{0ECD3E26-ED93-480A-A7CD-83F6864762C0}" name="Feb-22" dataDxfId="81"/>
    <tableColumn id="10" xr3:uid="{028475E3-3700-46DD-99EC-464215E49DF0}" name="Mrz-22" dataDxfId="80"/>
    <tableColumn id="11" xr3:uid="{F8DABC42-5C5D-4704-A48E-A9FD7D807677}" name="Apr-22" dataDxfId="79"/>
    <tableColumn id="12" xr3:uid="{6548889A-48D4-401C-990B-56B59D85E098}" name="Mai-22" dataDxfId="78"/>
    <tableColumn id="13" xr3:uid="{6649EC64-1982-4EAB-9AD1-AE53C837F210}" name="Jun-22" dataDxfId="77"/>
    <tableColumn id="14" xr3:uid="{37C15F49-8B57-47E8-BA8E-CEF6FB98F651}" name="Jul-22" dataDxfId="76"/>
    <tableColumn id="15" xr3:uid="{CC14E856-F491-4D66-9EF8-D1EDDEB22C90}" name="Aug-22" dataDxfId="75"/>
    <tableColumn id="16" xr3:uid="{07BF5981-BC5A-4FD4-B1DF-124BD5349B90}" name="Sep-22" dataDxfId="74"/>
    <tableColumn id="17" xr3:uid="{1B0F6AE7-4412-4FE5-963E-F94E6CA5C4AE}" name="Okt-22" dataDxfId="73"/>
    <tableColumn id="18" xr3:uid="{C57C274F-BC36-4B79-8EEC-76D718DEB07E}" name="Nov-22" dataDxfId="72"/>
    <tableColumn id="19" xr3:uid="{E44FF9E9-41BA-49A8-A185-8B870F2A56AD}" name="Dez-22" dataDxfId="71"/>
    <tableColumn id="20" xr3:uid="{302FF6E2-F975-4CE3-B29D-4A6F461802DD}" name="Source/Comments" dataDxfId="70"/>
    <tableColumn id="21" xr3:uid="{7A3A86BD-4933-4307-84EA-7C4AC2190B79}" name="PipedImporterProductionID" dataDxfId="69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034A1FB-A4A6-4647-AABF-17D0E262B26E}" name="TBL_PIPED_IMPORTERS_CONNECTIONS" displayName="TBL_PIPED_IMPORTERS_CONNECTIONS" ref="A5:I11" totalsRowShown="0" headerRowDxfId="68" dataDxfId="67">
  <tableColumns count="9">
    <tableColumn id="1" xr3:uid="{682CED6D-11CA-4648-97BD-4DDAF7F923EE}" name="Importer" dataDxfId="66"/>
    <tableColumn id="2" xr3:uid="{C892B735-F9AA-4FBB-8685-FF97162FD780}" name="Importer Index" dataDxfId="65">
      <calculatedColumnFormula>INDEX(TBL_REGIONS_INDEX[Index],MATCH(TBL_PIPED_IMPORTERS_CONNECTIONS[[#This Row],[Importer]],TBL_PIPED_IMPORTERS[Importer],0))</calculatedColumnFormula>
    </tableColumn>
    <tableColumn id="22" xr3:uid="{CA5E05C4-48EE-4AA9-BC0E-7F20A9E215E4}" name="Region" dataDxfId="64"/>
    <tableColumn id="23" xr3:uid="{64D7F205-2792-4065-94E7-F64664A95ECC}" name="Region Index" dataDxfId="63">
      <calculatedColumnFormula>INDEX(TBL_REGIONS_INDEX[Index],MATCH(TBL_PIPED_IMPORTERS_CONNECTIONS[[#This Row],[Region]],TBL_REGIONS_INDEX[Region],0))</calculatedColumnFormula>
    </tableColumn>
    <tableColumn id="24" xr3:uid="{D2309E43-2F71-40C6-9A27-BB3A91BED227}" name="Name" dataDxfId="62"/>
    <tableColumn id="3" xr3:uid="{E397B195-DC57-4F3E-8E7A-BAE78F4F1082}" name="Connection Code" dataDxfId="61">
      <calculatedColumnFormula>TEXT(TBL_PIPED_IMPORTERS_CONNECTIONS[[#This Row],[Importer Index]],"000")&amp;TEXT(TBL_PIPED_IMPORTERS_CONNECTIONS[[#This Row],[Region Index]],"000")</calculatedColumnFormula>
    </tableColumn>
    <tableColumn id="5" xr3:uid="{8D4342D5-B6CB-4E0B-B9C2-383BAE3A766A}" name="Connection Index" dataDxfId="60">
      <calculatedColumnFormula>COUNTIF($F$6:$F6,$F6)</calculatedColumnFormula>
    </tableColumn>
    <tableColumn id="20" xr3:uid="{BF046086-A3C3-4588-ACEF-900EAD2BC55B}" name="Comments" dataDxfId="59"/>
    <tableColumn id="21" xr3:uid="{3DD587C7-464E-4916-9721-773611FA98CC}" name="PipedImporterConnectionID" dataDxfId="58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8DFE2EB-CDDA-457A-BCCD-E6226CF24C6A}" name="TBL_LNG_IMPORTERS" displayName="TBL_LNG_IMPORTERS" ref="A5:D7" totalsRowShown="0" headerRowDxfId="55" dataDxfId="54">
  <autoFilter ref="A5:D7" xr:uid="{8751DC78-FCE5-4BB4-8671-C7AC44AED329}"/>
  <tableColumns count="4">
    <tableColumn id="1" xr3:uid="{C3EB2A7B-49ED-40E1-BBCD-4F310C07CF03}" name="Terminal" dataDxfId="53"/>
    <tableColumn id="2" xr3:uid="{88AF36BF-FF53-46FF-9678-A07D91790189}" name="Index" dataDxfId="52">
      <calculatedColumnFormula>ROW(1:1)</calculatedColumnFormula>
    </tableColumn>
    <tableColumn id="22" xr3:uid="{0F07305C-559F-4B6F-844A-946F2B8D272F}" name="Comments" dataDxfId="51"/>
    <tableColumn id="21" xr3:uid="{ED00D405-D9D9-494B-B249-2B15E2172A7B}" name="LNGImporterID" dataDxfId="50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DF2CEDC-909F-4798-9DFD-122FF0D4A508}" name="TBL_LNG_IMPORTERS_CONNECTIONS" displayName="TBL_LNG_IMPORTERS_CONNECTIONS" ref="A5:I8" totalsRowShown="0" headerRowDxfId="49" dataDxfId="48">
  <tableColumns count="9">
    <tableColumn id="1" xr3:uid="{4F946316-2502-460E-B335-D2CC528C08DA}" name="Terminal" dataDxfId="47"/>
    <tableColumn id="2" xr3:uid="{DD3CBA70-6B5C-4A97-B136-944E64A9AA0B}" name="Terminal Index" dataDxfId="46">
      <calculatedColumnFormula>INDEX(TBL_LNG_IMPORTERS[Index],MATCH(TBL_LNG_IMPORTERS_CONNECTIONS[[#This Row],[Terminal]],TBL_LNG_IMPORTERS[Terminal],0))</calculatedColumnFormula>
    </tableColumn>
    <tableColumn id="22" xr3:uid="{67107786-55EE-408B-807C-FBEA3168DB19}" name="Region" dataDxfId="45"/>
    <tableColumn id="23" xr3:uid="{EADEAF2E-35E4-4560-967E-2FFB6BCE491A}" name="Region Index" dataDxfId="44">
      <calculatedColumnFormula>INDEX(TBL_REGIONS_INDEX[Index],MATCH(TBL_LNG_IMPORTERS_CONNECTIONS[[#This Row],[Region]],TBL_REGIONS_INDEX[Region],0))</calculatedColumnFormula>
    </tableColumn>
    <tableColumn id="24" xr3:uid="{4C641BBC-5EB7-4932-81B5-9B4638C0E807}" name="Name" dataDxfId="43"/>
    <tableColumn id="3" xr3:uid="{3347F4FD-FCE8-48F6-BB44-F9040AA8F495}" name="Connection Code" dataDxfId="42">
      <calculatedColumnFormula>TEXT(TBL_LNG_IMPORTERS_CONNECTIONS[[#This Row],[Terminal Index]],"000")&amp;TEXT(TBL_LNG_IMPORTERS_CONNECTIONS[[#This Row],[Region Index]],"000")</calculatedColumnFormula>
    </tableColumn>
    <tableColumn id="4" xr3:uid="{42849072-2737-4ECB-9A10-C98B111D6D2D}" name="Connection Index" dataDxfId="41">
      <calculatedColumnFormula>COUNTIF($F$5:$F5,$F5)</calculatedColumnFormula>
    </tableColumn>
    <tableColumn id="20" xr3:uid="{C3F257C7-80C7-4898-BE99-2206AB57F8A8}" name="Comments" dataDxfId="40"/>
    <tableColumn id="21" xr3:uid="{D9A93789-AD1B-44A5-98EB-EED64C21C435}" name="LNGImporterConnectionID" dataDxfId="39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064173-B0D1-43B7-B7F9-87242F4AB942}" name="TBL_TRANSIT" displayName="TBL_TRANSIT" ref="A5:I15" totalsRowShown="0" headerRowDxfId="36" dataDxfId="35">
  <tableColumns count="9">
    <tableColumn id="1" xr3:uid="{F2BBF415-7853-48F1-B4D6-AC2FF66FA12C}" name="Origin" dataDxfId="34"/>
    <tableColumn id="2" xr3:uid="{62335D9B-6D17-495D-A766-DB0BCB176FDC}" name="Origin Index" dataDxfId="33">
      <calculatedColumnFormula>INDEX(TBL_REGIONS_INDEX[Index],MATCH(TBL_TRANSIT[[#This Row],[Origin]],TBL_REGIONS_INDEX[Region],0))</calculatedColumnFormula>
    </tableColumn>
    <tableColumn id="22" xr3:uid="{1BC46D9E-5394-4CE6-AAB1-C976335D9101}" name="Destination" dataDxfId="32"/>
    <tableColumn id="23" xr3:uid="{A6610519-A229-4FB5-B82E-20F479CE853C}" name="Destination Index" dataDxfId="31">
      <calculatedColumnFormula>INDEX(TBL_REGIONS_INDEX[Index],MATCH(TBL_TRANSIT[[#This Row],[Destination]],TBL_REGIONS_INDEX[Region],0))</calculatedColumnFormula>
    </tableColumn>
    <tableColumn id="24" xr3:uid="{B0548DA9-7C18-4982-9082-A696A74AFD21}" name="Name" dataDxfId="30"/>
    <tableColumn id="4" xr3:uid="{9362C80F-7466-4A70-9A2A-94F2544B24F1}" name="Connection Code" dataDxfId="29">
      <calculatedColumnFormula>TEXT(TBL_TRANSIT[[#This Row],[Origin Index]],"000")&amp;TEXT(TBL_TRANSIT[[#This Row],[Destination Index]],"000")</calculatedColumnFormula>
    </tableColumn>
    <tableColumn id="3" xr3:uid="{6A279B67-76BD-4702-9DB2-168222D5615E}" name="Connection Index" dataDxfId="28">
      <calculatedColumnFormula>COUNTIF($F$6:$F6,$F6)</calculatedColumnFormula>
    </tableColumn>
    <tableColumn id="20" xr3:uid="{080782A7-30EA-4656-BE39-C7DA4AD57DD7}" name="Comments" dataDxfId="27"/>
    <tableColumn id="21" xr3:uid="{85C5B832-8CCF-4661-8573-737A0F2D3273}" name="TransitID" dataDxfId="26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32258F9-EE0E-451B-AE7B-0BF962EBC56A}" name="TBL_STORAGE" displayName="TBL_STORAGE" ref="A5:E7" totalsRowShown="0" headerRowDxfId="23" dataDxfId="22">
  <autoFilter ref="A5:E7" xr:uid="{8751DC78-FCE5-4BB4-8671-C7AC44AED329}"/>
  <tableColumns count="5">
    <tableColumn id="1" xr3:uid="{EC03FD9D-D42B-469F-ADC8-1AA71BF3E9EE}" name="Storage" dataDxfId="21"/>
    <tableColumn id="2" xr3:uid="{51A88384-C0BF-4858-B9F5-E71E2B8E24A9}" name="Storage Index" dataDxfId="20">
      <calculatedColumnFormula>ROW(1:1)</calculatedColumnFormula>
    </tableColumn>
    <tableColumn id="3" xr3:uid="{A86D4317-A145-4829-8A2A-2C546AACBC22}" name="WGV (bcm)" dataDxfId="19"/>
    <tableColumn id="22" xr3:uid="{2E0BB01E-87CE-4109-BBFF-253117CD6521}" name="Comments" dataDxfId="18"/>
    <tableColumn id="21" xr3:uid="{792EFCEC-3CDE-4B8C-A5AF-E23BBE6644E8}" name="StorageID" dataDxfId="17">
      <calculatedColumnFormula>"Storage_"&amp;TEXT(TBL_STORAGE[[#This Row],[Storage 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1F9AE4A-1F39-4428-AA64-65C07CF8E522}" name="TBL_STORAGE_CONNECTIONS" displayName="TBL_STORAGE_CONNECTIONS" ref="A5:I9" totalsRowShown="0" headerRowDxfId="16" dataDxfId="15">
  <tableColumns count="9">
    <tableColumn id="1" xr3:uid="{4F1B43F2-3A53-492D-91E1-3BFC4183DA99}" name="Storage" dataDxfId="14"/>
    <tableColumn id="2" xr3:uid="{8BDB9AF0-747C-4642-BF5B-8CD2AA343451}" name="Storage Index" dataDxfId="13">
      <calculatedColumnFormula>INDEX(TBL_STORAGE[Storage Index],MATCH(TBL_STORAGE_CONNECTIONS[[#This Row],[Storage]],TBL_STORAGE[Storage],0))</calculatedColumnFormula>
    </tableColumn>
    <tableColumn id="22" xr3:uid="{6E839F7C-450D-426F-AE86-B605D9F54BC9}" name="Region" dataDxfId="12"/>
    <tableColumn id="23" xr3:uid="{4566BEA8-627E-4840-AF54-326EA691BF54}" name="Region Index" dataDxfId="11">
      <calculatedColumnFormula>INDEX(TBL_REGIONS_INDEX[Index],MATCH(TBL_STORAGE_CONNECTIONS[[#This Row],[Region]],TBL_REGIONS_INDEX[Region],0))</calculatedColumnFormula>
    </tableColumn>
    <tableColumn id="24" xr3:uid="{E6C27AD6-4606-4E3F-B730-D03E58F7609B}" name="Name" dataDxfId="10"/>
    <tableColumn id="4" xr3:uid="{9A0878B8-B117-4730-8748-00EC0FED0E25}" name="Connection Code" dataDxfId="9">
      <calculatedColumnFormula>TEXT(TBL_STORAGE_CONNECTIONS[[#This Row],[Storage Index]],"000")&amp;TEXT(TBL_STORAGE_CONNECTIONS[[#This Row],[Region Index]],"000")</calculatedColumnFormula>
    </tableColumn>
    <tableColumn id="3" xr3:uid="{B3789A2E-62E3-47FA-9250-44208D544D12}" name="Connection Index" dataDxfId="8">
      <calculatedColumnFormula>COUNTIF($F$6:$F6,$F6)</calculatedColumnFormula>
    </tableColumn>
    <tableColumn id="20" xr3:uid="{6F2258AF-52D0-4F20-8236-7D5A50A71AAB}" name="Comments" dataDxfId="7"/>
    <tableColumn id="21" xr3:uid="{BCEDB13E-5C40-413B-8434-2D8AEF5D2D57}" name="StorageConnectionID" dataDxfId="6">
      <calculatedColumnFormula>"StorageConnection_"&amp;TEXT(TBL_STORAGE_CONNECTIONS[[#This Row],[Storage Index]],"000")&amp;"_"&amp;TEXT(TBL_STORAGE_CONNECTIONS[[#This Row],[Region Index]],"000")&amp;"_"&amp;TEXT(TBL_STORAGE_CONNECTIONS[[#This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077DEED-818E-4727-B3BE-AB5153B73609}" name="TBL_FOREX" displayName="TBL_FOREX" ref="A5:S7" totalsRowShown="0">
  <autoFilter ref="A5:S7" xr:uid="{5077DEED-818E-4727-B3BE-AB5153B73609}"/>
  <tableColumns count="19">
    <tableColumn id="1" xr3:uid="{736E25E3-F56B-45A9-A1DF-45346BFCDECD}" name="Currency"/>
    <tableColumn id="2" xr3:uid="{C299F7DB-9095-4411-A77F-1D0E182B3C55}" name="Aug-21" dataDxfId="3">
      <calculatedColumnFormula>IFERROR(GETPIVOTDATA("Interbank Rate",'External Data'!$A$3,"Month",MONTH(B$5),"Year",YEAR(B$5),"Currency",TBL_FOREX[[#This Row],[Currency]]),A6)</calculatedColumnFormula>
    </tableColumn>
    <tableColumn id="3" xr3:uid="{431212D9-4BC6-48E0-A546-AA8ED2525FAE}" name="Sep-21">
      <calculatedColumnFormula>IFERROR(GETPIVOTDATA("Interbank Rate",'External Data'!$A$3,"Month",MONTH(C$5),"Year",YEAR(C$5),"Currency",TBL_FOREX[[#This Row],[Currency]]),B6)</calculatedColumnFormula>
    </tableColumn>
    <tableColumn id="4" xr3:uid="{3F68F23B-54BC-432C-8A45-205B9B24A465}" name="Okt-21">
      <calculatedColumnFormula>IFERROR(GETPIVOTDATA("Interbank Rate",'External Data'!$A$3,"Month",MONTH(D$5),"Year",YEAR(D$5),"Currency",TBL_FOREX[[#This Row],[Currency]]),C6)</calculatedColumnFormula>
    </tableColumn>
    <tableColumn id="5" xr3:uid="{3F0F260D-B064-42B6-ACD3-E3CBEDD2A1BC}" name="Nov-21">
      <calculatedColumnFormula>IFERROR(GETPIVOTDATA("Interbank Rate",'External Data'!$A$3,"Month",MONTH(E$5),"Year",YEAR(E$5),"Currency",TBL_FOREX[[#This Row],[Currency]]),D6)</calculatedColumnFormula>
    </tableColumn>
    <tableColumn id="6" xr3:uid="{0E2A515A-8C6B-4080-BB60-554CBB31AEE6}" name="Dez-21">
      <calculatedColumnFormula>IFERROR(GETPIVOTDATA("Interbank Rate",'External Data'!$A$3,"Month",MONTH(F$5),"Year",YEAR(F$5),"Currency",TBL_FOREX[[#This Row],[Currency]]),E6)</calculatedColumnFormula>
    </tableColumn>
    <tableColumn id="7" xr3:uid="{7BD44728-C4EB-4DC3-818A-FCC652E22F42}" name="Jan-22">
      <calculatedColumnFormula>IFERROR(GETPIVOTDATA("Interbank Rate",'External Data'!$A$3,"Month",MONTH(G$5),"Year",YEAR(G$5),"Currency",TBL_FOREX[[#This Row],[Currency]]),F6)</calculatedColumnFormula>
    </tableColumn>
    <tableColumn id="8" xr3:uid="{DD7C683A-0EC7-4A35-9283-4464D1F20B6F}" name="Feb-22">
      <calculatedColumnFormula>IFERROR(GETPIVOTDATA("Interbank Rate",'External Data'!$A$3,"Month",MONTH(H$5),"Year",YEAR(H$5),"Currency",TBL_FOREX[[#This Row],[Currency]]),G6)</calculatedColumnFormula>
    </tableColumn>
    <tableColumn id="9" xr3:uid="{84B50A15-054F-4E85-9F10-BC9D82868279}" name="Mrz-22">
      <calculatedColumnFormula>IFERROR(GETPIVOTDATA("Interbank Rate",'External Data'!$A$3,"Month",MONTH(I$5),"Year",YEAR(I$5),"Currency",TBL_FOREX[[#This Row],[Currency]]),H6)</calculatedColumnFormula>
    </tableColumn>
    <tableColumn id="10" xr3:uid="{2B92107B-C86A-48AE-827C-1FEE27BD22E9}" name="Apr-22">
      <calculatedColumnFormula>IFERROR(GETPIVOTDATA("Interbank Rate",'External Data'!$A$3,"Month",MONTH(J$5),"Year",YEAR(J$5),"Currency",TBL_FOREX[[#This Row],[Currency]]),I6)</calculatedColumnFormula>
    </tableColumn>
    <tableColumn id="11" xr3:uid="{1758A34F-91C2-49FF-9B95-3EB18FB662DC}" name="Mai-22">
      <calculatedColumnFormula>IFERROR(GETPIVOTDATA("Interbank Rate",'External Data'!$A$3,"Month",MONTH(K$5),"Year",YEAR(K$5),"Currency",TBL_FOREX[[#This Row],[Currency]]),J6)</calculatedColumnFormula>
    </tableColumn>
    <tableColumn id="12" xr3:uid="{698B7EF9-601E-493F-9985-9B7EF5BE8CD3}" name="Jun-22">
      <calculatedColumnFormula>IFERROR(GETPIVOTDATA("Interbank Rate",'External Data'!$A$3,"Month",MONTH(L$5),"Year",YEAR(L$5),"Currency",TBL_FOREX[[#This Row],[Currency]]),K6)</calculatedColumnFormula>
    </tableColumn>
    <tableColumn id="13" xr3:uid="{272E607B-0ACE-4C8B-8AD1-1349625E261C}" name="Jul-22">
      <calculatedColumnFormula>IFERROR(GETPIVOTDATA("Interbank Rate",'External Data'!$A$3,"Month",MONTH(M$5),"Year",YEAR(M$5),"Currency",TBL_FOREX[[#This Row],[Currency]]),L6)</calculatedColumnFormula>
    </tableColumn>
    <tableColumn id="14" xr3:uid="{31210F5C-570D-4EF9-8137-8DC684F5F26A}" name="Aug-22">
      <calculatedColumnFormula>IFERROR(GETPIVOTDATA("Interbank Rate",'External Data'!$A$3,"Month",MONTH(N$5),"Year",YEAR(N$5),"Currency",TBL_FOREX[[#This Row],[Currency]]),M6)</calculatedColumnFormula>
    </tableColumn>
    <tableColumn id="15" xr3:uid="{C3631230-D13B-4122-9700-DD1FFB842D16}" name="Sep-22">
      <calculatedColumnFormula>IFERROR(GETPIVOTDATA("Interbank Rate",'External Data'!$A$3,"Month",MONTH(O$5),"Year",YEAR(O$5),"Currency",TBL_FOREX[[#This Row],[Currency]]),N6)</calculatedColumnFormula>
    </tableColumn>
    <tableColumn id="16" xr3:uid="{2242C213-619A-47DC-A65B-1032777F94CC}" name="Okt-22">
      <calculatedColumnFormula>IFERROR(GETPIVOTDATA("Interbank Rate",'External Data'!$A$3,"Month",MONTH(P$5),"Year",YEAR(P$5),"Currency",TBL_FOREX[[#This Row],[Currency]]),O6)</calculatedColumnFormula>
    </tableColumn>
    <tableColumn id="17" xr3:uid="{B2AEC184-F6D6-475D-9403-0B945E3CBB07}" name="Nov-22">
      <calculatedColumnFormula>IFERROR(GETPIVOTDATA("Interbank Rate",'External Data'!$A$3,"Month",MONTH(Q$5),"Year",YEAR(Q$5),"Currency",TBL_FOREX[[#This Row],[Currency]]),P6)</calculatedColumnFormula>
    </tableColumn>
    <tableColumn id="18" xr3:uid="{27E0E8F9-A82A-4A37-97EB-A033A8FE2894}" name="Dez-22">
      <calculatedColumnFormula>IFERROR(GETPIVOTDATA("Interbank Rate",'External Data'!$A$3,"Month",MONTH(R$5),"Year",YEAR(R$5),"Currency",TBL_FOREX[[#This Row],[Currency]]),Q6)</calculatedColumnFormula>
    </tableColumn>
    <tableColumn id="19" xr3:uid="{E8F9EA48-6C79-449D-A997-4F1B06E26287}" name="Source/Comment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D4098C8-565F-414D-AD57-546024492400}" name="TBL_VERSION" displayName="TBL_VERSION" ref="A1:C2" totalsRowShown="0">
  <autoFilter ref="A1:C2" xr:uid="{6D4098C8-565F-414D-AD57-546024492400}"/>
  <tableColumns count="3">
    <tableColumn id="1" xr3:uid="{A6FF7BBF-AACA-4B09-94B5-CB12ACBE3954}" name="Version" dataDxfId="2"/>
    <tableColumn id="2" xr3:uid="{975CDA7B-2051-4FB2-ACAC-8D7FF0CA3534}" name="Date"/>
    <tableColumn id="3" xr3:uid="{701D9CA4-080D-4B7C-9608-4A29D5E54C9C}" name="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0FC75-7854-46C4-B69D-6CA4F86CC2D9}">
  <sheetPr codeName="Sheet1">
    <tabColor theme="0"/>
  </sheetPr>
  <dimension ref="A1:J39"/>
  <sheetViews>
    <sheetView workbookViewId="0">
      <selection activeCell="A12" sqref="A12"/>
    </sheetView>
  </sheetViews>
  <sheetFormatPr defaultColWidth="9.140625" defaultRowHeight="15" x14ac:dyDescent="0.25"/>
  <cols>
    <col min="1" max="1" width="114.28515625" bestFit="1" customWidth="1"/>
    <col min="2" max="9" width="16.42578125" customWidth="1"/>
    <col min="10" max="10" width="118.5703125" customWidth="1"/>
  </cols>
  <sheetData>
    <row r="1" spans="1:10" ht="23.25" customHeight="1" x14ac:dyDescent="0.25">
      <c r="A1" s="9" t="s">
        <v>115</v>
      </c>
      <c r="B1" s="10"/>
      <c r="C1" s="10"/>
      <c r="D1" s="10"/>
      <c r="E1" s="6"/>
      <c r="F1" s="6"/>
      <c r="G1" s="6"/>
      <c r="H1" s="6"/>
      <c r="I1" s="6"/>
      <c r="J1" s="6"/>
    </row>
    <row r="2" spans="1:10" ht="23.25" customHeight="1" x14ac:dyDescent="0.25">
      <c r="A2" s="9" t="s">
        <v>116</v>
      </c>
      <c r="B2" s="11" t="s">
        <v>22</v>
      </c>
      <c r="C2" s="10"/>
      <c r="D2" s="10"/>
      <c r="E2" s="6"/>
      <c r="F2" s="6"/>
      <c r="G2" s="6"/>
      <c r="H2" s="6"/>
      <c r="I2" s="6"/>
      <c r="J2" s="6"/>
    </row>
    <row r="3" spans="1:10" ht="17.25" customHeight="1" x14ac:dyDescent="0.25">
      <c r="A3" s="105" t="s">
        <v>117</v>
      </c>
      <c r="B3" s="12" t="s">
        <v>23</v>
      </c>
      <c r="C3" s="13" t="s">
        <v>24</v>
      </c>
      <c r="D3" s="14" t="s">
        <v>25</v>
      </c>
      <c r="E3" s="6"/>
      <c r="F3" s="6"/>
      <c r="G3" s="6"/>
      <c r="H3" s="6"/>
      <c r="I3" s="6"/>
      <c r="J3" s="6"/>
    </row>
    <row r="4" spans="1:10" ht="17.25" customHeight="1" x14ac:dyDescent="0.25">
      <c r="A4" s="106"/>
      <c r="B4" s="15"/>
      <c r="C4" s="16"/>
      <c r="D4" s="10"/>
      <c r="E4" s="6"/>
      <c r="F4" s="6"/>
      <c r="G4" s="6"/>
      <c r="H4" s="6"/>
      <c r="I4" s="6"/>
      <c r="J4" s="6"/>
    </row>
    <row r="5" spans="1:10" ht="24" customHeight="1" x14ac:dyDescent="0.25">
      <c r="A5" s="9" t="s">
        <v>134</v>
      </c>
      <c r="B5" s="6"/>
      <c r="C5" s="6"/>
      <c r="D5" s="6"/>
      <c r="E5" s="6"/>
      <c r="F5" s="6"/>
      <c r="G5" s="6"/>
      <c r="H5" s="6"/>
      <c r="I5" s="6"/>
      <c r="J5" s="6"/>
    </row>
    <row r="6" spans="1:10" ht="24" customHeight="1" x14ac:dyDescent="0.25">
      <c r="A6" s="9" t="s">
        <v>146</v>
      </c>
      <c r="B6" s="6"/>
      <c r="C6" s="6"/>
      <c r="D6" s="6"/>
      <c r="E6" s="6"/>
      <c r="F6" s="6"/>
      <c r="G6" s="6"/>
      <c r="H6" s="6"/>
      <c r="I6" s="6"/>
      <c r="J6" s="6"/>
    </row>
    <row r="7" spans="1:10" ht="24" customHeight="1" x14ac:dyDescent="0.25">
      <c r="A7" s="9" t="s">
        <v>152</v>
      </c>
      <c r="B7" s="6"/>
      <c r="C7" s="6"/>
      <c r="D7" s="6"/>
      <c r="E7" s="6"/>
      <c r="F7" s="6"/>
      <c r="G7" s="6"/>
      <c r="H7" s="6"/>
      <c r="I7" s="6"/>
      <c r="J7" s="6"/>
    </row>
    <row r="8" spans="1:10" ht="24" customHeight="1" x14ac:dyDescent="0.25">
      <c r="A8" s="9" t="s">
        <v>136</v>
      </c>
      <c r="B8" s="6"/>
      <c r="C8" s="6"/>
      <c r="D8" s="6"/>
      <c r="E8" s="6"/>
      <c r="F8" s="6"/>
      <c r="G8" s="6"/>
      <c r="H8" s="6"/>
      <c r="I8" s="6"/>
      <c r="J8" s="6"/>
    </row>
    <row r="9" spans="1:10" ht="24" customHeight="1" x14ac:dyDescent="0.25">
      <c r="A9" s="9" t="s">
        <v>135</v>
      </c>
      <c r="B9" s="77" t="s">
        <v>142</v>
      </c>
      <c r="C9" s="81" t="s">
        <v>138</v>
      </c>
      <c r="D9" s="80" t="s">
        <v>139</v>
      </c>
      <c r="E9" s="78" t="s">
        <v>140</v>
      </c>
      <c r="F9" s="79" t="s">
        <v>141</v>
      </c>
      <c r="G9" s="96" t="s">
        <v>170</v>
      </c>
      <c r="H9" s="99" t="s">
        <v>178</v>
      </c>
      <c r="I9" s="100" t="s">
        <v>179</v>
      </c>
      <c r="J9" s="98"/>
    </row>
    <row r="10" spans="1:10" ht="24" customHeight="1" x14ac:dyDescent="0.25">
      <c r="A10" s="9" t="s">
        <v>114</v>
      </c>
      <c r="B10" s="6"/>
      <c r="C10" s="6"/>
      <c r="D10" s="6"/>
      <c r="E10" s="6"/>
      <c r="F10" s="6"/>
      <c r="G10" s="6"/>
      <c r="H10" s="6"/>
      <c r="I10" s="6"/>
      <c r="J10" s="6"/>
    </row>
    <row r="11" spans="1:10" ht="24" customHeight="1" x14ac:dyDescent="0.25">
      <c r="A11" s="9" t="s">
        <v>189</v>
      </c>
      <c r="B11" s="6"/>
      <c r="C11" s="6"/>
      <c r="D11" s="6"/>
      <c r="E11" s="6"/>
      <c r="F11" s="6"/>
      <c r="G11" s="6"/>
      <c r="H11" s="6"/>
      <c r="I11" s="6"/>
      <c r="J11" s="6"/>
    </row>
    <row r="12" spans="1:10" ht="24" customHeight="1" x14ac:dyDescent="0.25">
      <c r="A12" s="9" t="s">
        <v>137</v>
      </c>
      <c r="B12" s="6"/>
      <c r="C12" s="6"/>
      <c r="D12" s="6"/>
      <c r="E12" s="6"/>
      <c r="F12" s="6"/>
      <c r="G12" s="6"/>
      <c r="H12" s="6"/>
      <c r="I12" s="6"/>
      <c r="J12" s="6"/>
    </row>
    <row r="13" spans="1:10" ht="24" customHeight="1" x14ac:dyDescent="0.25">
      <c r="A13" s="9" t="s">
        <v>147</v>
      </c>
      <c r="B13" s="6"/>
      <c r="C13" s="6"/>
      <c r="D13" s="6"/>
      <c r="E13" s="6"/>
      <c r="F13" s="6"/>
      <c r="G13" s="6"/>
      <c r="H13" s="6"/>
      <c r="I13" s="6"/>
      <c r="J13" s="6"/>
    </row>
    <row r="14" spans="1:10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</row>
    <row r="16" spans="1:10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</row>
    <row r="17" spans="1:10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</row>
    <row r="18" spans="1:10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</row>
    <row r="19" spans="1:10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0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</row>
    <row r="21" spans="1:10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</row>
    <row r="22" spans="1:10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</row>
    <row r="23" spans="1:10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</row>
    <row r="24" spans="1:10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</row>
    <row r="25" spans="1:10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</row>
    <row r="26" spans="1:10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</row>
    <row r="27" spans="1:10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</row>
    <row r="28" spans="1:10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</row>
    <row r="29" spans="1:10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</row>
    <row r="30" spans="1:10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</row>
    <row r="31" spans="1:10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</row>
    <row r="32" spans="1:10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</row>
    <row r="33" spans="1:10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</row>
    <row r="34" spans="1:10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spans="1:10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spans="1:10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</row>
    <row r="37" spans="1:10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</row>
    <row r="38" spans="1:10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</row>
    <row r="39" spans="1:10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E8911-AF1D-42A9-9466-79B310490333}">
  <sheetPr>
    <tabColor theme="0"/>
  </sheetPr>
  <dimension ref="A2:F3"/>
  <sheetViews>
    <sheetView zoomScale="85" zoomScaleNormal="85" workbookViewId="0">
      <selection activeCell="R42" sqref="R42"/>
    </sheetView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6"/>
      <c r="B2" s="76"/>
      <c r="C2" s="76"/>
      <c r="F2" s="76"/>
    </row>
    <row r="3" spans="1:6" x14ac:dyDescent="0.25">
      <c r="C3" s="76"/>
      <c r="D3" s="76"/>
      <c r="E3" s="7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23818-6A9A-42F4-B33B-D7430F78DB0C}">
  <sheetPr codeName="Sheet2">
    <tabColor theme="2"/>
  </sheetPr>
  <dimension ref="A1:C15"/>
  <sheetViews>
    <sheetView workbookViewId="0">
      <selection activeCell="C25" sqref="C25"/>
    </sheetView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26</v>
      </c>
    </row>
    <row r="2" spans="1:3" x14ac:dyDescent="0.25">
      <c r="A2" s="1" t="s">
        <v>118</v>
      </c>
    </row>
    <row r="4" spans="1:3" x14ac:dyDescent="0.25">
      <c r="A4" s="5" t="s">
        <v>27</v>
      </c>
      <c r="B4" s="7" t="s">
        <v>2</v>
      </c>
    </row>
    <row r="6" spans="1:3" x14ac:dyDescent="0.25">
      <c r="A6" s="107" t="s">
        <v>29</v>
      </c>
      <c r="B6" s="107"/>
      <c r="C6" s="107"/>
    </row>
    <row r="7" spans="1:3" x14ac:dyDescent="0.25">
      <c r="A7" s="108" t="s">
        <v>148</v>
      </c>
      <c r="B7" s="109"/>
      <c r="C7" s="110"/>
    </row>
    <row r="8" spans="1:3" x14ac:dyDescent="0.25">
      <c r="A8" s="111"/>
      <c r="B8" s="112"/>
      <c r="C8" s="113"/>
    </row>
    <row r="9" spans="1:3" x14ac:dyDescent="0.25">
      <c r="A9" s="111"/>
      <c r="B9" s="112"/>
      <c r="C9" s="113"/>
    </row>
    <row r="10" spans="1:3" x14ac:dyDescent="0.25">
      <c r="A10" s="111"/>
      <c r="B10" s="112"/>
      <c r="C10" s="113"/>
    </row>
    <row r="11" spans="1:3" x14ac:dyDescent="0.25">
      <c r="A11" s="111"/>
      <c r="B11" s="112"/>
      <c r="C11" s="113"/>
    </row>
    <row r="12" spans="1:3" x14ac:dyDescent="0.25">
      <c r="A12" s="111"/>
      <c r="B12" s="112"/>
      <c r="C12" s="113"/>
    </row>
    <row r="13" spans="1:3" x14ac:dyDescent="0.25">
      <c r="A13" s="111"/>
      <c r="B13" s="112"/>
      <c r="C13" s="113"/>
    </row>
    <row r="14" spans="1:3" x14ac:dyDescent="0.25">
      <c r="A14" s="111"/>
      <c r="B14" s="112"/>
      <c r="C14" s="113"/>
    </row>
    <row r="15" spans="1:3" x14ac:dyDescent="0.25">
      <c r="A15" s="114"/>
      <c r="B15" s="115"/>
      <c r="C15" s="116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225F-8869-4BA6-8D55-5B277887A298}">
  <sheetPr>
    <tabColor rgb="FFFF0000"/>
  </sheetPr>
  <dimension ref="A1:S45"/>
  <sheetViews>
    <sheetView workbookViewId="0">
      <selection activeCell="B12" sqref="B12"/>
    </sheetView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131</v>
      </c>
    </row>
    <row r="2" spans="1:19" x14ac:dyDescent="0.25">
      <c r="A2" s="1" t="s">
        <v>149</v>
      </c>
    </row>
    <row r="5" spans="1:19" x14ac:dyDescent="0.25">
      <c r="A5" s="8" t="s">
        <v>182</v>
      </c>
      <c r="B5" s="22" t="s">
        <v>5</v>
      </c>
      <c r="C5" s="22" t="s">
        <v>6</v>
      </c>
      <c r="D5" s="22" t="s">
        <v>7</v>
      </c>
      <c r="E5" s="22" t="s">
        <v>8</v>
      </c>
      <c r="F5" s="22" t="s">
        <v>9</v>
      </c>
      <c r="G5" s="22" t="s">
        <v>10</v>
      </c>
      <c r="H5" s="22" t="s">
        <v>11</v>
      </c>
      <c r="I5" s="22" t="s">
        <v>12</v>
      </c>
      <c r="J5" s="22" t="s">
        <v>13</v>
      </c>
      <c r="K5" s="22" t="s">
        <v>14</v>
      </c>
      <c r="L5" s="22" t="s">
        <v>15</v>
      </c>
      <c r="M5" s="22" t="s">
        <v>16</v>
      </c>
      <c r="N5" s="22" t="s">
        <v>17</v>
      </c>
      <c r="O5" s="22" t="s">
        <v>18</v>
      </c>
      <c r="P5" s="22" t="s">
        <v>19</v>
      </c>
      <c r="Q5" s="22" t="s">
        <v>20</v>
      </c>
      <c r="R5" s="22" t="s">
        <v>21</v>
      </c>
      <c r="S5" s="8" t="s">
        <v>28</v>
      </c>
    </row>
    <row r="6" spans="1:19" x14ac:dyDescent="0.25">
      <c r="A6" s="73">
        <v>50</v>
      </c>
      <c r="B6" s="27">
        <v>4</v>
      </c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5"/>
    </row>
    <row r="7" spans="1:19" x14ac:dyDescent="0.25">
      <c r="A7" s="74">
        <f>$A6+10</f>
        <v>60</v>
      </c>
      <c r="B7" s="32">
        <v>4.6478623845482918</v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26"/>
    </row>
    <row r="8" spans="1:19" x14ac:dyDescent="0.25">
      <c r="A8" s="75">
        <f>$A7+10</f>
        <v>70</v>
      </c>
      <c r="B8" s="27">
        <v>4.7301508539530577</v>
      </c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5"/>
    </row>
    <row r="9" spans="1:19" x14ac:dyDescent="0.25">
      <c r="A9" s="74">
        <f t="shared" ref="A9:A28" si="0">$A8+10</f>
        <v>80</v>
      </c>
      <c r="B9" s="32">
        <v>5.4138586682143988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26"/>
    </row>
    <row r="10" spans="1:19" x14ac:dyDescent="0.25">
      <c r="A10" s="75">
        <f t="shared" si="0"/>
        <v>90</v>
      </c>
      <c r="B10" s="27">
        <v>5.9328046246154393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5"/>
    </row>
    <row r="11" spans="1:19" x14ac:dyDescent="0.25">
      <c r="A11" s="74">
        <f t="shared" si="0"/>
        <v>100</v>
      </c>
      <c r="B11" s="32">
        <v>6.7944665058349347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26"/>
    </row>
    <row r="12" spans="1:19" x14ac:dyDescent="0.25">
      <c r="A12" s="75">
        <f t="shared" si="0"/>
        <v>110</v>
      </c>
      <c r="B12" s="27">
        <v>7.5626194878917401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5"/>
    </row>
    <row r="13" spans="1:19" x14ac:dyDescent="0.25">
      <c r="A13" s="74">
        <f t="shared" si="0"/>
        <v>120</v>
      </c>
      <c r="B13" s="32">
        <v>7.6950867340457405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26"/>
    </row>
    <row r="14" spans="1:19" x14ac:dyDescent="0.25">
      <c r="A14" s="75">
        <f t="shared" si="0"/>
        <v>130</v>
      </c>
      <c r="B14" s="27">
        <v>8.4628426987971732</v>
      </c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5"/>
    </row>
    <row r="15" spans="1:19" x14ac:dyDescent="0.25">
      <c r="A15" s="74">
        <f t="shared" si="0"/>
        <v>140</v>
      </c>
      <c r="B15" s="32">
        <v>9.1761272148866375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26"/>
    </row>
    <row r="16" spans="1:19" x14ac:dyDescent="0.25">
      <c r="A16" s="75">
        <f t="shared" si="0"/>
        <v>150</v>
      </c>
      <c r="B16" s="27">
        <v>9.7452816347709224</v>
      </c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5"/>
    </row>
    <row r="17" spans="1:19" x14ac:dyDescent="0.25">
      <c r="A17" s="74">
        <f t="shared" si="0"/>
        <v>160</v>
      </c>
      <c r="B17" s="32">
        <v>10.122576914139037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26"/>
    </row>
    <row r="18" spans="1:19" x14ac:dyDescent="0.25">
      <c r="A18" s="75">
        <f t="shared" si="0"/>
        <v>170</v>
      </c>
      <c r="B18" s="27">
        <v>11.003013768505962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5"/>
    </row>
    <row r="19" spans="1:19" x14ac:dyDescent="0.25">
      <c r="A19" s="74">
        <f t="shared" si="0"/>
        <v>180</v>
      </c>
      <c r="B19" s="32">
        <v>11.99126533685598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26"/>
    </row>
    <row r="20" spans="1:19" x14ac:dyDescent="0.25">
      <c r="A20" s="75">
        <f t="shared" si="0"/>
        <v>190</v>
      </c>
      <c r="B20" s="27">
        <v>12.71243110225687</v>
      </c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5"/>
    </row>
    <row r="21" spans="1:19" x14ac:dyDescent="0.25">
      <c r="A21" s="74">
        <f t="shared" si="0"/>
        <v>200</v>
      </c>
      <c r="B21" s="32">
        <v>12.774836410196935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26"/>
    </row>
    <row r="22" spans="1:19" x14ac:dyDescent="0.25">
      <c r="A22" s="75">
        <f t="shared" si="0"/>
        <v>210</v>
      </c>
      <c r="B22" s="27">
        <v>13.20335247133495</v>
      </c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5"/>
    </row>
    <row r="23" spans="1:19" x14ac:dyDescent="0.25">
      <c r="A23" s="74">
        <f t="shared" si="0"/>
        <v>220</v>
      </c>
      <c r="B23" s="32">
        <v>13.299107899132936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26"/>
    </row>
    <row r="24" spans="1:19" x14ac:dyDescent="0.25">
      <c r="A24" s="75">
        <f t="shared" si="0"/>
        <v>230</v>
      </c>
      <c r="B24" s="27">
        <v>13.579051953845818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5"/>
    </row>
    <row r="25" spans="1:19" x14ac:dyDescent="0.25">
      <c r="A25" s="74">
        <f t="shared" si="0"/>
        <v>240</v>
      </c>
      <c r="B25" s="32">
        <v>14.396165463799825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26"/>
    </row>
    <row r="26" spans="1:19" x14ac:dyDescent="0.25">
      <c r="A26" s="75">
        <f t="shared" si="0"/>
        <v>250</v>
      </c>
      <c r="B26" s="27">
        <v>14.855786786986112</v>
      </c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5"/>
    </row>
    <row r="27" spans="1:19" x14ac:dyDescent="0.25">
      <c r="A27" s="74">
        <f t="shared" si="0"/>
        <v>260</v>
      </c>
      <c r="B27" s="32">
        <v>14.923086045141403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26"/>
    </row>
    <row r="28" spans="1:19" x14ac:dyDescent="0.25">
      <c r="A28" s="75">
        <f t="shared" si="0"/>
        <v>270</v>
      </c>
      <c r="B28" s="27">
        <v>15.749098339041829</v>
      </c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5"/>
    </row>
    <row r="29" spans="1:19" x14ac:dyDescent="0.25">
      <c r="A29" s="74">
        <f t="shared" ref="A29:A45" si="1">$A28+10</f>
        <v>280</v>
      </c>
      <c r="B29" s="32">
        <v>16.54404380185127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26"/>
    </row>
    <row r="30" spans="1:19" x14ac:dyDescent="0.25">
      <c r="A30" s="75">
        <f t="shared" si="1"/>
        <v>290</v>
      </c>
      <c r="B30" s="27">
        <v>17.386741846266034</v>
      </c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5"/>
    </row>
    <row r="31" spans="1:19" x14ac:dyDescent="0.25">
      <c r="A31" s="74">
        <f t="shared" si="1"/>
        <v>300</v>
      </c>
      <c r="B31" s="32">
        <v>17.609058112785529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26"/>
    </row>
    <row r="32" spans="1:19" x14ac:dyDescent="0.25">
      <c r="A32" s="75">
        <f t="shared" si="1"/>
        <v>310</v>
      </c>
      <c r="B32" s="27">
        <v>18.384390340571741</v>
      </c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5"/>
    </row>
    <row r="33" spans="1:19" x14ac:dyDescent="0.25">
      <c r="A33" s="74">
        <f t="shared" si="1"/>
        <v>320</v>
      </c>
      <c r="B33" s="32">
        <v>19.099140375079234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26"/>
    </row>
    <row r="34" spans="1:19" x14ac:dyDescent="0.25">
      <c r="A34" s="75">
        <f t="shared" si="1"/>
        <v>330</v>
      </c>
      <c r="B34" s="27">
        <v>19.287038526712884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5"/>
    </row>
    <row r="35" spans="1:19" x14ac:dyDescent="0.25">
      <c r="A35" s="74">
        <f t="shared" si="1"/>
        <v>340</v>
      </c>
      <c r="B35" s="32">
        <v>19.738527742494657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26"/>
    </row>
    <row r="36" spans="1:19" x14ac:dyDescent="0.25">
      <c r="A36" s="75">
        <f t="shared" si="1"/>
        <v>350</v>
      </c>
      <c r="B36" s="27">
        <v>19.908817568991857</v>
      </c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5"/>
    </row>
    <row r="37" spans="1:19" x14ac:dyDescent="0.25">
      <c r="A37" s="74">
        <f t="shared" si="1"/>
        <v>360</v>
      </c>
      <c r="B37" s="32">
        <v>20.441059828161993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26"/>
    </row>
    <row r="38" spans="1:19" x14ac:dyDescent="0.25">
      <c r="A38" s="75">
        <f t="shared" si="1"/>
        <v>370</v>
      </c>
      <c r="B38" s="27">
        <v>21.053813017558099</v>
      </c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5"/>
    </row>
    <row r="39" spans="1:19" x14ac:dyDescent="0.25">
      <c r="A39" s="74">
        <f t="shared" si="1"/>
        <v>380</v>
      </c>
      <c r="B39" s="32">
        <v>21.967199133908874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26"/>
    </row>
    <row r="40" spans="1:19" x14ac:dyDescent="0.25">
      <c r="A40" s="75">
        <f t="shared" si="1"/>
        <v>390</v>
      </c>
      <c r="B40" s="27">
        <v>22.785146401516947</v>
      </c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5"/>
    </row>
    <row r="41" spans="1:19" x14ac:dyDescent="0.25">
      <c r="A41" s="74">
        <f t="shared" si="1"/>
        <v>400</v>
      </c>
      <c r="B41" s="32">
        <v>23.583891476223311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26"/>
    </row>
    <row r="42" spans="1:19" x14ac:dyDescent="0.25">
      <c r="A42" s="75">
        <f t="shared" si="1"/>
        <v>410</v>
      </c>
      <c r="B42" s="27">
        <v>24.284215566477879</v>
      </c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5"/>
    </row>
    <row r="43" spans="1:19" x14ac:dyDescent="0.25">
      <c r="A43" s="74">
        <f t="shared" si="1"/>
        <v>420</v>
      </c>
      <c r="B43" s="32">
        <v>24.741125411336768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26"/>
    </row>
    <row r="44" spans="1:19" x14ac:dyDescent="0.25">
      <c r="A44" s="75">
        <f t="shared" si="1"/>
        <v>430</v>
      </c>
      <c r="B44" s="27">
        <v>25.526468780139698</v>
      </c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5"/>
    </row>
    <row r="45" spans="1:19" x14ac:dyDescent="0.25">
      <c r="A45" s="74">
        <f t="shared" si="1"/>
        <v>440</v>
      </c>
      <c r="B45" s="32">
        <v>26.502076485096303</v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26"/>
    </row>
  </sheetData>
  <dataValidations count="1">
    <dataValidation type="decimal" operator="greaterThanOrEqual" allowBlank="1" showInputMessage="1" showErrorMessage="1" sqref="A7:R45" xr:uid="{14AEABBA-5B86-4289-AFBF-BFB8E4949F6D}">
      <formula1>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0651-77F9-4045-8DC8-3E2221DDB5DD}">
  <sheetPr>
    <tabColor rgb="FFFF0000"/>
  </sheetPr>
  <dimension ref="A1:S6"/>
  <sheetViews>
    <sheetView workbookViewId="0">
      <selection activeCell="A4" sqref="A4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171</v>
      </c>
    </row>
    <row r="2" spans="1:19" x14ac:dyDescent="0.25">
      <c r="A2" s="1" t="s">
        <v>172</v>
      </c>
    </row>
    <row r="4" spans="1:19" x14ac:dyDescent="0.25">
      <c r="A4" s="5" t="s">
        <v>181</v>
      </c>
      <c r="B4" s="51"/>
    </row>
    <row r="5" spans="1:19" x14ac:dyDescent="0.25">
      <c r="A5" t="s">
        <v>173</v>
      </c>
      <c r="B5" s="2" t="s">
        <v>5</v>
      </c>
      <c r="C5" s="2" t="s">
        <v>6</v>
      </c>
      <c r="D5" s="2" t="s">
        <v>7</v>
      </c>
      <c r="E5" s="2" t="s">
        <v>8</v>
      </c>
      <c r="F5" s="2" t="s">
        <v>9</v>
      </c>
      <c r="G5" s="2" t="s">
        <v>10</v>
      </c>
      <c r="H5" s="2" t="s">
        <v>11</v>
      </c>
      <c r="I5" s="2" t="s">
        <v>12</v>
      </c>
      <c r="J5" s="2" t="s">
        <v>13</v>
      </c>
      <c r="K5" s="2" t="s">
        <v>14</v>
      </c>
      <c r="L5" s="2" t="s">
        <v>15</v>
      </c>
      <c r="M5" s="2" t="s">
        <v>16</v>
      </c>
      <c r="N5" s="2" t="s">
        <v>17</v>
      </c>
      <c r="O5" s="2" t="s">
        <v>18</v>
      </c>
      <c r="P5" s="2" t="s">
        <v>19</v>
      </c>
      <c r="Q5" s="2" t="s">
        <v>20</v>
      </c>
      <c r="R5" s="2" t="s">
        <v>21</v>
      </c>
      <c r="S5" s="2" t="s">
        <v>28</v>
      </c>
    </row>
    <row r="6" spans="1:19" x14ac:dyDescent="0.25">
      <c r="A6" s="97" t="s">
        <v>174</v>
      </c>
      <c r="B6" s="29">
        <v>85</v>
      </c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17"/>
    </row>
  </sheetData>
  <dataValidations count="1">
    <dataValidation type="decimal" operator="greaterThanOrEqual" allowBlank="1" showInputMessage="1" showErrorMessage="1" sqref="B6:R6" xr:uid="{709EEF03-CB9E-4D5E-93B6-07C4CDF5BDA5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6050B-3C85-42D7-BA7B-F497276080C2}">
  <sheetPr codeName="Sheet3">
    <tabColor theme="5"/>
  </sheetPr>
  <dimension ref="A1:F11"/>
  <sheetViews>
    <sheetView workbookViewId="0">
      <selection activeCell="A6" sqref="A6:A11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2.140625" bestFit="1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143</v>
      </c>
    </row>
    <row r="2" spans="1:5" x14ac:dyDescent="0.25">
      <c r="A2" s="1" t="s">
        <v>144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31</v>
      </c>
    </row>
    <row r="6" spans="1:5" x14ac:dyDescent="0.25">
      <c r="A6" s="82" t="s">
        <v>56</v>
      </c>
      <c r="B6" s="4">
        <f t="shared" ref="B6:B9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82" t="s">
        <v>57</v>
      </c>
      <c r="B7" s="4">
        <f t="shared" si="0"/>
        <v>2</v>
      </c>
      <c r="C7" s="24"/>
      <c r="D7" s="19"/>
      <c r="E7" s="21" t="str">
        <f>"Region_"&amp;TEXT(TBL_REGIONS_INDEX[[#This Row],[Index]],"000")</f>
        <v>Region_002</v>
      </c>
    </row>
    <row r="8" spans="1:5" x14ac:dyDescent="0.25">
      <c r="A8" s="82" t="s">
        <v>58</v>
      </c>
      <c r="B8" s="4">
        <f t="shared" si="0"/>
        <v>3</v>
      </c>
      <c r="C8" s="24" t="s">
        <v>191</v>
      </c>
      <c r="D8" s="19"/>
      <c r="E8" s="21" t="str">
        <f>"Region_"&amp;TEXT(TBL_REGIONS_INDEX[[#This Row],[Index]],"000")</f>
        <v>Region_003</v>
      </c>
    </row>
    <row r="9" spans="1:5" x14ac:dyDescent="0.25">
      <c r="A9" s="82" t="s">
        <v>59</v>
      </c>
      <c r="B9" s="4">
        <f t="shared" si="0"/>
        <v>4</v>
      </c>
      <c r="C9" s="24"/>
      <c r="D9" s="19"/>
      <c r="E9" s="21" t="str">
        <f>"Region_"&amp;TEXT(TBL_REGIONS_INDEX[[#This Row],[Index]],"000")</f>
        <v>Region_004</v>
      </c>
    </row>
    <row r="10" spans="1:5" x14ac:dyDescent="0.25">
      <c r="A10" s="82" t="s">
        <v>190</v>
      </c>
      <c r="B10" s="4">
        <f>ROW(5:5)</f>
        <v>5</v>
      </c>
      <c r="C10" s="24" t="s">
        <v>191</v>
      </c>
      <c r="D10" s="19"/>
      <c r="E10" s="21" t="str">
        <f>"Region_"&amp;TEXT(TBL_REGIONS_INDEX[[#This Row],[Index]],"000")</f>
        <v>Region_005</v>
      </c>
    </row>
    <row r="11" spans="1:5" x14ac:dyDescent="0.25">
      <c r="A11" s="82" t="s">
        <v>191</v>
      </c>
      <c r="B11" s="4">
        <f>ROW(6:6)</f>
        <v>6</v>
      </c>
      <c r="C11" s="24"/>
      <c r="D11" s="19"/>
      <c r="E11" s="21" t="str">
        <f>"Region_"&amp;TEXT(TBL_REGIONS_INDEX[[#This Row],[Index]],"000")</f>
        <v>Region_006</v>
      </c>
    </row>
  </sheetData>
  <conditionalFormatting sqref="C6:C11">
    <cfRule type="cellIs" dxfId="150" priority="16" operator="equal">
      <formula>$B6</formula>
    </cfRule>
  </conditionalFormatting>
  <dataValidations count="2">
    <dataValidation type="list" allowBlank="1" showInputMessage="1" showErrorMessage="1" sqref="C6:C11" xr:uid="{A4BE3B3D-5DB5-443D-B5C1-B36CF7995A06}">
      <formula1>INDIRECT("TBL_REGIONS_INDEX[Region]")</formula1>
    </dataValidation>
    <dataValidation type="custom" allowBlank="1" showInputMessage="1" showErrorMessage="1" error="Regionsnamen können nicht wiederholt werden." sqref="A6:B11" xr:uid="{DB38B620-1D7A-4CC2-8879-39ACF6C9FC04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60CCB-1855-4F97-B6C7-DC3AB3615489}">
  <sheetPr codeName="Sheet4">
    <tabColor theme="5"/>
  </sheetPr>
  <dimension ref="A1:V10"/>
  <sheetViews>
    <sheetView workbookViewId="0">
      <selection activeCell="C8" sqref="C8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145</v>
      </c>
    </row>
    <row r="2" spans="1:21" x14ac:dyDescent="0.25">
      <c r="A2" s="1" t="s">
        <v>150</v>
      </c>
    </row>
    <row r="4" spans="1:21" x14ac:dyDescent="0.25">
      <c r="A4" s="5" t="s">
        <v>119</v>
      </c>
      <c r="C4" s="51"/>
    </row>
    <row r="5" spans="1:21" x14ac:dyDescent="0.25">
      <c r="A5" t="s">
        <v>0</v>
      </c>
      <c r="B5" t="s">
        <v>1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21</v>
      </c>
      <c r="T5" s="2" t="s">
        <v>28</v>
      </c>
      <c r="U5" s="2" t="s">
        <v>32</v>
      </c>
    </row>
    <row r="6" spans="1:21" x14ac:dyDescent="0.25">
      <c r="A6" s="83" t="s">
        <v>56</v>
      </c>
      <c r="B6" s="4">
        <f>INDEX(TBL_REGIONS_INDEX[Index],MATCH(TBL_DEMAND[[#This Row],[Region]],TBL_REGIONS_INDEX[Region],0))</f>
        <v>1</v>
      </c>
      <c r="C6" s="29">
        <v>5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17"/>
      <c r="U6" s="21" t="str">
        <f>"Demand_"&amp;TEXT(TBL_DEMAND[[#This Row],[Index]],"000")</f>
        <v>Demand_001</v>
      </c>
    </row>
    <row r="7" spans="1:21" x14ac:dyDescent="0.25">
      <c r="A7" s="83" t="s">
        <v>57</v>
      </c>
      <c r="B7" s="4">
        <f>INDEX(TBL_REGIONS_INDEX[Index],MATCH(TBL_DEMAND[[#This Row],[Region]],TBL_REGIONS_INDEX[Region],0))</f>
        <v>2</v>
      </c>
      <c r="C7" s="29">
        <v>5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17"/>
      <c r="U7" s="21" t="str">
        <f>"Demand_"&amp;TEXT(TBL_DEMAND[[#This Row],[Index]],"000")</f>
        <v>Demand_002</v>
      </c>
    </row>
    <row r="8" spans="1:21" x14ac:dyDescent="0.25">
      <c r="A8" s="83" t="s">
        <v>58</v>
      </c>
      <c r="B8" s="4">
        <f>INDEX(TBL_REGIONS_INDEX[Index],MATCH(TBL_DEMAND[[#This Row],[Region]],TBL_REGIONS_INDEX[Region],0))</f>
        <v>3</v>
      </c>
      <c r="C8" s="29">
        <v>3</v>
      </c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17"/>
      <c r="U8" s="21" t="str">
        <f>"Demand_"&amp;TEXT(TBL_DEMAND[[#This Row],[Index]],"000")</f>
        <v>Demand_003</v>
      </c>
    </row>
    <row r="9" spans="1:21" x14ac:dyDescent="0.25">
      <c r="A9" s="83" t="s">
        <v>59</v>
      </c>
      <c r="B9" s="4">
        <f>INDEX(TBL_REGIONS_INDEX[Index],MATCH(TBL_DEMAND[[#This Row],[Region]],TBL_REGIONS_INDEX[Region],0))</f>
        <v>4</v>
      </c>
      <c r="C9" s="29">
        <v>8</v>
      </c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17"/>
      <c r="U9" s="21" t="str">
        <f>"Demand_"&amp;TEXT(TBL_DEMAND[[#This Row],[Index]],"000")</f>
        <v>Demand_004</v>
      </c>
    </row>
    <row r="10" spans="1:21" x14ac:dyDescent="0.25">
      <c r="A10" s="83" t="s">
        <v>190</v>
      </c>
      <c r="B10" s="4">
        <f>INDEX(TBL_REGIONS_INDEX[Index],MATCH(TBL_DEMAND[[#This Row],[Region]],TBL_REGIONS_INDEX[Region],0))</f>
        <v>5</v>
      </c>
      <c r="C10" s="29">
        <v>2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17"/>
      <c r="U10" s="21" t="str">
        <f>"Demand_"&amp;TEXT(TBL_DEMAND[[#This Row],[Index]],"000")</f>
        <v>Demand_005</v>
      </c>
    </row>
  </sheetData>
  <dataValidations count="2">
    <dataValidation type="list" allowBlank="1" showInputMessage="1" showErrorMessage="1" sqref="A6:A10" xr:uid="{82CFC977-746C-4457-A377-C813B9F7534A}">
      <formula1>INDIRECT("TBL_REGIONS_INDEX[Region]")</formula1>
    </dataValidation>
    <dataValidation type="decimal" operator="greaterThanOrEqual" allowBlank="1" showInputMessage="1" showErrorMessage="1" sqref="C6:S10" xr:uid="{0E3DC7C2-6ECB-43C4-9ED0-8579AD081B53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9EF7C-86C7-44F8-944F-E8CFADDA8DC6}">
  <sheetPr codeName="Sheet5">
    <tabColor theme="5"/>
  </sheetPr>
  <dimension ref="A1:V10"/>
  <sheetViews>
    <sheetView workbookViewId="0">
      <selection activeCell="C8" sqref="C8"/>
    </sheetView>
  </sheetViews>
  <sheetFormatPr defaultColWidth="9.140625" defaultRowHeight="15" outlineLevelCol="1" x14ac:dyDescent="0.25"/>
  <cols>
    <col min="1" max="1" width="28.5703125" customWidth="1"/>
    <col min="2" max="2" width="0.710937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151</v>
      </c>
    </row>
    <row r="2" spans="1:21" x14ac:dyDescent="0.25">
      <c r="A2" s="1" t="s">
        <v>150</v>
      </c>
    </row>
    <row r="4" spans="1:21" x14ac:dyDescent="0.25">
      <c r="A4" s="5" t="s">
        <v>119</v>
      </c>
    </row>
    <row r="5" spans="1:21" x14ac:dyDescent="0.25">
      <c r="A5" t="s">
        <v>0</v>
      </c>
      <c r="B5" t="s">
        <v>1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21</v>
      </c>
      <c r="T5" s="2" t="s">
        <v>28</v>
      </c>
      <c r="U5" s="2" t="s">
        <v>33</v>
      </c>
    </row>
    <row r="6" spans="1:21" x14ac:dyDescent="0.25">
      <c r="A6" s="83" t="s">
        <v>56</v>
      </c>
      <c r="B6" s="4">
        <f>INDEX(TBL_REGIONS_INDEX[Index],MATCH(TBL_PRODUCTION[[#This Row],[Region]],TBL_REGIONS_INDEX[Region],0))</f>
        <v>1</v>
      </c>
      <c r="C6" s="29">
        <v>2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17"/>
      <c r="U6" s="21" t="str">
        <f>"Production_"&amp;TEXT(TBL_PRODUCTION[[#This Row],[Index]],"000")</f>
        <v>Production_001</v>
      </c>
    </row>
    <row r="7" spans="1:21" x14ac:dyDescent="0.25">
      <c r="A7" s="83" t="s">
        <v>57</v>
      </c>
      <c r="B7" s="4">
        <f>INDEX(TBL_REGIONS_INDEX[Index],MATCH(TBL_PRODUCTION[[#This Row],[Region]],TBL_REGIONS_INDEX[Region],0))</f>
        <v>2</v>
      </c>
      <c r="C7" s="29">
        <v>2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17"/>
      <c r="U7" s="21" t="str">
        <f>"Production_"&amp;TEXT(TBL_PRODUCTION[[#This Row],[Index]],"000")</f>
        <v>Production_002</v>
      </c>
    </row>
    <row r="8" spans="1:21" x14ac:dyDescent="0.25">
      <c r="A8" s="83" t="s">
        <v>58</v>
      </c>
      <c r="B8" s="4">
        <f>INDEX(TBL_REGIONS_INDEX[Index],MATCH(TBL_PRODUCTION[[#This Row],[Region]],TBL_REGIONS_INDEX[Region],0))</f>
        <v>3</v>
      </c>
      <c r="C8" s="29">
        <v>1</v>
      </c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17"/>
      <c r="U8" s="21" t="str">
        <f>"Production_"&amp;TEXT(TBL_PRODUCTION[[#This Row],[Index]],"000")</f>
        <v>Production_003</v>
      </c>
    </row>
    <row r="9" spans="1:21" x14ac:dyDescent="0.25">
      <c r="A9" s="83" t="s">
        <v>59</v>
      </c>
      <c r="B9" s="4">
        <f>INDEX(TBL_REGIONS_INDEX[Index],MATCH(TBL_PRODUCTION[[#This Row],[Region]],TBL_REGIONS_INDEX[Region],0))</f>
        <v>4</v>
      </c>
      <c r="C9" s="29">
        <v>9</v>
      </c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17"/>
      <c r="U9" s="21" t="str">
        <f>"Production_"&amp;TEXT(TBL_PRODUCTION[[#This Row],[Index]],"000")</f>
        <v>Production_004</v>
      </c>
    </row>
    <row r="10" spans="1:21" x14ac:dyDescent="0.25">
      <c r="A10" s="83" t="s">
        <v>190</v>
      </c>
      <c r="B10" s="4">
        <f>INDEX(TBL_REGIONS_INDEX[Index],MATCH(TBL_PRODUCTION[[#This Row],[Region]],TBL_REGIONS_INDEX[Region],0))</f>
        <v>5</v>
      </c>
      <c r="C10" s="29">
        <v>1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17"/>
      <c r="U10" s="21" t="str">
        <f>"Production_"&amp;TEXT(TBL_PRODUCTION[[#This Row],[Index]],"000")</f>
        <v>Production_005</v>
      </c>
    </row>
  </sheetData>
  <dataValidations count="2">
    <dataValidation type="list" allowBlank="1" showInputMessage="1" showErrorMessage="1" sqref="A6:A10" xr:uid="{48FD369F-DE0B-498D-A263-DB59B27F680F}">
      <formula1>INDIRECT("TBL_REGIONS_INDEX[Region]")</formula1>
    </dataValidation>
    <dataValidation type="decimal" operator="greaterThanOrEqual" allowBlank="1" showInputMessage="1" showErrorMessage="1" sqref="C6:S10" xr:uid="{4C4EEBC7-A632-4E52-90DF-4A8652AE5F27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002AF-D60F-4488-88AB-FC1D7170F995}">
  <sheetPr codeName="Sheet6">
    <tabColor theme="4"/>
  </sheetPr>
  <dimension ref="A1:E7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153</v>
      </c>
    </row>
    <row r="2" spans="1:4" x14ac:dyDescent="0.25">
      <c r="A2" s="1"/>
    </row>
    <row r="5" spans="1:4" x14ac:dyDescent="0.25">
      <c r="A5" t="s">
        <v>35</v>
      </c>
      <c r="B5" t="s">
        <v>1</v>
      </c>
      <c r="C5" t="s">
        <v>3</v>
      </c>
      <c r="D5" s="2" t="s">
        <v>34</v>
      </c>
    </row>
    <row r="6" spans="1:4" x14ac:dyDescent="0.25">
      <c r="A6" s="82" t="s">
        <v>30</v>
      </c>
      <c r="B6" s="4">
        <f>ROW(1:1)</f>
        <v>1</v>
      </c>
      <c r="C6" s="20"/>
      <c r="D6" s="21" t="str">
        <f>"PipedImporter_"&amp;TEXT(TBL_PIPED_IMPORTERS[[#This Row],[Index]],"000")</f>
        <v>PipedImporter_001</v>
      </c>
    </row>
    <row r="7" spans="1:4" x14ac:dyDescent="0.25">
      <c r="A7" s="82" t="s">
        <v>69</v>
      </c>
      <c r="B7" s="4">
        <f>ROW(2:2)</f>
        <v>2</v>
      </c>
      <c r="C7" s="20"/>
      <c r="D7" s="21" t="str">
        <f>"PipedImporter_"&amp;TEXT(TBL_PIPED_IMPORTERS[[#This Row],[Index]],"000")</f>
        <v>PipedImporter_002</v>
      </c>
    </row>
  </sheetData>
  <dataValidations count="1">
    <dataValidation type="custom" allowBlank="1" showInputMessage="1" showErrorMessage="1" sqref="A6:C7" xr:uid="{55AF58CB-1CDA-48FC-9C29-FCA014A29DC6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88110-8275-404E-9E4B-A29B463AFD4B}">
  <sheetPr codeName="Sheet7">
    <tabColor theme="4"/>
  </sheetPr>
  <dimension ref="A1:U7"/>
  <sheetViews>
    <sheetView workbookViewId="0">
      <selection activeCell="C9" sqref="C9"/>
    </sheetView>
  </sheetViews>
  <sheetFormatPr defaultColWidth="9.140625" defaultRowHeight="15" outlineLevelCol="1" x14ac:dyDescent="0.25"/>
  <cols>
    <col min="1" max="1" width="28.5703125" customWidth="1"/>
    <col min="2" max="2" width="0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bestFit="1" customWidth="1" outlineLevel="1"/>
  </cols>
  <sheetData>
    <row r="1" spans="1:21" x14ac:dyDescent="0.25">
      <c r="A1" s="1" t="s">
        <v>160</v>
      </c>
    </row>
    <row r="2" spans="1:21" x14ac:dyDescent="0.25">
      <c r="A2" s="1" t="s">
        <v>176</v>
      </c>
    </row>
    <row r="4" spans="1:21" x14ac:dyDescent="0.25">
      <c r="A4" s="5" t="s">
        <v>119</v>
      </c>
    </row>
    <row r="5" spans="1:21" x14ac:dyDescent="0.25">
      <c r="A5" t="s">
        <v>35</v>
      </c>
      <c r="B5" t="s">
        <v>1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21</v>
      </c>
      <c r="T5" s="2" t="s">
        <v>28</v>
      </c>
      <c r="U5" s="2" t="s">
        <v>36</v>
      </c>
    </row>
    <row r="6" spans="1:21" x14ac:dyDescent="0.25">
      <c r="A6" s="83" t="s">
        <v>30</v>
      </c>
      <c r="B6" s="4">
        <f>INDEX(TBL_REGIONS_INDEX[Index],MATCH(TBL_PIPED_IMPORTERS_PRODUCTION[[#This Row],[Importer]],TBL_PIPED_IMPORTERS[Importer],0))</f>
        <v>1</v>
      </c>
      <c r="C6" s="29">
        <v>1</v>
      </c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17"/>
      <c r="U6" s="21" t="str">
        <f>"PipedImporterProduction_"&amp;TEXT(TBL_PIPED_IMPORTERS_PRODUCTION[[#This Row],[Index]],"000")</f>
        <v>PipedImporterProduction_001</v>
      </c>
    </row>
    <row r="7" spans="1:21" x14ac:dyDescent="0.25">
      <c r="A7" s="83" t="s">
        <v>69</v>
      </c>
      <c r="B7" s="4">
        <f>INDEX(TBL_REGIONS_INDEX[Index],MATCH(TBL_PIPED_IMPORTERS_PRODUCTION[[#This Row],[Importer]],TBL_PIPED_IMPORTERS[Importer],0))</f>
        <v>2</v>
      </c>
      <c r="C7" s="29">
        <v>1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17"/>
      <c r="U7" s="21" t="str">
        <f>"PipedImporterProduction_"&amp;TEXT(TBL_PIPED_IMPORTERS_PRODUCTION[[#This Row],[Index]],"000")</f>
        <v>PipedImporterProduction_002</v>
      </c>
    </row>
  </sheetData>
  <dataValidations count="2">
    <dataValidation type="list" allowBlank="1" showInputMessage="1" showErrorMessage="1" sqref="A6:A7" xr:uid="{C7B92B02-47D6-42E7-89EC-5B27E9A86064}">
      <formula1>INDIRECT("TBL_PIPED_IMPORTERS[Importer]")</formula1>
    </dataValidation>
    <dataValidation type="decimal" operator="greaterThanOrEqual" allowBlank="1" showInputMessage="1" showErrorMessage="1" sqref="C6:S7" xr:uid="{B2F4FD3C-776F-499B-B239-C4EDFCAD6157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99C18-4644-4460-A709-2FC0C0ED6879}">
  <sheetPr codeName="Sheet8">
    <tabColor theme="4"/>
  </sheetPr>
  <dimension ref="A1:Z11"/>
  <sheetViews>
    <sheetView workbookViewId="0">
      <selection activeCell="C8" sqref="C8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36.8554687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bestFit="1" customWidth="1" outlineLevel="1"/>
  </cols>
  <sheetData>
    <row r="1" spans="1:9" x14ac:dyDescent="0.25">
      <c r="A1" s="1" t="s">
        <v>156</v>
      </c>
    </row>
    <row r="5" spans="1:9" x14ac:dyDescent="0.25">
      <c r="A5" t="s">
        <v>35</v>
      </c>
      <c r="B5" t="s">
        <v>157</v>
      </c>
      <c r="C5" t="s">
        <v>0</v>
      </c>
      <c r="D5" t="s">
        <v>37</v>
      </c>
      <c r="E5" t="s">
        <v>39</v>
      </c>
      <c r="F5" t="s">
        <v>159</v>
      </c>
      <c r="G5" t="s">
        <v>158</v>
      </c>
      <c r="H5" s="2" t="s">
        <v>3</v>
      </c>
      <c r="I5" s="2" t="s">
        <v>38</v>
      </c>
    </row>
    <row r="6" spans="1:9" x14ac:dyDescent="0.25">
      <c r="A6" s="83" t="s">
        <v>30</v>
      </c>
      <c r="B6" s="4">
        <f>INDEX(TBL_REGIONS_INDEX[Index],MATCH(TBL_PIPED_IMPORTERS_CONNECTIONS[[#This Row],[Importer]],TBL_PIPED_IMPORTERS[Importer],0))</f>
        <v>1</v>
      </c>
      <c r="C6" s="86" t="s">
        <v>56</v>
      </c>
      <c r="D6" s="4">
        <f>INDEX(TBL_REGIONS_INDEX[Index],MATCH(TBL_PIPED_IMPORTERS_CONNECTIONS[[#This Row],[Region]],TBL_REGIONS_INDEX[Region],0))</f>
        <v>1</v>
      </c>
      <c r="E6" s="88" t="s">
        <v>155</v>
      </c>
      <c r="F6" s="4" t="str">
        <f>TEXT(TBL_PIPED_IMPORTERS_CONNECTIONS[[#This Row],[Importer Index]],"000")&amp;TEXT(TBL_PIPED_IMPORTERS_CONNECTIONS[[#This Row],[Region Index]],"000")</f>
        <v>001001</v>
      </c>
      <c r="G6" s="4">
        <f>COUNTIF($F$6:$F6,$F6)</f>
        <v>1</v>
      </c>
      <c r="H6" s="17"/>
      <c r="I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PipedImporterConnection_001_001_001</v>
      </c>
    </row>
    <row r="7" spans="1:9" x14ac:dyDescent="0.25">
      <c r="A7" s="83" t="s">
        <v>30</v>
      </c>
      <c r="B7" s="4">
        <f>INDEX(TBL_REGIONS_INDEX[Index],MATCH(TBL_PIPED_IMPORTERS_CONNECTIONS[[#This Row],[Importer]],TBL_PIPED_IMPORTERS[Importer],0))</f>
        <v>1</v>
      </c>
      <c r="C7" s="87" t="s">
        <v>57</v>
      </c>
      <c r="D7" s="4">
        <f>INDEX(TBL_REGIONS_INDEX[Index],MATCH(TBL_PIPED_IMPORTERS_CONNECTIONS[[#This Row],[Region]],TBL_REGIONS_INDEX[Region],0))</f>
        <v>2</v>
      </c>
      <c r="E7" s="88" t="s">
        <v>70</v>
      </c>
      <c r="F7" s="4" t="str">
        <f>TEXT(TBL_PIPED_IMPORTERS_CONNECTIONS[[#This Row],[Importer Index]],"000")&amp;TEXT(TBL_PIPED_IMPORTERS_CONNECTIONS[[#This Row],[Region Index]],"000")</f>
        <v>001002</v>
      </c>
      <c r="G7" s="4">
        <f>COUNTIF($F$6:$F7,$F7)</f>
        <v>1</v>
      </c>
      <c r="H7" s="17"/>
      <c r="I7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8" spans="1:9" x14ac:dyDescent="0.25">
      <c r="A8" s="83" t="s">
        <v>30</v>
      </c>
      <c r="B8" s="4">
        <f>INDEX(TBL_REGIONS_INDEX[Index],MATCH(TBL_PIPED_IMPORTERS_CONNECTIONS[[#This Row],[Importer]],TBL_PIPED_IMPORTERS[Importer],0))</f>
        <v>1</v>
      </c>
      <c r="C8" s="87" t="s">
        <v>58</v>
      </c>
      <c r="D8" s="4">
        <f>INDEX(TBL_REGIONS_INDEX[Index],MATCH(TBL_PIPED_IMPORTERS_CONNECTIONS[[#This Row],[Region]],TBL_REGIONS_INDEX[Region],0))</f>
        <v>3</v>
      </c>
      <c r="E8" s="88" t="s">
        <v>71</v>
      </c>
      <c r="F8" s="4" t="str">
        <f>TEXT(TBL_PIPED_IMPORTERS_CONNECTIONS[[#This Row],[Importer Index]],"000")&amp;TEXT(TBL_PIPED_IMPORTERS_CONNECTIONS[[#This Row],[Region Index]],"000")</f>
        <v>001003</v>
      </c>
      <c r="G8" s="4">
        <f>COUNTIF($F$6:$F8,$F8)</f>
        <v>1</v>
      </c>
      <c r="H8" s="17"/>
      <c r="I8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PipedImporterConnection_001_003_001</v>
      </c>
    </row>
    <row r="9" spans="1:9" x14ac:dyDescent="0.25">
      <c r="A9" s="83" t="s">
        <v>69</v>
      </c>
      <c r="B9" s="4">
        <f>INDEX(TBL_REGIONS_INDEX[Index],MATCH(TBL_PIPED_IMPORTERS_CONNECTIONS[[#This Row],[Importer]],TBL_PIPED_IMPORTERS[Importer],0))</f>
        <v>2</v>
      </c>
      <c r="C9" s="87" t="s">
        <v>57</v>
      </c>
      <c r="D9" s="4">
        <f>INDEX(TBL_REGIONS_INDEX[Index],MATCH(TBL_PIPED_IMPORTERS_CONNECTIONS[[#This Row],[Region]],TBL_REGIONS_INDEX[Region],0))</f>
        <v>2</v>
      </c>
      <c r="E9" s="88" t="s">
        <v>72</v>
      </c>
      <c r="F9" s="4" t="str">
        <f>TEXT(TBL_PIPED_IMPORTERS_CONNECTIONS[[#This Row],[Importer Index]],"000")&amp;TEXT(TBL_PIPED_IMPORTERS_CONNECTIONS[[#This Row],[Region Index]],"000")</f>
        <v>002002</v>
      </c>
      <c r="G9" s="4">
        <f>COUNTIF($F$6:$F9,$F9)</f>
        <v>1</v>
      </c>
      <c r="H9" s="17"/>
      <c r="I9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PipedImporterConnection_002_002_001</v>
      </c>
    </row>
    <row r="10" spans="1:9" x14ac:dyDescent="0.25">
      <c r="A10" s="83" t="s">
        <v>69</v>
      </c>
      <c r="B10" s="4">
        <f>INDEX(TBL_REGIONS_INDEX[Index],MATCH(TBL_PIPED_IMPORTERS_CONNECTIONS[[#This Row],[Importer]],TBL_PIPED_IMPORTERS[Importer],0))</f>
        <v>2</v>
      </c>
      <c r="C10" s="87" t="s">
        <v>59</v>
      </c>
      <c r="D10" s="4">
        <f>INDEX(TBL_REGIONS_INDEX[Index],MATCH(TBL_PIPED_IMPORTERS_CONNECTIONS[[#This Row],[Region]],TBL_REGIONS_INDEX[Region],0))</f>
        <v>4</v>
      </c>
      <c r="E10" s="88" t="s">
        <v>73</v>
      </c>
      <c r="F10" s="4" t="str">
        <f>TEXT(TBL_PIPED_IMPORTERS_CONNECTIONS[[#This Row],[Importer Index]],"000")&amp;TEXT(TBL_PIPED_IMPORTERS_CONNECTIONS[[#This Row],[Region Index]],"000")</f>
        <v>002004</v>
      </c>
      <c r="G10" s="4">
        <f>COUNTIF($F$6:$F10,$F10)</f>
        <v>1</v>
      </c>
      <c r="H10" s="17"/>
      <c r="I10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PipedImporterConnection_002_004_001</v>
      </c>
    </row>
    <row r="11" spans="1:9" x14ac:dyDescent="0.25">
      <c r="A11" s="83" t="s">
        <v>30</v>
      </c>
      <c r="B11" s="4">
        <f>INDEX(TBL_REGIONS_INDEX[Index],MATCH(TBL_PIPED_IMPORTERS_CONNECTIONS[[#This Row],[Importer]],TBL_PIPED_IMPORTERS[Importer],0))</f>
        <v>1</v>
      </c>
      <c r="C11" s="87" t="s">
        <v>56</v>
      </c>
      <c r="D11" s="4">
        <f>INDEX(TBL_REGIONS_INDEX[Index],MATCH(TBL_PIPED_IMPORTERS_CONNECTIONS[[#This Row],[Region]],TBL_REGIONS_INDEX[Region],0))</f>
        <v>1</v>
      </c>
      <c r="E11" s="88" t="s">
        <v>154</v>
      </c>
      <c r="F11" s="84" t="str">
        <f>TEXT(TBL_PIPED_IMPORTERS_CONNECTIONS[[#This Row],[Importer Index]],"000")&amp;TEXT(TBL_PIPED_IMPORTERS_CONNECTIONS[[#This Row],[Region Index]],"000")</f>
        <v>001001</v>
      </c>
      <c r="G11" s="84">
        <f>COUNTIF($F$6:$F11,$F11)</f>
        <v>2</v>
      </c>
      <c r="H11" s="17"/>
      <c r="I11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PipedImporterConnection_001_001_002</v>
      </c>
    </row>
  </sheetData>
  <phoneticPr fontId="5" type="noConversion"/>
  <dataValidations count="3">
    <dataValidation type="list" allowBlank="1" showInputMessage="1" showErrorMessage="1" sqref="A6:A11" xr:uid="{5AE96752-F0D2-48A2-BFAE-592837F4AA07}">
      <formula1>INDIRECT("TBL_PIPED_IMPORTERS[Importer]")</formula1>
    </dataValidation>
    <dataValidation type="list" allowBlank="1" showInputMessage="1" showErrorMessage="1" sqref="C6:C11" xr:uid="{321EF8A6-46BD-4618-850C-5BBFA6BDB2DB}">
      <formula1>INDIRECT("TBL_REGIONS_INDEX[Region]")</formula1>
    </dataValidation>
    <dataValidation type="custom" allowBlank="1" showInputMessage="1" showErrorMessage="1" sqref="E6:E11" xr:uid="{3CDEE79A-1528-4038-8CE8-84D17AE0D2CE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1D58C-6E64-4AEF-9A0C-33D7AFE004EB}">
  <sheetPr codeName="Sheet9">
    <tabColor theme="4"/>
  </sheetPr>
  <dimension ref="A1:Y445"/>
  <sheetViews>
    <sheetView tabSelected="1" topLeftCell="B1" workbookViewId="0">
      <selection activeCell="E8" sqref="E8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6.85546875" hidden="1" customWidth="1" outlineLevel="1"/>
    <col min="24" max="24" width="36.140625" hidden="1" customWidth="1" outlineLevel="1"/>
    <col min="25" max="25" width="9.140625" collapsed="1"/>
  </cols>
  <sheetData>
    <row r="1" spans="1:24" x14ac:dyDescent="0.25">
      <c r="B1" s="1" t="s">
        <v>74</v>
      </c>
    </row>
    <row r="2" spans="1:24" x14ac:dyDescent="0.25">
      <c r="B2" s="1" t="s">
        <v>161</v>
      </c>
    </row>
    <row r="3" spans="1:24" x14ac:dyDescent="0.25">
      <c r="B3" s="1" t="s">
        <v>162</v>
      </c>
    </row>
    <row r="4" spans="1:24" x14ac:dyDescent="0.25">
      <c r="B4" s="1" t="s">
        <v>97</v>
      </c>
    </row>
    <row r="5" spans="1:24" x14ac:dyDescent="0.25">
      <c r="B5" s="8" t="s">
        <v>40</v>
      </c>
      <c r="C5" s="8" t="s">
        <v>41</v>
      </c>
      <c r="D5" s="8" t="s">
        <v>42</v>
      </c>
      <c r="E5" s="22" t="s">
        <v>5</v>
      </c>
      <c r="F5" s="22" t="s">
        <v>6</v>
      </c>
      <c r="G5" s="22" t="s">
        <v>7</v>
      </c>
      <c r="H5" s="22" t="s">
        <v>8</v>
      </c>
      <c r="I5" s="22" t="s">
        <v>9</v>
      </c>
      <c r="J5" s="22" t="s">
        <v>10</v>
      </c>
      <c r="K5" s="22" t="s">
        <v>11</v>
      </c>
      <c r="L5" s="22" t="s">
        <v>12</v>
      </c>
      <c r="M5" s="22" t="s">
        <v>13</v>
      </c>
      <c r="N5" s="22" t="s">
        <v>14</v>
      </c>
      <c r="O5" s="22" t="s">
        <v>15</v>
      </c>
      <c r="P5" s="22" t="s">
        <v>16</v>
      </c>
      <c r="Q5" s="22" t="s">
        <v>17</v>
      </c>
      <c r="R5" s="22" t="s">
        <v>18</v>
      </c>
      <c r="S5" s="22" t="s">
        <v>19</v>
      </c>
      <c r="T5" s="22" t="s">
        <v>20</v>
      </c>
      <c r="U5" s="22" t="s">
        <v>21</v>
      </c>
      <c r="V5" s="8" t="s">
        <v>28</v>
      </c>
      <c r="W5" s="23" t="s">
        <v>38</v>
      </c>
      <c r="X5" s="30" t="s">
        <v>49</v>
      </c>
    </row>
    <row r="6" spans="1:24" x14ac:dyDescent="0.25">
      <c r="A6" s="94">
        <v>1</v>
      </c>
      <c r="B6" s="117" t="str">
        <f>IFERROR(INDEX(TBL_PIPED_IMPORTERS_CONNECTIONS[Name],$A6),"")</f>
        <v>Import Nor-DE I</v>
      </c>
      <c r="C6" s="89" t="s">
        <v>43</v>
      </c>
      <c r="D6" s="90" t="s">
        <v>119</v>
      </c>
      <c r="E6" s="27">
        <v>0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5"/>
      <c r="W6" s="31" t="str">
        <f>INDEX(TBL_PIPED_IMPORTERS_CONNECTIONS[PipedImporterConnectionID],$A6)</f>
        <v>PipedImporterConnection_001_001_001</v>
      </c>
      <c r="X6" s="31" t="str">
        <f>"PipedImporterCapMin_"&amp;RIGHT($W6,11)</f>
        <v>PipedImporterCapMin_001_001_001</v>
      </c>
    </row>
    <row r="7" spans="1:24" x14ac:dyDescent="0.25">
      <c r="A7" s="94">
        <f>$A6</f>
        <v>1</v>
      </c>
      <c r="B7" s="118"/>
      <c r="C7" s="91" t="s">
        <v>44</v>
      </c>
      <c r="D7" s="92" t="s">
        <v>119</v>
      </c>
      <c r="E7" s="28">
        <v>10</v>
      </c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6"/>
      <c r="W7" s="31" t="str">
        <f>INDEX(TBL_PIPED_IMPORTERS_CONNECTIONS[PipedImporterConnectionID],$A7)</f>
        <v>PipedImporterConnection_001_001_001</v>
      </c>
      <c r="X7" s="31" t="str">
        <f>"PipedImporterCapMax_"&amp;RIGHT($W7,11)</f>
        <v>PipedImporterCapMax_001_001_001</v>
      </c>
    </row>
    <row r="8" spans="1:24" x14ac:dyDescent="0.25">
      <c r="A8" s="94">
        <f>$A7</f>
        <v>1</v>
      </c>
      <c r="B8" s="118"/>
      <c r="C8" s="89" t="s">
        <v>120</v>
      </c>
      <c r="D8" s="90" t="s">
        <v>46</v>
      </c>
      <c r="E8" s="27">
        <v>0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5"/>
      <c r="W8" s="31" t="str">
        <f>INDEX(TBL_PIPED_IMPORTERS_CONNECTIONS[PipedImporterConnectionID],$A8)</f>
        <v>PipedImporterConnection_001_001_001</v>
      </c>
      <c r="X8" s="31" t="str">
        <f>"PipedImporterTariffFixed_"&amp;RIGHT($W8,11)</f>
        <v>PipedImporterTariffFixed_001_001_001</v>
      </c>
    </row>
    <row r="9" spans="1:24" x14ac:dyDescent="0.25">
      <c r="A9" s="94">
        <f>$A8</f>
        <v>1</v>
      </c>
      <c r="B9" s="119"/>
      <c r="C9" s="91" t="s">
        <v>121</v>
      </c>
      <c r="D9" s="92" t="s">
        <v>48</v>
      </c>
      <c r="E9" s="28">
        <v>0.5</v>
      </c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6"/>
      <c r="W9" s="31" t="str">
        <f>INDEX(TBL_PIPED_IMPORTERS_CONNECTIONS[PipedImporterConnectionID],$A9)</f>
        <v>PipedImporterConnection_001_001_001</v>
      </c>
      <c r="X9" s="31" t="str">
        <f>"PipedImporterTariffVar_"&amp;RIGHT($W9,11)</f>
        <v>PipedImporterTariffVar_001_001_001</v>
      </c>
    </row>
    <row r="10" spans="1:24" x14ac:dyDescent="0.25">
      <c r="A10" s="94">
        <f>$A6+1</f>
        <v>2</v>
      </c>
      <c r="B10" s="117" t="str">
        <f>IFERROR(INDEX(TBL_PIPED_IMPORTERS_CONNECTIONS[Name],$A10),"")</f>
        <v>Import Nor-FR</v>
      </c>
      <c r="C10" s="93" t="str">
        <f>IF($B10&lt;&gt;"",C6,"")</f>
        <v>Capacity - Min</v>
      </c>
      <c r="D10" s="93" t="str">
        <f>IF($B10&lt;&gt;"",D6,"")</f>
        <v>mcm/day</v>
      </c>
      <c r="E10" s="27">
        <v>0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5"/>
      <c r="W10" s="31" t="str">
        <f>INDEX(TBL_PIPED_IMPORTERS_CONNECTIONS[PipedImporterConnectionID],$A10)</f>
        <v>PipedImporterConnection_001_002_001</v>
      </c>
      <c r="X10" s="31" t="str">
        <f>"PipedImporterCapMin_"&amp;RIGHT($W10,11)</f>
        <v>PipedImporterCapMin_001_002_001</v>
      </c>
    </row>
    <row r="11" spans="1:24" x14ac:dyDescent="0.25">
      <c r="A11" s="94">
        <f>$A10</f>
        <v>2</v>
      </c>
      <c r="B11" s="118"/>
      <c r="C11" s="93" t="str">
        <f>IF($B10&lt;&gt;"",C7,"")</f>
        <v>Capacity - Max</v>
      </c>
      <c r="D11" s="93" t="str">
        <f>IF($B10&lt;&gt;"",D7,"")</f>
        <v>mcm/day</v>
      </c>
      <c r="E11" s="28">
        <v>7</v>
      </c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6"/>
      <c r="W11" s="31" t="str">
        <f>INDEX(TBL_PIPED_IMPORTERS_CONNECTIONS[PipedImporterConnectionID],$A11)</f>
        <v>PipedImporterConnection_001_002_001</v>
      </c>
      <c r="X11" s="31" t="str">
        <f>"PipedImporterCapMax_"&amp;RIGHT($W11,11)</f>
        <v>PipedImporterCapMax_001_002_001</v>
      </c>
    </row>
    <row r="12" spans="1:24" x14ac:dyDescent="0.25">
      <c r="A12" s="94">
        <f>$A11</f>
        <v>2</v>
      </c>
      <c r="B12" s="118"/>
      <c r="C12" s="93" t="str">
        <f>IF($B10&lt;&gt;"",C8,"")</f>
        <v>Cost to Market - fixed</v>
      </c>
      <c r="D12" s="93" t="str">
        <f>IF($B10&lt;&gt;"",D8,"")</f>
        <v>EUR/month</v>
      </c>
      <c r="E12" s="27">
        <v>0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5"/>
      <c r="W12" s="31" t="str">
        <f>INDEX(TBL_PIPED_IMPORTERS_CONNECTIONS[PipedImporterConnectionID],$A12)</f>
        <v>PipedImporterConnection_001_002_001</v>
      </c>
      <c r="X12" s="31" t="str">
        <f>"PipedImporterTariffFixed_"&amp;RIGHT($W12,11)</f>
        <v>PipedImporterTariffFixed_001_002_001</v>
      </c>
    </row>
    <row r="13" spans="1:24" x14ac:dyDescent="0.25">
      <c r="A13" s="94">
        <f>$A12</f>
        <v>2</v>
      </c>
      <c r="B13" s="119"/>
      <c r="C13" s="93" t="str">
        <f>IF($B10&lt;&gt;"",C9,"")</f>
        <v>Cost to Market - variable</v>
      </c>
      <c r="D13" s="93" t="str">
        <f>IF($B10&lt;&gt;"",D9,"")</f>
        <v>EUR/MWh</v>
      </c>
      <c r="E13" s="28">
        <v>0.3</v>
      </c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6"/>
      <c r="W13" s="31" t="str">
        <f>INDEX(TBL_PIPED_IMPORTERS_CONNECTIONS[PipedImporterConnectionID],$A13)</f>
        <v>PipedImporterConnection_001_002_001</v>
      </c>
      <c r="X13" s="31" t="str">
        <f>"PipedImporterTariffVar_"&amp;RIGHT($W13,11)</f>
        <v>PipedImporterTariffVar_001_002_001</v>
      </c>
    </row>
    <row r="14" spans="1:24" x14ac:dyDescent="0.25">
      <c r="A14" s="94">
        <f t="shared" ref="A14" si="0">$A10+1</f>
        <v>3</v>
      </c>
      <c r="B14" s="117" t="str">
        <f>IFERROR(INDEX(TBL_PIPED_IMPORTERS_CONNECTIONS[Name],$A14),"")</f>
        <v>Import Nor-NL</v>
      </c>
      <c r="C14" s="93" t="str">
        <f t="shared" ref="C14:D14" si="1">IF($B14&lt;&gt;"",C10,"")</f>
        <v>Capacity - Min</v>
      </c>
      <c r="D14" s="93" t="str">
        <f t="shared" si="1"/>
        <v>mcm/day</v>
      </c>
      <c r="E14" s="27">
        <v>0.5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5"/>
      <c r="W14" s="31" t="str">
        <f>INDEX(TBL_PIPED_IMPORTERS_CONNECTIONS[PipedImporterConnectionID],$A14)</f>
        <v>PipedImporterConnection_001_003_001</v>
      </c>
      <c r="X14" s="31" t="str">
        <f>"PipedImporterCapMin_"&amp;RIGHT($W14,11)</f>
        <v>PipedImporterCapMin_001_003_001</v>
      </c>
    </row>
    <row r="15" spans="1:24" x14ac:dyDescent="0.25">
      <c r="A15" s="94">
        <f t="shared" ref="A15:A17" si="2">$A14</f>
        <v>3</v>
      </c>
      <c r="B15" s="118"/>
      <c r="C15" s="93" t="str">
        <f t="shared" ref="C15:D15" si="3">IF($B14&lt;&gt;"",C11,"")</f>
        <v>Capacity - Max</v>
      </c>
      <c r="D15" s="93" t="str">
        <f t="shared" si="3"/>
        <v>mcm/day</v>
      </c>
      <c r="E15" s="28">
        <v>1</v>
      </c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6"/>
      <c r="W15" s="31" t="str">
        <f>INDEX(TBL_PIPED_IMPORTERS_CONNECTIONS[PipedImporterConnectionID],$A15)</f>
        <v>PipedImporterConnection_001_003_001</v>
      </c>
      <c r="X15" s="31" t="str">
        <f>"PipedImporterCapMax_"&amp;RIGHT($W15,11)</f>
        <v>PipedImporterCapMax_001_003_001</v>
      </c>
    </row>
    <row r="16" spans="1:24" x14ac:dyDescent="0.25">
      <c r="A16" s="94">
        <f t="shared" si="2"/>
        <v>3</v>
      </c>
      <c r="B16" s="118"/>
      <c r="C16" s="93" t="str">
        <f t="shared" ref="C16:D16" si="4">IF($B14&lt;&gt;"",C12,"")</f>
        <v>Cost to Market - fixed</v>
      </c>
      <c r="D16" s="93" t="str">
        <f t="shared" si="4"/>
        <v>EUR/month</v>
      </c>
      <c r="E16" s="27">
        <v>0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5"/>
      <c r="W16" s="31" t="str">
        <f>INDEX(TBL_PIPED_IMPORTERS_CONNECTIONS[PipedImporterConnectionID],$A16)</f>
        <v>PipedImporterConnection_001_003_001</v>
      </c>
      <c r="X16" s="31" t="str">
        <f>"PipedImporterTariffFixed_"&amp;RIGHT($W16,11)</f>
        <v>PipedImporterTariffFixed_001_003_001</v>
      </c>
    </row>
    <row r="17" spans="1:24" x14ac:dyDescent="0.25">
      <c r="A17" s="94">
        <f t="shared" si="2"/>
        <v>3</v>
      </c>
      <c r="B17" s="119"/>
      <c r="C17" s="93" t="str">
        <f t="shared" ref="C17:D17" si="5">IF($B14&lt;&gt;"",C13,"")</f>
        <v>Cost to Market - variable</v>
      </c>
      <c r="D17" s="93" t="str">
        <f t="shared" si="5"/>
        <v>EUR/MWh</v>
      </c>
      <c r="E17" s="28">
        <v>0.3</v>
      </c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6"/>
      <c r="W17" s="31" t="str">
        <f>INDEX(TBL_PIPED_IMPORTERS_CONNECTIONS[PipedImporterConnectionID],$A17)</f>
        <v>PipedImporterConnection_001_003_001</v>
      </c>
      <c r="X17" s="31" t="str">
        <f>"PipedImporterTariffVar_"&amp;RIGHT($W17,11)</f>
        <v>PipedImporterTariffVar_001_003_001</v>
      </c>
    </row>
    <row r="18" spans="1:24" x14ac:dyDescent="0.25">
      <c r="A18" s="94">
        <f t="shared" ref="A18" si="6">$A14+1</f>
        <v>4</v>
      </c>
      <c r="B18" s="117" t="str">
        <f>IFERROR(INDEX(TBL_PIPED_IMPORTERS_CONNECTIONS[Name],$A18),"")</f>
        <v>Import Alg-FR</v>
      </c>
      <c r="C18" s="93" t="str">
        <f t="shared" ref="C18:D18" si="7">IF($B18&lt;&gt;"",C14,"")</f>
        <v>Capacity - Min</v>
      </c>
      <c r="D18" s="93" t="str">
        <f t="shared" si="7"/>
        <v>mcm/day</v>
      </c>
      <c r="E18" s="27">
        <v>0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5"/>
      <c r="W18" s="31" t="str">
        <f>INDEX(TBL_PIPED_IMPORTERS_CONNECTIONS[PipedImporterConnectionID],$A18)</f>
        <v>PipedImporterConnection_002_002_001</v>
      </c>
      <c r="X18" s="31" t="str">
        <f>"PipedImporterCapMin_"&amp;RIGHT($W18,11)</f>
        <v>PipedImporterCapMin_002_002_001</v>
      </c>
    </row>
    <row r="19" spans="1:24" x14ac:dyDescent="0.25">
      <c r="A19" s="94">
        <f t="shared" ref="A19:A21" si="8">$A18</f>
        <v>4</v>
      </c>
      <c r="B19" s="118"/>
      <c r="C19" s="93" t="str">
        <f t="shared" ref="C19:D19" si="9">IF($B18&lt;&gt;"",C15,"")</f>
        <v>Capacity - Max</v>
      </c>
      <c r="D19" s="93" t="str">
        <f t="shared" si="9"/>
        <v>mcm/day</v>
      </c>
      <c r="E19" s="28">
        <v>2</v>
      </c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6"/>
      <c r="W19" s="31" t="str">
        <f>INDEX(TBL_PIPED_IMPORTERS_CONNECTIONS[PipedImporterConnectionID],$A19)</f>
        <v>PipedImporterConnection_002_002_001</v>
      </c>
      <c r="X19" s="31" t="str">
        <f>"PipedImporterCapMax_"&amp;RIGHT($W19,11)</f>
        <v>PipedImporterCapMax_002_002_001</v>
      </c>
    </row>
    <row r="20" spans="1:24" x14ac:dyDescent="0.25">
      <c r="A20" s="94">
        <f t="shared" si="8"/>
        <v>4</v>
      </c>
      <c r="B20" s="118"/>
      <c r="C20" s="93" t="str">
        <f t="shared" ref="C20:D20" si="10">IF($B18&lt;&gt;"",C16,"")</f>
        <v>Cost to Market - fixed</v>
      </c>
      <c r="D20" s="93" t="str">
        <f t="shared" si="10"/>
        <v>EUR/month</v>
      </c>
      <c r="E20" s="27">
        <v>0</v>
      </c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5"/>
      <c r="W20" s="31" t="str">
        <f>INDEX(TBL_PIPED_IMPORTERS_CONNECTIONS[PipedImporterConnectionID],$A20)</f>
        <v>PipedImporterConnection_002_002_001</v>
      </c>
      <c r="X20" s="31" t="str">
        <f>"PipedImporterTariffFixed_"&amp;RIGHT($W20,11)</f>
        <v>PipedImporterTariffFixed_002_002_001</v>
      </c>
    </row>
    <row r="21" spans="1:24" x14ac:dyDescent="0.25">
      <c r="A21" s="94">
        <f t="shared" si="8"/>
        <v>4</v>
      </c>
      <c r="B21" s="119"/>
      <c r="C21" s="93" t="str">
        <f t="shared" ref="C21:D21" si="11">IF($B18&lt;&gt;"",C17,"")</f>
        <v>Cost to Market - variable</v>
      </c>
      <c r="D21" s="93" t="str">
        <f t="shared" si="11"/>
        <v>EUR/MWh</v>
      </c>
      <c r="E21" s="28">
        <v>0.2</v>
      </c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6"/>
      <c r="W21" s="31" t="str">
        <f>INDEX(TBL_PIPED_IMPORTERS_CONNECTIONS[PipedImporterConnectionID],$A21)</f>
        <v>PipedImporterConnection_002_002_001</v>
      </c>
      <c r="X21" s="31" t="str">
        <f>"PipedImporterTariffVar_"&amp;RIGHT($W21,11)</f>
        <v>PipedImporterTariffVar_002_002_001</v>
      </c>
    </row>
    <row r="22" spans="1:24" x14ac:dyDescent="0.25">
      <c r="A22" s="94">
        <f t="shared" ref="A22" si="12">$A18+1</f>
        <v>5</v>
      </c>
      <c r="B22" s="117" t="str">
        <f>IFERROR(INDEX(TBL_PIPED_IMPORTERS_CONNECTIONS[Name],$A22),"")</f>
        <v>Import Alg-CH</v>
      </c>
      <c r="C22" s="93" t="str">
        <f t="shared" ref="C22:D22" si="13">IF($B22&lt;&gt;"",C18,"")</f>
        <v>Capacity - Min</v>
      </c>
      <c r="D22" s="93" t="str">
        <f t="shared" si="13"/>
        <v>mcm/day</v>
      </c>
      <c r="E22" s="27">
        <v>0</v>
      </c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5"/>
      <c r="W22" s="31" t="str">
        <f>INDEX(TBL_PIPED_IMPORTERS_CONNECTIONS[PipedImporterConnectionID],$A22)</f>
        <v>PipedImporterConnection_002_004_001</v>
      </c>
      <c r="X22" s="31" t="str">
        <f>"PipedImporterCapMin_"&amp;RIGHT($W22,11)</f>
        <v>PipedImporterCapMin_002_004_001</v>
      </c>
    </row>
    <row r="23" spans="1:24" x14ac:dyDescent="0.25">
      <c r="A23" s="94">
        <f t="shared" ref="A23:A25" si="14">$A22</f>
        <v>5</v>
      </c>
      <c r="B23" s="118"/>
      <c r="C23" s="93" t="str">
        <f t="shared" ref="C23:D23" si="15">IF($B22&lt;&gt;"",C19,"")</f>
        <v>Capacity - Max</v>
      </c>
      <c r="D23" s="93" t="str">
        <f t="shared" si="15"/>
        <v>mcm/day</v>
      </c>
      <c r="E23" s="28">
        <v>4</v>
      </c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6"/>
      <c r="W23" s="31" t="str">
        <f>INDEX(TBL_PIPED_IMPORTERS_CONNECTIONS[PipedImporterConnectionID],$A23)</f>
        <v>PipedImporterConnection_002_004_001</v>
      </c>
      <c r="X23" s="31" t="str">
        <f>"PipedImporterCapMax_"&amp;RIGHT($W23,11)</f>
        <v>PipedImporterCapMax_002_004_001</v>
      </c>
    </row>
    <row r="24" spans="1:24" x14ac:dyDescent="0.25">
      <c r="A24" s="94">
        <f t="shared" si="14"/>
        <v>5</v>
      </c>
      <c r="B24" s="118"/>
      <c r="C24" s="93" t="str">
        <f t="shared" ref="C24:D24" si="16">IF($B22&lt;&gt;"",C20,"")</f>
        <v>Cost to Market - fixed</v>
      </c>
      <c r="D24" s="93" t="str">
        <f t="shared" si="16"/>
        <v>EUR/month</v>
      </c>
      <c r="E24" s="27">
        <v>0</v>
      </c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5"/>
      <c r="W24" s="31" t="str">
        <f>INDEX(TBL_PIPED_IMPORTERS_CONNECTIONS[PipedImporterConnectionID],$A24)</f>
        <v>PipedImporterConnection_002_004_001</v>
      </c>
      <c r="X24" s="31" t="str">
        <f>"PipedImporterTariffFixed_"&amp;RIGHT($W24,11)</f>
        <v>PipedImporterTariffFixed_002_004_001</v>
      </c>
    </row>
    <row r="25" spans="1:24" x14ac:dyDescent="0.25">
      <c r="A25" s="94">
        <f t="shared" si="14"/>
        <v>5</v>
      </c>
      <c r="B25" s="119"/>
      <c r="C25" s="93" t="str">
        <f t="shared" ref="C25:D25" si="17">IF($B22&lt;&gt;"",C21,"")</f>
        <v>Cost to Market - variable</v>
      </c>
      <c r="D25" s="93" t="str">
        <f t="shared" si="17"/>
        <v>EUR/MWh</v>
      </c>
      <c r="E25" s="28">
        <v>0.3</v>
      </c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6"/>
      <c r="W25" s="31" t="str">
        <f>INDEX(TBL_PIPED_IMPORTERS_CONNECTIONS[PipedImporterConnectionID],$A25)</f>
        <v>PipedImporterConnection_002_004_001</v>
      </c>
      <c r="X25" s="31" t="str">
        <f>"PipedImporterTariffVar_"&amp;RIGHT($W25,11)</f>
        <v>PipedImporterTariffVar_002_004_001</v>
      </c>
    </row>
    <row r="26" spans="1:24" x14ac:dyDescent="0.25">
      <c r="A26" s="94">
        <f t="shared" ref="A26" si="18">$A22+1</f>
        <v>6</v>
      </c>
      <c r="B26" s="117" t="str">
        <f>IFERROR(INDEX(TBL_PIPED_IMPORTERS_CONNECTIONS[Name],$A26),"")</f>
        <v>Import Nor-DE II</v>
      </c>
      <c r="C26" s="93" t="str">
        <f t="shared" ref="C26:D26" si="19">IF($B26&lt;&gt;"",C22,"")</f>
        <v>Capacity - Min</v>
      </c>
      <c r="D26" s="93" t="str">
        <f t="shared" si="19"/>
        <v>mcm/day</v>
      </c>
      <c r="E26" s="27">
        <v>0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5"/>
      <c r="W26" s="31" t="str">
        <f>INDEX(TBL_PIPED_IMPORTERS_CONNECTIONS[PipedImporterConnectionID],$A26)</f>
        <v>PipedImporterConnection_001_001_002</v>
      </c>
      <c r="X26" s="31" t="str">
        <f>"PipedImporterCapMin_"&amp;RIGHT($W26,11)</f>
        <v>PipedImporterCapMin_001_001_002</v>
      </c>
    </row>
    <row r="27" spans="1:24" x14ac:dyDescent="0.25">
      <c r="A27" s="94">
        <f t="shared" ref="A27:A29" si="20">$A26</f>
        <v>6</v>
      </c>
      <c r="B27" s="118"/>
      <c r="C27" s="93" t="str">
        <f t="shared" ref="C27:D27" si="21">IF($B26&lt;&gt;"",C23,"")</f>
        <v>Capacity - Max</v>
      </c>
      <c r="D27" s="93" t="str">
        <f t="shared" si="21"/>
        <v>mcm/day</v>
      </c>
      <c r="E27" s="28">
        <v>5</v>
      </c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6"/>
      <c r="W27" s="31" t="str">
        <f>INDEX(TBL_PIPED_IMPORTERS_CONNECTIONS[PipedImporterConnectionID],$A27)</f>
        <v>PipedImporterConnection_001_001_002</v>
      </c>
      <c r="X27" s="31" t="str">
        <f>"PipedImporterCapMax_"&amp;RIGHT($W27,11)</f>
        <v>PipedImporterCapMax_001_001_002</v>
      </c>
    </row>
    <row r="28" spans="1:24" x14ac:dyDescent="0.25">
      <c r="A28" s="94">
        <f t="shared" si="20"/>
        <v>6</v>
      </c>
      <c r="B28" s="118"/>
      <c r="C28" s="93" t="str">
        <f t="shared" ref="C28:D28" si="22">IF($B26&lt;&gt;"",C24,"")</f>
        <v>Cost to Market - fixed</v>
      </c>
      <c r="D28" s="93" t="str">
        <f t="shared" si="22"/>
        <v>EUR/month</v>
      </c>
      <c r="E28" s="27">
        <v>0</v>
      </c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5"/>
      <c r="W28" s="31" t="str">
        <f>INDEX(TBL_PIPED_IMPORTERS_CONNECTIONS[PipedImporterConnectionID],$A28)</f>
        <v>PipedImporterConnection_001_001_002</v>
      </c>
      <c r="X28" s="31" t="str">
        <f>"PipedImporterTariffFixed_"&amp;RIGHT($W28,11)</f>
        <v>PipedImporterTariffFixed_001_001_002</v>
      </c>
    </row>
    <row r="29" spans="1:24" x14ac:dyDescent="0.25">
      <c r="A29" s="94">
        <f t="shared" si="20"/>
        <v>6</v>
      </c>
      <c r="B29" s="119"/>
      <c r="C29" s="93" t="str">
        <f t="shared" ref="C29:D29" si="23">IF($B26&lt;&gt;"",C25,"")</f>
        <v>Cost to Market - variable</v>
      </c>
      <c r="D29" s="93" t="str">
        <f t="shared" si="23"/>
        <v>EUR/MWh</v>
      </c>
      <c r="E29" s="28">
        <v>0.7</v>
      </c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6"/>
      <c r="W29" s="31" t="str">
        <f>INDEX(TBL_PIPED_IMPORTERS_CONNECTIONS[PipedImporterConnectionID],$A29)</f>
        <v>PipedImporterConnection_001_001_002</v>
      </c>
      <c r="X29" s="31" t="str">
        <f>"PipedImporterTariffVar_"&amp;RIGHT($W29,11)</f>
        <v>PipedImporterTariffVar_001_001_002</v>
      </c>
    </row>
    <row r="30" spans="1:24" x14ac:dyDescent="0.25">
      <c r="A30" s="94">
        <f t="shared" ref="A30" si="24">$A26+1</f>
        <v>7</v>
      </c>
      <c r="B30" s="117" t="str">
        <f>IFERROR(INDEX(TBL_PIPED_IMPORTERS_CONNECTIONS[Name],$A30),"")</f>
        <v/>
      </c>
      <c r="C30" s="93" t="str">
        <f t="shared" ref="C30:D30" si="25">IF($B30&lt;&gt;"",C26,"")</f>
        <v/>
      </c>
      <c r="D30" s="93" t="str">
        <f t="shared" si="25"/>
        <v/>
      </c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5"/>
      <c r="W30" s="31" t="e">
        <f>INDEX(TBL_PIPED_IMPORTERS_CONNECTIONS[PipedImporterConnectionID],$A30)</f>
        <v>#REF!</v>
      </c>
      <c r="X30" s="31" t="e">
        <f>"PipedImporterCapMin_"&amp;RIGHT($W30,11)</f>
        <v>#REF!</v>
      </c>
    </row>
    <row r="31" spans="1:24" x14ac:dyDescent="0.25">
      <c r="A31" s="94">
        <f t="shared" ref="A31:A33" si="26">$A30</f>
        <v>7</v>
      </c>
      <c r="B31" s="118"/>
      <c r="C31" s="93" t="str">
        <f t="shared" ref="C31:D31" si="27">IF($B30&lt;&gt;"",C27,"")</f>
        <v/>
      </c>
      <c r="D31" s="93" t="str">
        <f t="shared" si="27"/>
        <v/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6"/>
      <c r="W31" s="31" t="e">
        <f>INDEX(TBL_PIPED_IMPORTERS_CONNECTIONS[PipedImporterConnectionID],$A31)</f>
        <v>#REF!</v>
      </c>
      <c r="X31" s="31" t="e">
        <f>"PipedImporterCapMax_"&amp;RIGHT($W31,11)</f>
        <v>#REF!</v>
      </c>
    </row>
    <row r="32" spans="1:24" x14ac:dyDescent="0.25">
      <c r="A32" s="94">
        <f t="shared" si="26"/>
        <v>7</v>
      </c>
      <c r="B32" s="118"/>
      <c r="C32" s="93" t="str">
        <f t="shared" ref="C32:D32" si="28">IF($B30&lt;&gt;"",C28,"")</f>
        <v/>
      </c>
      <c r="D32" s="93" t="str">
        <f t="shared" si="28"/>
        <v/>
      </c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5"/>
      <c r="W32" s="31" t="e">
        <f>INDEX(TBL_PIPED_IMPORTERS_CONNECTIONS[PipedImporterConnectionID],$A32)</f>
        <v>#REF!</v>
      </c>
      <c r="X32" s="31" t="e">
        <f>"PipedImporterTariffFixed_"&amp;RIGHT($W32,11)</f>
        <v>#REF!</v>
      </c>
    </row>
    <row r="33" spans="1:24" x14ac:dyDescent="0.25">
      <c r="A33" s="94">
        <f t="shared" si="26"/>
        <v>7</v>
      </c>
      <c r="B33" s="119"/>
      <c r="C33" s="93" t="str">
        <f t="shared" ref="C33:D33" si="29">IF($B30&lt;&gt;"",C29,"")</f>
        <v/>
      </c>
      <c r="D33" s="93" t="str">
        <f t="shared" si="29"/>
        <v/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6"/>
      <c r="W33" s="31" t="e">
        <f>INDEX(TBL_PIPED_IMPORTERS_CONNECTIONS[PipedImporterConnectionID],$A33)</f>
        <v>#REF!</v>
      </c>
      <c r="X33" s="31" t="e">
        <f>"PipedImporterTariffVar_"&amp;RIGHT($W33,11)</f>
        <v>#REF!</v>
      </c>
    </row>
    <row r="34" spans="1:24" x14ac:dyDescent="0.25">
      <c r="A34" s="94">
        <f t="shared" ref="A34" si="30">$A30+1</f>
        <v>8</v>
      </c>
      <c r="B34" s="117" t="str">
        <f>IFERROR(INDEX(TBL_PIPED_IMPORTERS_CONNECTIONS[Name],$A34),"")</f>
        <v/>
      </c>
      <c r="C34" s="93" t="str">
        <f t="shared" ref="C34:D34" si="31">IF($B34&lt;&gt;"",C30,"")</f>
        <v/>
      </c>
      <c r="D34" s="93" t="str">
        <f t="shared" si="31"/>
        <v/>
      </c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5"/>
      <c r="W34" s="31" t="e">
        <f>INDEX(TBL_PIPED_IMPORTERS_CONNECTIONS[PipedImporterConnectionID],$A34)</f>
        <v>#REF!</v>
      </c>
      <c r="X34" s="31" t="e">
        <f>"PipedImporterCapMin_"&amp;RIGHT($W34,11)</f>
        <v>#REF!</v>
      </c>
    </row>
    <row r="35" spans="1:24" x14ac:dyDescent="0.25">
      <c r="A35" s="94">
        <f t="shared" ref="A35:A37" si="32">$A34</f>
        <v>8</v>
      </c>
      <c r="B35" s="118"/>
      <c r="C35" s="93" t="str">
        <f t="shared" ref="C35" si="33">IF($B34&lt;&gt;"",C31,"")</f>
        <v/>
      </c>
      <c r="D35" s="93" t="str">
        <f t="shared" ref="D35" si="34">IF($B34&lt;&gt;"",D31,"")</f>
        <v/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6"/>
      <c r="W35" s="31" t="e">
        <f>INDEX(TBL_PIPED_IMPORTERS_CONNECTIONS[PipedImporterConnectionID],$A35)</f>
        <v>#REF!</v>
      </c>
      <c r="X35" s="31" t="e">
        <f>"PipedImporterCapMax_"&amp;RIGHT($W35,11)</f>
        <v>#REF!</v>
      </c>
    </row>
    <row r="36" spans="1:24" x14ac:dyDescent="0.25">
      <c r="A36" s="94">
        <f t="shared" si="32"/>
        <v>8</v>
      </c>
      <c r="B36" s="118"/>
      <c r="C36" s="93" t="str">
        <f t="shared" ref="C36:D36" si="35">IF($B34&lt;&gt;"",C32,"")</f>
        <v/>
      </c>
      <c r="D36" s="93" t="str">
        <f t="shared" si="35"/>
        <v/>
      </c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5"/>
      <c r="W36" s="31" t="e">
        <f>INDEX(TBL_PIPED_IMPORTERS_CONNECTIONS[PipedImporterConnectionID],$A36)</f>
        <v>#REF!</v>
      </c>
      <c r="X36" s="31" t="e">
        <f>"PipedImporterTariffFixed_"&amp;RIGHT($W36,11)</f>
        <v>#REF!</v>
      </c>
    </row>
    <row r="37" spans="1:24" x14ac:dyDescent="0.25">
      <c r="A37" s="94">
        <f t="shared" si="32"/>
        <v>8</v>
      </c>
      <c r="B37" s="119"/>
      <c r="C37" s="93" t="str">
        <f t="shared" ref="C37:D37" si="36">IF($B34&lt;&gt;"",C33,"")</f>
        <v/>
      </c>
      <c r="D37" s="93" t="str">
        <f t="shared" si="36"/>
        <v/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6"/>
      <c r="W37" s="31" t="e">
        <f>INDEX(TBL_PIPED_IMPORTERS_CONNECTIONS[PipedImporterConnectionID],$A37)</f>
        <v>#REF!</v>
      </c>
      <c r="X37" s="31" t="e">
        <f>"PipedImporterTariffVar_"&amp;RIGHT($W37,11)</f>
        <v>#REF!</v>
      </c>
    </row>
    <row r="38" spans="1:24" x14ac:dyDescent="0.25">
      <c r="A38" s="94">
        <f t="shared" ref="A38" si="37">$A34+1</f>
        <v>9</v>
      </c>
      <c r="B38" s="117" t="str">
        <f>IFERROR(INDEX(TBL_PIPED_IMPORTERS_CONNECTIONS[Name],$A38),"")</f>
        <v/>
      </c>
      <c r="C38" s="93" t="str">
        <f t="shared" ref="C38:D38" si="38">IF($B38&lt;&gt;"",C34,"")</f>
        <v/>
      </c>
      <c r="D38" s="93" t="str">
        <f t="shared" si="38"/>
        <v/>
      </c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5"/>
      <c r="W38" s="31" t="e">
        <f>INDEX(TBL_PIPED_IMPORTERS_CONNECTIONS[PipedImporterConnectionID],$A38)</f>
        <v>#REF!</v>
      </c>
      <c r="X38" s="31" t="e">
        <f>"PipedImporterCapMin_"&amp;RIGHT($W38,11)</f>
        <v>#REF!</v>
      </c>
    </row>
    <row r="39" spans="1:24" x14ac:dyDescent="0.25">
      <c r="A39" s="94">
        <f t="shared" ref="A39:A57" si="39">$A38</f>
        <v>9</v>
      </c>
      <c r="B39" s="118"/>
      <c r="C39" s="93" t="str">
        <f t="shared" ref="C39" si="40">IF($B38&lt;&gt;"",C35,"")</f>
        <v/>
      </c>
      <c r="D39" s="93" t="str">
        <f t="shared" ref="D39" si="41">IF($B38&lt;&gt;"",D35,"")</f>
        <v/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6"/>
      <c r="W39" s="31" t="e">
        <f>INDEX(TBL_PIPED_IMPORTERS_CONNECTIONS[PipedImporterConnectionID],$A39)</f>
        <v>#REF!</v>
      </c>
      <c r="X39" s="31" t="e">
        <f>"PipedImporterCapMax_"&amp;RIGHT($W39,11)</f>
        <v>#REF!</v>
      </c>
    </row>
    <row r="40" spans="1:24" x14ac:dyDescent="0.25">
      <c r="A40" s="94">
        <f t="shared" si="39"/>
        <v>9</v>
      </c>
      <c r="B40" s="118"/>
      <c r="C40" s="93" t="str">
        <f t="shared" ref="C40:D40" si="42">IF($B38&lt;&gt;"",C36,"")</f>
        <v/>
      </c>
      <c r="D40" s="93" t="str">
        <f t="shared" si="42"/>
        <v/>
      </c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5"/>
      <c r="W40" s="31" t="e">
        <f>INDEX(TBL_PIPED_IMPORTERS_CONNECTIONS[PipedImporterConnectionID],$A40)</f>
        <v>#REF!</v>
      </c>
      <c r="X40" s="31" t="e">
        <f>"PipedImporterTariffFixed_"&amp;RIGHT($W40,11)</f>
        <v>#REF!</v>
      </c>
    </row>
    <row r="41" spans="1:24" x14ac:dyDescent="0.25">
      <c r="A41" s="94">
        <f t="shared" si="39"/>
        <v>9</v>
      </c>
      <c r="B41" s="119"/>
      <c r="C41" s="93" t="str">
        <f t="shared" ref="C41:D41" si="43">IF($B38&lt;&gt;"",C37,"")</f>
        <v/>
      </c>
      <c r="D41" s="93" t="str">
        <f t="shared" si="43"/>
        <v/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6"/>
      <c r="W41" s="31" t="e">
        <f>INDEX(TBL_PIPED_IMPORTERS_CONNECTIONS[PipedImporterConnectionID],$A41)</f>
        <v>#REF!</v>
      </c>
      <c r="X41" s="31" t="e">
        <f>"PipedImporterTariffVar_"&amp;RIGHT($W41,11)</f>
        <v>#REF!</v>
      </c>
    </row>
    <row r="42" spans="1:24" x14ac:dyDescent="0.25">
      <c r="A42" s="94">
        <f t="shared" ref="A42" si="44">$A38+1</f>
        <v>10</v>
      </c>
      <c r="B42" s="117" t="str">
        <f>IFERROR(INDEX(TBL_PIPED_IMPORTERS_CONNECTIONS[Name],$A42),"")</f>
        <v/>
      </c>
      <c r="C42" s="93" t="str">
        <f t="shared" ref="C42:D42" si="45">IF($B42&lt;&gt;"",C38,"")</f>
        <v/>
      </c>
      <c r="D42" s="93" t="str">
        <f t="shared" si="45"/>
        <v/>
      </c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5"/>
      <c r="W42" s="31" t="e">
        <f>INDEX(TBL_PIPED_IMPORTERS_CONNECTIONS[PipedImporterConnectionID],$A42)</f>
        <v>#REF!</v>
      </c>
      <c r="X42" s="31" t="e">
        <f>"PipedImporterCapMin_"&amp;RIGHT($W42,11)</f>
        <v>#REF!</v>
      </c>
    </row>
    <row r="43" spans="1:24" x14ac:dyDescent="0.25">
      <c r="A43" s="94">
        <f t="shared" si="39"/>
        <v>10</v>
      </c>
      <c r="B43" s="118"/>
      <c r="C43" s="93" t="str">
        <f t="shared" ref="C43" si="46">IF($B42&lt;&gt;"",C39,"")</f>
        <v/>
      </c>
      <c r="D43" s="93" t="str">
        <f t="shared" ref="D43" si="47">IF($B42&lt;&gt;"",D39,"")</f>
        <v/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6"/>
      <c r="W43" s="31" t="e">
        <f>INDEX(TBL_PIPED_IMPORTERS_CONNECTIONS[PipedImporterConnectionID],$A43)</f>
        <v>#REF!</v>
      </c>
      <c r="X43" s="31" t="e">
        <f>"PipedImporterCapMax_"&amp;RIGHT($W43,11)</f>
        <v>#REF!</v>
      </c>
    </row>
    <row r="44" spans="1:24" x14ac:dyDescent="0.25">
      <c r="A44" s="94">
        <f t="shared" si="39"/>
        <v>10</v>
      </c>
      <c r="B44" s="118"/>
      <c r="C44" s="93" t="str">
        <f t="shared" ref="C44:D44" si="48">IF($B42&lt;&gt;"",C40,"")</f>
        <v/>
      </c>
      <c r="D44" s="93" t="str">
        <f t="shared" si="48"/>
        <v/>
      </c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5"/>
      <c r="W44" s="31" t="e">
        <f>INDEX(TBL_PIPED_IMPORTERS_CONNECTIONS[PipedImporterConnectionID],$A44)</f>
        <v>#REF!</v>
      </c>
      <c r="X44" s="31" t="e">
        <f>"PipedImporterTariffFixed_"&amp;RIGHT($W44,11)</f>
        <v>#REF!</v>
      </c>
    </row>
    <row r="45" spans="1:24" x14ac:dyDescent="0.25">
      <c r="A45" s="94">
        <f t="shared" si="39"/>
        <v>10</v>
      </c>
      <c r="B45" s="119"/>
      <c r="C45" s="93" t="str">
        <f t="shared" ref="C45:D45" si="49">IF($B42&lt;&gt;"",C41,"")</f>
        <v/>
      </c>
      <c r="D45" s="93" t="str">
        <f t="shared" si="49"/>
        <v/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6"/>
      <c r="W45" s="31" t="e">
        <f>INDEX(TBL_PIPED_IMPORTERS_CONNECTIONS[PipedImporterConnectionID],$A45)</f>
        <v>#REF!</v>
      </c>
      <c r="X45" s="31" t="e">
        <f>"PipedImporterTariffVar_"&amp;RIGHT($W45,11)</f>
        <v>#REF!</v>
      </c>
    </row>
    <row r="46" spans="1:24" x14ac:dyDescent="0.25">
      <c r="A46" s="94">
        <f t="shared" ref="A46" si="50">$A42+1</f>
        <v>11</v>
      </c>
      <c r="B46" s="117" t="str">
        <f>IFERROR(INDEX(TBL_PIPED_IMPORTERS_CONNECTIONS[Name],$A46),"")</f>
        <v/>
      </c>
      <c r="C46" s="93" t="str">
        <f t="shared" ref="C46:D46" si="51">IF($B46&lt;&gt;"",C42,"")</f>
        <v/>
      </c>
      <c r="D46" s="93" t="str">
        <f t="shared" si="51"/>
        <v/>
      </c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5"/>
      <c r="W46" s="31" t="e">
        <f>INDEX(TBL_PIPED_IMPORTERS_CONNECTIONS[PipedImporterConnectionID],$A46)</f>
        <v>#REF!</v>
      </c>
      <c r="X46" s="31" t="e">
        <f>"PipedImporterCapMin_"&amp;RIGHT($W46,11)</f>
        <v>#REF!</v>
      </c>
    </row>
    <row r="47" spans="1:24" x14ac:dyDescent="0.25">
      <c r="A47" s="94">
        <f t="shared" si="39"/>
        <v>11</v>
      </c>
      <c r="B47" s="118"/>
      <c r="C47" s="93" t="str">
        <f t="shared" ref="C47" si="52">IF($B46&lt;&gt;"",C43,"")</f>
        <v/>
      </c>
      <c r="D47" s="93" t="str">
        <f t="shared" ref="D47" si="53">IF($B46&lt;&gt;"",D43,"")</f>
        <v/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6"/>
      <c r="W47" s="31" t="e">
        <f>INDEX(TBL_PIPED_IMPORTERS_CONNECTIONS[PipedImporterConnectionID],$A47)</f>
        <v>#REF!</v>
      </c>
      <c r="X47" s="31" t="e">
        <f>"PipedImporterCapMax_"&amp;RIGHT($W47,11)</f>
        <v>#REF!</v>
      </c>
    </row>
    <row r="48" spans="1:24" x14ac:dyDescent="0.25">
      <c r="A48" s="94">
        <f t="shared" si="39"/>
        <v>11</v>
      </c>
      <c r="B48" s="118"/>
      <c r="C48" s="93" t="str">
        <f t="shared" ref="C48:D48" si="54">IF($B46&lt;&gt;"",C44,"")</f>
        <v/>
      </c>
      <c r="D48" s="93" t="str">
        <f t="shared" si="54"/>
        <v/>
      </c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5"/>
      <c r="W48" s="31" t="e">
        <f>INDEX(TBL_PIPED_IMPORTERS_CONNECTIONS[PipedImporterConnectionID],$A48)</f>
        <v>#REF!</v>
      </c>
      <c r="X48" s="31" t="e">
        <f>"PipedImporterTariffFixed_"&amp;RIGHT($W48,11)</f>
        <v>#REF!</v>
      </c>
    </row>
    <row r="49" spans="1:24" x14ac:dyDescent="0.25">
      <c r="A49" s="94">
        <f t="shared" si="39"/>
        <v>11</v>
      </c>
      <c r="B49" s="119"/>
      <c r="C49" s="93" t="str">
        <f t="shared" ref="C49:D49" si="55">IF($B46&lt;&gt;"",C45,"")</f>
        <v/>
      </c>
      <c r="D49" s="93" t="str">
        <f t="shared" si="55"/>
        <v/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6"/>
      <c r="W49" s="31" t="e">
        <f>INDEX(TBL_PIPED_IMPORTERS_CONNECTIONS[PipedImporterConnectionID],$A49)</f>
        <v>#REF!</v>
      </c>
      <c r="X49" s="31" t="e">
        <f>"PipedImporterTariffVar_"&amp;RIGHT($W49,11)</f>
        <v>#REF!</v>
      </c>
    </row>
    <row r="50" spans="1:24" x14ac:dyDescent="0.25">
      <c r="A50" s="94">
        <f t="shared" ref="A50" si="56">$A46+1</f>
        <v>12</v>
      </c>
      <c r="B50" s="117" t="str">
        <f>IFERROR(INDEX(TBL_PIPED_IMPORTERS_CONNECTIONS[Name],$A50),"")</f>
        <v/>
      </c>
      <c r="C50" s="93" t="str">
        <f t="shared" ref="C50:D50" si="57">IF($B50&lt;&gt;"",C46,"")</f>
        <v/>
      </c>
      <c r="D50" s="93" t="str">
        <f t="shared" si="57"/>
        <v/>
      </c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5"/>
      <c r="W50" s="31" t="e">
        <f>INDEX(TBL_PIPED_IMPORTERS_CONNECTIONS[PipedImporterConnectionID],$A50)</f>
        <v>#REF!</v>
      </c>
      <c r="X50" s="31" t="e">
        <f>"PipedImporterCapMin_"&amp;RIGHT($W50,11)</f>
        <v>#REF!</v>
      </c>
    </row>
    <row r="51" spans="1:24" x14ac:dyDescent="0.25">
      <c r="A51" s="94">
        <f t="shared" si="39"/>
        <v>12</v>
      </c>
      <c r="B51" s="118"/>
      <c r="C51" s="93" t="str">
        <f t="shared" ref="C51" si="58">IF($B50&lt;&gt;"",C47,"")</f>
        <v/>
      </c>
      <c r="D51" s="93" t="str">
        <f t="shared" ref="D51" si="59">IF($B50&lt;&gt;"",D47,"")</f>
        <v/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6"/>
      <c r="W51" s="31" t="e">
        <f>INDEX(TBL_PIPED_IMPORTERS_CONNECTIONS[PipedImporterConnectionID],$A51)</f>
        <v>#REF!</v>
      </c>
      <c r="X51" s="31" t="e">
        <f>"PipedImporterCapMax_"&amp;RIGHT($W51,11)</f>
        <v>#REF!</v>
      </c>
    </row>
    <row r="52" spans="1:24" x14ac:dyDescent="0.25">
      <c r="A52" s="94">
        <f t="shared" si="39"/>
        <v>12</v>
      </c>
      <c r="B52" s="118"/>
      <c r="C52" s="93" t="str">
        <f t="shared" ref="C52:D52" si="60">IF($B50&lt;&gt;"",C48,"")</f>
        <v/>
      </c>
      <c r="D52" s="93" t="str">
        <f t="shared" si="60"/>
        <v/>
      </c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5"/>
      <c r="W52" s="31" t="e">
        <f>INDEX(TBL_PIPED_IMPORTERS_CONNECTIONS[PipedImporterConnectionID],$A52)</f>
        <v>#REF!</v>
      </c>
      <c r="X52" s="31" t="e">
        <f>"PipedImporterTariffFixed_"&amp;RIGHT($W52,11)</f>
        <v>#REF!</v>
      </c>
    </row>
    <row r="53" spans="1:24" x14ac:dyDescent="0.25">
      <c r="A53" s="94">
        <f t="shared" si="39"/>
        <v>12</v>
      </c>
      <c r="B53" s="119"/>
      <c r="C53" s="93" t="str">
        <f t="shared" ref="C53:D53" si="61">IF($B50&lt;&gt;"",C49,"")</f>
        <v/>
      </c>
      <c r="D53" s="93" t="str">
        <f t="shared" si="61"/>
        <v/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6"/>
      <c r="W53" s="31" t="e">
        <f>INDEX(TBL_PIPED_IMPORTERS_CONNECTIONS[PipedImporterConnectionID],$A53)</f>
        <v>#REF!</v>
      </c>
      <c r="X53" s="31" t="e">
        <f>"PipedImporterTariffVar_"&amp;RIGHT($W53,11)</f>
        <v>#REF!</v>
      </c>
    </row>
    <row r="54" spans="1:24" x14ac:dyDescent="0.25">
      <c r="A54" s="94">
        <f t="shared" ref="A54" si="62">$A50+1</f>
        <v>13</v>
      </c>
      <c r="B54" s="117" t="str">
        <f>IFERROR(INDEX(TBL_PIPED_IMPORTERS_CONNECTIONS[Name],$A54),"")</f>
        <v/>
      </c>
      <c r="C54" s="93" t="str">
        <f t="shared" ref="C54:D54" si="63">IF($B54&lt;&gt;"",C50,"")</f>
        <v/>
      </c>
      <c r="D54" s="93" t="str">
        <f t="shared" si="63"/>
        <v/>
      </c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5"/>
      <c r="W54" s="31" t="e">
        <f>INDEX(TBL_PIPED_IMPORTERS_CONNECTIONS[PipedImporterConnectionID],$A54)</f>
        <v>#REF!</v>
      </c>
      <c r="X54" s="31" t="e">
        <f>"PipedImporterCapMin_"&amp;RIGHT($W54,11)</f>
        <v>#REF!</v>
      </c>
    </row>
    <row r="55" spans="1:24" x14ac:dyDescent="0.25">
      <c r="A55" s="94">
        <f t="shared" si="39"/>
        <v>13</v>
      </c>
      <c r="B55" s="118"/>
      <c r="C55" s="93" t="str">
        <f t="shared" ref="C55" si="64">IF($B54&lt;&gt;"",C51,"")</f>
        <v/>
      </c>
      <c r="D55" s="93" t="str">
        <f t="shared" ref="D55" si="65">IF($B54&lt;&gt;"",D51,"")</f>
        <v/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6"/>
      <c r="W55" s="31" t="e">
        <f>INDEX(TBL_PIPED_IMPORTERS_CONNECTIONS[PipedImporterConnectionID],$A55)</f>
        <v>#REF!</v>
      </c>
      <c r="X55" s="31" t="e">
        <f>"PipedImporterCapMax_"&amp;RIGHT($W55,11)</f>
        <v>#REF!</v>
      </c>
    </row>
    <row r="56" spans="1:24" x14ac:dyDescent="0.25">
      <c r="A56" s="94">
        <f t="shared" si="39"/>
        <v>13</v>
      </c>
      <c r="B56" s="118"/>
      <c r="C56" s="93" t="str">
        <f t="shared" ref="C56:D56" si="66">IF($B54&lt;&gt;"",C52,"")</f>
        <v/>
      </c>
      <c r="D56" s="93" t="str">
        <f t="shared" si="66"/>
        <v/>
      </c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5"/>
      <c r="W56" s="31" t="e">
        <f>INDEX(TBL_PIPED_IMPORTERS_CONNECTIONS[PipedImporterConnectionID],$A56)</f>
        <v>#REF!</v>
      </c>
      <c r="X56" s="31" t="e">
        <f>"PipedImporterTariffFixed_"&amp;RIGHT($W56,11)</f>
        <v>#REF!</v>
      </c>
    </row>
    <row r="57" spans="1:24" x14ac:dyDescent="0.25">
      <c r="A57" s="94">
        <f t="shared" si="39"/>
        <v>13</v>
      </c>
      <c r="B57" s="119"/>
      <c r="C57" s="93" t="str">
        <f t="shared" ref="C57:D57" si="67">IF($B54&lt;&gt;"",C53,"")</f>
        <v/>
      </c>
      <c r="D57" s="93" t="str">
        <f t="shared" si="67"/>
        <v/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6"/>
      <c r="W57" s="31" t="e">
        <f>INDEX(TBL_PIPED_IMPORTERS_CONNECTIONS[PipedImporterConnectionID],$A57)</f>
        <v>#REF!</v>
      </c>
      <c r="X57" s="31" t="e">
        <f>"PipedImporterTariffVar_"&amp;RIGHT($W57,11)</f>
        <v>#REF!</v>
      </c>
    </row>
    <row r="58" spans="1:24" x14ac:dyDescent="0.25">
      <c r="A58" s="94">
        <f t="shared" ref="A58" si="68">$A54+1</f>
        <v>14</v>
      </c>
      <c r="B58" s="117" t="str">
        <f>IFERROR(INDEX(TBL_PIPED_IMPORTERS_CONNECTIONS[Name],$A58),"")</f>
        <v/>
      </c>
      <c r="C58" s="93" t="str">
        <f t="shared" ref="C58:D58" si="69">IF($B58&lt;&gt;"",C54,"")</f>
        <v/>
      </c>
      <c r="D58" s="93" t="str">
        <f t="shared" si="69"/>
        <v/>
      </c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5"/>
      <c r="W58" s="31" t="e">
        <f>INDEX(TBL_PIPED_IMPORTERS_CONNECTIONS[PipedImporterConnectionID],$A58)</f>
        <v>#REF!</v>
      </c>
      <c r="X58" s="31" t="e">
        <f>"PipedImporterCapMin_"&amp;RIGHT($W58,11)</f>
        <v>#REF!</v>
      </c>
    </row>
    <row r="59" spans="1:24" x14ac:dyDescent="0.25">
      <c r="A59" s="94">
        <f t="shared" ref="A59:A61" si="70">$A58</f>
        <v>14</v>
      </c>
      <c r="B59" s="118"/>
      <c r="C59" s="93" t="str">
        <f t="shared" ref="C59:D59" si="71">IF($B58&lt;&gt;"",C55,"")</f>
        <v/>
      </c>
      <c r="D59" s="93" t="str">
        <f t="shared" si="71"/>
        <v/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6"/>
      <c r="W59" s="31" t="e">
        <f>INDEX(TBL_PIPED_IMPORTERS_CONNECTIONS[PipedImporterConnectionID],$A59)</f>
        <v>#REF!</v>
      </c>
      <c r="X59" s="31" t="e">
        <f>"PipedImporterCapMax_"&amp;RIGHT($W59,11)</f>
        <v>#REF!</v>
      </c>
    </row>
    <row r="60" spans="1:24" x14ac:dyDescent="0.25">
      <c r="A60" s="94">
        <f t="shared" si="70"/>
        <v>14</v>
      </c>
      <c r="B60" s="118"/>
      <c r="C60" s="93" t="str">
        <f t="shared" ref="C60:D60" si="72">IF($B58&lt;&gt;"",C56,"")</f>
        <v/>
      </c>
      <c r="D60" s="93" t="str">
        <f t="shared" si="72"/>
        <v/>
      </c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5"/>
      <c r="W60" s="31" t="e">
        <f>INDEX(TBL_PIPED_IMPORTERS_CONNECTIONS[PipedImporterConnectionID],$A60)</f>
        <v>#REF!</v>
      </c>
      <c r="X60" s="31" t="e">
        <f>"PipedImporterTariffFixed_"&amp;RIGHT($W60,11)</f>
        <v>#REF!</v>
      </c>
    </row>
    <row r="61" spans="1:24" x14ac:dyDescent="0.25">
      <c r="A61" s="94">
        <f t="shared" si="70"/>
        <v>14</v>
      </c>
      <c r="B61" s="119"/>
      <c r="C61" s="93" t="str">
        <f t="shared" ref="C61:D61" si="73">IF($B58&lt;&gt;"",C57,"")</f>
        <v/>
      </c>
      <c r="D61" s="93" t="str">
        <f t="shared" si="73"/>
        <v/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6"/>
      <c r="W61" s="31" t="e">
        <f>INDEX(TBL_PIPED_IMPORTERS_CONNECTIONS[PipedImporterConnectionID],$A61)</f>
        <v>#REF!</v>
      </c>
      <c r="X61" s="31" t="e">
        <f>"PipedImporterTariffVar_"&amp;RIGHT($W61,11)</f>
        <v>#REF!</v>
      </c>
    </row>
    <row r="62" spans="1:24" x14ac:dyDescent="0.25">
      <c r="A62" s="94">
        <f t="shared" ref="A62" si="74">$A58+1</f>
        <v>15</v>
      </c>
      <c r="B62" s="117" t="str">
        <f>IFERROR(INDEX(TBL_PIPED_IMPORTERS_CONNECTIONS[Name],$A62),"")</f>
        <v/>
      </c>
      <c r="C62" s="93" t="str">
        <f t="shared" ref="C62:D62" si="75">IF($B62&lt;&gt;"",C58,"")</f>
        <v/>
      </c>
      <c r="D62" s="93" t="str">
        <f t="shared" si="75"/>
        <v/>
      </c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5"/>
      <c r="W62" s="31" t="e">
        <f>INDEX(TBL_PIPED_IMPORTERS_CONNECTIONS[PipedImporterConnectionID],$A62)</f>
        <v>#REF!</v>
      </c>
      <c r="X62" s="31" t="e">
        <f>"PipedImporterCapMin_"&amp;RIGHT($W62,11)</f>
        <v>#REF!</v>
      </c>
    </row>
    <row r="63" spans="1:24" x14ac:dyDescent="0.25">
      <c r="A63" s="94">
        <f t="shared" ref="A63:A65" si="76">$A62</f>
        <v>15</v>
      </c>
      <c r="B63" s="118"/>
      <c r="C63" s="93" t="str">
        <f t="shared" ref="C63:D63" si="77">IF($B62&lt;&gt;"",C59,"")</f>
        <v/>
      </c>
      <c r="D63" s="93" t="str">
        <f t="shared" si="77"/>
        <v/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6"/>
      <c r="W63" s="31" t="e">
        <f>INDEX(TBL_PIPED_IMPORTERS_CONNECTIONS[PipedImporterConnectionID],$A63)</f>
        <v>#REF!</v>
      </c>
      <c r="X63" s="31" t="e">
        <f>"PipedImporterCapMax_"&amp;RIGHT($W63,11)</f>
        <v>#REF!</v>
      </c>
    </row>
    <row r="64" spans="1:24" x14ac:dyDescent="0.25">
      <c r="A64" s="94">
        <f t="shared" si="76"/>
        <v>15</v>
      </c>
      <c r="B64" s="118"/>
      <c r="C64" s="93" t="str">
        <f t="shared" ref="C64:D64" si="78">IF($B62&lt;&gt;"",C60,"")</f>
        <v/>
      </c>
      <c r="D64" s="93" t="str">
        <f t="shared" si="78"/>
        <v/>
      </c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5"/>
      <c r="W64" s="31" t="e">
        <f>INDEX(TBL_PIPED_IMPORTERS_CONNECTIONS[PipedImporterConnectionID],$A64)</f>
        <v>#REF!</v>
      </c>
      <c r="X64" s="31" t="e">
        <f>"PipedImporterTariffFixed_"&amp;RIGHT($W64,11)</f>
        <v>#REF!</v>
      </c>
    </row>
    <row r="65" spans="1:24" x14ac:dyDescent="0.25">
      <c r="A65" s="94">
        <f t="shared" si="76"/>
        <v>15</v>
      </c>
      <c r="B65" s="119"/>
      <c r="C65" s="93" t="str">
        <f t="shared" ref="C65:D65" si="79">IF($B62&lt;&gt;"",C61,"")</f>
        <v/>
      </c>
      <c r="D65" s="93" t="str">
        <f t="shared" si="79"/>
        <v/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6"/>
      <c r="W65" s="31" t="e">
        <f>INDEX(TBL_PIPED_IMPORTERS_CONNECTIONS[PipedImporterConnectionID],$A65)</f>
        <v>#REF!</v>
      </c>
      <c r="X65" s="31" t="e">
        <f>"PipedImporterTariffVar_"&amp;RIGHT($W65,11)</f>
        <v>#REF!</v>
      </c>
    </row>
    <row r="66" spans="1:24" x14ac:dyDescent="0.25">
      <c r="A66" s="94">
        <f t="shared" ref="A66" si="80">$A62+1</f>
        <v>16</v>
      </c>
      <c r="B66" s="117" t="str">
        <f>IFERROR(INDEX(TBL_PIPED_IMPORTERS_CONNECTIONS[Name],$A66),"")</f>
        <v/>
      </c>
      <c r="C66" s="93" t="str">
        <f t="shared" ref="C66:D66" si="81">IF($B66&lt;&gt;"",C62,"")</f>
        <v/>
      </c>
      <c r="D66" s="93" t="str">
        <f t="shared" si="81"/>
        <v/>
      </c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5"/>
      <c r="W66" s="31" t="e">
        <f>INDEX(TBL_PIPED_IMPORTERS_CONNECTIONS[PipedImporterConnectionID],$A66)</f>
        <v>#REF!</v>
      </c>
      <c r="X66" s="31" t="e">
        <f>"PipedImporterCapMin_"&amp;RIGHT($W66,11)</f>
        <v>#REF!</v>
      </c>
    </row>
    <row r="67" spans="1:24" x14ac:dyDescent="0.25">
      <c r="A67" s="94">
        <f t="shared" ref="A67:A85" si="82">$A66</f>
        <v>16</v>
      </c>
      <c r="B67" s="118"/>
      <c r="C67" s="93" t="str">
        <f t="shared" ref="C67:D67" si="83">IF($B66&lt;&gt;"",C63,"")</f>
        <v/>
      </c>
      <c r="D67" s="93" t="str">
        <f t="shared" si="83"/>
        <v/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6"/>
      <c r="W67" s="31" t="e">
        <f>INDEX(TBL_PIPED_IMPORTERS_CONNECTIONS[PipedImporterConnectionID],$A67)</f>
        <v>#REF!</v>
      </c>
      <c r="X67" s="31" t="e">
        <f>"PipedImporterCapMax_"&amp;RIGHT($W67,11)</f>
        <v>#REF!</v>
      </c>
    </row>
    <row r="68" spans="1:24" x14ac:dyDescent="0.25">
      <c r="A68" s="94">
        <f t="shared" si="82"/>
        <v>16</v>
      </c>
      <c r="B68" s="118"/>
      <c r="C68" s="93" t="str">
        <f t="shared" ref="C68:D68" si="84">IF($B66&lt;&gt;"",C64,"")</f>
        <v/>
      </c>
      <c r="D68" s="93" t="str">
        <f t="shared" si="84"/>
        <v/>
      </c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5"/>
      <c r="W68" s="31" t="e">
        <f>INDEX(TBL_PIPED_IMPORTERS_CONNECTIONS[PipedImporterConnectionID],$A68)</f>
        <v>#REF!</v>
      </c>
      <c r="X68" s="31" t="e">
        <f>"PipedImporterTariffFixed_"&amp;RIGHT($W68,11)</f>
        <v>#REF!</v>
      </c>
    </row>
    <row r="69" spans="1:24" x14ac:dyDescent="0.25">
      <c r="A69" s="94">
        <f t="shared" si="82"/>
        <v>16</v>
      </c>
      <c r="B69" s="119"/>
      <c r="C69" s="93" t="str">
        <f t="shared" ref="C69:D69" si="85">IF($B66&lt;&gt;"",C65,"")</f>
        <v/>
      </c>
      <c r="D69" s="93" t="str">
        <f t="shared" si="85"/>
        <v/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6"/>
      <c r="W69" s="31" t="e">
        <f>INDEX(TBL_PIPED_IMPORTERS_CONNECTIONS[PipedImporterConnectionID],$A69)</f>
        <v>#REF!</v>
      </c>
      <c r="X69" s="31" t="e">
        <f>"PipedImporterTariffVar_"&amp;RIGHT($W69,11)</f>
        <v>#REF!</v>
      </c>
    </row>
    <row r="70" spans="1:24" x14ac:dyDescent="0.25">
      <c r="A70" s="94">
        <f t="shared" ref="A70" si="86">$A66+1</f>
        <v>17</v>
      </c>
      <c r="B70" s="117" t="str">
        <f>IFERROR(INDEX(TBL_PIPED_IMPORTERS_CONNECTIONS[Name],$A70),"")</f>
        <v/>
      </c>
      <c r="C70" s="93" t="str">
        <f t="shared" ref="C70:D70" si="87">IF($B70&lt;&gt;"",C66,"")</f>
        <v/>
      </c>
      <c r="D70" s="93" t="str">
        <f t="shared" si="87"/>
        <v/>
      </c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5"/>
      <c r="W70" s="31" t="e">
        <f>INDEX(TBL_PIPED_IMPORTERS_CONNECTIONS[PipedImporterConnectionID],$A70)</f>
        <v>#REF!</v>
      </c>
      <c r="X70" s="31" t="e">
        <f>"PipedImporterCapMin_"&amp;RIGHT($W70,11)</f>
        <v>#REF!</v>
      </c>
    </row>
    <row r="71" spans="1:24" x14ac:dyDescent="0.25">
      <c r="A71" s="94">
        <f t="shared" si="82"/>
        <v>17</v>
      </c>
      <c r="B71" s="118"/>
      <c r="C71" s="93" t="str">
        <f t="shared" ref="C71:D71" si="88">IF($B70&lt;&gt;"",C67,"")</f>
        <v/>
      </c>
      <c r="D71" s="93" t="str">
        <f t="shared" si="88"/>
        <v/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6"/>
      <c r="W71" s="31" t="e">
        <f>INDEX(TBL_PIPED_IMPORTERS_CONNECTIONS[PipedImporterConnectionID],$A71)</f>
        <v>#REF!</v>
      </c>
      <c r="X71" s="31" t="e">
        <f>"PipedImporterCapMax_"&amp;RIGHT($W71,11)</f>
        <v>#REF!</v>
      </c>
    </row>
    <row r="72" spans="1:24" x14ac:dyDescent="0.25">
      <c r="A72" s="94">
        <f t="shared" si="82"/>
        <v>17</v>
      </c>
      <c r="B72" s="118"/>
      <c r="C72" s="93" t="str">
        <f t="shared" ref="C72:D72" si="89">IF($B70&lt;&gt;"",C68,"")</f>
        <v/>
      </c>
      <c r="D72" s="93" t="str">
        <f t="shared" si="89"/>
        <v/>
      </c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5"/>
      <c r="W72" s="31" t="e">
        <f>INDEX(TBL_PIPED_IMPORTERS_CONNECTIONS[PipedImporterConnectionID],$A72)</f>
        <v>#REF!</v>
      </c>
      <c r="X72" s="31" t="e">
        <f>"PipedImporterTariffFixed_"&amp;RIGHT($W72,11)</f>
        <v>#REF!</v>
      </c>
    </row>
    <row r="73" spans="1:24" x14ac:dyDescent="0.25">
      <c r="A73" s="94">
        <f t="shared" si="82"/>
        <v>17</v>
      </c>
      <c r="B73" s="119"/>
      <c r="C73" s="93" t="str">
        <f t="shared" ref="C73:D73" si="90">IF($B70&lt;&gt;"",C69,"")</f>
        <v/>
      </c>
      <c r="D73" s="93" t="str">
        <f t="shared" si="90"/>
        <v/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6"/>
      <c r="W73" s="31" t="e">
        <f>INDEX(TBL_PIPED_IMPORTERS_CONNECTIONS[PipedImporterConnectionID],$A73)</f>
        <v>#REF!</v>
      </c>
      <c r="X73" s="31" t="e">
        <f>"PipedImporterTariffVar_"&amp;RIGHT($W73,11)</f>
        <v>#REF!</v>
      </c>
    </row>
    <row r="74" spans="1:24" x14ac:dyDescent="0.25">
      <c r="A74" s="94">
        <f t="shared" ref="A74" si="91">$A70+1</f>
        <v>18</v>
      </c>
      <c r="B74" s="117" t="str">
        <f>IFERROR(INDEX(TBL_PIPED_IMPORTERS_CONNECTIONS[Name],$A74),"")</f>
        <v/>
      </c>
      <c r="C74" s="93" t="str">
        <f t="shared" ref="C74:D74" si="92">IF($B74&lt;&gt;"",C70,"")</f>
        <v/>
      </c>
      <c r="D74" s="93" t="str">
        <f t="shared" si="92"/>
        <v/>
      </c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5"/>
      <c r="W74" s="31" t="e">
        <f>INDEX(TBL_PIPED_IMPORTERS_CONNECTIONS[PipedImporterConnectionID],$A74)</f>
        <v>#REF!</v>
      </c>
      <c r="X74" s="31" t="e">
        <f>"PipedImporterCapMin_"&amp;RIGHT($W74,11)</f>
        <v>#REF!</v>
      </c>
    </row>
    <row r="75" spans="1:24" x14ac:dyDescent="0.25">
      <c r="A75" s="94">
        <f t="shared" si="82"/>
        <v>18</v>
      </c>
      <c r="B75" s="118"/>
      <c r="C75" s="93" t="str">
        <f t="shared" ref="C75:D75" si="93">IF($B74&lt;&gt;"",C71,"")</f>
        <v/>
      </c>
      <c r="D75" s="93" t="str">
        <f t="shared" si="93"/>
        <v/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6"/>
      <c r="W75" s="31" t="e">
        <f>INDEX(TBL_PIPED_IMPORTERS_CONNECTIONS[PipedImporterConnectionID],$A75)</f>
        <v>#REF!</v>
      </c>
      <c r="X75" s="31" t="e">
        <f>"PipedImporterCapMax_"&amp;RIGHT($W75,11)</f>
        <v>#REF!</v>
      </c>
    </row>
    <row r="76" spans="1:24" x14ac:dyDescent="0.25">
      <c r="A76" s="94">
        <f t="shared" si="82"/>
        <v>18</v>
      </c>
      <c r="B76" s="118"/>
      <c r="C76" s="93" t="str">
        <f t="shared" ref="C76:D76" si="94">IF($B74&lt;&gt;"",C72,"")</f>
        <v/>
      </c>
      <c r="D76" s="93" t="str">
        <f t="shared" si="94"/>
        <v/>
      </c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5"/>
      <c r="W76" s="31" t="e">
        <f>INDEX(TBL_PIPED_IMPORTERS_CONNECTIONS[PipedImporterConnectionID],$A76)</f>
        <v>#REF!</v>
      </c>
      <c r="X76" s="31" t="e">
        <f>"PipedImporterTariffFixed_"&amp;RIGHT($W76,11)</f>
        <v>#REF!</v>
      </c>
    </row>
    <row r="77" spans="1:24" x14ac:dyDescent="0.25">
      <c r="A77" s="94">
        <f t="shared" si="82"/>
        <v>18</v>
      </c>
      <c r="B77" s="119"/>
      <c r="C77" s="93" t="str">
        <f t="shared" ref="C77:D77" si="95">IF($B74&lt;&gt;"",C73,"")</f>
        <v/>
      </c>
      <c r="D77" s="93" t="str">
        <f t="shared" si="95"/>
        <v/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6"/>
      <c r="W77" s="31" t="e">
        <f>INDEX(TBL_PIPED_IMPORTERS_CONNECTIONS[PipedImporterConnectionID],$A77)</f>
        <v>#REF!</v>
      </c>
      <c r="X77" s="31" t="e">
        <f>"PipedImporterTariffVar_"&amp;RIGHT($W77,11)</f>
        <v>#REF!</v>
      </c>
    </row>
    <row r="78" spans="1:24" x14ac:dyDescent="0.25">
      <c r="A78" s="94">
        <f t="shared" ref="A78" si="96">$A74+1</f>
        <v>19</v>
      </c>
      <c r="B78" s="117" t="str">
        <f>IFERROR(INDEX(TBL_PIPED_IMPORTERS_CONNECTIONS[Name],$A78),"")</f>
        <v/>
      </c>
      <c r="C78" s="93" t="str">
        <f t="shared" ref="C78:D78" si="97">IF($B78&lt;&gt;"",C74,"")</f>
        <v/>
      </c>
      <c r="D78" s="93" t="str">
        <f t="shared" si="97"/>
        <v/>
      </c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5"/>
      <c r="W78" s="31" t="e">
        <f>INDEX(TBL_PIPED_IMPORTERS_CONNECTIONS[PipedImporterConnectionID],$A78)</f>
        <v>#REF!</v>
      </c>
      <c r="X78" s="31" t="e">
        <f>"PipedImporterCapMin_"&amp;RIGHT($W78,11)</f>
        <v>#REF!</v>
      </c>
    </row>
    <row r="79" spans="1:24" x14ac:dyDescent="0.25">
      <c r="A79" s="94">
        <f t="shared" si="82"/>
        <v>19</v>
      </c>
      <c r="B79" s="118"/>
      <c r="C79" s="93" t="str">
        <f t="shared" ref="C79:D79" si="98">IF($B78&lt;&gt;"",C75,"")</f>
        <v/>
      </c>
      <c r="D79" s="93" t="str">
        <f t="shared" si="98"/>
        <v/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6"/>
      <c r="W79" s="31" t="e">
        <f>INDEX(TBL_PIPED_IMPORTERS_CONNECTIONS[PipedImporterConnectionID],$A79)</f>
        <v>#REF!</v>
      </c>
      <c r="X79" s="31" t="e">
        <f>"PipedImporterCapMax_"&amp;RIGHT($W79,11)</f>
        <v>#REF!</v>
      </c>
    </row>
    <row r="80" spans="1:24" x14ac:dyDescent="0.25">
      <c r="A80" s="94">
        <f t="shared" si="82"/>
        <v>19</v>
      </c>
      <c r="B80" s="118"/>
      <c r="C80" s="93" t="str">
        <f t="shared" ref="C80:D80" si="99">IF($B78&lt;&gt;"",C76,"")</f>
        <v/>
      </c>
      <c r="D80" s="93" t="str">
        <f t="shared" si="99"/>
        <v/>
      </c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5"/>
      <c r="W80" s="31" t="e">
        <f>INDEX(TBL_PIPED_IMPORTERS_CONNECTIONS[PipedImporterConnectionID],$A80)</f>
        <v>#REF!</v>
      </c>
      <c r="X80" s="31" t="e">
        <f>"PipedImporterTariffFixed_"&amp;RIGHT($W80,11)</f>
        <v>#REF!</v>
      </c>
    </row>
    <row r="81" spans="1:24" x14ac:dyDescent="0.25">
      <c r="A81" s="94">
        <f t="shared" si="82"/>
        <v>19</v>
      </c>
      <c r="B81" s="119"/>
      <c r="C81" s="93" t="str">
        <f t="shared" ref="C81:D81" si="100">IF($B78&lt;&gt;"",C77,"")</f>
        <v/>
      </c>
      <c r="D81" s="93" t="str">
        <f t="shared" si="100"/>
        <v/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6"/>
      <c r="W81" s="31" t="e">
        <f>INDEX(TBL_PIPED_IMPORTERS_CONNECTIONS[PipedImporterConnectionID],$A81)</f>
        <v>#REF!</v>
      </c>
      <c r="X81" s="31" t="e">
        <f>"PipedImporterTariffVar_"&amp;RIGHT($W81,11)</f>
        <v>#REF!</v>
      </c>
    </row>
    <row r="82" spans="1:24" x14ac:dyDescent="0.25">
      <c r="A82" s="94">
        <f t="shared" ref="A82" si="101">$A78+1</f>
        <v>20</v>
      </c>
      <c r="B82" s="117" t="str">
        <f>IFERROR(INDEX(TBL_PIPED_IMPORTERS_CONNECTIONS[Name],$A82),"")</f>
        <v/>
      </c>
      <c r="C82" s="93" t="str">
        <f t="shared" ref="C82:D82" si="102">IF($B82&lt;&gt;"",C78,"")</f>
        <v/>
      </c>
      <c r="D82" s="93" t="str">
        <f t="shared" si="102"/>
        <v/>
      </c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5"/>
      <c r="W82" s="31" t="e">
        <f>INDEX(TBL_PIPED_IMPORTERS_CONNECTIONS[PipedImporterConnectionID],$A82)</f>
        <v>#REF!</v>
      </c>
      <c r="X82" s="31" t="e">
        <f>"PipedImporterCapMin_"&amp;RIGHT($W82,11)</f>
        <v>#REF!</v>
      </c>
    </row>
    <row r="83" spans="1:24" x14ac:dyDescent="0.25">
      <c r="A83" s="94">
        <f t="shared" si="82"/>
        <v>20</v>
      </c>
      <c r="B83" s="118"/>
      <c r="C83" s="93" t="str">
        <f t="shared" ref="C83:D83" si="103">IF($B82&lt;&gt;"",C79,"")</f>
        <v/>
      </c>
      <c r="D83" s="93" t="str">
        <f t="shared" si="103"/>
        <v/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6"/>
      <c r="W83" s="31" t="e">
        <f>INDEX(TBL_PIPED_IMPORTERS_CONNECTIONS[PipedImporterConnectionID],$A83)</f>
        <v>#REF!</v>
      </c>
      <c r="X83" s="31" t="e">
        <f>"PipedImporterCapMax_"&amp;RIGHT($W83,11)</f>
        <v>#REF!</v>
      </c>
    </row>
    <row r="84" spans="1:24" x14ac:dyDescent="0.25">
      <c r="A84" s="94">
        <f t="shared" si="82"/>
        <v>20</v>
      </c>
      <c r="B84" s="118"/>
      <c r="C84" s="93" t="str">
        <f t="shared" ref="C84:D84" si="104">IF($B82&lt;&gt;"",C80,"")</f>
        <v/>
      </c>
      <c r="D84" s="93" t="str">
        <f t="shared" si="104"/>
        <v/>
      </c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5"/>
      <c r="W84" s="31" t="e">
        <f>INDEX(TBL_PIPED_IMPORTERS_CONNECTIONS[PipedImporterConnectionID],$A84)</f>
        <v>#REF!</v>
      </c>
      <c r="X84" s="31" t="e">
        <f>"PipedImporterTariffFixed_"&amp;RIGHT($W84,11)</f>
        <v>#REF!</v>
      </c>
    </row>
    <row r="85" spans="1:24" x14ac:dyDescent="0.25">
      <c r="A85" s="94">
        <f t="shared" si="82"/>
        <v>20</v>
      </c>
      <c r="B85" s="119"/>
      <c r="C85" s="93" t="str">
        <f t="shared" ref="C85:D85" si="105">IF($B82&lt;&gt;"",C81,"")</f>
        <v/>
      </c>
      <c r="D85" s="93" t="str">
        <f t="shared" si="105"/>
        <v/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6"/>
      <c r="W85" s="31" t="e">
        <f>INDEX(TBL_PIPED_IMPORTERS_CONNECTIONS[PipedImporterConnectionID],$A85)</f>
        <v>#REF!</v>
      </c>
      <c r="X85" s="31" t="e">
        <f>"PipedImporterTariffVar_"&amp;RIGHT($W85,11)</f>
        <v>#REF!</v>
      </c>
    </row>
    <row r="86" spans="1:24" x14ac:dyDescent="0.25">
      <c r="A86" s="94">
        <f t="shared" ref="A86" si="106">$A82+1</f>
        <v>21</v>
      </c>
      <c r="B86" s="117" t="str">
        <f>IFERROR(INDEX(TBL_PIPED_IMPORTERS_CONNECTIONS[Name],$A86),"")</f>
        <v/>
      </c>
      <c r="C86" s="93" t="str">
        <f t="shared" ref="C86:D86" si="107">IF($B86&lt;&gt;"",C82,"")</f>
        <v/>
      </c>
      <c r="D86" s="93" t="str">
        <f t="shared" si="107"/>
        <v/>
      </c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5"/>
      <c r="W86" s="31" t="e">
        <f>INDEX(TBL_PIPED_IMPORTERS_CONNECTIONS[PipedImporterConnectionID],$A86)</f>
        <v>#REF!</v>
      </c>
      <c r="X86" s="31" t="e">
        <f>"PipedImporterCapMin_"&amp;RIGHT($W86,11)</f>
        <v>#REF!</v>
      </c>
    </row>
    <row r="87" spans="1:24" x14ac:dyDescent="0.25">
      <c r="A87" s="94">
        <f t="shared" ref="A87:A89" si="108">$A86</f>
        <v>21</v>
      </c>
      <c r="B87" s="118"/>
      <c r="C87" s="93" t="str">
        <f t="shared" ref="C87:D87" si="109">IF($B86&lt;&gt;"",C83,"")</f>
        <v/>
      </c>
      <c r="D87" s="93" t="str">
        <f t="shared" si="109"/>
        <v/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6"/>
      <c r="W87" s="31" t="e">
        <f>INDEX(TBL_PIPED_IMPORTERS_CONNECTIONS[PipedImporterConnectionID],$A87)</f>
        <v>#REF!</v>
      </c>
      <c r="X87" s="31" t="e">
        <f>"PipedImporterCapMax_"&amp;RIGHT($W87,11)</f>
        <v>#REF!</v>
      </c>
    </row>
    <row r="88" spans="1:24" x14ac:dyDescent="0.25">
      <c r="A88" s="94">
        <f t="shared" si="108"/>
        <v>21</v>
      </c>
      <c r="B88" s="118"/>
      <c r="C88" s="93" t="str">
        <f t="shared" ref="C88:D88" si="110">IF($B86&lt;&gt;"",C84,"")</f>
        <v/>
      </c>
      <c r="D88" s="93" t="str">
        <f t="shared" si="110"/>
        <v/>
      </c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5"/>
      <c r="W88" s="31" t="e">
        <f>INDEX(TBL_PIPED_IMPORTERS_CONNECTIONS[PipedImporterConnectionID],$A88)</f>
        <v>#REF!</v>
      </c>
      <c r="X88" s="31" t="e">
        <f>"PipedImporterTariffFixed_"&amp;RIGHT($W88,11)</f>
        <v>#REF!</v>
      </c>
    </row>
    <row r="89" spans="1:24" x14ac:dyDescent="0.25">
      <c r="A89" s="94">
        <f t="shared" si="108"/>
        <v>21</v>
      </c>
      <c r="B89" s="119"/>
      <c r="C89" s="93" t="str">
        <f t="shared" ref="C89:D89" si="111">IF($B86&lt;&gt;"",C85,"")</f>
        <v/>
      </c>
      <c r="D89" s="93" t="str">
        <f t="shared" si="111"/>
        <v/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6"/>
      <c r="W89" s="31" t="e">
        <f>INDEX(TBL_PIPED_IMPORTERS_CONNECTIONS[PipedImporterConnectionID],$A89)</f>
        <v>#REF!</v>
      </c>
      <c r="X89" s="31" t="e">
        <f>"PipedImporterTariffVar_"&amp;RIGHT($W89,11)</f>
        <v>#REF!</v>
      </c>
    </row>
    <row r="90" spans="1:24" x14ac:dyDescent="0.25">
      <c r="A90" s="94">
        <f t="shared" ref="A90" si="112">$A86+1</f>
        <v>22</v>
      </c>
      <c r="B90" s="117" t="str">
        <f>IFERROR(INDEX(TBL_PIPED_IMPORTERS_CONNECTIONS[Name],$A90),"")</f>
        <v/>
      </c>
      <c r="C90" s="93" t="str">
        <f t="shared" ref="C90:D90" si="113">IF($B90&lt;&gt;"",C86,"")</f>
        <v/>
      </c>
      <c r="D90" s="93" t="str">
        <f t="shared" si="113"/>
        <v/>
      </c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5"/>
      <c r="W90" s="31" t="e">
        <f>INDEX(TBL_PIPED_IMPORTERS_CONNECTIONS[PipedImporterConnectionID],$A90)</f>
        <v>#REF!</v>
      </c>
      <c r="X90" s="31" t="e">
        <f>"PipedImporterCapMin_"&amp;RIGHT($W90,11)</f>
        <v>#REF!</v>
      </c>
    </row>
    <row r="91" spans="1:24" x14ac:dyDescent="0.25">
      <c r="A91" s="94">
        <f t="shared" ref="A91:A93" si="114">$A90</f>
        <v>22</v>
      </c>
      <c r="B91" s="118"/>
      <c r="C91" s="93" t="str">
        <f t="shared" ref="C91:D91" si="115">IF($B90&lt;&gt;"",C87,"")</f>
        <v/>
      </c>
      <c r="D91" s="93" t="str">
        <f t="shared" si="115"/>
        <v/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6"/>
      <c r="W91" s="31" t="e">
        <f>INDEX(TBL_PIPED_IMPORTERS_CONNECTIONS[PipedImporterConnectionID],$A91)</f>
        <v>#REF!</v>
      </c>
      <c r="X91" s="31" t="e">
        <f>"PipedImporterCapMax_"&amp;RIGHT($W91,11)</f>
        <v>#REF!</v>
      </c>
    </row>
    <row r="92" spans="1:24" x14ac:dyDescent="0.25">
      <c r="A92" s="94">
        <f t="shared" si="114"/>
        <v>22</v>
      </c>
      <c r="B92" s="118"/>
      <c r="C92" s="93" t="str">
        <f t="shared" ref="C92:D92" si="116">IF($B90&lt;&gt;"",C88,"")</f>
        <v/>
      </c>
      <c r="D92" s="93" t="str">
        <f t="shared" si="116"/>
        <v/>
      </c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5"/>
      <c r="W92" s="31" t="e">
        <f>INDEX(TBL_PIPED_IMPORTERS_CONNECTIONS[PipedImporterConnectionID],$A92)</f>
        <v>#REF!</v>
      </c>
      <c r="X92" s="31" t="e">
        <f>"PipedImporterTariffFixed_"&amp;RIGHT($W92,11)</f>
        <v>#REF!</v>
      </c>
    </row>
    <row r="93" spans="1:24" x14ac:dyDescent="0.25">
      <c r="A93" s="94">
        <f t="shared" si="114"/>
        <v>22</v>
      </c>
      <c r="B93" s="119"/>
      <c r="C93" s="93" t="str">
        <f t="shared" ref="C93:D93" si="117">IF($B90&lt;&gt;"",C89,"")</f>
        <v/>
      </c>
      <c r="D93" s="93" t="str">
        <f t="shared" si="117"/>
        <v/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6"/>
      <c r="W93" s="31" t="e">
        <f>INDEX(TBL_PIPED_IMPORTERS_CONNECTIONS[PipedImporterConnectionID],$A93)</f>
        <v>#REF!</v>
      </c>
      <c r="X93" s="31" t="e">
        <f>"PipedImporterTariffVar_"&amp;RIGHT($W93,11)</f>
        <v>#REF!</v>
      </c>
    </row>
    <row r="94" spans="1:24" x14ac:dyDescent="0.25">
      <c r="A94" s="94">
        <f t="shared" ref="A94" si="118">$A90+1</f>
        <v>23</v>
      </c>
      <c r="B94" s="117" t="str">
        <f>IFERROR(INDEX(TBL_PIPED_IMPORTERS_CONNECTIONS[Name],$A94),"")</f>
        <v/>
      </c>
      <c r="C94" s="93" t="str">
        <f t="shared" ref="C94:D94" si="119">IF($B94&lt;&gt;"",C90,"")</f>
        <v/>
      </c>
      <c r="D94" s="93" t="str">
        <f t="shared" si="119"/>
        <v/>
      </c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5"/>
      <c r="W94" s="31" t="e">
        <f>INDEX(TBL_PIPED_IMPORTERS_CONNECTIONS[PipedImporterConnectionID],$A94)</f>
        <v>#REF!</v>
      </c>
      <c r="X94" s="31" t="e">
        <f>"PipedImporterCapMin_"&amp;RIGHT($W94,11)</f>
        <v>#REF!</v>
      </c>
    </row>
    <row r="95" spans="1:24" x14ac:dyDescent="0.25">
      <c r="A95" s="94">
        <f t="shared" ref="A95:A113" si="120">$A94</f>
        <v>23</v>
      </c>
      <c r="B95" s="118"/>
      <c r="C95" s="93" t="str">
        <f t="shared" ref="C95:D95" si="121">IF($B94&lt;&gt;"",C91,"")</f>
        <v/>
      </c>
      <c r="D95" s="93" t="str">
        <f t="shared" si="121"/>
        <v/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6"/>
      <c r="W95" s="31" t="e">
        <f>INDEX(TBL_PIPED_IMPORTERS_CONNECTIONS[PipedImporterConnectionID],$A95)</f>
        <v>#REF!</v>
      </c>
      <c r="X95" s="31" t="e">
        <f>"PipedImporterCapMax_"&amp;RIGHT($W95,11)</f>
        <v>#REF!</v>
      </c>
    </row>
    <row r="96" spans="1:24" x14ac:dyDescent="0.25">
      <c r="A96" s="94">
        <f t="shared" si="120"/>
        <v>23</v>
      </c>
      <c r="B96" s="118"/>
      <c r="C96" s="93" t="str">
        <f t="shared" ref="C96:D96" si="122">IF($B94&lt;&gt;"",C92,"")</f>
        <v/>
      </c>
      <c r="D96" s="93" t="str">
        <f t="shared" si="122"/>
        <v/>
      </c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5"/>
      <c r="W96" s="31" t="e">
        <f>INDEX(TBL_PIPED_IMPORTERS_CONNECTIONS[PipedImporterConnectionID],$A96)</f>
        <v>#REF!</v>
      </c>
      <c r="X96" s="31" t="e">
        <f>"PipedImporterTariffFixed_"&amp;RIGHT($W96,11)</f>
        <v>#REF!</v>
      </c>
    </row>
    <row r="97" spans="1:24" x14ac:dyDescent="0.25">
      <c r="A97" s="94">
        <f t="shared" si="120"/>
        <v>23</v>
      </c>
      <c r="B97" s="119"/>
      <c r="C97" s="93" t="str">
        <f t="shared" ref="C97:D97" si="123">IF($B94&lt;&gt;"",C93,"")</f>
        <v/>
      </c>
      <c r="D97" s="93" t="str">
        <f t="shared" si="123"/>
        <v/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6"/>
      <c r="W97" s="31" t="e">
        <f>INDEX(TBL_PIPED_IMPORTERS_CONNECTIONS[PipedImporterConnectionID],$A97)</f>
        <v>#REF!</v>
      </c>
      <c r="X97" s="31" t="e">
        <f>"PipedImporterTariffVar_"&amp;RIGHT($W97,11)</f>
        <v>#REF!</v>
      </c>
    </row>
    <row r="98" spans="1:24" x14ac:dyDescent="0.25">
      <c r="A98" s="94">
        <f t="shared" ref="A98" si="124">$A94+1</f>
        <v>24</v>
      </c>
      <c r="B98" s="117" t="str">
        <f>IFERROR(INDEX(TBL_PIPED_IMPORTERS_CONNECTIONS[Name],$A98),"")</f>
        <v/>
      </c>
      <c r="C98" s="93" t="str">
        <f t="shared" ref="C98:D98" si="125">IF($B98&lt;&gt;"",C94,"")</f>
        <v/>
      </c>
      <c r="D98" s="93" t="str">
        <f t="shared" si="125"/>
        <v/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5"/>
      <c r="W98" s="31" t="e">
        <f>INDEX(TBL_PIPED_IMPORTERS_CONNECTIONS[PipedImporterConnectionID],$A98)</f>
        <v>#REF!</v>
      </c>
      <c r="X98" s="31" t="e">
        <f>"PipedImporterCapMin_"&amp;RIGHT($W98,11)</f>
        <v>#REF!</v>
      </c>
    </row>
    <row r="99" spans="1:24" x14ac:dyDescent="0.25">
      <c r="A99" s="94">
        <f t="shared" si="120"/>
        <v>24</v>
      </c>
      <c r="B99" s="118"/>
      <c r="C99" s="93" t="str">
        <f t="shared" ref="C99:D99" si="126">IF($B98&lt;&gt;"",C95,"")</f>
        <v/>
      </c>
      <c r="D99" s="93" t="str">
        <f t="shared" si="126"/>
        <v/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6"/>
      <c r="W99" s="31" t="e">
        <f>INDEX(TBL_PIPED_IMPORTERS_CONNECTIONS[PipedImporterConnectionID],$A99)</f>
        <v>#REF!</v>
      </c>
      <c r="X99" s="31" t="e">
        <f>"PipedImporterCapMax_"&amp;RIGHT($W99,11)</f>
        <v>#REF!</v>
      </c>
    </row>
    <row r="100" spans="1:24" x14ac:dyDescent="0.25">
      <c r="A100" s="94">
        <f t="shared" si="120"/>
        <v>24</v>
      </c>
      <c r="B100" s="118"/>
      <c r="C100" s="93" t="str">
        <f t="shared" ref="C100:D100" si="127">IF($B98&lt;&gt;"",C96,"")</f>
        <v/>
      </c>
      <c r="D100" s="93" t="str">
        <f t="shared" si="127"/>
        <v/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5"/>
      <c r="W100" s="31" t="e">
        <f>INDEX(TBL_PIPED_IMPORTERS_CONNECTIONS[PipedImporterConnectionID],$A100)</f>
        <v>#REF!</v>
      </c>
      <c r="X100" s="31" t="e">
        <f>"PipedImporterTariffFixed_"&amp;RIGHT($W100,11)</f>
        <v>#REF!</v>
      </c>
    </row>
    <row r="101" spans="1:24" x14ac:dyDescent="0.25">
      <c r="A101" s="94">
        <f t="shared" si="120"/>
        <v>24</v>
      </c>
      <c r="B101" s="119"/>
      <c r="C101" s="93" t="str">
        <f t="shared" ref="C101:D101" si="128">IF($B98&lt;&gt;"",C97,"")</f>
        <v/>
      </c>
      <c r="D101" s="93" t="str">
        <f t="shared" si="128"/>
        <v/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6"/>
      <c r="W101" s="31" t="e">
        <f>INDEX(TBL_PIPED_IMPORTERS_CONNECTIONS[PipedImporterConnectionID],$A101)</f>
        <v>#REF!</v>
      </c>
      <c r="X101" s="31" t="e">
        <f>"PipedImporterTariffVar_"&amp;RIGHT($W101,11)</f>
        <v>#REF!</v>
      </c>
    </row>
    <row r="102" spans="1:24" x14ac:dyDescent="0.25">
      <c r="A102" s="94">
        <f t="shared" ref="A102" si="129">$A98+1</f>
        <v>25</v>
      </c>
      <c r="B102" s="117" t="str">
        <f>IFERROR(INDEX(TBL_PIPED_IMPORTERS_CONNECTIONS[Name],$A102),"")</f>
        <v/>
      </c>
      <c r="C102" s="93" t="str">
        <f t="shared" ref="C102:D102" si="130">IF($B102&lt;&gt;"",C98,"")</f>
        <v/>
      </c>
      <c r="D102" s="93" t="str">
        <f t="shared" si="130"/>
        <v/>
      </c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5"/>
      <c r="W102" s="31" t="e">
        <f>INDEX(TBL_PIPED_IMPORTERS_CONNECTIONS[PipedImporterConnectionID],$A102)</f>
        <v>#REF!</v>
      </c>
      <c r="X102" s="31" t="e">
        <f>"PipedImporterCapMin_"&amp;RIGHT($W102,11)</f>
        <v>#REF!</v>
      </c>
    </row>
    <row r="103" spans="1:24" x14ac:dyDescent="0.25">
      <c r="A103" s="94">
        <f t="shared" si="120"/>
        <v>25</v>
      </c>
      <c r="B103" s="118"/>
      <c r="C103" s="93" t="str">
        <f t="shared" ref="C103:D103" si="131">IF($B102&lt;&gt;"",C99,"")</f>
        <v/>
      </c>
      <c r="D103" s="93" t="str">
        <f t="shared" si="131"/>
        <v/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6"/>
      <c r="W103" s="31" t="e">
        <f>INDEX(TBL_PIPED_IMPORTERS_CONNECTIONS[PipedImporterConnectionID],$A103)</f>
        <v>#REF!</v>
      </c>
      <c r="X103" s="31" t="e">
        <f>"PipedImporterCapMax_"&amp;RIGHT($W103,11)</f>
        <v>#REF!</v>
      </c>
    </row>
    <row r="104" spans="1:24" x14ac:dyDescent="0.25">
      <c r="A104" s="94">
        <f t="shared" si="120"/>
        <v>25</v>
      </c>
      <c r="B104" s="118"/>
      <c r="C104" s="93" t="str">
        <f t="shared" ref="C104:D104" si="132">IF($B102&lt;&gt;"",C100,"")</f>
        <v/>
      </c>
      <c r="D104" s="93" t="str">
        <f t="shared" si="132"/>
        <v/>
      </c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5"/>
      <c r="W104" s="31" t="e">
        <f>INDEX(TBL_PIPED_IMPORTERS_CONNECTIONS[PipedImporterConnectionID],$A104)</f>
        <v>#REF!</v>
      </c>
      <c r="X104" s="31" t="e">
        <f>"PipedImporterTariffFixed_"&amp;RIGHT($W104,11)</f>
        <v>#REF!</v>
      </c>
    </row>
    <row r="105" spans="1:24" x14ac:dyDescent="0.25">
      <c r="A105" s="94">
        <f t="shared" si="120"/>
        <v>25</v>
      </c>
      <c r="B105" s="119"/>
      <c r="C105" s="93" t="str">
        <f t="shared" ref="C105:D105" si="133">IF($B102&lt;&gt;"",C101,"")</f>
        <v/>
      </c>
      <c r="D105" s="93" t="str">
        <f t="shared" si="133"/>
        <v/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6"/>
      <c r="W105" s="31" t="e">
        <f>INDEX(TBL_PIPED_IMPORTERS_CONNECTIONS[PipedImporterConnectionID],$A105)</f>
        <v>#REF!</v>
      </c>
      <c r="X105" s="31" t="e">
        <f>"PipedImporterTariffVar_"&amp;RIGHT($W105,11)</f>
        <v>#REF!</v>
      </c>
    </row>
    <row r="106" spans="1:24" x14ac:dyDescent="0.25">
      <c r="A106" s="94">
        <f t="shared" ref="A106" si="134">$A102+1</f>
        <v>26</v>
      </c>
      <c r="B106" s="117" t="str">
        <f>IFERROR(INDEX(TBL_PIPED_IMPORTERS_CONNECTIONS[Name],$A106),"")</f>
        <v/>
      </c>
      <c r="C106" s="93" t="str">
        <f t="shared" ref="C106:D106" si="135">IF($B106&lt;&gt;"",C102,"")</f>
        <v/>
      </c>
      <c r="D106" s="93" t="str">
        <f t="shared" si="135"/>
        <v/>
      </c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5"/>
      <c r="W106" s="31" t="e">
        <f>INDEX(TBL_PIPED_IMPORTERS_CONNECTIONS[PipedImporterConnectionID],$A106)</f>
        <v>#REF!</v>
      </c>
      <c r="X106" s="31" t="e">
        <f>"PipedImporterCapMin_"&amp;RIGHT($W106,11)</f>
        <v>#REF!</v>
      </c>
    </row>
    <row r="107" spans="1:24" x14ac:dyDescent="0.25">
      <c r="A107" s="94">
        <f t="shared" si="120"/>
        <v>26</v>
      </c>
      <c r="B107" s="118"/>
      <c r="C107" s="93" t="str">
        <f t="shared" ref="C107:D107" si="136">IF($B106&lt;&gt;"",C103,"")</f>
        <v/>
      </c>
      <c r="D107" s="93" t="str">
        <f t="shared" si="136"/>
        <v/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6"/>
      <c r="W107" s="31" t="e">
        <f>INDEX(TBL_PIPED_IMPORTERS_CONNECTIONS[PipedImporterConnectionID],$A107)</f>
        <v>#REF!</v>
      </c>
      <c r="X107" s="31" t="e">
        <f>"PipedImporterCapMax_"&amp;RIGHT($W107,11)</f>
        <v>#REF!</v>
      </c>
    </row>
    <row r="108" spans="1:24" x14ac:dyDescent="0.25">
      <c r="A108" s="94">
        <f t="shared" si="120"/>
        <v>26</v>
      </c>
      <c r="B108" s="118"/>
      <c r="C108" s="93" t="str">
        <f t="shared" ref="C108:D108" si="137">IF($B106&lt;&gt;"",C104,"")</f>
        <v/>
      </c>
      <c r="D108" s="93" t="str">
        <f t="shared" si="137"/>
        <v/>
      </c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5"/>
      <c r="W108" s="31" t="e">
        <f>INDEX(TBL_PIPED_IMPORTERS_CONNECTIONS[PipedImporterConnectionID],$A108)</f>
        <v>#REF!</v>
      </c>
      <c r="X108" s="31" t="e">
        <f>"PipedImporterTariffFixed_"&amp;RIGHT($W108,11)</f>
        <v>#REF!</v>
      </c>
    </row>
    <row r="109" spans="1:24" x14ac:dyDescent="0.25">
      <c r="A109" s="94">
        <f t="shared" si="120"/>
        <v>26</v>
      </c>
      <c r="B109" s="119"/>
      <c r="C109" s="93" t="str">
        <f t="shared" ref="C109:D109" si="138">IF($B106&lt;&gt;"",C105,"")</f>
        <v/>
      </c>
      <c r="D109" s="93" t="str">
        <f t="shared" si="138"/>
        <v/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6"/>
      <c r="W109" s="31" t="e">
        <f>INDEX(TBL_PIPED_IMPORTERS_CONNECTIONS[PipedImporterConnectionID],$A109)</f>
        <v>#REF!</v>
      </c>
      <c r="X109" s="31" t="e">
        <f>"PipedImporterTariffVar_"&amp;RIGHT($W109,11)</f>
        <v>#REF!</v>
      </c>
    </row>
    <row r="110" spans="1:24" x14ac:dyDescent="0.25">
      <c r="A110" s="94">
        <f t="shared" ref="A110" si="139">$A106+1</f>
        <v>27</v>
      </c>
      <c r="B110" s="117" t="str">
        <f>IFERROR(INDEX(TBL_PIPED_IMPORTERS_CONNECTIONS[Name],$A110),"")</f>
        <v/>
      </c>
      <c r="C110" s="93" t="str">
        <f t="shared" ref="C110:D110" si="140">IF($B110&lt;&gt;"",C106,"")</f>
        <v/>
      </c>
      <c r="D110" s="93" t="str">
        <f t="shared" si="140"/>
        <v/>
      </c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5"/>
      <c r="W110" s="31" t="e">
        <f>INDEX(TBL_PIPED_IMPORTERS_CONNECTIONS[PipedImporterConnectionID],$A110)</f>
        <v>#REF!</v>
      </c>
      <c r="X110" s="31" t="e">
        <f>"PipedImporterCapMin_"&amp;RIGHT($W110,11)</f>
        <v>#REF!</v>
      </c>
    </row>
    <row r="111" spans="1:24" x14ac:dyDescent="0.25">
      <c r="A111" s="94">
        <f t="shared" si="120"/>
        <v>27</v>
      </c>
      <c r="B111" s="118"/>
      <c r="C111" s="93" t="str">
        <f t="shared" ref="C111:D111" si="141">IF($B110&lt;&gt;"",C107,"")</f>
        <v/>
      </c>
      <c r="D111" s="93" t="str">
        <f t="shared" si="141"/>
        <v/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6"/>
      <c r="W111" s="31" t="e">
        <f>INDEX(TBL_PIPED_IMPORTERS_CONNECTIONS[PipedImporterConnectionID],$A111)</f>
        <v>#REF!</v>
      </c>
      <c r="X111" s="31" t="e">
        <f>"PipedImporterCapMax_"&amp;RIGHT($W111,11)</f>
        <v>#REF!</v>
      </c>
    </row>
    <row r="112" spans="1:24" x14ac:dyDescent="0.25">
      <c r="A112" s="94">
        <f t="shared" si="120"/>
        <v>27</v>
      </c>
      <c r="B112" s="118"/>
      <c r="C112" s="93" t="str">
        <f t="shared" ref="C112:D112" si="142">IF($B110&lt;&gt;"",C108,"")</f>
        <v/>
      </c>
      <c r="D112" s="93" t="str">
        <f t="shared" si="142"/>
        <v/>
      </c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5"/>
      <c r="W112" s="31" t="e">
        <f>INDEX(TBL_PIPED_IMPORTERS_CONNECTIONS[PipedImporterConnectionID],$A112)</f>
        <v>#REF!</v>
      </c>
      <c r="X112" s="31" t="e">
        <f>"PipedImporterTariffFixed_"&amp;RIGHT($W112,11)</f>
        <v>#REF!</v>
      </c>
    </row>
    <row r="113" spans="1:24" x14ac:dyDescent="0.25">
      <c r="A113" s="94">
        <f t="shared" si="120"/>
        <v>27</v>
      </c>
      <c r="B113" s="119"/>
      <c r="C113" s="93" t="str">
        <f t="shared" ref="C113:D113" si="143">IF($B110&lt;&gt;"",C109,"")</f>
        <v/>
      </c>
      <c r="D113" s="93" t="str">
        <f t="shared" si="143"/>
        <v/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6"/>
      <c r="W113" s="31" t="e">
        <f>INDEX(TBL_PIPED_IMPORTERS_CONNECTIONS[PipedImporterConnectionID],$A113)</f>
        <v>#REF!</v>
      </c>
      <c r="X113" s="31" t="e">
        <f>"PipedImporterTariffVar_"&amp;RIGHT($W113,11)</f>
        <v>#REF!</v>
      </c>
    </row>
    <row r="114" spans="1:24" x14ac:dyDescent="0.25">
      <c r="A114" s="94">
        <f t="shared" ref="A114" si="144">$A110+1</f>
        <v>28</v>
      </c>
      <c r="B114" s="117" t="str">
        <f>IFERROR(INDEX(TBL_PIPED_IMPORTERS_CONNECTIONS[Name],$A114),"")</f>
        <v/>
      </c>
      <c r="C114" s="93" t="str">
        <f t="shared" ref="C114:D114" si="145">IF($B114&lt;&gt;"",C110,"")</f>
        <v/>
      </c>
      <c r="D114" s="93" t="str">
        <f t="shared" si="145"/>
        <v/>
      </c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5"/>
      <c r="W114" s="31" t="e">
        <f>INDEX(TBL_PIPED_IMPORTERS_CONNECTIONS[PipedImporterConnectionID],$A114)</f>
        <v>#REF!</v>
      </c>
      <c r="X114" s="31" t="e">
        <f>"PipedImporterCapMin_"&amp;RIGHT($W114,11)</f>
        <v>#REF!</v>
      </c>
    </row>
    <row r="115" spans="1:24" x14ac:dyDescent="0.25">
      <c r="A115" s="94">
        <f t="shared" ref="A115:A117" si="146">$A114</f>
        <v>28</v>
      </c>
      <c r="B115" s="118"/>
      <c r="C115" s="93" t="str">
        <f t="shared" ref="C115:D115" si="147">IF($B114&lt;&gt;"",C111,"")</f>
        <v/>
      </c>
      <c r="D115" s="93" t="str">
        <f t="shared" si="147"/>
        <v/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6"/>
      <c r="W115" s="31" t="e">
        <f>INDEX(TBL_PIPED_IMPORTERS_CONNECTIONS[PipedImporterConnectionID],$A115)</f>
        <v>#REF!</v>
      </c>
      <c r="X115" s="31" t="e">
        <f>"PipedImporterCapMax_"&amp;RIGHT($W115,11)</f>
        <v>#REF!</v>
      </c>
    </row>
    <row r="116" spans="1:24" x14ac:dyDescent="0.25">
      <c r="A116" s="94">
        <f t="shared" si="146"/>
        <v>28</v>
      </c>
      <c r="B116" s="118"/>
      <c r="C116" s="93" t="str">
        <f t="shared" ref="C116:D116" si="148">IF($B114&lt;&gt;"",C112,"")</f>
        <v/>
      </c>
      <c r="D116" s="93" t="str">
        <f t="shared" si="148"/>
        <v/>
      </c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5"/>
      <c r="W116" s="31" t="e">
        <f>INDEX(TBL_PIPED_IMPORTERS_CONNECTIONS[PipedImporterConnectionID],$A116)</f>
        <v>#REF!</v>
      </c>
      <c r="X116" s="31" t="e">
        <f>"PipedImporterTariffFixed_"&amp;RIGHT($W116,11)</f>
        <v>#REF!</v>
      </c>
    </row>
    <row r="117" spans="1:24" x14ac:dyDescent="0.25">
      <c r="A117" s="94">
        <f t="shared" si="146"/>
        <v>28</v>
      </c>
      <c r="B117" s="119"/>
      <c r="C117" s="93" t="str">
        <f t="shared" ref="C117:D117" si="149">IF($B114&lt;&gt;"",C113,"")</f>
        <v/>
      </c>
      <c r="D117" s="93" t="str">
        <f t="shared" si="149"/>
        <v/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6"/>
      <c r="W117" s="31" t="e">
        <f>INDEX(TBL_PIPED_IMPORTERS_CONNECTIONS[PipedImporterConnectionID],$A117)</f>
        <v>#REF!</v>
      </c>
      <c r="X117" s="31" t="e">
        <f>"PipedImporterTariffVar_"&amp;RIGHT($W117,11)</f>
        <v>#REF!</v>
      </c>
    </row>
    <row r="118" spans="1:24" x14ac:dyDescent="0.25">
      <c r="A118" s="94">
        <f t="shared" ref="A118" si="150">$A114+1</f>
        <v>29</v>
      </c>
      <c r="B118" s="117" t="str">
        <f>IFERROR(INDEX(TBL_PIPED_IMPORTERS_CONNECTIONS[Name],$A118),"")</f>
        <v/>
      </c>
      <c r="C118" s="93" t="str">
        <f t="shared" ref="C118:D118" si="151">IF($B118&lt;&gt;"",C114,"")</f>
        <v/>
      </c>
      <c r="D118" s="93" t="str">
        <f t="shared" si="151"/>
        <v/>
      </c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5"/>
      <c r="W118" s="31" t="e">
        <f>INDEX(TBL_PIPED_IMPORTERS_CONNECTIONS[PipedImporterConnectionID],$A118)</f>
        <v>#REF!</v>
      </c>
      <c r="X118" s="31" t="e">
        <f>"PipedImporterCapMin_"&amp;RIGHT($W118,11)</f>
        <v>#REF!</v>
      </c>
    </row>
    <row r="119" spans="1:24" x14ac:dyDescent="0.25">
      <c r="A119" s="94">
        <f t="shared" ref="A119:A121" si="152">$A118</f>
        <v>29</v>
      </c>
      <c r="B119" s="118"/>
      <c r="C119" s="93" t="str">
        <f t="shared" ref="C119:D119" si="153">IF($B118&lt;&gt;"",C115,"")</f>
        <v/>
      </c>
      <c r="D119" s="93" t="str">
        <f t="shared" si="153"/>
        <v/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6"/>
      <c r="W119" s="31" t="e">
        <f>INDEX(TBL_PIPED_IMPORTERS_CONNECTIONS[PipedImporterConnectionID],$A119)</f>
        <v>#REF!</v>
      </c>
      <c r="X119" s="31" t="e">
        <f>"PipedImporterCapMax_"&amp;RIGHT($W119,11)</f>
        <v>#REF!</v>
      </c>
    </row>
    <row r="120" spans="1:24" x14ac:dyDescent="0.25">
      <c r="A120" s="94">
        <f t="shared" si="152"/>
        <v>29</v>
      </c>
      <c r="B120" s="118"/>
      <c r="C120" s="93" t="str">
        <f t="shared" ref="C120:D120" si="154">IF($B118&lt;&gt;"",C116,"")</f>
        <v/>
      </c>
      <c r="D120" s="93" t="str">
        <f t="shared" si="154"/>
        <v/>
      </c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5"/>
      <c r="W120" s="31" t="e">
        <f>INDEX(TBL_PIPED_IMPORTERS_CONNECTIONS[PipedImporterConnectionID],$A120)</f>
        <v>#REF!</v>
      </c>
      <c r="X120" s="31" t="e">
        <f>"PipedImporterTariffFixed_"&amp;RIGHT($W120,11)</f>
        <v>#REF!</v>
      </c>
    </row>
    <row r="121" spans="1:24" x14ac:dyDescent="0.25">
      <c r="A121" s="94">
        <f t="shared" si="152"/>
        <v>29</v>
      </c>
      <c r="B121" s="119"/>
      <c r="C121" s="93" t="str">
        <f t="shared" ref="C121:D121" si="155">IF($B118&lt;&gt;"",C117,"")</f>
        <v/>
      </c>
      <c r="D121" s="93" t="str">
        <f t="shared" si="155"/>
        <v/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6"/>
      <c r="W121" s="31" t="e">
        <f>INDEX(TBL_PIPED_IMPORTERS_CONNECTIONS[PipedImporterConnectionID],$A121)</f>
        <v>#REF!</v>
      </c>
      <c r="X121" s="31" t="e">
        <f>"PipedImporterTariffVar_"&amp;RIGHT($W121,11)</f>
        <v>#REF!</v>
      </c>
    </row>
    <row r="122" spans="1:24" x14ac:dyDescent="0.25">
      <c r="A122" s="94">
        <f t="shared" ref="A122" si="156">$A118+1</f>
        <v>30</v>
      </c>
      <c r="B122" s="117" t="str">
        <f>IFERROR(INDEX(TBL_PIPED_IMPORTERS_CONNECTIONS[Name],$A122),"")</f>
        <v/>
      </c>
      <c r="C122" s="93" t="str">
        <f t="shared" ref="C122:D122" si="157">IF($B122&lt;&gt;"",C118,"")</f>
        <v/>
      </c>
      <c r="D122" s="93" t="str">
        <f t="shared" si="157"/>
        <v/>
      </c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5"/>
      <c r="W122" s="31" t="e">
        <f>INDEX(TBL_PIPED_IMPORTERS_CONNECTIONS[PipedImporterConnectionID],$A122)</f>
        <v>#REF!</v>
      </c>
      <c r="X122" s="31" t="e">
        <f>"PipedImporterCapMin_"&amp;RIGHT($W122,11)</f>
        <v>#REF!</v>
      </c>
    </row>
    <row r="123" spans="1:24" x14ac:dyDescent="0.25">
      <c r="A123" s="94">
        <f t="shared" ref="A123:A141" si="158">$A122</f>
        <v>30</v>
      </c>
      <c r="B123" s="118"/>
      <c r="C123" s="93" t="str">
        <f t="shared" ref="C123:D123" si="159">IF($B122&lt;&gt;"",C119,"")</f>
        <v/>
      </c>
      <c r="D123" s="93" t="str">
        <f t="shared" si="159"/>
        <v/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6"/>
      <c r="W123" s="31" t="e">
        <f>INDEX(TBL_PIPED_IMPORTERS_CONNECTIONS[PipedImporterConnectionID],$A123)</f>
        <v>#REF!</v>
      </c>
      <c r="X123" s="31" t="e">
        <f>"PipedImporterCapMax_"&amp;RIGHT($W123,11)</f>
        <v>#REF!</v>
      </c>
    </row>
    <row r="124" spans="1:24" x14ac:dyDescent="0.25">
      <c r="A124" s="94">
        <f t="shared" si="158"/>
        <v>30</v>
      </c>
      <c r="B124" s="118"/>
      <c r="C124" s="93" t="str">
        <f t="shared" ref="C124:D124" si="160">IF($B122&lt;&gt;"",C120,"")</f>
        <v/>
      </c>
      <c r="D124" s="93" t="str">
        <f t="shared" si="160"/>
        <v/>
      </c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5"/>
      <c r="W124" s="31" t="e">
        <f>INDEX(TBL_PIPED_IMPORTERS_CONNECTIONS[PipedImporterConnectionID],$A124)</f>
        <v>#REF!</v>
      </c>
      <c r="X124" s="31" t="e">
        <f>"PipedImporterTariffFixed_"&amp;RIGHT($W124,11)</f>
        <v>#REF!</v>
      </c>
    </row>
    <row r="125" spans="1:24" x14ac:dyDescent="0.25">
      <c r="A125" s="94">
        <f t="shared" si="158"/>
        <v>30</v>
      </c>
      <c r="B125" s="119"/>
      <c r="C125" s="93" t="str">
        <f t="shared" ref="C125:D125" si="161">IF($B122&lt;&gt;"",C121,"")</f>
        <v/>
      </c>
      <c r="D125" s="93" t="str">
        <f t="shared" si="161"/>
        <v/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6"/>
      <c r="W125" s="31" t="e">
        <f>INDEX(TBL_PIPED_IMPORTERS_CONNECTIONS[PipedImporterConnectionID],$A125)</f>
        <v>#REF!</v>
      </c>
      <c r="X125" s="31" t="e">
        <f>"PipedImporterTariffVar_"&amp;RIGHT($W125,11)</f>
        <v>#REF!</v>
      </c>
    </row>
    <row r="126" spans="1:24" x14ac:dyDescent="0.25">
      <c r="A126" s="94">
        <f t="shared" ref="A126" si="162">$A122+1</f>
        <v>31</v>
      </c>
      <c r="B126" s="117" t="str">
        <f>IFERROR(INDEX(TBL_PIPED_IMPORTERS_CONNECTIONS[Name],$A126),"")</f>
        <v/>
      </c>
      <c r="C126" s="93" t="str">
        <f t="shared" ref="C126:D126" si="163">IF($B126&lt;&gt;"",C122,"")</f>
        <v/>
      </c>
      <c r="D126" s="93" t="str">
        <f t="shared" si="163"/>
        <v/>
      </c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5"/>
      <c r="W126" s="31" t="e">
        <f>INDEX(TBL_PIPED_IMPORTERS_CONNECTIONS[PipedImporterConnectionID],$A126)</f>
        <v>#REF!</v>
      </c>
      <c r="X126" s="31" t="e">
        <f>"PipedImporterCapMin_"&amp;RIGHT($W126,11)</f>
        <v>#REF!</v>
      </c>
    </row>
    <row r="127" spans="1:24" x14ac:dyDescent="0.25">
      <c r="A127" s="94">
        <f t="shared" si="158"/>
        <v>31</v>
      </c>
      <c r="B127" s="118"/>
      <c r="C127" s="93" t="str">
        <f t="shared" ref="C127:D127" si="164">IF($B126&lt;&gt;"",C123,"")</f>
        <v/>
      </c>
      <c r="D127" s="93" t="str">
        <f t="shared" si="164"/>
        <v/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6"/>
      <c r="W127" s="31" t="e">
        <f>INDEX(TBL_PIPED_IMPORTERS_CONNECTIONS[PipedImporterConnectionID],$A127)</f>
        <v>#REF!</v>
      </c>
      <c r="X127" s="31" t="e">
        <f>"PipedImporterCapMax_"&amp;RIGHT($W127,11)</f>
        <v>#REF!</v>
      </c>
    </row>
    <row r="128" spans="1:24" x14ac:dyDescent="0.25">
      <c r="A128" s="94">
        <f t="shared" si="158"/>
        <v>31</v>
      </c>
      <c r="B128" s="118"/>
      <c r="C128" s="93" t="str">
        <f t="shared" ref="C128:D128" si="165">IF($B126&lt;&gt;"",C124,"")</f>
        <v/>
      </c>
      <c r="D128" s="93" t="str">
        <f t="shared" si="165"/>
        <v/>
      </c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5"/>
      <c r="W128" s="31" t="e">
        <f>INDEX(TBL_PIPED_IMPORTERS_CONNECTIONS[PipedImporterConnectionID],$A128)</f>
        <v>#REF!</v>
      </c>
      <c r="X128" s="31" t="e">
        <f>"PipedImporterTariffFixed_"&amp;RIGHT($W128,11)</f>
        <v>#REF!</v>
      </c>
    </row>
    <row r="129" spans="1:24" x14ac:dyDescent="0.25">
      <c r="A129" s="94">
        <f t="shared" si="158"/>
        <v>31</v>
      </c>
      <c r="B129" s="119"/>
      <c r="C129" s="93" t="str">
        <f t="shared" ref="C129:D129" si="166">IF($B126&lt;&gt;"",C125,"")</f>
        <v/>
      </c>
      <c r="D129" s="93" t="str">
        <f t="shared" si="166"/>
        <v/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6"/>
      <c r="W129" s="31" t="e">
        <f>INDEX(TBL_PIPED_IMPORTERS_CONNECTIONS[PipedImporterConnectionID],$A129)</f>
        <v>#REF!</v>
      </c>
      <c r="X129" s="31" t="e">
        <f>"PipedImporterTariffVar_"&amp;RIGHT($W129,11)</f>
        <v>#REF!</v>
      </c>
    </row>
    <row r="130" spans="1:24" x14ac:dyDescent="0.25">
      <c r="A130" s="94">
        <f t="shared" ref="A130" si="167">$A126+1</f>
        <v>32</v>
      </c>
      <c r="B130" s="117" t="str">
        <f>IFERROR(INDEX(TBL_PIPED_IMPORTERS_CONNECTIONS[Name],$A130),"")</f>
        <v/>
      </c>
      <c r="C130" s="93" t="str">
        <f t="shared" ref="C130:D130" si="168">IF($B130&lt;&gt;"",C126,"")</f>
        <v/>
      </c>
      <c r="D130" s="93" t="str">
        <f t="shared" si="168"/>
        <v/>
      </c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5"/>
      <c r="W130" s="31" t="e">
        <f>INDEX(TBL_PIPED_IMPORTERS_CONNECTIONS[PipedImporterConnectionID],$A130)</f>
        <v>#REF!</v>
      </c>
      <c r="X130" s="31" t="e">
        <f>"PipedImporterCapMin_"&amp;RIGHT($W130,11)</f>
        <v>#REF!</v>
      </c>
    </row>
    <row r="131" spans="1:24" x14ac:dyDescent="0.25">
      <c r="A131" s="94">
        <f t="shared" si="158"/>
        <v>32</v>
      </c>
      <c r="B131" s="118"/>
      <c r="C131" s="93" t="str">
        <f t="shared" ref="C131:D131" si="169">IF($B130&lt;&gt;"",C127,"")</f>
        <v/>
      </c>
      <c r="D131" s="93" t="str">
        <f t="shared" si="169"/>
        <v/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6"/>
      <c r="W131" s="31" t="e">
        <f>INDEX(TBL_PIPED_IMPORTERS_CONNECTIONS[PipedImporterConnectionID],$A131)</f>
        <v>#REF!</v>
      </c>
      <c r="X131" s="31" t="e">
        <f>"PipedImporterCapMax_"&amp;RIGHT($W131,11)</f>
        <v>#REF!</v>
      </c>
    </row>
    <row r="132" spans="1:24" x14ac:dyDescent="0.25">
      <c r="A132" s="94">
        <f t="shared" si="158"/>
        <v>32</v>
      </c>
      <c r="B132" s="118"/>
      <c r="C132" s="93" t="str">
        <f t="shared" ref="C132:D132" si="170">IF($B130&lt;&gt;"",C128,"")</f>
        <v/>
      </c>
      <c r="D132" s="93" t="str">
        <f t="shared" si="170"/>
        <v/>
      </c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5"/>
      <c r="W132" s="31" t="e">
        <f>INDEX(TBL_PIPED_IMPORTERS_CONNECTIONS[PipedImporterConnectionID],$A132)</f>
        <v>#REF!</v>
      </c>
      <c r="X132" s="31" t="e">
        <f>"PipedImporterTariffFixed_"&amp;RIGHT($W132,11)</f>
        <v>#REF!</v>
      </c>
    </row>
    <row r="133" spans="1:24" x14ac:dyDescent="0.25">
      <c r="A133" s="94">
        <f t="shared" si="158"/>
        <v>32</v>
      </c>
      <c r="B133" s="119"/>
      <c r="C133" s="93" t="str">
        <f t="shared" ref="C133:D133" si="171">IF($B130&lt;&gt;"",C129,"")</f>
        <v/>
      </c>
      <c r="D133" s="93" t="str">
        <f t="shared" si="171"/>
        <v/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6"/>
      <c r="W133" s="31" t="e">
        <f>INDEX(TBL_PIPED_IMPORTERS_CONNECTIONS[PipedImporterConnectionID],$A133)</f>
        <v>#REF!</v>
      </c>
      <c r="X133" s="31" t="e">
        <f>"PipedImporterTariffVar_"&amp;RIGHT($W133,11)</f>
        <v>#REF!</v>
      </c>
    </row>
    <row r="134" spans="1:24" x14ac:dyDescent="0.25">
      <c r="A134" s="94">
        <f t="shared" ref="A134" si="172">$A130+1</f>
        <v>33</v>
      </c>
      <c r="B134" s="117" t="str">
        <f>IFERROR(INDEX(TBL_PIPED_IMPORTERS_CONNECTIONS[Name],$A134),"")</f>
        <v/>
      </c>
      <c r="C134" s="93" t="str">
        <f t="shared" ref="C134:D134" si="173">IF($B134&lt;&gt;"",C130,"")</f>
        <v/>
      </c>
      <c r="D134" s="93" t="str">
        <f t="shared" si="173"/>
        <v/>
      </c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5"/>
      <c r="W134" s="31" t="e">
        <f>INDEX(TBL_PIPED_IMPORTERS_CONNECTIONS[PipedImporterConnectionID],$A134)</f>
        <v>#REF!</v>
      </c>
      <c r="X134" s="31" t="e">
        <f>"PipedImporterCapMin_"&amp;RIGHT($W134,11)</f>
        <v>#REF!</v>
      </c>
    </row>
    <row r="135" spans="1:24" x14ac:dyDescent="0.25">
      <c r="A135" s="94">
        <f t="shared" si="158"/>
        <v>33</v>
      </c>
      <c r="B135" s="118"/>
      <c r="C135" s="93" t="str">
        <f t="shared" ref="C135:D135" si="174">IF($B134&lt;&gt;"",C131,"")</f>
        <v/>
      </c>
      <c r="D135" s="93" t="str">
        <f t="shared" si="174"/>
        <v/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6"/>
      <c r="W135" s="31" t="e">
        <f>INDEX(TBL_PIPED_IMPORTERS_CONNECTIONS[PipedImporterConnectionID],$A135)</f>
        <v>#REF!</v>
      </c>
      <c r="X135" s="31" t="e">
        <f>"PipedImporterCapMax_"&amp;RIGHT($W135,11)</f>
        <v>#REF!</v>
      </c>
    </row>
    <row r="136" spans="1:24" x14ac:dyDescent="0.25">
      <c r="A136" s="94">
        <f t="shared" si="158"/>
        <v>33</v>
      </c>
      <c r="B136" s="118"/>
      <c r="C136" s="93" t="str">
        <f t="shared" ref="C136:D136" si="175">IF($B134&lt;&gt;"",C132,"")</f>
        <v/>
      </c>
      <c r="D136" s="93" t="str">
        <f t="shared" si="175"/>
        <v/>
      </c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5"/>
      <c r="W136" s="31" t="e">
        <f>INDEX(TBL_PIPED_IMPORTERS_CONNECTIONS[PipedImporterConnectionID],$A136)</f>
        <v>#REF!</v>
      </c>
      <c r="X136" s="31" t="e">
        <f>"PipedImporterTariffFixed_"&amp;RIGHT($W136,11)</f>
        <v>#REF!</v>
      </c>
    </row>
    <row r="137" spans="1:24" x14ac:dyDescent="0.25">
      <c r="A137" s="94">
        <f t="shared" si="158"/>
        <v>33</v>
      </c>
      <c r="B137" s="119"/>
      <c r="C137" s="93" t="str">
        <f t="shared" ref="C137:D137" si="176">IF($B134&lt;&gt;"",C133,"")</f>
        <v/>
      </c>
      <c r="D137" s="93" t="str">
        <f t="shared" si="176"/>
        <v/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6"/>
      <c r="W137" s="31" t="e">
        <f>INDEX(TBL_PIPED_IMPORTERS_CONNECTIONS[PipedImporterConnectionID],$A137)</f>
        <v>#REF!</v>
      </c>
      <c r="X137" s="31" t="e">
        <f>"PipedImporterTariffVar_"&amp;RIGHT($W137,11)</f>
        <v>#REF!</v>
      </c>
    </row>
    <row r="138" spans="1:24" x14ac:dyDescent="0.25">
      <c r="A138" s="94">
        <f t="shared" ref="A138" si="177">$A134+1</f>
        <v>34</v>
      </c>
      <c r="B138" s="117" t="str">
        <f>IFERROR(INDEX(TBL_PIPED_IMPORTERS_CONNECTIONS[Name],$A138),"")</f>
        <v/>
      </c>
      <c r="C138" s="93" t="str">
        <f t="shared" ref="C138:D138" si="178">IF($B138&lt;&gt;"",C134,"")</f>
        <v/>
      </c>
      <c r="D138" s="93" t="str">
        <f t="shared" si="178"/>
        <v/>
      </c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5"/>
      <c r="W138" s="31" t="e">
        <f>INDEX(TBL_PIPED_IMPORTERS_CONNECTIONS[PipedImporterConnectionID],$A138)</f>
        <v>#REF!</v>
      </c>
      <c r="X138" s="31" t="e">
        <f>"PipedImporterCapMin_"&amp;RIGHT($W138,11)</f>
        <v>#REF!</v>
      </c>
    </row>
    <row r="139" spans="1:24" x14ac:dyDescent="0.25">
      <c r="A139" s="94">
        <f t="shared" si="158"/>
        <v>34</v>
      </c>
      <c r="B139" s="118"/>
      <c r="C139" s="93" t="str">
        <f t="shared" ref="C139:D139" si="179">IF($B138&lt;&gt;"",C135,"")</f>
        <v/>
      </c>
      <c r="D139" s="93" t="str">
        <f t="shared" si="179"/>
        <v/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6"/>
      <c r="W139" s="31" t="e">
        <f>INDEX(TBL_PIPED_IMPORTERS_CONNECTIONS[PipedImporterConnectionID],$A139)</f>
        <v>#REF!</v>
      </c>
      <c r="X139" s="31" t="e">
        <f>"PipedImporterCapMax_"&amp;RIGHT($W139,11)</f>
        <v>#REF!</v>
      </c>
    </row>
    <row r="140" spans="1:24" x14ac:dyDescent="0.25">
      <c r="A140" s="94">
        <f t="shared" si="158"/>
        <v>34</v>
      </c>
      <c r="B140" s="118"/>
      <c r="C140" s="93" t="str">
        <f t="shared" ref="C140:D140" si="180">IF($B138&lt;&gt;"",C136,"")</f>
        <v/>
      </c>
      <c r="D140" s="93" t="str">
        <f t="shared" si="180"/>
        <v/>
      </c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5"/>
      <c r="W140" s="31" t="e">
        <f>INDEX(TBL_PIPED_IMPORTERS_CONNECTIONS[PipedImporterConnectionID],$A140)</f>
        <v>#REF!</v>
      </c>
      <c r="X140" s="31" t="e">
        <f>"PipedImporterTariffFixed_"&amp;RIGHT($W140,11)</f>
        <v>#REF!</v>
      </c>
    </row>
    <row r="141" spans="1:24" x14ac:dyDescent="0.25">
      <c r="A141" s="94">
        <f t="shared" si="158"/>
        <v>34</v>
      </c>
      <c r="B141" s="119"/>
      <c r="C141" s="93" t="str">
        <f t="shared" ref="C141:D141" si="181">IF($B138&lt;&gt;"",C137,"")</f>
        <v/>
      </c>
      <c r="D141" s="93" t="str">
        <f t="shared" si="181"/>
        <v/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6"/>
      <c r="W141" s="31" t="e">
        <f>INDEX(TBL_PIPED_IMPORTERS_CONNECTIONS[PipedImporterConnectionID],$A141)</f>
        <v>#REF!</v>
      </c>
      <c r="X141" s="31" t="e">
        <f>"PipedImporterTariffVar_"&amp;RIGHT($W141,11)</f>
        <v>#REF!</v>
      </c>
    </row>
    <row r="142" spans="1:24" x14ac:dyDescent="0.25">
      <c r="A142" s="94">
        <f t="shared" ref="A142" si="182">$A138+1</f>
        <v>35</v>
      </c>
      <c r="B142" s="117" t="str">
        <f>IFERROR(INDEX(TBL_PIPED_IMPORTERS_CONNECTIONS[Name],$A142),"")</f>
        <v/>
      </c>
      <c r="C142" s="93" t="str">
        <f t="shared" ref="C142:D142" si="183">IF($B142&lt;&gt;"",C138,"")</f>
        <v/>
      </c>
      <c r="D142" s="93" t="str">
        <f t="shared" si="183"/>
        <v/>
      </c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5"/>
      <c r="W142" s="31" t="e">
        <f>INDEX(TBL_PIPED_IMPORTERS_CONNECTIONS[PipedImporterConnectionID],$A142)</f>
        <v>#REF!</v>
      </c>
      <c r="X142" s="31" t="e">
        <f>"PipedImporterCapMin_"&amp;RIGHT($W142,11)</f>
        <v>#REF!</v>
      </c>
    </row>
    <row r="143" spans="1:24" x14ac:dyDescent="0.25">
      <c r="A143" s="94">
        <f t="shared" ref="A143:A145" si="184">$A142</f>
        <v>35</v>
      </c>
      <c r="B143" s="118"/>
      <c r="C143" s="93" t="str">
        <f t="shared" ref="C143:D143" si="185">IF($B142&lt;&gt;"",C139,"")</f>
        <v/>
      </c>
      <c r="D143" s="93" t="str">
        <f t="shared" si="185"/>
        <v/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6"/>
      <c r="W143" s="31" t="e">
        <f>INDEX(TBL_PIPED_IMPORTERS_CONNECTIONS[PipedImporterConnectionID],$A143)</f>
        <v>#REF!</v>
      </c>
      <c r="X143" s="31" t="e">
        <f>"PipedImporterCapMax_"&amp;RIGHT($W143,11)</f>
        <v>#REF!</v>
      </c>
    </row>
    <row r="144" spans="1:24" x14ac:dyDescent="0.25">
      <c r="A144" s="94">
        <f t="shared" si="184"/>
        <v>35</v>
      </c>
      <c r="B144" s="118"/>
      <c r="C144" s="93" t="str">
        <f t="shared" ref="C144:D144" si="186">IF($B142&lt;&gt;"",C140,"")</f>
        <v/>
      </c>
      <c r="D144" s="93" t="str">
        <f t="shared" si="186"/>
        <v/>
      </c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5"/>
      <c r="W144" s="31" t="e">
        <f>INDEX(TBL_PIPED_IMPORTERS_CONNECTIONS[PipedImporterConnectionID],$A144)</f>
        <v>#REF!</v>
      </c>
      <c r="X144" s="31" t="e">
        <f>"PipedImporterTariffFixed_"&amp;RIGHT($W144,11)</f>
        <v>#REF!</v>
      </c>
    </row>
    <row r="145" spans="1:24" x14ac:dyDescent="0.25">
      <c r="A145" s="94">
        <f t="shared" si="184"/>
        <v>35</v>
      </c>
      <c r="B145" s="119"/>
      <c r="C145" s="93" t="str">
        <f t="shared" ref="C145:D145" si="187">IF($B142&lt;&gt;"",C141,"")</f>
        <v/>
      </c>
      <c r="D145" s="93" t="str">
        <f t="shared" si="187"/>
        <v/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6"/>
      <c r="W145" s="31" t="e">
        <f>INDEX(TBL_PIPED_IMPORTERS_CONNECTIONS[PipedImporterConnectionID],$A145)</f>
        <v>#REF!</v>
      </c>
      <c r="X145" s="31" t="e">
        <f>"PipedImporterTariffVar_"&amp;RIGHT($W145,11)</f>
        <v>#REF!</v>
      </c>
    </row>
    <row r="146" spans="1:24" x14ac:dyDescent="0.25">
      <c r="A146" s="94">
        <f t="shared" ref="A146" si="188">$A142+1</f>
        <v>36</v>
      </c>
      <c r="B146" s="117" t="str">
        <f>IFERROR(INDEX(TBL_PIPED_IMPORTERS_CONNECTIONS[Name],$A146),"")</f>
        <v/>
      </c>
      <c r="C146" s="93" t="str">
        <f t="shared" ref="C146:D146" si="189">IF($B146&lt;&gt;"",C142,"")</f>
        <v/>
      </c>
      <c r="D146" s="93" t="str">
        <f t="shared" si="189"/>
        <v/>
      </c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5"/>
      <c r="W146" s="31" t="e">
        <f>INDEX(TBL_PIPED_IMPORTERS_CONNECTIONS[PipedImporterConnectionID],$A146)</f>
        <v>#REF!</v>
      </c>
      <c r="X146" s="31" t="e">
        <f>"PipedImporterCapMin_"&amp;RIGHT($W146,11)</f>
        <v>#REF!</v>
      </c>
    </row>
    <row r="147" spans="1:24" x14ac:dyDescent="0.25">
      <c r="A147" s="94">
        <f t="shared" ref="A147:A149" si="190">$A146</f>
        <v>36</v>
      </c>
      <c r="B147" s="118"/>
      <c r="C147" s="93" t="str">
        <f t="shared" ref="C147:D147" si="191">IF($B146&lt;&gt;"",C143,"")</f>
        <v/>
      </c>
      <c r="D147" s="93" t="str">
        <f t="shared" si="191"/>
        <v/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6"/>
      <c r="W147" s="31" t="e">
        <f>INDEX(TBL_PIPED_IMPORTERS_CONNECTIONS[PipedImporterConnectionID],$A147)</f>
        <v>#REF!</v>
      </c>
      <c r="X147" s="31" t="e">
        <f>"PipedImporterCapMax_"&amp;RIGHT($W147,11)</f>
        <v>#REF!</v>
      </c>
    </row>
    <row r="148" spans="1:24" x14ac:dyDescent="0.25">
      <c r="A148" s="94">
        <f t="shared" si="190"/>
        <v>36</v>
      </c>
      <c r="B148" s="118"/>
      <c r="C148" s="93" t="str">
        <f t="shared" ref="C148:D148" si="192">IF($B146&lt;&gt;"",C144,"")</f>
        <v/>
      </c>
      <c r="D148" s="93" t="str">
        <f t="shared" si="192"/>
        <v/>
      </c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5"/>
      <c r="W148" s="31" t="e">
        <f>INDEX(TBL_PIPED_IMPORTERS_CONNECTIONS[PipedImporterConnectionID],$A148)</f>
        <v>#REF!</v>
      </c>
      <c r="X148" s="31" t="e">
        <f>"PipedImporterTariffFixed_"&amp;RIGHT($W148,11)</f>
        <v>#REF!</v>
      </c>
    </row>
    <row r="149" spans="1:24" x14ac:dyDescent="0.25">
      <c r="A149" s="94">
        <f t="shared" si="190"/>
        <v>36</v>
      </c>
      <c r="B149" s="119"/>
      <c r="C149" s="93" t="str">
        <f t="shared" ref="C149:D149" si="193">IF($B146&lt;&gt;"",C145,"")</f>
        <v/>
      </c>
      <c r="D149" s="93" t="str">
        <f t="shared" si="193"/>
        <v/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6"/>
      <c r="W149" s="31" t="e">
        <f>INDEX(TBL_PIPED_IMPORTERS_CONNECTIONS[PipedImporterConnectionID],$A149)</f>
        <v>#REF!</v>
      </c>
      <c r="X149" s="31" t="e">
        <f>"PipedImporterTariffVar_"&amp;RIGHT($W149,11)</f>
        <v>#REF!</v>
      </c>
    </row>
    <row r="150" spans="1:24" x14ac:dyDescent="0.25">
      <c r="A150" s="94">
        <f t="shared" ref="A150" si="194">$A146+1</f>
        <v>37</v>
      </c>
      <c r="B150" s="117" t="str">
        <f>IFERROR(INDEX(TBL_PIPED_IMPORTERS_CONNECTIONS[Name],$A150),"")</f>
        <v/>
      </c>
      <c r="C150" s="93" t="str">
        <f t="shared" ref="C150:D150" si="195">IF($B150&lt;&gt;"",C146,"")</f>
        <v/>
      </c>
      <c r="D150" s="93" t="str">
        <f t="shared" si="195"/>
        <v/>
      </c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5"/>
      <c r="W150" s="31" t="e">
        <f>INDEX(TBL_PIPED_IMPORTERS_CONNECTIONS[PipedImporterConnectionID],$A150)</f>
        <v>#REF!</v>
      </c>
      <c r="X150" s="31" t="e">
        <f>"PipedImporterCapMin_"&amp;RIGHT($W150,11)</f>
        <v>#REF!</v>
      </c>
    </row>
    <row r="151" spans="1:24" x14ac:dyDescent="0.25">
      <c r="A151" s="94">
        <f t="shared" ref="A151:A169" si="196">$A150</f>
        <v>37</v>
      </c>
      <c r="B151" s="118"/>
      <c r="C151" s="93" t="str">
        <f t="shared" ref="C151:D151" si="197">IF($B150&lt;&gt;"",C147,"")</f>
        <v/>
      </c>
      <c r="D151" s="93" t="str">
        <f t="shared" si="197"/>
        <v/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6"/>
      <c r="W151" s="31" t="e">
        <f>INDEX(TBL_PIPED_IMPORTERS_CONNECTIONS[PipedImporterConnectionID],$A151)</f>
        <v>#REF!</v>
      </c>
      <c r="X151" s="31" t="e">
        <f>"PipedImporterCapMax_"&amp;RIGHT($W151,11)</f>
        <v>#REF!</v>
      </c>
    </row>
    <row r="152" spans="1:24" x14ac:dyDescent="0.25">
      <c r="A152" s="94">
        <f t="shared" si="196"/>
        <v>37</v>
      </c>
      <c r="B152" s="118"/>
      <c r="C152" s="93" t="str">
        <f t="shared" ref="C152:D152" si="198">IF($B150&lt;&gt;"",C148,"")</f>
        <v/>
      </c>
      <c r="D152" s="93" t="str">
        <f t="shared" si="198"/>
        <v/>
      </c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5"/>
      <c r="W152" s="31" t="e">
        <f>INDEX(TBL_PIPED_IMPORTERS_CONNECTIONS[PipedImporterConnectionID],$A152)</f>
        <v>#REF!</v>
      </c>
      <c r="X152" s="31" t="e">
        <f>"PipedImporterTariffFixed_"&amp;RIGHT($W152,11)</f>
        <v>#REF!</v>
      </c>
    </row>
    <row r="153" spans="1:24" x14ac:dyDescent="0.25">
      <c r="A153" s="94">
        <f t="shared" si="196"/>
        <v>37</v>
      </c>
      <c r="B153" s="119"/>
      <c r="C153" s="93" t="str">
        <f t="shared" ref="C153:D153" si="199">IF($B150&lt;&gt;"",C149,"")</f>
        <v/>
      </c>
      <c r="D153" s="93" t="str">
        <f t="shared" si="199"/>
        <v/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6"/>
      <c r="W153" s="31" t="e">
        <f>INDEX(TBL_PIPED_IMPORTERS_CONNECTIONS[PipedImporterConnectionID],$A153)</f>
        <v>#REF!</v>
      </c>
      <c r="X153" s="31" t="e">
        <f>"PipedImporterTariffVar_"&amp;RIGHT($W153,11)</f>
        <v>#REF!</v>
      </c>
    </row>
    <row r="154" spans="1:24" x14ac:dyDescent="0.25">
      <c r="A154" s="94">
        <f t="shared" ref="A154" si="200">$A150+1</f>
        <v>38</v>
      </c>
      <c r="B154" s="117" t="str">
        <f>IFERROR(INDEX(TBL_PIPED_IMPORTERS_CONNECTIONS[Name],$A154),"")</f>
        <v/>
      </c>
      <c r="C154" s="93" t="str">
        <f t="shared" ref="C154:D154" si="201">IF($B154&lt;&gt;"",C150,"")</f>
        <v/>
      </c>
      <c r="D154" s="93" t="str">
        <f t="shared" si="201"/>
        <v/>
      </c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5"/>
      <c r="W154" s="31" t="e">
        <f>INDEX(TBL_PIPED_IMPORTERS_CONNECTIONS[PipedImporterConnectionID],$A154)</f>
        <v>#REF!</v>
      </c>
      <c r="X154" s="31" t="e">
        <f>"PipedImporterCapMin_"&amp;RIGHT($W154,11)</f>
        <v>#REF!</v>
      </c>
    </row>
    <row r="155" spans="1:24" x14ac:dyDescent="0.25">
      <c r="A155" s="94">
        <f t="shared" si="196"/>
        <v>38</v>
      </c>
      <c r="B155" s="118"/>
      <c r="C155" s="93" t="str">
        <f t="shared" ref="C155:D155" si="202">IF($B154&lt;&gt;"",C151,"")</f>
        <v/>
      </c>
      <c r="D155" s="93" t="str">
        <f t="shared" si="202"/>
        <v/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6"/>
      <c r="W155" s="31" t="e">
        <f>INDEX(TBL_PIPED_IMPORTERS_CONNECTIONS[PipedImporterConnectionID],$A155)</f>
        <v>#REF!</v>
      </c>
      <c r="X155" s="31" t="e">
        <f>"PipedImporterCapMax_"&amp;RIGHT($W155,11)</f>
        <v>#REF!</v>
      </c>
    </row>
    <row r="156" spans="1:24" x14ac:dyDescent="0.25">
      <c r="A156" s="94">
        <f t="shared" si="196"/>
        <v>38</v>
      </c>
      <c r="B156" s="118"/>
      <c r="C156" s="93" t="str">
        <f t="shared" ref="C156:D156" si="203">IF($B154&lt;&gt;"",C152,"")</f>
        <v/>
      </c>
      <c r="D156" s="93" t="str">
        <f t="shared" si="203"/>
        <v/>
      </c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5"/>
      <c r="W156" s="31" t="e">
        <f>INDEX(TBL_PIPED_IMPORTERS_CONNECTIONS[PipedImporterConnectionID],$A156)</f>
        <v>#REF!</v>
      </c>
      <c r="X156" s="31" t="e">
        <f>"PipedImporterTariffFixed_"&amp;RIGHT($W156,11)</f>
        <v>#REF!</v>
      </c>
    </row>
    <row r="157" spans="1:24" x14ac:dyDescent="0.25">
      <c r="A157" s="94">
        <f t="shared" si="196"/>
        <v>38</v>
      </c>
      <c r="B157" s="119"/>
      <c r="C157" s="93" t="str">
        <f t="shared" ref="C157:D157" si="204">IF($B154&lt;&gt;"",C153,"")</f>
        <v/>
      </c>
      <c r="D157" s="93" t="str">
        <f t="shared" si="204"/>
        <v/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6"/>
      <c r="W157" s="31" t="e">
        <f>INDEX(TBL_PIPED_IMPORTERS_CONNECTIONS[PipedImporterConnectionID],$A157)</f>
        <v>#REF!</v>
      </c>
      <c r="X157" s="31" t="e">
        <f>"PipedImporterTariffVar_"&amp;RIGHT($W157,11)</f>
        <v>#REF!</v>
      </c>
    </row>
    <row r="158" spans="1:24" x14ac:dyDescent="0.25">
      <c r="A158" s="94">
        <f t="shared" ref="A158" si="205">$A154+1</f>
        <v>39</v>
      </c>
      <c r="B158" s="117" t="str">
        <f>IFERROR(INDEX(TBL_PIPED_IMPORTERS_CONNECTIONS[Name],$A158),"")</f>
        <v/>
      </c>
      <c r="C158" s="93" t="str">
        <f t="shared" ref="C158:D158" si="206">IF($B158&lt;&gt;"",C154,"")</f>
        <v/>
      </c>
      <c r="D158" s="93" t="str">
        <f t="shared" si="206"/>
        <v/>
      </c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5"/>
      <c r="W158" s="31" t="e">
        <f>INDEX(TBL_PIPED_IMPORTERS_CONNECTIONS[PipedImporterConnectionID],$A158)</f>
        <v>#REF!</v>
      </c>
      <c r="X158" s="31" t="e">
        <f>"PipedImporterCapMin_"&amp;RIGHT($W158,11)</f>
        <v>#REF!</v>
      </c>
    </row>
    <row r="159" spans="1:24" x14ac:dyDescent="0.25">
      <c r="A159" s="94">
        <f t="shared" si="196"/>
        <v>39</v>
      </c>
      <c r="B159" s="118"/>
      <c r="C159" s="93" t="str">
        <f t="shared" ref="C159:D159" si="207">IF($B158&lt;&gt;"",C155,"")</f>
        <v/>
      </c>
      <c r="D159" s="93" t="str">
        <f t="shared" si="207"/>
        <v/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6"/>
      <c r="W159" s="31" t="e">
        <f>INDEX(TBL_PIPED_IMPORTERS_CONNECTIONS[PipedImporterConnectionID],$A159)</f>
        <v>#REF!</v>
      </c>
      <c r="X159" s="31" t="e">
        <f>"PipedImporterCapMax_"&amp;RIGHT($W159,11)</f>
        <v>#REF!</v>
      </c>
    </row>
    <row r="160" spans="1:24" x14ac:dyDescent="0.25">
      <c r="A160" s="94">
        <f t="shared" si="196"/>
        <v>39</v>
      </c>
      <c r="B160" s="118"/>
      <c r="C160" s="93" t="str">
        <f t="shared" ref="C160:D160" si="208">IF($B158&lt;&gt;"",C156,"")</f>
        <v/>
      </c>
      <c r="D160" s="93" t="str">
        <f t="shared" si="208"/>
        <v/>
      </c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5"/>
      <c r="W160" s="31" t="e">
        <f>INDEX(TBL_PIPED_IMPORTERS_CONNECTIONS[PipedImporterConnectionID],$A160)</f>
        <v>#REF!</v>
      </c>
      <c r="X160" s="31" t="e">
        <f>"PipedImporterTariffFixed_"&amp;RIGHT($W160,11)</f>
        <v>#REF!</v>
      </c>
    </row>
    <row r="161" spans="1:24" x14ac:dyDescent="0.25">
      <c r="A161" s="94">
        <f t="shared" si="196"/>
        <v>39</v>
      </c>
      <c r="B161" s="119"/>
      <c r="C161" s="93" t="str">
        <f t="shared" ref="C161:D161" si="209">IF($B158&lt;&gt;"",C157,"")</f>
        <v/>
      </c>
      <c r="D161" s="93" t="str">
        <f t="shared" si="209"/>
        <v/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6"/>
      <c r="W161" s="31" t="e">
        <f>INDEX(TBL_PIPED_IMPORTERS_CONNECTIONS[PipedImporterConnectionID],$A161)</f>
        <v>#REF!</v>
      </c>
      <c r="X161" s="31" t="e">
        <f>"PipedImporterTariffVar_"&amp;RIGHT($W161,11)</f>
        <v>#REF!</v>
      </c>
    </row>
    <row r="162" spans="1:24" x14ac:dyDescent="0.25">
      <c r="A162" s="94">
        <f t="shared" ref="A162" si="210">$A158+1</f>
        <v>40</v>
      </c>
      <c r="B162" s="117" t="str">
        <f>IFERROR(INDEX(TBL_PIPED_IMPORTERS_CONNECTIONS[Name],$A162),"")</f>
        <v/>
      </c>
      <c r="C162" s="93" t="str">
        <f t="shared" ref="C162:D162" si="211">IF($B162&lt;&gt;"",C158,"")</f>
        <v/>
      </c>
      <c r="D162" s="93" t="str">
        <f t="shared" si="211"/>
        <v/>
      </c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5"/>
      <c r="W162" s="31" t="e">
        <f>INDEX(TBL_PIPED_IMPORTERS_CONNECTIONS[PipedImporterConnectionID],$A162)</f>
        <v>#REF!</v>
      </c>
      <c r="X162" s="31" t="e">
        <f>"PipedImporterCapMin_"&amp;RIGHT($W162,11)</f>
        <v>#REF!</v>
      </c>
    </row>
    <row r="163" spans="1:24" x14ac:dyDescent="0.25">
      <c r="A163" s="94">
        <f t="shared" si="196"/>
        <v>40</v>
      </c>
      <c r="B163" s="118"/>
      <c r="C163" s="93" t="str">
        <f t="shared" ref="C163:D163" si="212">IF($B162&lt;&gt;"",C159,"")</f>
        <v/>
      </c>
      <c r="D163" s="93" t="str">
        <f t="shared" si="212"/>
        <v/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6"/>
      <c r="W163" s="31" t="e">
        <f>INDEX(TBL_PIPED_IMPORTERS_CONNECTIONS[PipedImporterConnectionID],$A163)</f>
        <v>#REF!</v>
      </c>
      <c r="X163" s="31" t="e">
        <f>"PipedImporterCapMax_"&amp;RIGHT($W163,11)</f>
        <v>#REF!</v>
      </c>
    </row>
    <row r="164" spans="1:24" x14ac:dyDescent="0.25">
      <c r="A164" s="94">
        <f t="shared" si="196"/>
        <v>40</v>
      </c>
      <c r="B164" s="118"/>
      <c r="C164" s="93" t="str">
        <f t="shared" ref="C164:D164" si="213">IF($B162&lt;&gt;"",C160,"")</f>
        <v/>
      </c>
      <c r="D164" s="93" t="str">
        <f t="shared" si="213"/>
        <v/>
      </c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5"/>
      <c r="W164" s="31" t="e">
        <f>INDEX(TBL_PIPED_IMPORTERS_CONNECTIONS[PipedImporterConnectionID],$A164)</f>
        <v>#REF!</v>
      </c>
      <c r="X164" s="31" t="e">
        <f>"PipedImporterTariffFixed_"&amp;RIGHT($W164,11)</f>
        <v>#REF!</v>
      </c>
    </row>
    <row r="165" spans="1:24" x14ac:dyDescent="0.25">
      <c r="A165" s="94">
        <f t="shared" si="196"/>
        <v>40</v>
      </c>
      <c r="B165" s="119"/>
      <c r="C165" s="93" t="str">
        <f t="shared" ref="C165:D165" si="214">IF($B162&lt;&gt;"",C161,"")</f>
        <v/>
      </c>
      <c r="D165" s="93" t="str">
        <f t="shared" si="214"/>
        <v/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6"/>
      <c r="W165" s="31" t="e">
        <f>INDEX(TBL_PIPED_IMPORTERS_CONNECTIONS[PipedImporterConnectionID],$A165)</f>
        <v>#REF!</v>
      </c>
      <c r="X165" s="31" t="e">
        <f>"PipedImporterTariffVar_"&amp;RIGHT($W165,11)</f>
        <v>#REF!</v>
      </c>
    </row>
    <row r="166" spans="1:24" x14ac:dyDescent="0.25">
      <c r="A166" s="94">
        <f t="shared" ref="A166" si="215">$A162+1</f>
        <v>41</v>
      </c>
      <c r="B166" s="117" t="str">
        <f>IFERROR(INDEX(TBL_PIPED_IMPORTERS_CONNECTIONS[Name],$A166),"")</f>
        <v/>
      </c>
      <c r="C166" s="93" t="str">
        <f t="shared" ref="C166:D166" si="216">IF($B166&lt;&gt;"",C162,"")</f>
        <v/>
      </c>
      <c r="D166" s="93" t="str">
        <f t="shared" si="216"/>
        <v/>
      </c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5"/>
      <c r="W166" s="31" t="e">
        <f>INDEX(TBL_PIPED_IMPORTERS_CONNECTIONS[PipedImporterConnectionID],$A166)</f>
        <v>#REF!</v>
      </c>
      <c r="X166" s="31" t="e">
        <f>"PipedImporterCapMin_"&amp;RIGHT($W166,11)</f>
        <v>#REF!</v>
      </c>
    </row>
    <row r="167" spans="1:24" x14ac:dyDescent="0.25">
      <c r="A167" s="94">
        <f t="shared" si="196"/>
        <v>41</v>
      </c>
      <c r="B167" s="118"/>
      <c r="C167" s="93" t="str">
        <f t="shared" ref="C167:D167" si="217">IF($B166&lt;&gt;"",C163,"")</f>
        <v/>
      </c>
      <c r="D167" s="93" t="str">
        <f t="shared" si="217"/>
        <v/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6"/>
      <c r="W167" s="31" t="e">
        <f>INDEX(TBL_PIPED_IMPORTERS_CONNECTIONS[PipedImporterConnectionID],$A167)</f>
        <v>#REF!</v>
      </c>
      <c r="X167" s="31" t="e">
        <f>"PipedImporterCapMax_"&amp;RIGHT($W167,11)</f>
        <v>#REF!</v>
      </c>
    </row>
    <row r="168" spans="1:24" x14ac:dyDescent="0.25">
      <c r="A168" s="94">
        <f t="shared" si="196"/>
        <v>41</v>
      </c>
      <c r="B168" s="118"/>
      <c r="C168" s="93" t="str">
        <f t="shared" ref="C168:D168" si="218">IF($B166&lt;&gt;"",C164,"")</f>
        <v/>
      </c>
      <c r="D168" s="93" t="str">
        <f t="shared" si="218"/>
        <v/>
      </c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5"/>
      <c r="W168" s="31" t="e">
        <f>INDEX(TBL_PIPED_IMPORTERS_CONNECTIONS[PipedImporterConnectionID],$A168)</f>
        <v>#REF!</v>
      </c>
      <c r="X168" s="31" t="e">
        <f>"PipedImporterTariffFixed_"&amp;RIGHT($W168,11)</f>
        <v>#REF!</v>
      </c>
    </row>
    <row r="169" spans="1:24" x14ac:dyDescent="0.25">
      <c r="A169" s="94">
        <f t="shared" si="196"/>
        <v>41</v>
      </c>
      <c r="B169" s="119"/>
      <c r="C169" s="93" t="str">
        <f t="shared" ref="C169:D169" si="219">IF($B166&lt;&gt;"",C165,"")</f>
        <v/>
      </c>
      <c r="D169" s="93" t="str">
        <f t="shared" si="219"/>
        <v/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6"/>
      <c r="W169" s="31" t="e">
        <f>INDEX(TBL_PIPED_IMPORTERS_CONNECTIONS[PipedImporterConnectionID],$A169)</f>
        <v>#REF!</v>
      </c>
      <c r="X169" s="31" t="e">
        <f>"PipedImporterTariffVar_"&amp;RIGHT($W169,11)</f>
        <v>#REF!</v>
      </c>
    </row>
    <row r="170" spans="1:24" x14ac:dyDescent="0.25">
      <c r="A170" s="94">
        <f t="shared" ref="A170" si="220">$A166+1</f>
        <v>42</v>
      </c>
      <c r="B170" s="117" t="str">
        <f>IFERROR(INDEX(TBL_PIPED_IMPORTERS_CONNECTIONS[Name],$A170),"")</f>
        <v/>
      </c>
      <c r="C170" s="93" t="str">
        <f t="shared" ref="C170:D170" si="221">IF($B170&lt;&gt;"",C166,"")</f>
        <v/>
      </c>
      <c r="D170" s="93" t="str">
        <f t="shared" si="221"/>
        <v/>
      </c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5"/>
      <c r="W170" s="31" t="e">
        <f>INDEX(TBL_PIPED_IMPORTERS_CONNECTIONS[PipedImporterConnectionID],$A170)</f>
        <v>#REF!</v>
      </c>
      <c r="X170" s="31" t="e">
        <f>"PipedImporterCapMin_"&amp;RIGHT($W170,11)</f>
        <v>#REF!</v>
      </c>
    </row>
    <row r="171" spans="1:24" x14ac:dyDescent="0.25">
      <c r="A171" s="94">
        <f t="shared" ref="A171:A173" si="222">$A170</f>
        <v>42</v>
      </c>
      <c r="B171" s="118"/>
      <c r="C171" s="93" t="str">
        <f t="shared" ref="C171:D171" si="223">IF($B170&lt;&gt;"",C167,"")</f>
        <v/>
      </c>
      <c r="D171" s="93" t="str">
        <f t="shared" si="223"/>
        <v/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6"/>
      <c r="W171" s="31" t="e">
        <f>INDEX(TBL_PIPED_IMPORTERS_CONNECTIONS[PipedImporterConnectionID],$A171)</f>
        <v>#REF!</v>
      </c>
      <c r="X171" s="31" t="e">
        <f>"PipedImporterCapMax_"&amp;RIGHT($W171,11)</f>
        <v>#REF!</v>
      </c>
    </row>
    <row r="172" spans="1:24" x14ac:dyDescent="0.25">
      <c r="A172" s="94">
        <f t="shared" si="222"/>
        <v>42</v>
      </c>
      <c r="B172" s="118"/>
      <c r="C172" s="93" t="str">
        <f t="shared" ref="C172:D172" si="224">IF($B170&lt;&gt;"",C168,"")</f>
        <v/>
      </c>
      <c r="D172" s="93" t="str">
        <f t="shared" si="224"/>
        <v/>
      </c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5"/>
      <c r="W172" s="31" t="e">
        <f>INDEX(TBL_PIPED_IMPORTERS_CONNECTIONS[PipedImporterConnectionID],$A172)</f>
        <v>#REF!</v>
      </c>
      <c r="X172" s="31" t="e">
        <f>"PipedImporterTariffFixed_"&amp;RIGHT($W172,11)</f>
        <v>#REF!</v>
      </c>
    </row>
    <row r="173" spans="1:24" x14ac:dyDescent="0.25">
      <c r="A173" s="94">
        <f t="shared" si="222"/>
        <v>42</v>
      </c>
      <c r="B173" s="119"/>
      <c r="C173" s="93" t="str">
        <f t="shared" ref="C173:D173" si="225">IF($B170&lt;&gt;"",C169,"")</f>
        <v/>
      </c>
      <c r="D173" s="93" t="str">
        <f t="shared" si="225"/>
        <v/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6"/>
      <c r="W173" s="31" t="e">
        <f>INDEX(TBL_PIPED_IMPORTERS_CONNECTIONS[PipedImporterConnectionID],$A173)</f>
        <v>#REF!</v>
      </c>
      <c r="X173" s="31" t="e">
        <f>"PipedImporterTariffVar_"&amp;RIGHT($W173,11)</f>
        <v>#REF!</v>
      </c>
    </row>
    <row r="174" spans="1:24" x14ac:dyDescent="0.25">
      <c r="A174" s="94">
        <f t="shared" ref="A174" si="226">$A170+1</f>
        <v>43</v>
      </c>
      <c r="B174" s="117" t="str">
        <f>IFERROR(INDEX(TBL_PIPED_IMPORTERS_CONNECTIONS[Name],$A174),"")</f>
        <v/>
      </c>
      <c r="C174" s="93" t="str">
        <f t="shared" ref="C174:D174" si="227">IF($B174&lt;&gt;"",C170,"")</f>
        <v/>
      </c>
      <c r="D174" s="93" t="str">
        <f t="shared" si="227"/>
        <v/>
      </c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5"/>
      <c r="W174" s="31" t="e">
        <f>INDEX(TBL_PIPED_IMPORTERS_CONNECTIONS[PipedImporterConnectionID],$A174)</f>
        <v>#REF!</v>
      </c>
      <c r="X174" s="31" t="e">
        <f>"PipedImporterCapMin_"&amp;RIGHT($W174,11)</f>
        <v>#REF!</v>
      </c>
    </row>
    <row r="175" spans="1:24" x14ac:dyDescent="0.25">
      <c r="A175" s="94">
        <f t="shared" ref="A175:A177" si="228">$A174</f>
        <v>43</v>
      </c>
      <c r="B175" s="118"/>
      <c r="C175" s="93" t="str">
        <f t="shared" ref="C175:D175" si="229">IF($B174&lt;&gt;"",C171,"")</f>
        <v/>
      </c>
      <c r="D175" s="93" t="str">
        <f t="shared" si="229"/>
        <v/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6"/>
      <c r="W175" s="31" t="e">
        <f>INDEX(TBL_PIPED_IMPORTERS_CONNECTIONS[PipedImporterConnectionID],$A175)</f>
        <v>#REF!</v>
      </c>
      <c r="X175" s="31" t="e">
        <f>"PipedImporterCapMax_"&amp;RIGHT($W175,11)</f>
        <v>#REF!</v>
      </c>
    </row>
    <row r="176" spans="1:24" x14ac:dyDescent="0.25">
      <c r="A176" s="94">
        <f t="shared" si="228"/>
        <v>43</v>
      </c>
      <c r="B176" s="118"/>
      <c r="C176" s="93" t="str">
        <f t="shared" ref="C176:D176" si="230">IF($B174&lt;&gt;"",C172,"")</f>
        <v/>
      </c>
      <c r="D176" s="93" t="str">
        <f t="shared" si="230"/>
        <v/>
      </c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5"/>
      <c r="W176" s="31" t="e">
        <f>INDEX(TBL_PIPED_IMPORTERS_CONNECTIONS[PipedImporterConnectionID],$A176)</f>
        <v>#REF!</v>
      </c>
      <c r="X176" s="31" t="e">
        <f>"PipedImporterTariffFixed_"&amp;RIGHT($W176,11)</f>
        <v>#REF!</v>
      </c>
    </row>
    <row r="177" spans="1:24" x14ac:dyDescent="0.25">
      <c r="A177" s="94">
        <f t="shared" si="228"/>
        <v>43</v>
      </c>
      <c r="B177" s="119"/>
      <c r="C177" s="93" t="str">
        <f t="shared" ref="C177:D177" si="231">IF($B174&lt;&gt;"",C173,"")</f>
        <v/>
      </c>
      <c r="D177" s="93" t="str">
        <f t="shared" si="231"/>
        <v/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6"/>
      <c r="W177" s="31" t="e">
        <f>INDEX(TBL_PIPED_IMPORTERS_CONNECTIONS[PipedImporterConnectionID],$A177)</f>
        <v>#REF!</v>
      </c>
      <c r="X177" s="31" t="e">
        <f>"PipedImporterTariffVar_"&amp;RIGHT($W177,11)</f>
        <v>#REF!</v>
      </c>
    </row>
    <row r="178" spans="1:24" x14ac:dyDescent="0.25">
      <c r="A178" s="94">
        <f t="shared" ref="A178" si="232">$A174+1</f>
        <v>44</v>
      </c>
      <c r="B178" s="117" t="str">
        <f>IFERROR(INDEX(TBL_PIPED_IMPORTERS_CONNECTIONS[Name],$A178),"")</f>
        <v/>
      </c>
      <c r="C178" s="93" t="str">
        <f t="shared" ref="C178:D178" si="233">IF($B178&lt;&gt;"",C174,"")</f>
        <v/>
      </c>
      <c r="D178" s="93" t="str">
        <f t="shared" si="233"/>
        <v/>
      </c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5"/>
      <c r="W178" s="31" t="e">
        <f>INDEX(TBL_PIPED_IMPORTERS_CONNECTIONS[PipedImporterConnectionID],$A178)</f>
        <v>#REF!</v>
      </c>
      <c r="X178" s="31" t="e">
        <f>"PipedImporterCapMin_"&amp;RIGHT($W178,11)</f>
        <v>#REF!</v>
      </c>
    </row>
    <row r="179" spans="1:24" x14ac:dyDescent="0.25">
      <c r="A179" s="94">
        <f t="shared" ref="A179:A197" si="234">$A178</f>
        <v>44</v>
      </c>
      <c r="B179" s="118"/>
      <c r="C179" s="93" t="str">
        <f t="shared" ref="C179:D179" si="235">IF($B178&lt;&gt;"",C175,"")</f>
        <v/>
      </c>
      <c r="D179" s="93" t="str">
        <f t="shared" si="235"/>
        <v/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6"/>
      <c r="W179" s="31" t="e">
        <f>INDEX(TBL_PIPED_IMPORTERS_CONNECTIONS[PipedImporterConnectionID],$A179)</f>
        <v>#REF!</v>
      </c>
      <c r="X179" s="31" t="e">
        <f>"PipedImporterCapMax_"&amp;RIGHT($W179,11)</f>
        <v>#REF!</v>
      </c>
    </row>
    <row r="180" spans="1:24" x14ac:dyDescent="0.25">
      <c r="A180" s="94">
        <f t="shared" si="234"/>
        <v>44</v>
      </c>
      <c r="B180" s="118"/>
      <c r="C180" s="93" t="str">
        <f t="shared" ref="C180:D180" si="236">IF($B178&lt;&gt;"",C176,"")</f>
        <v/>
      </c>
      <c r="D180" s="93" t="str">
        <f t="shared" si="236"/>
        <v/>
      </c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5"/>
      <c r="W180" s="31" t="e">
        <f>INDEX(TBL_PIPED_IMPORTERS_CONNECTIONS[PipedImporterConnectionID],$A180)</f>
        <v>#REF!</v>
      </c>
      <c r="X180" s="31" t="e">
        <f>"PipedImporterTariffFixed_"&amp;RIGHT($W180,11)</f>
        <v>#REF!</v>
      </c>
    </row>
    <row r="181" spans="1:24" x14ac:dyDescent="0.25">
      <c r="A181" s="94">
        <f t="shared" si="234"/>
        <v>44</v>
      </c>
      <c r="B181" s="119"/>
      <c r="C181" s="93" t="str">
        <f t="shared" ref="C181:D181" si="237">IF($B178&lt;&gt;"",C177,"")</f>
        <v/>
      </c>
      <c r="D181" s="93" t="str">
        <f t="shared" si="237"/>
        <v/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6"/>
      <c r="W181" s="31" t="e">
        <f>INDEX(TBL_PIPED_IMPORTERS_CONNECTIONS[PipedImporterConnectionID],$A181)</f>
        <v>#REF!</v>
      </c>
      <c r="X181" s="31" t="e">
        <f>"PipedImporterTariffVar_"&amp;RIGHT($W181,11)</f>
        <v>#REF!</v>
      </c>
    </row>
    <row r="182" spans="1:24" x14ac:dyDescent="0.25">
      <c r="A182" s="94">
        <f t="shared" ref="A182" si="238">$A178+1</f>
        <v>45</v>
      </c>
      <c r="B182" s="117" t="str">
        <f>IFERROR(INDEX(TBL_PIPED_IMPORTERS_CONNECTIONS[Name],$A182),"")</f>
        <v/>
      </c>
      <c r="C182" s="93" t="str">
        <f t="shared" ref="C182:D182" si="239">IF($B182&lt;&gt;"",C178,"")</f>
        <v/>
      </c>
      <c r="D182" s="93" t="str">
        <f t="shared" si="239"/>
        <v/>
      </c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5"/>
      <c r="W182" s="31" t="e">
        <f>INDEX(TBL_PIPED_IMPORTERS_CONNECTIONS[PipedImporterConnectionID],$A182)</f>
        <v>#REF!</v>
      </c>
      <c r="X182" s="31" t="e">
        <f>"PipedImporterCapMin_"&amp;RIGHT($W182,11)</f>
        <v>#REF!</v>
      </c>
    </row>
    <row r="183" spans="1:24" x14ac:dyDescent="0.25">
      <c r="A183" s="94">
        <f t="shared" si="234"/>
        <v>45</v>
      </c>
      <c r="B183" s="118"/>
      <c r="C183" s="93" t="str">
        <f t="shared" ref="C183:D183" si="240">IF($B182&lt;&gt;"",C179,"")</f>
        <v/>
      </c>
      <c r="D183" s="93" t="str">
        <f t="shared" si="240"/>
        <v/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6"/>
      <c r="W183" s="31" t="e">
        <f>INDEX(TBL_PIPED_IMPORTERS_CONNECTIONS[PipedImporterConnectionID],$A183)</f>
        <v>#REF!</v>
      </c>
      <c r="X183" s="31" t="e">
        <f>"PipedImporterCapMax_"&amp;RIGHT($W183,11)</f>
        <v>#REF!</v>
      </c>
    </row>
    <row r="184" spans="1:24" x14ac:dyDescent="0.25">
      <c r="A184" s="94">
        <f t="shared" si="234"/>
        <v>45</v>
      </c>
      <c r="B184" s="118"/>
      <c r="C184" s="93" t="str">
        <f t="shared" ref="C184:D184" si="241">IF($B182&lt;&gt;"",C180,"")</f>
        <v/>
      </c>
      <c r="D184" s="93" t="str">
        <f t="shared" si="241"/>
        <v/>
      </c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5"/>
      <c r="W184" s="31" t="e">
        <f>INDEX(TBL_PIPED_IMPORTERS_CONNECTIONS[PipedImporterConnectionID],$A184)</f>
        <v>#REF!</v>
      </c>
      <c r="X184" s="31" t="e">
        <f>"PipedImporterTariffFixed_"&amp;RIGHT($W184,11)</f>
        <v>#REF!</v>
      </c>
    </row>
    <row r="185" spans="1:24" x14ac:dyDescent="0.25">
      <c r="A185" s="94">
        <f t="shared" si="234"/>
        <v>45</v>
      </c>
      <c r="B185" s="119"/>
      <c r="C185" s="93" t="str">
        <f t="shared" ref="C185:D185" si="242">IF($B182&lt;&gt;"",C181,"")</f>
        <v/>
      </c>
      <c r="D185" s="93" t="str">
        <f t="shared" si="242"/>
        <v/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6"/>
      <c r="W185" s="31" t="e">
        <f>INDEX(TBL_PIPED_IMPORTERS_CONNECTIONS[PipedImporterConnectionID],$A185)</f>
        <v>#REF!</v>
      </c>
      <c r="X185" s="31" t="e">
        <f>"PipedImporterTariffVar_"&amp;RIGHT($W185,11)</f>
        <v>#REF!</v>
      </c>
    </row>
    <row r="186" spans="1:24" x14ac:dyDescent="0.25">
      <c r="A186" s="94">
        <f t="shared" ref="A186" si="243">$A182+1</f>
        <v>46</v>
      </c>
      <c r="B186" s="117" t="str">
        <f>IFERROR(INDEX(TBL_PIPED_IMPORTERS_CONNECTIONS[Name],$A186),"")</f>
        <v/>
      </c>
      <c r="C186" s="93" t="str">
        <f t="shared" ref="C186:D186" si="244">IF($B186&lt;&gt;"",C182,"")</f>
        <v/>
      </c>
      <c r="D186" s="93" t="str">
        <f t="shared" si="244"/>
        <v/>
      </c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5"/>
      <c r="W186" s="31" t="e">
        <f>INDEX(TBL_PIPED_IMPORTERS_CONNECTIONS[PipedImporterConnectionID],$A186)</f>
        <v>#REF!</v>
      </c>
      <c r="X186" s="31" t="e">
        <f>"PipedImporterCapMin_"&amp;RIGHT($W186,11)</f>
        <v>#REF!</v>
      </c>
    </row>
    <row r="187" spans="1:24" x14ac:dyDescent="0.25">
      <c r="A187" s="94">
        <f t="shared" si="234"/>
        <v>46</v>
      </c>
      <c r="B187" s="118"/>
      <c r="C187" s="93" t="str">
        <f t="shared" ref="C187:D187" si="245">IF($B186&lt;&gt;"",C183,"")</f>
        <v/>
      </c>
      <c r="D187" s="93" t="str">
        <f t="shared" si="245"/>
        <v/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6"/>
      <c r="W187" s="31" t="e">
        <f>INDEX(TBL_PIPED_IMPORTERS_CONNECTIONS[PipedImporterConnectionID],$A187)</f>
        <v>#REF!</v>
      </c>
      <c r="X187" s="31" t="e">
        <f>"PipedImporterCapMax_"&amp;RIGHT($W187,11)</f>
        <v>#REF!</v>
      </c>
    </row>
    <row r="188" spans="1:24" x14ac:dyDescent="0.25">
      <c r="A188" s="94">
        <f t="shared" si="234"/>
        <v>46</v>
      </c>
      <c r="B188" s="118"/>
      <c r="C188" s="93" t="str">
        <f t="shared" ref="C188:D188" si="246">IF($B186&lt;&gt;"",C184,"")</f>
        <v/>
      </c>
      <c r="D188" s="93" t="str">
        <f t="shared" si="246"/>
        <v/>
      </c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5"/>
      <c r="W188" s="31" t="e">
        <f>INDEX(TBL_PIPED_IMPORTERS_CONNECTIONS[PipedImporterConnectionID],$A188)</f>
        <v>#REF!</v>
      </c>
      <c r="X188" s="31" t="e">
        <f>"PipedImporterTariffFixed_"&amp;RIGHT($W188,11)</f>
        <v>#REF!</v>
      </c>
    </row>
    <row r="189" spans="1:24" x14ac:dyDescent="0.25">
      <c r="A189" s="94">
        <f t="shared" si="234"/>
        <v>46</v>
      </c>
      <c r="B189" s="119"/>
      <c r="C189" s="93" t="str">
        <f t="shared" ref="C189:D189" si="247">IF($B186&lt;&gt;"",C185,"")</f>
        <v/>
      </c>
      <c r="D189" s="93" t="str">
        <f t="shared" si="247"/>
        <v/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6"/>
      <c r="W189" s="31" t="e">
        <f>INDEX(TBL_PIPED_IMPORTERS_CONNECTIONS[PipedImporterConnectionID],$A189)</f>
        <v>#REF!</v>
      </c>
      <c r="X189" s="31" t="e">
        <f>"PipedImporterTariffVar_"&amp;RIGHT($W189,11)</f>
        <v>#REF!</v>
      </c>
    </row>
    <row r="190" spans="1:24" x14ac:dyDescent="0.25">
      <c r="A190" s="94">
        <f t="shared" ref="A190" si="248">$A186+1</f>
        <v>47</v>
      </c>
      <c r="B190" s="117" t="str">
        <f>IFERROR(INDEX(TBL_PIPED_IMPORTERS_CONNECTIONS[Name],$A190),"")</f>
        <v/>
      </c>
      <c r="C190" s="93" t="str">
        <f t="shared" ref="C190:D190" si="249">IF($B190&lt;&gt;"",C186,"")</f>
        <v/>
      </c>
      <c r="D190" s="93" t="str">
        <f t="shared" si="249"/>
        <v/>
      </c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5"/>
      <c r="W190" s="31" t="e">
        <f>INDEX(TBL_PIPED_IMPORTERS_CONNECTIONS[PipedImporterConnectionID],$A190)</f>
        <v>#REF!</v>
      </c>
      <c r="X190" s="31" t="e">
        <f>"PipedImporterCapMin_"&amp;RIGHT($W190,11)</f>
        <v>#REF!</v>
      </c>
    </row>
    <row r="191" spans="1:24" x14ac:dyDescent="0.25">
      <c r="A191" s="94">
        <f t="shared" si="234"/>
        <v>47</v>
      </c>
      <c r="B191" s="118"/>
      <c r="C191" s="93" t="str">
        <f t="shared" ref="C191:D191" si="250">IF($B190&lt;&gt;"",C187,"")</f>
        <v/>
      </c>
      <c r="D191" s="93" t="str">
        <f t="shared" si="250"/>
        <v/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6"/>
      <c r="W191" s="31" t="e">
        <f>INDEX(TBL_PIPED_IMPORTERS_CONNECTIONS[PipedImporterConnectionID],$A191)</f>
        <v>#REF!</v>
      </c>
      <c r="X191" s="31" t="e">
        <f>"PipedImporterCapMax_"&amp;RIGHT($W191,11)</f>
        <v>#REF!</v>
      </c>
    </row>
    <row r="192" spans="1:24" x14ac:dyDescent="0.25">
      <c r="A192" s="94">
        <f t="shared" si="234"/>
        <v>47</v>
      </c>
      <c r="B192" s="118"/>
      <c r="C192" s="93" t="str">
        <f t="shared" ref="C192:D192" si="251">IF($B190&lt;&gt;"",C188,"")</f>
        <v/>
      </c>
      <c r="D192" s="93" t="str">
        <f t="shared" si="251"/>
        <v/>
      </c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5"/>
      <c r="W192" s="31" t="e">
        <f>INDEX(TBL_PIPED_IMPORTERS_CONNECTIONS[PipedImporterConnectionID],$A192)</f>
        <v>#REF!</v>
      </c>
      <c r="X192" s="31" t="e">
        <f>"PipedImporterTariffFixed_"&amp;RIGHT($W192,11)</f>
        <v>#REF!</v>
      </c>
    </row>
    <row r="193" spans="1:24" x14ac:dyDescent="0.25">
      <c r="A193" s="94">
        <f t="shared" si="234"/>
        <v>47</v>
      </c>
      <c r="B193" s="119"/>
      <c r="C193" s="93" t="str">
        <f t="shared" ref="C193:D193" si="252">IF($B190&lt;&gt;"",C189,"")</f>
        <v/>
      </c>
      <c r="D193" s="93" t="str">
        <f t="shared" si="252"/>
        <v/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6"/>
      <c r="W193" s="31" t="e">
        <f>INDEX(TBL_PIPED_IMPORTERS_CONNECTIONS[PipedImporterConnectionID],$A193)</f>
        <v>#REF!</v>
      </c>
      <c r="X193" s="31" t="e">
        <f>"PipedImporterTariffVar_"&amp;RIGHT($W193,11)</f>
        <v>#REF!</v>
      </c>
    </row>
    <row r="194" spans="1:24" x14ac:dyDescent="0.25">
      <c r="A194" s="94">
        <f t="shared" ref="A194" si="253">$A190+1</f>
        <v>48</v>
      </c>
      <c r="B194" s="117" t="str">
        <f>IFERROR(INDEX(TBL_PIPED_IMPORTERS_CONNECTIONS[Name],$A194),"")</f>
        <v/>
      </c>
      <c r="C194" s="93" t="str">
        <f t="shared" ref="C194:D194" si="254">IF($B194&lt;&gt;"",C190,"")</f>
        <v/>
      </c>
      <c r="D194" s="93" t="str">
        <f t="shared" si="254"/>
        <v/>
      </c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5"/>
      <c r="W194" s="31" t="e">
        <f>INDEX(TBL_PIPED_IMPORTERS_CONNECTIONS[PipedImporterConnectionID],$A194)</f>
        <v>#REF!</v>
      </c>
      <c r="X194" s="31" t="e">
        <f>"PipedImporterCapMin_"&amp;RIGHT($W194,11)</f>
        <v>#REF!</v>
      </c>
    </row>
    <row r="195" spans="1:24" x14ac:dyDescent="0.25">
      <c r="A195" s="94">
        <f t="shared" si="234"/>
        <v>48</v>
      </c>
      <c r="B195" s="118"/>
      <c r="C195" s="93" t="str">
        <f t="shared" ref="C195:D195" si="255">IF($B194&lt;&gt;"",C191,"")</f>
        <v/>
      </c>
      <c r="D195" s="93" t="str">
        <f t="shared" si="255"/>
        <v/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6"/>
      <c r="W195" s="31" t="e">
        <f>INDEX(TBL_PIPED_IMPORTERS_CONNECTIONS[PipedImporterConnectionID],$A195)</f>
        <v>#REF!</v>
      </c>
      <c r="X195" s="31" t="e">
        <f>"PipedImporterCapMax_"&amp;RIGHT($W195,11)</f>
        <v>#REF!</v>
      </c>
    </row>
    <row r="196" spans="1:24" x14ac:dyDescent="0.25">
      <c r="A196" s="94">
        <f t="shared" si="234"/>
        <v>48</v>
      </c>
      <c r="B196" s="118"/>
      <c r="C196" s="93" t="str">
        <f t="shared" ref="C196:D196" si="256">IF($B194&lt;&gt;"",C192,"")</f>
        <v/>
      </c>
      <c r="D196" s="93" t="str">
        <f t="shared" si="256"/>
        <v/>
      </c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5"/>
      <c r="W196" s="31" t="e">
        <f>INDEX(TBL_PIPED_IMPORTERS_CONNECTIONS[PipedImporterConnectionID],$A196)</f>
        <v>#REF!</v>
      </c>
      <c r="X196" s="31" t="e">
        <f>"PipedImporterTariffFixed_"&amp;RIGHT($W196,11)</f>
        <v>#REF!</v>
      </c>
    </row>
    <row r="197" spans="1:24" x14ac:dyDescent="0.25">
      <c r="A197" s="94">
        <f t="shared" si="234"/>
        <v>48</v>
      </c>
      <c r="B197" s="119"/>
      <c r="C197" s="93" t="str">
        <f t="shared" ref="C197:D197" si="257">IF($B194&lt;&gt;"",C193,"")</f>
        <v/>
      </c>
      <c r="D197" s="93" t="str">
        <f t="shared" si="257"/>
        <v/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6"/>
      <c r="W197" s="31" t="e">
        <f>INDEX(TBL_PIPED_IMPORTERS_CONNECTIONS[PipedImporterConnectionID],$A197)</f>
        <v>#REF!</v>
      </c>
      <c r="X197" s="31" t="e">
        <f>"PipedImporterTariffVar_"&amp;RIGHT($W197,11)</f>
        <v>#REF!</v>
      </c>
    </row>
    <row r="198" spans="1:24" x14ac:dyDescent="0.25">
      <c r="A198" s="94">
        <f t="shared" ref="A198" si="258">$A194+1</f>
        <v>49</v>
      </c>
      <c r="B198" s="117" t="str">
        <f>IFERROR(INDEX(TBL_PIPED_IMPORTERS_CONNECTIONS[Name],$A198),"")</f>
        <v/>
      </c>
      <c r="C198" s="93" t="str">
        <f t="shared" ref="C198:D198" si="259">IF($B198&lt;&gt;"",C194,"")</f>
        <v/>
      </c>
      <c r="D198" s="93" t="str">
        <f t="shared" si="259"/>
        <v/>
      </c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5"/>
      <c r="W198" s="31" t="e">
        <f>INDEX(TBL_PIPED_IMPORTERS_CONNECTIONS[PipedImporterConnectionID],$A198)</f>
        <v>#REF!</v>
      </c>
      <c r="X198" s="31" t="e">
        <f>"PipedImporterCapMin_"&amp;RIGHT($W198,11)</f>
        <v>#REF!</v>
      </c>
    </row>
    <row r="199" spans="1:24" x14ac:dyDescent="0.25">
      <c r="A199" s="94">
        <f t="shared" ref="A199:A201" si="260">$A198</f>
        <v>49</v>
      </c>
      <c r="B199" s="118"/>
      <c r="C199" s="93" t="str">
        <f t="shared" ref="C199:D199" si="261">IF($B198&lt;&gt;"",C195,"")</f>
        <v/>
      </c>
      <c r="D199" s="93" t="str">
        <f t="shared" si="261"/>
        <v/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6"/>
      <c r="W199" s="31" t="e">
        <f>INDEX(TBL_PIPED_IMPORTERS_CONNECTIONS[PipedImporterConnectionID],$A199)</f>
        <v>#REF!</v>
      </c>
      <c r="X199" s="31" t="e">
        <f>"PipedImporterCapMax_"&amp;RIGHT($W199,11)</f>
        <v>#REF!</v>
      </c>
    </row>
    <row r="200" spans="1:24" x14ac:dyDescent="0.25">
      <c r="A200" s="94">
        <f t="shared" si="260"/>
        <v>49</v>
      </c>
      <c r="B200" s="118"/>
      <c r="C200" s="93" t="str">
        <f t="shared" ref="C200:D200" si="262">IF($B198&lt;&gt;"",C196,"")</f>
        <v/>
      </c>
      <c r="D200" s="93" t="str">
        <f t="shared" si="262"/>
        <v/>
      </c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5"/>
      <c r="W200" s="31" t="e">
        <f>INDEX(TBL_PIPED_IMPORTERS_CONNECTIONS[PipedImporterConnectionID],$A200)</f>
        <v>#REF!</v>
      </c>
      <c r="X200" s="31" t="e">
        <f>"PipedImporterTariffFixed_"&amp;RIGHT($W200,11)</f>
        <v>#REF!</v>
      </c>
    </row>
    <row r="201" spans="1:24" x14ac:dyDescent="0.25">
      <c r="A201" s="94">
        <f t="shared" si="260"/>
        <v>49</v>
      </c>
      <c r="B201" s="119"/>
      <c r="C201" s="93" t="str">
        <f t="shared" ref="C201:D201" si="263">IF($B198&lt;&gt;"",C197,"")</f>
        <v/>
      </c>
      <c r="D201" s="93" t="str">
        <f t="shared" si="263"/>
        <v/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6"/>
      <c r="W201" s="31" t="e">
        <f>INDEX(TBL_PIPED_IMPORTERS_CONNECTIONS[PipedImporterConnectionID],$A201)</f>
        <v>#REF!</v>
      </c>
      <c r="X201" s="31" t="e">
        <f>"PipedImporterTariffVar_"&amp;RIGHT($W201,11)</f>
        <v>#REF!</v>
      </c>
    </row>
    <row r="202" spans="1:24" x14ac:dyDescent="0.25">
      <c r="A202" s="94">
        <f t="shared" ref="A202" si="264">$A198+1</f>
        <v>50</v>
      </c>
      <c r="B202" s="117" t="str">
        <f>IFERROR(INDEX(TBL_PIPED_IMPORTERS_CONNECTIONS[Name],$A202),"")</f>
        <v/>
      </c>
      <c r="C202" s="93" t="str">
        <f t="shared" ref="C202:D202" si="265">IF($B202&lt;&gt;"",C198,"")</f>
        <v/>
      </c>
      <c r="D202" s="93" t="str">
        <f t="shared" si="265"/>
        <v/>
      </c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5"/>
      <c r="W202" s="31" t="e">
        <f>INDEX(TBL_PIPED_IMPORTERS_CONNECTIONS[PipedImporterConnectionID],$A202)</f>
        <v>#REF!</v>
      </c>
      <c r="X202" s="31" t="e">
        <f>"PipedImporterCapMin_"&amp;RIGHT($W202,11)</f>
        <v>#REF!</v>
      </c>
    </row>
    <row r="203" spans="1:24" x14ac:dyDescent="0.25">
      <c r="A203" s="94">
        <f t="shared" ref="A203:A205" si="266">$A202</f>
        <v>50</v>
      </c>
      <c r="B203" s="118"/>
      <c r="C203" s="93" t="str">
        <f t="shared" ref="C203:D203" si="267">IF($B202&lt;&gt;"",C199,"")</f>
        <v/>
      </c>
      <c r="D203" s="93" t="str">
        <f t="shared" si="267"/>
        <v/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6"/>
      <c r="W203" s="31" t="e">
        <f>INDEX(TBL_PIPED_IMPORTERS_CONNECTIONS[PipedImporterConnectionID],$A203)</f>
        <v>#REF!</v>
      </c>
      <c r="X203" s="31" t="e">
        <f>"PipedImporterCapMax_"&amp;RIGHT($W203,11)</f>
        <v>#REF!</v>
      </c>
    </row>
    <row r="204" spans="1:24" x14ac:dyDescent="0.25">
      <c r="A204" s="94">
        <f t="shared" si="266"/>
        <v>50</v>
      </c>
      <c r="B204" s="118"/>
      <c r="C204" s="93" t="str">
        <f t="shared" ref="C204:D204" si="268">IF($B202&lt;&gt;"",C200,"")</f>
        <v/>
      </c>
      <c r="D204" s="93" t="str">
        <f t="shared" si="268"/>
        <v/>
      </c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5"/>
      <c r="W204" s="31" t="e">
        <f>INDEX(TBL_PIPED_IMPORTERS_CONNECTIONS[PipedImporterConnectionID],$A204)</f>
        <v>#REF!</v>
      </c>
      <c r="X204" s="31" t="e">
        <f>"PipedImporterTariffFixed_"&amp;RIGHT($W204,11)</f>
        <v>#REF!</v>
      </c>
    </row>
    <row r="205" spans="1:24" x14ac:dyDescent="0.25">
      <c r="A205" s="94">
        <f t="shared" si="266"/>
        <v>50</v>
      </c>
      <c r="B205" s="119"/>
      <c r="C205" s="93" t="str">
        <f t="shared" ref="C205:D205" si="269">IF($B202&lt;&gt;"",C201,"")</f>
        <v/>
      </c>
      <c r="D205" s="93" t="str">
        <f t="shared" si="269"/>
        <v/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6"/>
      <c r="W205" s="31" t="e">
        <f>INDEX(TBL_PIPED_IMPORTERS_CONNECTIONS[PipedImporterConnectionID],$A205)</f>
        <v>#REF!</v>
      </c>
      <c r="X205" s="31" t="e">
        <f>"PipedImporterTariffVar_"&amp;RIGHT($W205,11)</f>
        <v>#REF!</v>
      </c>
    </row>
    <row r="206" spans="1:24" x14ac:dyDescent="0.25">
      <c r="A206" s="94">
        <f t="shared" ref="A206" si="270">$A202+1</f>
        <v>51</v>
      </c>
      <c r="B206" s="117" t="str">
        <f>IFERROR(INDEX(TBL_PIPED_IMPORTERS_CONNECTIONS[Name],$A206),"")</f>
        <v/>
      </c>
      <c r="C206" s="93" t="str">
        <f t="shared" ref="C206:D206" si="271">IF($B206&lt;&gt;"",C202,"")</f>
        <v/>
      </c>
      <c r="D206" s="93" t="str">
        <f t="shared" si="271"/>
        <v/>
      </c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5"/>
      <c r="W206" s="31" t="e">
        <f>INDEX(TBL_PIPED_IMPORTERS_CONNECTIONS[PipedImporterConnectionID],$A206)</f>
        <v>#REF!</v>
      </c>
      <c r="X206" s="31" t="e">
        <f>"PipedImporterCapMin_"&amp;RIGHT($W206,11)</f>
        <v>#REF!</v>
      </c>
    </row>
    <row r="207" spans="1:24" x14ac:dyDescent="0.25">
      <c r="A207" s="94">
        <f t="shared" ref="A207:A225" si="272">$A206</f>
        <v>51</v>
      </c>
      <c r="B207" s="118"/>
      <c r="C207" s="93" t="str">
        <f t="shared" ref="C207:D207" si="273">IF($B206&lt;&gt;"",C203,"")</f>
        <v/>
      </c>
      <c r="D207" s="93" t="str">
        <f t="shared" si="273"/>
        <v/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6"/>
      <c r="W207" s="31" t="e">
        <f>INDEX(TBL_PIPED_IMPORTERS_CONNECTIONS[PipedImporterConnectionID],$A207)</f>
        <v>#REF!</v>
      </c>
      <c r="X207" s="31" t="e">
        <f>"PipedImporterCapMax_"&amp;RIGHT($W207,11)</f>
        <v>#REF!</v>
      </c>
    </row>
    <row r="208" spans="1:24" x14ac:dyDescent="0.25">
      <c r="A208" s="94">
        <f t="shared" si="272"/>
        <v>51</v>
      </c>
      <c r="B208" s="118"/>
      <c r="C208" s="93" t="str">
        <f t="shared" ref="C208:D208" si="274">IF($B206&lt;&gt;"",C204,"")</f>
        <v/>
      </c>
      <c r="D208" s="93" t="str">
        <f t="shared" si="274"/>
        <v/>
      </c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5"/>
      <c r="W208" s="31" t="e">
        <f>INDEX(TBL_PIPED_IMPORTERS_CONNECTIONS[PipedImporterConnectionID],$A208)</f>
        <v>#REF!</v>
      </c>
      <c r="X208" s="31" t="e">
        <f>"PipedImporterTariffFixed_"&amp;RIGHT($W208,11)</f>
        <v>#REF!</v>
      </c>
    </row>
    <row r="209" spans="1:24" x14ac:dyDescent="0.25">
      <c r="A209" s="94">
        <f t="shared" si="272"/>
        <v>51</v>
      </c>
      <c r="B209" s="119"/>
      <c r="C209" s="93" t="str">
        <f t="shared" ref="C209:D209" si="275">IF($B206&lt;&gt;"",C205,"")</f>
        <v/>
      </c>
      <c r="D209" s="93" t="str">
        <f t="shared" si="275"/>
        <v/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6"/>
      <c r="W209" s="31" t="e">
        <f>INDEX(TBL_PIPED_IMPORTERS_CONNECTIONS[PipedImporterConnectionID],$A209)</f>
        <v>#REF!</v>
      </c>
      <c r="X209" s="31" t="e">
        <f>"PipedImporterTariffVar_"&amp;RIGHT($W209,11)</f>
        <v>#REF!</v>
      </c>
    </row>
    <row r="210" spans="1:24" x14ac:dyDescent="0.25">
      <c r="A210" s="94">
        <f t="shared" ref="A210" si="276">$A206+1</f>
        <v>52</v>
      </c>
      <c r="B210" s="117" t="str">
        <f>IFERROR(INDEX(TBL_PIPED_IMPORTERS_CONNECTIONS[Name],$A210),"")</f>
        <v/>
      </c>
      <c r="C210" s="93" t="str">
        <f t="shared" ref="C210:D210" si="277">IF($B210&lt;&gt;"",C206,"")</f>
        <v/>
      </c>
      <c r="D210" s="93" t="str">
        <f t="shared" si="277"/>
        <v/>
      </c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5"/>
      <c r="W210" s="31" t="e">
        <f>INDEX(TBL_PIPED_IMPORTERS_CONNECTIONS[PipedImporterConnectionID],$A210)</f>
        <v>#REF!</v>
      </c>
      <c r="X210" s="31" t="e">
        <f>"PipedImporterCapMin_"&amp;RIGHT($W210,11)</f>
        <v>#REF!</v>
      </c>
    </row>
    <row r="211" spans="1:24" x14ac:dyDescent="0.25">
      <c r="A211" s="94">
        <f t="shared" si="272"/>
        <v>52</v>
      </c>
      <c r="B211" s="118"/>
      <c r="C211" s="93" t="str">
        <f t="shared" ref="C211:D211" si="278">IF($B210&lt;&gt;"",C207,"")</f>
        <v/>
      </c>
      <c r="D211" s="93" t="str">
        <f t="shared" si="278"/>
        <v/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6"/>
      <c r="W211" s="31" t="e">
        <f>INDEX(TBL_PIPED_IMPORTERS_CONNECTIONS[PipedImporterConnectionID],$A211)</f>
        <v>#REF!</v>
      </c>
      <c r="X211" s="31" t="e">
        <f>"PipedImporterCapMax_"&amp;RIGHT($W211,11)</f>
        <v>#REF!</v>
      </c>
    </row>
    <row r="212" spans="1:24" x14ac:dyDescent="0.25">
      <c r="A212" s="94">
        <f t="shared" si="272"/>
        <v>52</v>
      </c>
      <c r="B212" s="118"/>
      <c r="C212" s="93" t="str">
        <f t="shared" ref="C212:D212" si="279">IF($B210&lt;&gt;"",C208,"")</f>
        <v/>
      </c>
      <c r="D212" s="93" t="str">
        <f t="shared" si="279"/>
        <v/>
      </c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5"/>
      <c r="W212" s="31" t="e">
        <f>INDEX(TBL_PIPED_IMPORTERS_CONNECTIONS[PipedImporterConnectionID],$A212)</f>
        <v>#REF!</v>
      </c>
      <c r="X212" s="31" t="e">
        <f>"PipedImporterTariffFixed_"&amp;RIGHT($W212,11)</f>
        <v>#REF!</v>
      </c>
    </row>
    <row r="213" spans="1:24" x14ac:dyDescent="0.25">
      <c r="A213" s="94">
        <f t="shared" si="272"/>
        <v>52</v>
      </c>
      <c r="B213" s="119"/>
      <c r="C213" s="93" t="str">
        <f t="shared" ref="C213:D213" si="280">IF($B210&lt;&gt;"",C209,"")</f>
        <v/>
      </c>
      <c r="D213" s="93" t="str">
        <f t="shared" si="280"/>
        <v/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6"/>
      <c r="W213" s="31" t="e">
        <f>INDEX(TBL_PIPED_IMPORTERS_CONNECTIONS[PipedImporterConnectionID],$A213)</f>
        <v>#REF!</v>
      </c>
      <c r="X213" s="31" t="e">
        <f>"PipedImporterTariffVar_"&amp;RIGHT($W213,11)</f>
        <v>#REF!</v>
      </c>
    </row>
    <row r="214" spans="1:24" x14ac:dyDescent="0.25">
      <c r="A214" s="94">
        <f t="shared" ref="A214" si="281">$A210+1</f>
        <v>53</v>
      </c>
      <c r="B214" s="117" t="str">
        <f>IFERROR(INDEX(TBL_PIPED_IMPORTERS_CONNECTIONS[Name],$A214),"")</f>
        <v/>
      </c>
      <c r="C214" s="93" t="str">
        <f t="shared" ref="C214:D214" si="282">IF($B214&lt;&gt;"",C210,"")</f>
        <v/>
      </c>
      <c r="D214" s="93" t="str">
        <f t="shared" si="282"/>
        <v/>
      </c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5"/>
      <c r="W214" s="31" t="e">
        <f>INDEX(TBL_PIPED_IMPORTERS_CONNECTIONS[PipedImporterConnectionID],$A214)</f>
        <v>#REF!</v>
      </c>
      <c r="X214" s="31" t="e">
        <f>"PipedImporterCapMin_"&amp;RIGHT($W214,11)</f>
        <v>#REF!</v>
      </c>
    </row>
    <row r="215" spans="1:24" x14ac:dyDescent="0.25">
      <c r="A215" s="94">
        <f t="shared" si="272"/>
        <v>53</v>
      </c>
      <c r="B215" s="118"/>
      <c r="C215" s="93" t="str">
        <f t="shared" ref="C215:D215" si="283">IF($B214&lt;&gt;"",C211,"")</f>
        <v/>
      </c>
      <c r="D215" s="93" t="str">
        <f t="shared" si="283"/>
        <v/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6"/>
      <c r="W215" s="31" t="e">
        <f>INDEX(TBL_PIPED_IMPORTERS_CONNECTIONS[PipedImporterConnectionID],$A215)</f>
        <v>#REF!</v>
      </c>
      <c r="X215" s="31" t="e">
        <f>"PipedImporterCapMax_"&amp;RIGHT($W215,11)</f>
        <v>#REF!</v>
      </c>
    </row>
    <row r="216" spans="1:24" x14ac:dyDescent="0.25">
      <c r="A216" s="94">
        <f t="shared" si="272"/>
        <v>53</v>
      </c>
      <c r="B216" s="118"/>
      <c r="C216" s="93" t="str">
        <f t="shared" ref="C216:D216" si="284">IF($B214&lt;&gt;"",C212,"")</f>
        <v/>
      </c>
      <c r="D216" s="93" t="str">
        <f t="shared" si="284"/>
        <v/>
      </c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5"/>
      <c r="W216" s="31" t="e">
        <f>INDEX(TBL_PIPED_IMPORTERS_CONNECTIONS[PipedImporterConnectionID],$A216)</f>
        <v>#REF!</v>
      </c>
      <c r="X216" s="31" t="e">
        <f>"PipedImporterTariffFixed_"&amp;RIGHT($W216,11)</f>
        <v>#REF!</v>
      </c>
    </row>
    <row r="217" spans="1:24" x14ac:dyDescent="0.25">
      <c r="A217" s="94">
        <f t="shared" si="272"/>
        <v>53</v>
      </c>
      <c r="B217" s="119"/>
      <c r="C217" s="93" t="str">
        <f t="shared" ref="C217:D217" si="285">IF($B214&lt;&gt;"",C213,"")</f>
        <v/>
      </c>
      <c r="D217" s="93" t="str">
        <f t="shared" si="285"/>
        <v/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6"/>
      <c r="W217" s="31" t="e">
        <f>INDEX(TBL_PIPED_IMPORTERS_CONNECTIONS[PipedImporterConnectionID],$A217)</f>
        <v>#REF!</v>
      </c>
      <c r="X217" s="31" t="e">
        <f>"PipedImporterTariffVar_"&amp;RIGHT($W217,11)</f>
        <v>#REF!</v>
      </c>
    </row>
    <row r="218" spans="1:24" x14ac:dyDescent="0.25">
      <c r="A218" s="94">
        <f t="shared" ref="A218" si="286">$A214+1</f>
        <v>54</v>
      </c>
      <c r="B218" s="117" t="str">
        <f>IFERROR(INDEX(TBL_PIPED_IMPORTERS_CONNECTIONS[Name],$A218),"")</f>
        <v/>
      </c>
      <c r="C218" s="93" t="str">
        <f t="shared" ref="C218:D218" si="287">IF($B218&lt;&gt;"",C214,"")</f>
        <v/>
      </c>
      <c r="D218" s="93" t="str">
        <f t="shared" si="287"/>
        <v/>
      </c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5"/>
      <c r="W218" s="31" t="e">
        <f>INDEX(TBL_PIPED_IMPORTERS_CONNECTIONS[PipedImporterConnectionID],$A218)</f>
        <v>#REF!</v>
      </c>
      <c r="X218" s="31" t="e">
        <f>"PipedImporterCapMin_"&amp;RIGHT($W218,11)</f>
        <v>#REF!</v>
      </c>
    </row>
    <row r="219" spans="1:24" x14ac:dyDescent="0.25">
      <c r="A219" s="94">
        <f t="shared" si="272"/>
        <v>54</v>
      </c>
      <c r="B219" s="118"/>
      <c r="C219" s="93" t="str">
        <f t="shared" ref="C219:D219" si="288">IF($B218&lt;&gt;"",C215,"")</f>
        <v/>
      </c>
      <c r="D219" s="93" t="str">
        <f t="shared" si="288"/>
        <v/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6"/>
      <c r="W219" s="31" t="e">
        <f>INDEX(TBL_PIPED_IMPORTERS_CONNECTIONS[PipedImporterConnectionID],$A219)</f>
        <v>#REF!</v>
      </c>
      <c r="X219" s="31" t="e">
        <f>"PipedImporterCapMax_"&amp;RIGHT($W219,11)</f>
        <v>#REF!</v>
      </c>
    </row>
    <row r="220" spans="1:24" x14ac:dyDescent="0.25">
      <c r="A220" s="94">
        <f t="shared" si="272"/>
        <v>54</v>
      </c>
      <c r="B220" s="118"/>
      <c r="C220" s="93" t="str">
        <f t="shared" ref="C220:D220" si="289">IF($B218&lt;&gt;"",C216,"")</f>
        <v/>
      </c>
      <c r="D220" s="93" t="str">
        <f t="shared" si="289"/>
        <v/>
      </c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5"/>
      <c r="W220" s="31" t="e">
        <f>INDEX(TBL_PIPED_IMPORTERS_CONNECTIONS[PipedImporterConnectionID],$A220)</f>
        <v>#REF!</v>
      </c>
      <c r="X220" s="31" t="e">
        <f>"PipedImporterTariffFixed_"&amp;RIGHT($W220,11)</f>
        <v>#REF!</v>
      </c>
    </row>
    <row r="221" spans="1:24" x14ac:dyDescent="0.25">
      <c r="A221" s="94">
        <f t="shared" si="272"/>
        <v>54</v>
      </c>
      <c r="B221" s="119"/>
      <c r="C221" s="93" t="str">
        <f t="shared" ref="C221:D221" si="290">IF($B218&lt;&gt;"",C217,"")</f>
        <v/>
      </c>
      <c r="D221" s="93" t="str">
        <f t="shared" si="290"/>
        <v/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6"/>
      <c r="W221" s="31" t="e">
        <f>INDEX(TBL_PIPED_IMPORTERS_CONNECTIONS[PipedImporterConnectionID],$A221)</f>
        <v>#REF!</v>
      </c>
      <c r="X221" s="31" t="e">
        <f>"PipedImporterTariffVar_"&amp;RIGHT($W221,11)</f>
        <v>#REF!</v>
      </c>
    </row>
    <row r="222" spans="1:24" x14ac:dyDescent="0.25">
      <c r="A222" s="94">
        <f t="shared" ref="A222" si="291">$A218+1</f>
        <v>55</v>
      </c>
      <c r="B222" s="117" t="str">
        <f>IFERROR(INDEX(TBL_PIPED_IMPORTERS_CONNECTIONS[Name],$A222),"")</f>
        <v/>
      </c>
      <c r="C222" s="93" t="str">
        <f t="shared" ref="C222:D222" si="292">IF($B222&lt;&gt;"",C218,"")</f>
        <v/>
      </c>
      <c r="D222" s="93" t="str">
        <f t="shared" si="292"/>
        <v/>
      </c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5"/>
      <c r="W222" s="31" t="e">
        <f>INDEX(TBL_PIPED_IMPORTERS_CONNECTIONS[PipedImporterConnectionID],$A222)</f>
        <v>#REF!</v>
      </c>
      <c r="X222" s="31" t="e">
        <f>"PipedImporterCapMin_"&amp;RIGHT($W222,11)</f>
        <v>#REF!</v>
      </c>
    </row>
    <row r="223" spans="1:24" x14ac:dyDescent="0.25">
      <c r="A223" s="94">
        <f t="shared" si="272"/>
        <v>55</v>
      </c>
      <c r="B223" s="118"/>
      <c r="C223" s="93" t="str">
        <f t="shared" ref="C223:D223" si="293">IF($B222&lt;&gt;"",C219,"")</f>
        <v/>
      </c>
      <c r="D223" s="93" t="str">
        <f t="shared" si="293"/>
        <v/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6"/>
      <c r="W223" s="31" t="e">
        <f>INDEX(TBL_PIPED_IMPORTERS_CONNECTIONS[PipedImporterConnectionID],$A223)</f>
        <v>#REF!</v>
      </c>
      <c r="X223" s="31" t="e">
        <f>"PipedImporterCapMax_"&amp;RIGHT($W223,11)</f>
        <v>#REF!</v>
      </c>
    </row>
    <row r="224" spans="1:24" x14ac:dyDescent="0.25">
      <c r="A224" s="94">
        <f t="shared" si="272"/>
        <v>55</v>
      </c>
      <c r="B224" s="118"/>
      <c r="C224" s="93" t="str">
        <f t="shared" ref="C224:D224" si="294">IF($B222&lt;&gt;"",C220,"")</f>
        <v/>
      </c>
      <c r="D224" s="93" t="str">
        <f t="shared" si="294"/>
        <v/>
      </c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5"/>
      <c r="W224" s="31" t="e">
        <f>INDEX(TBL_PIPED_IMPORTERS_CONNECTIONS[PipedImporterConnectionID],$A224)</f>
        <v>#REF!</v>
      </c>
      <c r="X224" s="31" t="e">
        <f>"PipedImporterTariffFixed_"&amp;RIGHT($W224,11)</f>
        <v>#REF!</v>
      </c>
    </row>
    <row r="225" spans="1:24" x14ac:dyDescent="0.25">
      <c r="A225" s="94">
        <f t="shared" si="272"/>
        <v>55</v>
      </c>
      <c r="B225" s="119"/>
      <c r="C225" s="93" t="str">
        <f t="shared" ref="C225:D225" si="295">IF($B222&lt;&gt;"",C221,"")</f>
        <v/>
      </c>
      <c r="D225" s="93" t="str">
        <f t="shared" si="295"/>
        <v/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6"/>
      <c r="W225" s="31" t="e">
        <f>INDEX(TBL_PIPED_IMPORTERS_CONNECTIONS[PipedImporterConnectionID],$A225)</f>
        <v>#REF!</v>
      </c>
      <c r="X225" s="31" t="e">
        <f>"PipedImporterTariffVar_"&amp;RIGHT($W225,11)</f>
        <v>#REF!</v>
      </c>
    </row>
    <row r="226" spans="1:24" x14ac:dyDescent="0.25">
      <c r="A226" s="94">
        <f t="shared" ref="A226" si="296">$A222+1</f>
        <v>56</v>
      </c>
      <c r="B226" s="117" t="str">
        <f>IFERROR(INDEX(TBL_PIPED_IMPORTERS_CONNECTIONS[Name],$A226),"")</f>
        <v/>
      </c>
      <c r="C226" s="93" t="str">
        <f t="shared" ref="C226:D226" si="297">IF($B226&lt;&gt;"",C222,"")</f>
        <v/>
      </c>
      <c r="D226" s="93" t="str">
        <f t="shared" si="297"/>
        <v/>
      </c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5"/>
      <c r="W226" s="31" t="e">
        <f>INDEX(TBL_PIPED_IMPORTERS_CONNECTIONS[PipedImporterConnectionID],$A226)</f>
        <v>#REF!</v>
      </c>
      <c r="X226" s="31" t="e">
        <f>"PipedImporterCapMin_"&amp;RIGHT($W226,11)</f>
        <v>#REF!</v>
      </c>
    </row>
    <row r="227" spans="1:24" x14ac:dyDescent="0.25">
      <c r="A227" s="94">
        <f t="shared" ref="A227:A229" si="298">$A226</f>
        <v>56</v>
      </c>
      <c r="B227" s="118"/>
      <c r="C227" s="93" t="str">
        <f t="shared" ref="C227:D227" si="299">IF($B226&lt;&gt;"",C223,"")</f>
        <v/>
      </c>
      <c r="D227" s="93" t="str">
        <f t="shared" si="299"/>
        <v/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6"/>
      <c r="W227" s="31" t="e">
        <f>INDEX(TBL_PIPED_IMPORTERS_CONNECTIONS[PipedImporterConnectionID],$A227)</f>
        <v>#REF!</v>
      </c>
      <c r="X227" s="31" t="e">
        <f>"PipedImporterCapMax_"&amp;RIGHT($W227,11)</f>
        <v>#REF!</v>
      </c>
    </row>
    <row r="228" spans="1:24" x14ac:dyDescent="0.25">
      <c r="A228" s="94">
        <f t="shared" si="298"/>
        <v>56</v>
      </c>
      <c r="B228" s="118"/>
      <c r="C228" s="93" t="str">
        <f t="shared" ref="C228:D228" si="300">IF($B226&lt;&gt;"",C224,"")</f>
        <v/>
      </c>
      <c r="D228" s="93" t="str">
        <f t="shared" si="300"/>
        <v/>
      </c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5"/>
      <c r="W228" s="31" t="e">
        <f>INDEX(TBL_PIPED_IMPORTERS_CONNECTIONS[PipedImporterConnectionID],$A228)</f>
        <v>#REF!</v>
      </c>
      <c r="X228" s="31" t="e">
        <f>"PipedImporterTariffFixed_"&amp;RIGHT($W228,11)</f>
        <v>#REF!</v>
      </c>
    </row>
    <row r="229" spans="1:24" x14ac:dyDescent="0.25">
      <c r="A229" s="94">
        <f t="shared" si="298"/>
        <v>56</v>
      </c>
      <c r="B229" s="119"/>
      <c r="C229" s="93" t="str">
        <f t="shared" ref="C229:D229" si="301">IF($B226&lt;&gt;"",C225,"")</f>
        <v/>
      </c>
      <c r="D229" s="93" t="str">
        <f t="shared" si="301"/>
        <v/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6"/>
      <c r="W229" s="31" t="e">
        <f>INDEX(TBL_PIPED_IMPORTERS_CONNECTIONS[PipedImporterConnectionID],$A229)</f>
        <v>#REF!</v>
      </c>
      <c r="X229" s="31" t="e">
        <f>"PipedImporterTariffVar_"&amp;RIGHT($W229,11)</f>
        <v>#REF!</v>
      </c>
    </row>
    <row r="230" spans="1:24" x14ac:dyDescent="0.25">
      <c r="A230" s="94">
        <f t="shared" ref="A230" si="302">$A226+1</f>
        <v>57</v>
      </c>
      <c r="B230" s="117" t="str">
        <f>IFERROR(INDEX(TBL_PIPED_IMPORTERS_CONNECTIONS[Name],$A230),"")</f>
        <v/>
      </c>
      <c r="C230" s="93" t="str">
        <f t="shared" ref="C230:D230" si="303">IF($B230&lt;&gt;"",C226,"")</f>
        <v/>
      </c>
      <c r="D230" s="93" t="str">
        <f t="shared" si="303"/>
        <v/>
      </c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5"/>
      <c r="W230" s="31" t="e">
        <f>INDEX(TBL_PIPED_IMPORTERS_CONNECTIONS[PipedImporterConnectionID],$A230)</f>
        <v>#REF!</v>
      </c>
      <c r="X230" s="31" t="e">
        <f>"PipedImporterCapMin_"&amp;RIGHT($W230,11)</f>
        <v>#REF!</v>
      </c>
    </row>
    <row r="231" spans="1:24" x14ac:dyDescent="0.25">
      <c r="A231" s="94">
        <f t="shared" ref="A231:A233" si="304">$A230</f>
        <v>57</v>
      </c>
      <c r="B231" s="118"/>
      <c r="C231" s="93" t="str">
        <f t="shared" ref="C231:D231" si="305">IF($B230&lt;&gt;"",C227,"")</f>
        <v/>
      </c>
      <c r="D231" s="93" t="str">
        <f t="shared" si="305"/>
        <v/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6"/>
      <c r="W231" s="31" t="e">
        <f>INDEX(TBL_PIPED_IMPORTERS_CONNECTIONS[PipedImporterConnectionID],$A231)</f>
        <v>#REF!</v>
      </c>
      <c r="X231" s="31" t="e">
        <f>"PipedImporterCapMax_"&amp;RIGHT($W231,11)</f>
        <v>#REF!</v>
      </c>
    </row>
    <row r="232" spans="1:24" x14ac:dyDescent="0.25">
      <c r="A232" s="94">
        <f t="shared" si="304"/>
        <v>57</v>
      </c>
      <c r="B232" s="118"/>
      <c r="C232" s="93" t="str">
        <f t="shared" ref="C232:D232" si="306">IF($B230&lt;&gt;"",C228,"")</f>
        <v/>
      </c>
      <c r="D232" s="93" t="str">
        <f t="shared" si="306"/>
        <v/>
      </c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5"/>
      <c r="W232" s="31" t="e">
        <f>INDEX(TBL_PIPED_IMPORTERS_CONNECTIONS[PipedImporterConnectionID],$A232)</f>
        <v>#REF!</v>
      </c>
      <c r="X232" s="31" t="e">
        <f>"PipedImporterTariffFixed_"&amp;RIGHT($W232,11)</f>
        <v>#REF!</v>
      </c>
    </row>
    <row r="233" spans="1:24" x14ac:dyDescent="0.25">
      <c r="A233" s="94">
        <f t="shared" si="304"/>
        <v>57</v>
      </c>
      <c r="B233" s="119"/>
      <c r="C233" s="93" t="str">
        <f t="shared" ref="C233:D233" si="307">IF($B230&lt;&gt;"",C229,"")</f>
        <v/>
      </c>
      <c r="D233" s="93" t="str">
        <f t="shared" si="307"/>
        <v/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6"/>
      <c r="W233" s="31" t="e">
        <f>INDEX(TBL_PIPED_IMPORTERS_CONNECTIONS[PipedImporterConnectionID],$A233)</f>
        <v>#REF!</v>
      </c>
      <c r="X233" s="31" t="e">
        <f>"PipedImporterTariffVar_"&amp;RIGHT($W233,11)</f>
        <v>#REF!</v>
      </c>
    </row>
    <row r="234" spans="1:24" x14ac:dyDescent="0.25">
      <c r="A234" s="94">
        <f t="shared" ref="A234" si="308">$A230+1</f>
        <v>58</v>
      </c>
      <c r="B234" s="117" t="str">
        <f>IFERROR(INDEX(TBL_PIPED_IMPORTERS_CONNECTIONS[Name],$A234),"")</f>
        <v/>
      </c>
      <c r="C234" s="93" t="str">
        <f t="shared" ref="C234:D234" si="309">IF($B234&lt;&gt;"",C230,"")</f>
        <v/>
      </c>
      <c r="D234" s="93" t="str">
        <f t="shared" si="309"/>
        <v/>
      </c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5"/>
      <c r="W234" s="31" t="e">
        <f>INDEX(TBL_PIPED_IMPORTERS_CONNECTIONS[PipedImporterConnectionID],$A234)</f>
        <v>#REF!</v>
      </c>
      <c r="X234" s="31" t="e">
        <f>"PipedImporterCapMin_"&amp;RIGHT($W234,11)</f>
        <v>#REF!</v>
      </c>
    </row>
    <row r="235" spans="1:24" x14ac:dyDescent="0.25">
      <c r="A235" s="94">
        <f t="shared" ref="A235:A253" si="310">$A234</f>
        <v>58</v>
      </c>
      <c r="B235" s="118"/>
      <c r="C235" s="93" t="str">
        <f t="shared" ref="C235:D235" si="311">IF($B234&lt;&gt;"",C231,"")</f>
        <v/>
      </c>
      <c r="D235" s="93" t="str">
        <f t="shared" si="311"/>
        <v/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6"/>
      <c r="W235" s="31" t="e">
        <f>INDEX(TBL_PIPED_IMPORTERS_CONNECTIONS[PipedImporterConnectionID],$A235)</f>
        <v>#REF!</v>
      </c>
      <c r="X235" s="31" t="e">
        <f>"PipedImporterCapMax_"&amp;RIGHT($W235,11)</f>
        <v>#REF!</v>
      </c>
    </row>
    <row r="236" spans="1:24" x14ac:dyDescent="0.25">
      <c r="A236" s="94">
        <f t="shared" si="310"/>
        <v>58</v>
      </c>
      <c r="B236" s="118"/>
      <c r="C236" s="93" t="str">
        <f t="shared" ref="C236:D236" si="312">IF($B234&lt;&gt;"",C232,"")</f>
        <v/>
      </c>
      <c r="D236" s="93" t="str">
        <f t="shared" si="312"/>
        <v/>
      </c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5"/>
      <c r="W236" s="31" t="e">
        <f>INDEX(TBL_PIPED_IMPORTERS_CONNECTIONS[PipedImporterConnectionID],$A236)</f>
        <v>#REF!</v>
      </c>
      <c r="X236" s="31" t="e">
        <f>"PipedImporterTariffFixed_"&amp;RIGHT($W236,11)</f>
        <v>#REF!</v>
      </c>
    </row>
    <row r="237" spans="1:24" x14ac:dyDescent="0.25">
      <c r="A237" s="94">
        <f t="shared" si="310"/>
        <v>58</v>
      </c>
      <c r="B237" s="119"/>
      <c r="C237" s="93" t="str">
        <f t="shared" ref="C237:D237" si="313">IF($B234&lt;&gt;"",C233,"")</f>
        <v/>
      </c>
      <c r="D237" s="93" t="str">
        <f t="shared" si="313"/>
        <v/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6"/>
      <c r="W237" s="31" t="e">
        <f>INDEX(TBL_PIPED_IMPORTERS_CONNECTIONS[PipedImporterConnectionID],$A237)</f>
        <v>#REF!</v>
      </c>
      <c r="X237" s="31" t="e">
        <f>"PipedImporterTariffVar_"&amp;RIGHT($W237,11)</f>
        <v>#REF!</v>
      </c>
    </row>
    <row r="238" spans="1:24" x14ac:dyDescent="0.25">
      <c r="A238" s="94">
        <f t="shared" ref="A238" si="314">$A234+1</f>
        <v>59</v>
      </c>
      <c r="B238" s="117" t="str">
        <f>IFERROR(INDEX(TBL_PIPED_IMPORTERS_CONNECTIONS[Name],$A238),"")</f>
        <v/>
      </c>
      <c r="C238" s="93" t="str">
        <f t="shared" ref="C238:D238" si="315">IF($B238&lt;&gt;"",C234,"")</f>
        <v/>
      </c>
      <c r="D238" s="93" t="str">
        <f t="shared" si="315"/>
        <v/>
      </c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5"/>
      <c r="W238" s="31" t="e">
        <f>INDEX(TBL_PIPED_IMPORTERS_CONNECTIONS[PipedImporterConnectionID],$A238)</f>
        <v>#REF!</v>
      </c>
      <c r="X238" s="31" t="e">
        <f>"PipedImporterCapMin_"&amp;RIGHT($W238,11)</f>
        <v>#REF!</v>
      </c>
    </row>
    <row r="239" spans="1:24" x14ac:dyDescent="0.25">
      <c r="A239" s="94">
        <f t="shared" si="310"/>
        <v>59</v>
      </c>
      <c r="B239" s="118"/>
      <c r="C239" s="93" t="str">
        <f t="shared" ref="C239:D239" si="316">IF($B238&lt;&gt;"",C235,"")</f>
        <v/>
      </c>
      <c r="D239" s="93" t="str">
        <f t="shared" si="316"/>
        <v/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6"/>
      <c r="W239" s="31" t="e">
        <f>INDEX(TBL_PIPED_IMPORTERS_CONNECTIONS[PipedImporterConnectionID],$A239)</f>
        <v>#REF!</v>
      </c>
      <c r="X239" s="31" t="e">
        <f>"PipedImporterCapMax_"&amp;RIGHT($W239,11)</f>
        <v>#REF!</v>
      </c>
    </row>
    <row r="240" spans="1:24" x14ac:dyDescent="0.25">
      <c r="A240" s="94">
        <f t="shared" si="310"/>
        <v>59</v>
      </c>
      <c r="B240" s="118"/>
      <c r="C240" s="93" t="str">
        <f t="shared" ref="C240:D240" si="317">IF($B238&lt;&gt;"",C236,"")</f>
        <v/>
      </c>
      <c r="D240" s="93" t="str">
        <f t="shared" si="317"/>
        <v/>
      </c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5"/>
      <c r="W240" s="31" t="e">
        <f>INDEX(TBL_PIPED_IMPORTERS_CONNECTIONS[PipedImporterConnectionID],$A240)</f>
        <v>#REF!</v>
      </c>
      <c r="X240" s="31" t="e">
        <f>"PipedImporterTariffFixed_"&amp;RIGHT($W240,11)</f>
        <v>#REF!</v>
      </c>
    </row>
    <row r="241" spans="1:24" x14ac:dyDescent="0.25">
      <c r="A241" s="94">
        <f t="shared" si="310"/>
        <v>59</v>
      </c>
      <c r="B241" s="119"/>
      <c r="C241" s="93" t="str">
        <f t="shared" ref="C241:D241" si="318">IF($B238&lt;&gt;"",C237,"")</f>
        <v/>
      </c>
      <c r="D241" s="93" t="str">
        <f t="shared" si="318"/>
        <v/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6"/>
      <c r="W241" s="31" t="e">
        <f>INDEX(TBL_PIPED_IMPORTERS_CONNECTIONS[PipedImporterConnectionID],$A241)</f>
        <v>#REF!</v>
      </c>
      <c r="X241" s="31" t="e">
        <f>"PipedImporterTariffVar_"&amp;RIGHT($W241,11)</f>
        <v>#REF!</v>
      </c>
    </row>
    <row r="242" spans="1:24" x14ac:dyDescent="0.25">
      <c r="A242" s="94">
        <f t="shared" ref="A242" si="319">$A238+1</f>
        <v>60</v>
      </c>
      <c r="B242" s="117" t="str">
        <f>IFERROR(INDEX(TBL_PIPED_IMPORTERS_CONNECTIONS[Name],$A242),"")</f>
        <v/>
      </c>
      <c r="C242" s="93" t="str">
        <f t="shared" ref="C242:D242" si="320">IF($B242&lt;&gt;"",C238,"")</f>
        <v/>
      </c>
      <c r="D242" s="93" t="str">
        <f t="shared" si="320"/>
        <v/>
      </c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5"/>
      <c r="W242" s="31" t="e">
        <f>INDEX(TBL_PIPED_IMPORTERS_CONNECTIONS[PipedImporterConnectionID],$A242)</f>
        <v>#REF!</v>
      </c>
      <c r="X242" s="31" t="e">
        <f>"PipedImporterCapMin_"&amp;RIGHT($W242,11)</f>
        <v>#REF!</v>
      </c>
    </row>
    <row r="243" spans="1:24" x14ac:dyDescent="0.25">
      <c r="A243" s="94">
        <f t="shared" si="310"/>
        <v>60</v>
      </c>
      <c r="B243" s="118"/>
      <c r="C243" s="93" t="str">
        <f t="shared" ref="C243:D243" si="321">IF($B242&lt;&gt;"",C239,"")</f>
        <v/>
      </c>
      <c r="D243" s="93" t="str">
        <f t="shared" si="321"/>
        <v/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6"/>
      <c r="W243" s="31" t="e">
        <f>INDEX(TBL_PIPED_IMPORTERS_CONNECTIONS[PipedImporterConnectionID],$A243)</f>
        <v>#REF!</v>
      </c>
      <c r="X243" s="31" t="e">
        <f>"PipedImporterCapMax_"&amp;RIGHT($W243,11)</f>
        <v>#REF!</v>
      </c>
    </row>
    <row r="244" spans="1:24" x14ac:dyDescent="0.25">
      <c r="A244" s="94">
        <f t="shared" si="310"/>
        <v>60</v>
      </c>
      <c r="B244" s="118"/>
      <c r="C244" s="93" t="str">
        <f t="shared" ref="C244:D244" si="322">IF($B242&lt;&gt;"",C240,"")</f>
        <v/>
      </c>
      <c r="D244" s="93" t="str">
        <f t="shared" si="322"/>
        <v/>
      </c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5"/>
      <c r="W244" s="31" t="e">
        <f>INDEX(TBL_PIPED_IMPORTERS_CONNECTIONS[PipedImporterConnectionID],$A244)</f>
        <v>#REF!</v>
      </c>
      <c r="X244" s="31" t="e">
        <f>"PipedImporterTariffFixed_"&amp;RIGHT($W244,11)</f>
        <v>#REF!</v>
      </c>
    </row>
    <row r="245" spans="1:24" x14ac:dyDescent="0.25">
      <c r="A245" s="94">
        <f t="shared" si="310"/>
        <v>60</v>
      </c>
      <c r="B245" s="119"/>
      <c r="C245" s="93" t="str">
        <f t="shared" ref="C245:D245" si="323">IF($B242&lt;&gt;"",C241,"")</f>
        <v/>
      </c>
      <c r="D245" s="93" t="str">
        <f t="shared" si="323"/>
        <v/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6"/>
      <c r="W245" s="31" t="e">
        <f>INDEX(TBL_PIPED_IMPORTERS_CONNECTIONS[PipedImporterConnectionID],$A245)</f>
        <v>#REF!</v>
      </c>
      <c r="X245" s="31" t="e">
        <f>"PipedImporterTariffVar_"&amp;RIGHT($W245,11)</f>
        <v>#REF!</v>
      </c>
    </row>
    <row r="246" spans="1:24" x14ac:dyDescent="0.25">
      <c r="A246" s="94">
        <f t="shared" ref="A246" si="324">$A242+1</f>
        <v>61</v>
      </c>
      <c r="B246" s="117" t="str">
        <f>IFERROR(INDEX(TBL_PIPED_IMPORTERS_CONNECTIONS[Name],$A246),"")</f>
        <v/>
      </c>
      <c r="C246" s="93" t="str">
        <f t="shared" ref="C246:D246" si="325">IF($B246&lt;&gt;"",C242,"")</f>
        <v/>
      </c>
      <c r="D246" s="93" t="str">
        <f t="shared" si="325"/>
        <v/>
      </c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5"/>
      <c r="W246" s="31" t="e">
        <f>INDEX(TBL_PIPED_IMPORTERS_CONNECTIONS[PipedImporterConnectionID],$A246)</f>
        <v>#REF!</v>
      </c>
      <c r="X246" s="31" t="e">
        <f>"PipedImporterCapMin_"&amp;RIGHT($W246,11)</f>
        <v>#REF!</v>
      </c>
    </row>
    <row r="247" spans="1:24" x14ac:dyDescent="0.25">
      <c r="A247" s="94">
        <f t="shared" si="310"/>
        <v>61</v>
      </c>
      <c r="B247" s="118"/>
      <c r="C247" s="93" t="str">
        <f t="shared" ref="C247:D247" si="326">IF($B246&lt;&gt;"",C243,"")</f>
        <v/>
      </c>
      <c r="D247" s="93" t="str">
        <f t="shared" si="326"/>
        <v/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6"/>
      <c r="W247" s="31" t="e">
        <f>INDEX(TBL_PIPED_IMPORTERS_CONNECTIONS[PipedImporterConnectionID],$A247)</f>
        <v>#REF!</v>
      </c>
      <c r="X247" s="31" t="e">
        <f>"PipedImporterCapMax_"&amp;RIGHT($W247,11)</f>
        <v>#REF!</v>
      </c>
    </row>
    <row r="248" spans="1:24" x14ac:dyDescent="0.25">
      <c r="A248" s="94">
        <f t="shared" si="310"/>
        <v>61</v>
      </c>
      <c r="B248" s="118"/>
      <c r="C248" s="93" t="str">
        <f t="shared" ref="C248:D248" si="327">IF($B246&lt;&gt;"",C244,"")</f>
        <v/>
      </c>
      <c r="D248" s="93" t="str">
        <f t="shared" si="327"/>
        <v/>
      </c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5"/>
      <c r="W248" s="31" t="e">
        <f>INDEX(TBL_PIPED_IMPORTERS_CONNECTIONS[PipedImporterConnectionID],$A248)</f>
        <v>#REF!</v>
      </c>
      <c r="X248" s="31" t="e">
        <f>"PipedImporterTariffFixed_"&amp;RIGHT($W248,11)</f>
        <v>#REF!</v>
      </c>
    </row>
    <row r="249" spans="1:24" x14ac:dyDescent="0.25">
      <c r="A249" s="94">
        <f t="shared" si="310"/>
        <v>61</v>
      </c>
      <c r="B249" s="119"/>
      <c r="C249" s="93" t="str">
        <f t="shared" ref="C249:D249" si="328">IF($B246&lt;&gt;"",C245,"")</f>
        <v/>
      </c>
      <c r="D249" s="93" t="str">
        <f t="shared" si="328"/>
        <v/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6"/>
      <c r="W249" s="31" t="e">
        <f>INDEX(TBL_PIPED_IMPORTERS_CONNECTIONS[PipedImporterConnectionID],$A249)</f>
        <v>#REF!</v>
      </c>
      <c r="X249" s="31" t="e">
        <f>"PipedImporterTariffVar_"&amp;RIGHT($W249,11)</f>
        <v>#REF!</v>
      </c>
    </row>
    <row r="250" spans="1:24" x14ac:dyDescent="0.25">
      <c r="A250" s="94">
        <f t="shared" ref="A250" si="329">$A246+1</f>
        <v>62</v>
      </c>
      <c r="B250" s="117" t="str">
        <f>IFERROR(INDEX(TBL_PIPED_IMPORTERS_CONNECTIONS[Name],$A250),"")</f>
        <v/>
      </c>
      <c r="C250" s="93" t="str">
        <f t="shared" ref="C250:D250" si="330">IF($B250&lt;&gt;"",C246,"")</f>
        <v/>
      </c>
      <c r="D250" s="93" t="str">
        <f t="shared" si="330"/>
        <v/>
      </c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5"/>
      <c r="W250" s="31" t="e">
        <f>INDEX(TBL_PIPED_IMPORTERS_CONNECTIONS[PipedImporterConnectionID],$A250)</f>
        <v>#REF!</v>
      </c>
      <c r="X250" s="31" t="e">
        <f>"PipedImporterCapMin_"&amp;RIGHT($W250,11)</f>
        <v>#REF!</v>
      </c>
    </row>
    <row r="251" spans="1:24" x14ac:dyDescent="0.25">
      <c r="A251" s="94">
        <f t="shared" si="310"/>
        <v>62</v>
      </c>
      <c r="B251" s="118"/>
      <c r="C251" s="93" t="str">
        <f t="shared" ref="C251:D251" si="331">IF($B250&lt;&gt;"",C247,"")</f>
        <v/>
      </c>
      <c r="D251" s="93" t="str">
        <f t="shared" si="331"/>
        <v/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6"/>
      <c r="W251" s="31" t="e">
        <f>INDEX(TBL_PIPED_IMPORTERS_CONNECTIONS[PipedImporterConnectionID],$A251)</f>
        <v>#REF!</v>
      </c>
      <c r="X251" s="31" t="e">
        <f>"PipedImporterCapMax_"&amp;RIGHT($W251,11)</f>
        <v>#REF!</v>
      </c>
    </row>
    <row r="252" spans="1:24" x14ac:dyDescent="0.25">
      <c r="A252" s="94">
        <f t="shared" si="310"/>
        <v>62</v>
      </c>
      <c r="B252" s="118"/>
      <c r="C252" s="93" t="str">
        <f t="shared" ref="C252:D252" si="332">IF($B250&lt;&gt;"",C248,"")</f>
        <v/>
      </c>
      <c r="D252" s="93" t="str">
        <f t="shared" si="332"/>
        <v/>
      </c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5"/>
      <c r="W252" s="31" t="e">
        <f>INDEX(TBL_PIPED_IMPORTERS_CONNECTIONS[PipedImporterConnectionID],$A252)</f>
        <v>#REF!</v>
      </c>
      <c r="X252" s="31" t="e">
        <f>"PipedImporterTariffFixed_"&amp;RIGHT($W252,11)</f>
        <v>#REF!</v>
      </c>
    </row>
    <row r="253" spans="1:24" x14ac:dyDescent="0.25">
      <c r="A253" s="94">
        <f t="shared" si="310"/>
        <v>62</v>
      </c>
      <c r="B253" s="119"/>
      <c r="C253" s="93" t="str">
        <f t="shared" ref="C253:D253" si="333">IF($B250&lt;&gt;"",C249,"")</f>
        <v/>
      </c>
      <c r="D253" s="93" t="str">
        <f t="shared" si="333"/>
        <v/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6"/>
      <c r="W253" s="31" t="e">
        <f>INDEX(TBL_PIPED_IMPORTERS_CONNECTIONS[PipedImporterConnectionID],$A253)</f>
        <v>#REF!</v>
      </c>
      <c r="X253" s="31" t="e">
        <f>"PipedImporterTariffVar_"&amp;RIGHT($W253,11)</f>
        <v>#REF!</v>
      </c>
    </row>
    <row r="254" spans="1:24" x14ac:dyDescent="0.25">
      <c r="A254" s="94">
        <f t="shared" ref="A254" si="334">$A250+1</f>
        <v>63</v>
      </c>
      <c r="B254" s="117" t="str">
        <f>IFERROR(INDEX(TBL_PIPED_IMPORTERS_CONNECTIONS[Name],$A254),"")</f>
        <v/>
      </c>
      <c r="C254" s="93" t="str">
        <f t="shared" ref="C254:D254" si="335">IF($B254&lt;&gt;"",C250,"")</f>
        <v/>
      </c>
      <c r="D254" s="93" t="str">
        <f t="shared" si="335"/>
        <v/>
      </c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5"/>
      <c r="W254" s="31" t="e">
        <f>INDEX(TBL_PIPED_IMPORTERS_CONNECTIONS[PipedImporterConnectionID],$A254)</f>
        <v>#REF!</v>
      </c>
      <c r="X254" s="31" t="e">
        <f>"PipedImporterCapMin_"&amp;RIGHT($W254,11)</f>
        <v>#REF!</v>
      </c>
    </row>
    <row r="255" spans="1:24" x14ac:dyDescent="0.25">
      <c r="A255" s="94">
        <f t="shared" ref="A255:A257" si="336">$A254</f>
        <v>63</v>
      </c>
      <c r="B255" s="118"/>
      <c r="C255" s="93" t="str">
        <f t="shared" ref="C255:D255" si="337">IF($B254&lt;&gt;"",C251,"")</f>
        <v/>
      </c>
      <c r="D255" s="93" t="str">
        <f t="shared" si="337"/>
        <v/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6"/>
      <c r="W255" s="31" t="e">
        <f>INDEX(TBL_PIPED_IMPORTERS_CONNECTIONS[PipedImporterConnectionID],$A255)</f>
        <v>#REF!</v>
      </c>
      <c r="X255" s="31" t="e">
        <f>"PipedImporterCapMax_"&amp;RIGHT($W255,11)</f>
        <v>#REF!</v>
      </c>
    </row>
    <row r="256" spans="1:24" x14ac:dyDescent="0.25">
      <c r="A256" s="94">
        <f t="shared" si="336"/>
        <v>63</v>
      </c>
      <c r="B256" s="118"/>
      <c r="C256" s="93" t="str">
        <f t="shared" ref="C256:D256" si="338">IF($B254&lt;&gt;"",C252,"")</f>
        <v/>
      </c>
      <c r="D256" s="93" t="str">
        <f t="shared" si="338"/>
        <v/>
      </c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5"/>
      <c r="W256" s="31" t="e">
        <f>INDEX(TBL_PIPED_IMPORTERS_CONNECTIONS[PipedImporterConnectionID],$A256)</f>
        <v>#REF!</v>
      </c>
      <c r="X256" s="31" t="e">
        <f>"PipedImporterTariffFixed_"&amp;RIGHT($W256,11)</f>
        <v>#REF!</v>
      </c>
    </row>
    <row r="257" spans="1:24" x14ac:dyDescent="0.25">
      <c r="A257" s="94">
        <f t="shared" si="336"/>
        <v>63</v>
      </c>
      <c r="B257" s="119"/>
      <c r="C257" s="93" t="str">
        <f t="shared" ref="C257:D257" si="339">IF($B254&lt;&gt;"",C253,"")</f>
        <v/>
      </c>
      <c r="D257" s="93" t="str">
        <f t="shared" si="339"/>
        <v/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6"/>
      <c r="W257" s="31" t="e">
        <f>INDEX(TBL_PIPED_IMPORTERS_CONNECTIONS[PipedImporterConnectionID],$A257)</f>
        <v>#REF!</v>
      </c>
      <c r="X257" s="31" t="e">
        <f>"PipedImporterTariffVar_"&amp;RIGHT($W257,11)</f>
        <v>#REF!</v>
      </c>
    </row>
    <row r="258" spans="1:24" x14ac:dyDescent="0.25">
      <c r="A258" s="94">
        <f t="shared" ref="A258" si="340">$A254+1</f>
        <v>64</v>
      </c>
      <c r="B258" s="117" t="str">
        <f>IFERROR(INDEX(TBL_PIPED_IMPORTERS_CONNECTIONS[Name],$A258),"")</f>
        <v/>
      </c>
      <c r="C258" s="93" t="str">
        <f t="shared" ref="C258:D258" si="341">IF($B258&lt;&gt;"",C254,"")</f>
        <v/>
      </c>
      <c r="D258" s="93" t="str">
        <f t="shared" si="341"/>
        <v/>
      </c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5"/>
      <c r="W258" s="31" t="e">
        <f>INDEX(TBL_PIPED_IMPORTERS_CONNECTIONS[PipedImporterConnectionID],$A258)</f>
        <v>#REF!</v>
      </c>
      <c r="X258" s="31" t="e">
        <f>"PipedImporterCapMin_"&amp;RIGHT($W258,11)</f>
        <v>#REF!</v>
      </c>
    </row>
    <row r="259" spans="1:24" x14ac:dyDescent="0.25">
      <c r="A259" s="94">
        <f t="shared" ref="A259:A261" si="342">$A258</f>
        <v>64</v>
      </c>
      <c r="B259" s="118"/>
      <c r="C259" s="93" t="str">
        <f t="shared" ref="C259:D259" si="343">IF($B258&lt;&gt;"",C255,"")</f>
        <v/>
      </c>
      <c r="D259" s="93" t="str">
        <f t="shared" si="343"/>
        <v/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6"/>
      <c r="W259" s="31" t="e">
        <f>INDEX(TBL_PIPED_IMPORTERS_CONNECTIONS[PipedImporterConnectionID],$A259)</f>
        <v>#REF!</v>
      </c>
      <c r="X259" s="31" t="e">
        <f>"PipedImporterCapMax_"&amp;RIGHT($W259,11)</f>
        <v>#REF!</v>
      </c>
    </row>
    <row r="260" spans="1:24" x14ac:dyDescent="0.25">
      <c r="A260" s="94">
        <f t="shared" si="342"/>
        <v>64</v>
      </c>
      <c r="B260" s="118"/>
      <c r="C260" s="93" t="str">
        <f t="shared" ref="C260:D260" si="344">IF($B258&lt;&gt;"",C256,"")</f>
        <v/>
      </c>
      <c r="D260" s="93" t="str">
        <f t="shared" si="344"/>
        <v/>
      </c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5"/>
      <c r="W260" s="31" t="e">
        <f>INDEX(TBL_PIPED_IMPORTERS_CONNECTIONS[PipedImporterConnectionID],$A260)</f>
        <v>#REF!</v>
      </c>
      <c r="X260" s="31" t="e">
        <f>"PipedImporterTariffFixed_"&amp;RIGHT($W260,11)</f>
        <v>#REF!</v>
      </c>
    </row>
    <row r="261" spans="1:24" x14ac:dyDescent="0.25">
      <c r="A261" s="94">
        <f t="shared" si="342"/>
        <v>64</v>
      </c>
      <c r="B261" s="119"/>
      <c r="C261" s="93" t="str">
        <f t="shared" ref="C261:D261" si="345">IF($B258&lt;&gt;"",C257,"")</f>
        <v/>
      </c>
      <c r="D261" s="93" t="str">
        <f t="shared" si="345"/>
        <v/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6"/>
      <c r="W261" s="31" t="e">
        <f>INDEX(TBL_PIPED_IMPORTERS_CONNECTIONS[PipedImporterConnectionID],$A261)</f>
        <v>#REF!</v>
      </c>
      <c r="X261" s="31" t="e">
        <f>"PipedImporterTariffVar_"&amp;RIGHT($W261,11)</f>
        <v>#REF!</v>
      </c>
    </row>
    <row r="262" spans="1:24" x14ac:dyDescent="0.25">
      <c r="A262" s="94">
        <f t="shared" ref="A262" si="346">$A258+1</f>
        <v>65</v>
      </c>
      <c r="B262" s="117" t="str">
        <f>IFERROR(INDEX(TBL_PIPED_IMPORTERS_CONNECTIONS[Name],$A262),"")</f>
        <v/>
      </c>
      <c r="C262" s="93" t="str">
        <f t="shared" ref="C262:D262" si="347">IF($B262&lt;&gt;"",C258,"")</f>
        <v/>
      </c>
      <c r="D262" s="93" t="str">
        <f t="shared" si="347"/>
        <v/>
      </c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5"/>
      <c r="W262" s="31" t="e">
        <f>INDEX(TBL_PIPED_IMPORTERS_CONNECTIONS[PipedImporterConnectionID],$A262)</f>
        <v>#REF!</v>
      </c>
      <c r="X262" s="31" t="e">
        <f>"PipedImporterCapMin_"&amp;RIGHT($W262,11)</f>
        <v>#REF!</v>
      </c>
    </row>
    <row r="263" spans="1:24" x14ac:dyDescent="0.25">
      <c r="A263" s="94">
        <f t="shared" ref="A263:A281" si="348">$A262</f>
        <v>65</v>
      </c>
      <c r="B263" s="118"/>
      <c r="C263" s="93" t="str">
        <f t="shared" ref="C263:D263" si="349">IF($B262&lt;&gt;"",C259,"")</f>
        <v/>
      </c>
      <c r="D263" s="93" t="str">
        <f t="shared" si="349"/>
        <v/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6"/>
      <c r="W263" s="31" t="e">
        <f>INDEX(TBL_PIPED_IMPORTERS_CONNECTIONS[PipedImporterConnectionID],$A263)</f>
        <v>#REF!</v>
      </c>
      <c r="X263" s="31" t="e">
        <f>"PipedImporterCapMax_"&amp;RIGHT($W263,11)</f>
        <v>#REF!</v>
      </c>
    </row>
    <row r="264" spans="1:24" x14ac:dyDescent="0.25">
      <c r="A264" s="94">
        <f t="shared" si="348"/>
        <v>65</v>
      </c>
      <c r="B264" s="118"/>
      <c r="C264" s="93" t="str">
        <f t="shared" ref="C264:D264" si="350">IF($B262&lt;&gt;"",C260,"")</f>
        <v/>
      </c>
      <c r="D264" s="93" t="str">
        <f t="shared" si="350"/>
        <v/>
      </c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5"/>
      <c r="W264" s="31" t="e">
        <f>INDEX(TBL_PIPED_IMPORTERS_CONNECTIONS[PipedImporterConnectionID],$A264)</f>
        <v>#REF!</v>
      </c>
      <c r="X264" s="31" t="e">
        <f>"PipedImporterTariffFixed_"&amp;RIGHT($W264,11)</f>
        <v>#REF!</v>
      </c>
    </row>
    <row r="265" spans="1:24" x14ac:dyDescent="0.25">
      <c r="A265" s="94">
        <f t="shared" si="348"/>
        <v>65</v>
      </c>
      <c r="B265" s="119"/>
      <c r="C265" s="93" t="str">
        <f t="shared" ref="C265:D265" si="351">IF($B262&lt;&gt;"",C261,"")</f>
        <v/>
      </c>
      <c r="D265" s="93" t="str">
        <f t="shared" si="351"/>
        <v/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6"/>
      <c r="W265" s="31" t="e">
        <f>INDEX(TBL_PIPED_IMPORTERS_CONNECTIONS[PipedImporterConnectionID],$A265)</f>
        <v>#REF!</v>
      </c>
      <c r="X265" s="31" t="e">
        <f>"PipedImporterTariffVar_"&amp;RIGHT($W265,11)</f>
        <v>#REF!</v>
      </c>
    </row>
    <row r="266" spans="1:24" x14ac:dyDescent="0.25">
      <c r="A266" s="94">
        <f t="shared" ref="A266" si="352">$A262+1</f>
        <v>66</v>
      </c>
      <c r="B266" s="117" t="str">
        <f>IFERROR(INDEX(TBL_PIPED_IMPORTERS_CONNECTIONS[Name],$A266),"")</f>
        <v/>
      </c>
      <c r="C266" s="93" t="str">
        <f t="shared" ref="C266:D266" si="353">IF($B266&lt;&gt;"",C262,"")</f>
        <v/>
      </c>
      <c r="D266" s="93" t="str">
        <f t="shared" si="353"/>
        <v/>
      </c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5"/>
      <c r="W266" s="31" t="e">
        <f>INDEX(TBL_PIPED_IMPORTERS_CONNECTIONS[PipedImporterConnectionID],$A266)</f>
        <v>#REF!</v>
      </c>
      <c r="X266" s="31" t="e">
        <f>"PipedImporterCapMin_"&amp;RIGHT($W266,11)</f>
        <v>#REF!</v>
      </c>
    </row>
    <row r="267" spans="1:24" x14ac:dyDescent="0.25">
      <c r="A267" s="94">
        <f t="shared" si="348"/>
        <v>66</v>
      </c>
      <c r="B267" s="118"/>
      <c r="C267" s="93" t="str">
        <f t="shared" ref="C267:D267" si="354">IF($B266&lt;&gt;"",C263,"")</f>
        <v/>
      </c>
      <c r="D267" s="93" t="str">
        <f t="shared" si="354"/>
        <v/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6"/>
      <c r="W267" s="31" t="e">
        <f>INDEX(TBL_PIPED_IMPORTERS_CONNECTIONS[PipedImporterConnectionID],$A267)</f>
        <v>#REF!</v>
      </c>
      <c r="X267" s="31" t="e">
        <f>"PipedImporterCapMax_"&amp;RIGHT($W267,11)</f>
        <v>#REF!</v>
      </c>
    </row>
    <row r="268" spans="1:24" x14ac:dyDescent="0.25">
      <c r="A268" s="94">
        <f t="shared" si="348"/>
        <v>66</v>
      </c>
      <c r="B268" s="118"/>
      <c r="C268" s="93" t="str">
        <f t="shared" ref="C268:D268" si="355">IF($B266&lt;&gt;"",C264,"")</f>
        <v/>
      </c>
      <c r="D268" s="93" t="str">
        <f t="shared" si="355"/>
        <v/>
      </c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5"/>
      <c r="W268" s="31" t="e">
        <f>INDEX(TBL_PIPED_IMPORTERS_CONNECTIONS[PipedImporterConnectionID],$A268)</f>
        <v>#REF!</v>
      </c>
      <c r="X268" s="31" t="e">
        <f>"PipedImporterTariffFixed_"&amp;RIGHT($W268,11)</f>
        <v>#REF!</v>
      </c>
    </row>
    <row r="269" spans="1:24" x14ac:dyDescent="0.25">
      <c r="A269" s="94">
        <f t="shared" si="348"/>
        <v>66</v>
      </c>
      <c r="B269" s="119"/>
      <c r="C269" s="93" t="str">
        <f t="shared" ref="C269:D269" si="356">IF($B266&lt;&gt;"",C265,"")</f>
        <v/>
      </c>
      <c r="D269" s="93" t="str">
        <f t="shared" si="356"/>
        <v/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6"/>
      <c r="W269" s="31" t="e">
        <f>INDEX(TBL_PIPED_IMPORTERS_CONNECTIONS[PipedImporterConnectionID],$A269)</f>
        <v>#REF!</v>
      </c>
      <c r="X269" s="31" t="e">
        <f>"PipedImporterTariffVar_"&amp;RIGHT($W269,11)</f>
        <v>#REF!</v>
      </c>
    </row>
    <row r="270" spans="1:24" x14ac:dyDescent="0.25">
      <c r="A270" s="94">
        <f t="shared" ref="A270" si="357">$A266+1</f>
        <v>67</v>
      </c>
      <c r="B270" s="117" t="str">
        <f>IFERROR(INDEX(TBL_PIPED_IMPORTERS_CONNECTIONS[Name],$A270),"")</f>
        <v/>
      </c>
      <c r="C270" s="93" t="str">
        <f t="shared" ref="C270:D270" si="358">IF($B270&lt;&gt;"",C266,"")</f>
        <v/>
      </c>
      <c r="D270" s="93" t="str">
        <f t="shared" si="358"/>
        <v/>
      </c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5"/>
      <c r="W270" s="31" t="e">
        <f>INDEX(TBL_PIPED_IMPORTERS_CONNECTIONS[PipedImporterConnectionID],$A270)</f>
        <v>#REF!</v>
      </c>
      <c r="X270" s="31" t="e">
        <f>"PipedImporterCapMin_"&amp;RIGHT($W270,11)</f>
        <v>#REF!</v>
      </c>
    </row>
    <row r="271" spans="1:24" x14ac:dyDescent="0.25">
      <c r="A271" s="94">
        <f t="shared" si="348"/>
        <v>67</v>
      </c>
      <c r="B271" s="118"/>
      <c r="C271" s="93" t="str">
        <f t="shared" ref="C271:D271" si="359">IF($B270&lt;&gt;"",C267,"")</f>
        <v/>
      </c>
      <c r="D271" s="93" t="str">
        <f t="shared" si="359"/>
        <v/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6"/>
      <c r="W271" s="31" t="e">
        <f>INDEX(TBL_PIPED_IMPORTERS_CONNECTIONS[PipedImporterConnectionID],$A271)</f>
        <v>#REF!</v>
      </c>
      <c r="X271" s="31" t="e">
        <f>"PipedImporterCapMax_"&amp;RIGHT($W271,11)</f>
        <v>#REF!</v>
      </c>
    </row>
    <row r="272" spans="1:24" x14ac:dyDescent="0.25">
      <c r="A272" s="94">
        <f t="shared" si="348"/>
        <v>67</v>
      </c>
      <c r="B272" s="118"/>
      <c r="C272" s="93" t="str">
        <f t="shared" ref="C272:D272" si="360">IF($B270&lt;&gt;"",C268,"")</f>
        <v/>
      </c>
      <c r="D272" s="93" t="str">
        <f t="shared" si="360"/>
        <v/>
      </c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5"/>
      <c r="W272" s="31" t="e">
        <f>INDEX(TBL_PIPED_IMPORTERS_CONNECTIONS[PipedImporterConnectionID],$A272)</f>
        <v>#REF!</v>
      </c>
      <c r="X272" s="31" t="e">
        <f>"PipedImporterTariffFixed_"&amp;RIGHT($W272,11)</f>
        <v>#REF!</v>
      </c>
    </row>
    <row r="273" spans="1:24" x14ac:dyDescent="0.25">
      <c r="A273" s="94">
        <f t="shared" si="348"/>
        <v>67</v>
      </c>
      <c r="B273" s="119"/>
      <c r="C273" s="93" t="str">
        <f t="shared" ref="C273:D273" si="361">IF($B270&lt;&gt;"",C269,"")</f>
        <v/>
      </c>
      <c r="D273" s="93" t="str">
        <f t="shared" si="361"/>
        <v/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6"/>
      <c r="W273" s="31" t="e">
        <f>INDEX(TBL_PIPED_IMPORTERS_CONNECTIONS[PipedImporterConnectionID],$A273)</f>
        <v>#REF!</v>
      </c>
      <c r="X273" s="31" t="e">
        <f>"PipedImporterTariffVar_"&amp;RIGHT($W273,11)</f>
        <v>#REF!</v>
      </c>
    </row>
    <row r="274" spans="1:24" x14ac:dyDescent="0.25">
      <c r="A274" s="94">
        <f t="shared" ref="A274" si="362">$A270+1</f>
        <v>68</v>
      </c>
      <c r="B274" s="117" t="str">
        <f>IFERROR(INDEX(TBL_PIPED_IMPORTERS_CONNECTIONS[Name],$A274),"")</f>
        <v/>
      </c>
      <c r="C274" s="93" t="str">
        <f t="shared" ref="C274:D274" si="363">IF($B274&lt;&gt;"",C270,"")</f>
        <v/>
      </c>
      <c r="D274" s="93" t="str">
        <f t="shared" si="363"/>
        <v/>
      </c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5"/>
      <c r="W274" s="31" t="e">
        <f>INDEX(TBL_PIPED_IMPORTERS_CONNECTIONS[PipedImporterConnectionID],$A274)</f>
        <v>#REF!</v>
      </c>
      <c r="X274" s="31" t="e">
        <f>"PipedImporterCapMin_"&amp;RIGHT($W274,11)</f>
        <v>#REF!</v>
      </c>
    </row>
    <row r="275" spans="1:24" x14ac:dyDescent="0.25">
      <c r="A275" s="94">
        <f t="shared" si="348"/>
        <v>68</v>
      </c>
      <c r="B275" s="118"/>
      <c r="C275" s="93" t="str">
        <f t="shared" ref="C275:D275" si="364">IF($B274&lt;&gt;"",C271,"")</f>
        <v/>
      </c>
      <c r="D275" s="93" t="str">
        <f t="shared" si="364"/>
        <v/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6"/>
      <c r="W275" s="31" t="e">
        <f>INDEX(TBL_PIPED_IMPORTERS_CONNECTIONS[PipedImporterConnectionID],$A275)</f>
        <v>#REF!</v>
      </c>
      <c r="X275" s="31" t="e">
        <f>"PipedImporterCapMax_"&amp;RIGHT($W275,11)</f>
        <v>#REF!</v>
      </c>
    </row>
    <row r="276" spans="1:24" x14ac:dyDescent="0.25">
      <c r="A276" s="94">
        <f t="shared" si="348"/>
        <v>68</v>
      </c>
      <c r="B276" s="118"/>
      <c r="C276" s="93" t="str">
        <f t="shared" ref="C276:D276" si="365">IF($B274&lt;&gt;"",C272,"")</f>
        <v/>
      </c>
      <c r="D276" s="93" t="str">
        <f t="shared" si="365"/>
        <v/>
      </c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5"/>
      <c r="W276" s="31" t="e">
        <f>INDEX(TBL_PIPED_IMPORTERS_CONNECTIONS[PipedImporterConnectionID],$A276)</f>
        <v>#REF!</v>
      </c>
      <c r="X276" s="31" t="e">
        <f>"PipedImporterTariffFixed_"&amp;RIGHT($W276,11)</f>
        <v>#REF!</v>
      </c>
    </row>
    <row r="277" spans="1:24" x14ac:dyDescent="0.25">
      <c r="A277" s="94">
        <f t="shared" si="348"/>
        <v>68</v>
      </c>
      <c r="B277" s="119"/>
      <c r="C277" s="93" t="str">
        <f t="shared" ref="C277:D277" si="366">IF($B274&lt;&gt;"",C273,"")</f>
        <v/>
      </c>
      <c r="D277" s="93" t="str">
        <f t="shared" si="366"/>
        <v/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6"/>
      <c r="W277" s="31" t="e">
        <f>INDEX(TBL_PIPED_IMPORTERS_CONNECTIONS[PipedImporterConnectionID],$A277)</f>
        <v>#REF!</v>
      </c>
      <c r="X277" s="31" t="e">
        <f>"PipedImporterTariffVar_"&amp;RIGHT($W277,11)</f>
        <v>#REF!</v>
      </c>
    </row>
    <row r="278" spans="1:24" x14ac:dyDescent="0.25">
      <c r="A278" s="94">
        <f t="shared" ref="A278" si="367">$A274+1</f>
        <v>69</v>
      </c>
      <c r="B278" s="117" t="str">
        <f>IFERROR(INDEX(TBL_PIPED_IMPORTERS_CONNECTIONS[Name],$A278),"")</f>
        <v/>
      </c>
      <c r="C278" s="93" t="str">
        <f t="shared" ref="C278:D278" si="368">IF($B278&lt;&gt;"",C274,"")</f>
        <v/>
      </c>
      <c r="D278" s="93" t="str">
        <f t="shared" si="368"/>
        <v/>
      </c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5"/>
      <c r="W278" s="31" t="e">
        <f>INDEX(TBL_PIPED_IMPORTERS_CONNECTIONS[PipedImporterConnectionID],$A278)</f>
        <v>#REF!</v>
      </c>
      <c r="X278" s="31" t="e">
        <f>"PipedImporterCapMin_"&amp;RIGHT($W278,11)</f>
        <v>#REF!</v>
      </c>
    </row>
    <row r="279" spans="1:24" x14ac:dyDescent="0.25">
      <c r="A279" s="94">
        <f t="shared" si="348"/>
        <v>69</v>
      </c>
      <c r="B279" s="118"/>
      <c r="C279" s="93" t="str">
        <f t="shared" ref="C279:D279" si="369">IF($B278&lt;&gt;"",C275,"")</f>
        <v/>
      </c>
      <c r="D279" s="93" t="str">
        <f t="shared" si="369"/>
        <v/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6"/>
      <c r="W279" s="31" t="e">
        <f>INDEX(TBL_PIPED_IMPORTERS_CONNECTIONS[PipedImporterConnectionID],$A279)</f>
        <v>#REF!</v>
      </c>
      <c r="X279" s="31" t="e">
        <f>"PipedImporterCapMax_"&amp;RIGHT($W279,11)</f>
        <v>#REF!</v>
      </c>
    </row>
    <row r="280" spans="1:24" x14ac:dyDescent="0.25">
      <c r="A280" s="94">
        <f t="shared" si="348"/>
        <v>69</v>
      </c>
      <c r="B280" s="118"/>
      <c r="C280" s="93" t="str">
        <f t="shared" ref="C280:D280" si="370">IF($B278&lt;&gt;"",C276,"")</f>
        <v/>
      </c>
      <c r="D280" s="93" t="str">
        <f t="shared" si="370"/>
        <v/>
      </c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5"/>
      <c r="W280" s="31" t="e">
        <f>INDEX(TBL_PIPED_IMPORTERS_CONNECTIONS[PipedImporterConnectionID],$A280)</f>
        <v>#REF!</v>
      </c>
      <c r="X280" s="31" t="e">
        <f>"PipedImporterTariffFixed_"&amp;RIGHT($W280,11)</f>
        <v>#REF!</v>
      </c>
    </row>
    <row r="281" spans="1:24" x14ac:dyDescent="0.25">
      <c r="A281" s="94">
        <f t="shared" si="348"/>
        <v>69</v>
      </c>
      <c r="B281" s="119"/>
      <c r="C281" s="93" t="str">
        <f t="shared" ref="C281:D281" si="371">IF($B278&lt;&gt;"",C277,"")</f>
        <v/>
      </c>
      <c r="D281" s="93" t="str">
        <f t="shared" si="371"/>
        <v/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6"/>
      <c r="W281" s="31" t="e">
        <f>INDEX(TBL_PIPED_IMPORTERS_CONNECTIONS[PipedImporterConnectionID],$A281)</f>
        <v>#REF!</v>
      </c>
      <c r="X281" s="31" t="e">
        <f>"PipedImporterTariffVar_"&amp;RIGHT($W281,11)</f>
        <v>#REF!</v>
      </c>
    </row>
    <row r="282" spans="1:24" x14ac:dyDescent="0.25">
      <c r="A282" s="94">
        <f t="shared" ref="A282" si="372">$A278+1</f>
        <v>70</v>
      </c>
      <c r="B282" s="117" t="str">
        <f>IFERROR(INDEX(TBL_PIPED_IMPORTERS_CONNECTIONS[Name],$A282),"")</f>
        <v/>
      </c>
      <c r="C282" s="93" t="str">
        <f t="shared" ref="C282:D282" si="373">IF($B282&lt;&gt;"",C278,"")</f>
        <v/>
      </c>
      <c r="D282" s="93" t="str">
        <f t="shared" si="373"/>
        <v/>
      </c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5"/>
      <c r="W282" s="31" t="e">
        <f>INDEX(TBL_PIPED_IMPORTERS_CONNECTIONS[PipedImporterConnectionID],$A282)</f>
        <v>#REF!</v>
      </c>
      <c r="X282" s="31" t="e">
        <f>"PipedImporterCapMin_"&amp;RIGHT($W282,11)</f>
        <v>#REF!</v>
      </c>
    </row>
    <row r="283" spans="1:24" x14ac:dyDescent="0.25">
      <c r="A283" s="94">
        <f t="shared" ref="A283:A285" si="374">$A282</f>
        <v>70</v>
      </c>
      <c r="B283" s="118"/>
      <c r="C283" s="93" t="str">
        <f t="shared" ref="C283:D283" si="375">IF($B282&lt;&gt;"",C279,"")</f>
        <v/>
      </c>
      <c r="D283" s="93" t="str">
        <f t="shared" si="375"/>
        <v/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6"/>
      <c r="W283" s="31" t="e">
        <f>INDEX(TBL_PIPED_IMPORTERS_CONNECTIONS[PipedImporterConnectionID],$A283)</f>
        <v>#REF!</v>
      </c>
      <c r="X283" s="31" t="e">
        <f>"PipedImporterCapMax_"&amp;RIGHT($W283,11)</f>
        <v>#REF!</v>
      </c>
    </row>
    <row r="284" spans="1:24" x14ac:dyDescent="0.25">
      <c r="A284" s="94">
        <f t="shared" si="374"/>
        <v>70</v>
      </c>
      <c r="B284" s="118"/>
      <c r="C284" s="93" t="str">
        <f t="shared" ref="C284:D284" si="376">IF($B282&lt;&gt;"",C280,"")</f>
        <v/>
      </c>
      <c r="D284" s="93" t="str">
        <f t="shared" si="376"/>
        <v/>
      </c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5"/>
      <c r="W284" s="31" t="e">
        <f>INDEX(TBL_PIPED_IMPORTERS_CONNECTIONS[PipedImporterConnectionID],$A284)</f>
        <v>#REF!</v>
      </c>
      <c r="X284" s="31" t="e">
        <f>"PipedImporterTariffFixed_"&amp;RIGHT($W284,11)</f>
        <v>#REF!</v>
      </c>
    </row>
    <row r="285" spans="1:24" x14ac:dyDescent="0.25">
      <c r="A285" s="94">
        <f t="shared" si="374"/>
        <v>70</v>
      </c>
      <c r="B285" s="119"/>
      <c r="C285" s="93" t="str">
        <f t="shared" ref="C285:D285" si="377">IF($B282&lt;&gt;"",C281,"")</f>
        <v/>
      </c>
      <c r="D285" s="93" t="str">
        <f t="shared" si="377"/>
        <v/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6"/>
      <c r="W285" s="31" t="e">
        <f>INDEX(TBL_PIPED_IMPORTERS_CONNECTIONS[PipedImporterConnectionID],$A285)</f>
        <v>#REF!</v>
      </c>
      <c r="X285" s="31" t="e">
        <f>"PipedImporterTariffVar_"&amp;RIGHT($W285,11)</f>
        <v>#REF!</v>
      </c>
    </row>
    <row r="286" spans="1:24" x14ac:dyDescent="0.25">
      <c r="A286" s="94">
        <f t="shared" ref="A286" si="378">$A282+1</f>
        <v>71</v>
      </c>
      <c r="B286" s="117" t="str">
        <f>IFERROR(INDEX(TBL_PIPED_IMPORTERS_CONNECTIONS[Name],$A286),"")</f>
        <v/>
      </c>
      <c r="C286" s="93" t="str">
        <f t="shared" ref="C286:D286" si="379">IF($B286&lt;&gt;"",C282,"")</f>
        <v/>
      </c>
      <c r="D286" s="93" t="str">
        <f t="shared" si="379"/>
        <v/>
      </c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5"/>
      <c r="W286" s="31" t="e">
        <f>INDEX(TBL_PIPED_IMPORTERS_CONNECTIONS[PipedImporterConnectionID],$A286)</f>
        <v>#REF!</v>
      </c>
      <c r="X286" s="31" t="e">
        <f>"PipedImporterCapMin_"&amp;RIGHT($W286,11)</f>
        <v>#REF!</v>
      </c>
    </row>
    <row r="287" spans="1:24" x14ac:dyDescent="0.25">
      <c r="A287" s="94">
        <f t="shared" ref="A287:A289" si="380">$A286</f>
        <v>71</v>
      </c>
      <c r="B287" s="118"/>
      <c r="C287" s="93" t="str">
        <f t="shared" ref="C287:D287" si="381">IF($B286&lt;&gt;"",C283,"")</f>
        <v/>
      </c>
      <c r="D287" s="93" t="str">
        <f t="shared" si="381"/>
        <v/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6"/>
      <c r="W287" s="31" t="e">
        <f>INDEX(TBL_PIPED_IMPORTERS_CONNECTIONS[PipedImporterConnectionID],$A287)</f>
        <v>#REF!</v>
      </c>
      <c r="X287" s="31" t="e">
        <f>"PipedImporterCapMax_"&amp;RIGHT($W287,11)</f>
        <v>#REF!</v>
      </c>
    </row>
    <row r="288" spans="1:24" x14ac:dyDescent="0.25">
      <c r="A288" s="94">
        <f t="shared" si="380"/>
        <v>71</v>
      </c>
      <c r="B288" s="118"/>
      <c r="C288" s="93" t="str">
        <f t="shared" ref="C288:D288" si="382">IF($B286&lt;&gt;"",C284,"")</f>
        <v/>
      </c>
      <c r="D288" s="93" t="str">
        <f t="shared" si="382"/>
        <v/>
      </c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5"/>
      <c r="W288" s="31" t="e">
        <f>INDEX(TBL_PIPED_IMPORTERS_CONNECTIONS[PipedImporterConnectionID],$A288)</f>
        <v>#REF!</v>
      </c>
      <c r="X288" s="31" t="e">
        <f>"PipedImporterTariffFixed_"&amp;RIGHT($W288,11)</f>
        <v>#REF!</v>
      </c>
    </row>
    <row r="289" spans="1:24" x14ac:dyDescent="0.25">
      <c r="A289" s="94">
        <f t="shared" si="380"/>
        <v>71</v>
      </c>
      <c r="B289" s="119"/>
      <c r="C289" s="93" t="str">
        <f t="shared" ref="C289:D289" si="383">IF($B286&lt;&gt;"",C285,"")</f>
        <v/>
      </c>
      <c r="D289" s="93" t="str">
        <f t="shared" si="383"/>
        <v/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6"/>
      <c r="W289" s="31" t="e">
        <f>INDEX(TBL_PIPED_IMPORTERS_CONNECTIONS[PipedImporterConnectionID],$A289)</f>
        <v>#REF!</v>
      </c>
      <c r="X289" s="31" t="e">
        <f>"PipedImporterTariffVar_"&amp;RIGHT($W289,11)</f>
        <v>#REF!</v>
      </c>
    </row>
    <row r="290" spans="1:24" x14ac:dyDescent="0.25">
      <c r="A290" s="94">
        <f t="shared" ref="A290" si="384">$A286+1</f>
        <v>72</v>
      </c>
      <c r="B290" s="117" t="str">
        <f>IFERROR(INDEX(TBL_PIPED_IMPORTERS_CONNECTIONS[Name],$A290),"")</f>
        <v/>
      </c>
      <c r="C290" s="93" t="str">
        <f t="shared" ref="C290:D290" si="385">IF($B290&lt;&gt;"",C286,"")</f>
        <v/>
      </c>
      <c r="D290" s="93" t="str">
        <f t="shared" si="385"/>
        <v/>
      </c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5"/>
      <c r="W290" s="31" t="e">
        <f>INDEX(TBL_PIPED_IMPORTERS_CONNECTIONS[PipedImporterConnectionID],$A290)</f>
        <v>#REF!</v>
      </c>
      <c r="X290" s="31" t="e">
        <f>"PipedImporterCapMin_"&amp;RIGHT($W290,11)</f>
        <v>#REF!</v>
      </c>
    </row>
    <row r="291" spans="1:24" x14ac:dyDescent="0.25">
      <c r="A291" s="94">
        <f t="shared" ref="A291:A309" si="386">$A290</f>
        <v>72</v>
      </c>
      <c r="B291" s="118"/>
      <c r="C291" s="93" t="str">
        <f t="shared" ref="C291:D291" si="387">IF($B290&lt;&gt;"",C287,"")</f>
        <v/>
      </c>
      <c r="D291" s="93" t="str">
        <f t="shared" si="387"/>
        <v/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6"/>
      <c r="W291" s="31" t="e">
        <f>INDEX(TBL_PIPED_IMPORTERS_CONNECTIONS[PipedImporterConnectionID],$A291)</f>
        <v>#REF!</v>
      </c>
      <c r="X291" s="31" t="e">
        <f>"PipedImporterCapMax_"&amp;RIGHT($W291,11)</f>
        <v>#REF!</v>
      </c>
    </row>
    <row r="292" spans="1:24" x14ac:dyDescent="0.25">
      <c r="A292" s="94">
        <f t="shared" si="386"/>
        <v>72</v>
      </c>
      <c r="B292" s="118"/>
      <c r="C292" s="93" t="str">
        <f t="shared" ref="C292:D292" si="388">IF($B290&lt;&gt;"",C288,"")</f>
        <v/>
      </c>
      <c r="D292" s="93" t="str">
        <f t="shared" si="388"/>
        <v/>
      </c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5"/>
      <c r="W292" s="31" t="e">
        <f>INDEX(TBL_PIPED_IMPORTERS_CONNECTIONS[PipedImporterConnectionID],$A292)</f>
        <v>#REF!</v>
      </c>
      <c r="X292" s="31" t="e">
        <f>"PipedImporterTariffFixed_"&amp;RIGHT($W292,11)</f>
        <v>#REF!</v>
      </c>
    </row>
    <row r="293" spans="1:24" x14ac:dyDescent="0.25">
      <c r="A293" s="94">
        <f t="shared" si="386"/>
        <v>72</v>
      </c>
      <c r="B293" s="119"/>
      <c r="C293" s="93" t="str">
        <f t="shared" ref="C293:D293" si="389">IF($B290&lt;&gt;"",C289,"")</f>
        <v/>
      </c>
      <c r="D293" s="93" t="str">
        <f t="shared" si="389"/>
        <v/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6"/>
      <c r="W293" s="31" t="e">
        <f>INDEX(TBL_PIPED_IMPORTERS_CONNECTIONS[PipedImporterConnectionID],$A293)</f>
        <v>#REF!</v>
      </c>
      <c r="X293" s="31" t="e">
        <f>"PipedImporterTariffVar_"&amp;RIGHT($W293,11)</f>
        <v>#REF!</v>
      </c>
    </row>
    <row r="294" spans="1:24" x14ac:dyDescent="0.25">
      <c r="A294" s="94">
        <f t="shared" ref="A294" si="390">$A290+1</f>
        <v>73</v>
      </c>
      <c r="B294" s="117" t="str">
        <f>IFERROR(INDEX(TBL_PIPED_IMPORTERS_CONNECTIONS[Name],$A294),"")</f>
        <v/>
      </c>
      <c r="C294" s="93" t="str">
        <f t="shared" ref="C294:D294" si="391">IF($B294&lt;&gt;"",C290,"")</f>
        <v/>
      </c>
      <c r="D294" s="93" t="str">
        <f t="shared" si="391"/>
        <v/>
      </c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5"/>
      <c r="W294" s="31" t="e">
        <f>INDEX(TBL_PIPED_IMPORTERS_CONNECTIONS[PipedImporterConnectionID],$A294)</f>
        <v>#REF!</v>
      </c>
      <c r="X294" s="31" t="e">
        <f>"PipedImporterCapMin_"&amp;RIGHT($W294,11)</f>
        <v>#REF!</v>
      </c>
    </row>
    <row r="295" spans="1:24" x14ac:dyDescent="0.25">
      <c r="A295" s="94">
        <f t="shared" si="386"/>
        <v>73</v>
      </c>
      <c r="B295" s="118"/>
      <c r="C295" s="93" t="str">
        <f t="shared" ref="C295:D295" si="392">IF($B294&lt;&gt;"",C291,"")</f>
        <v/>
      </c>
      <c r="D295" s="93" t="str">
        <f t="shared" si="392"/>
        <v/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6"/>
      <c r="W295" s="31" t="e">
        <f>INDEX(TBL_PIPED_IMPORTERS_CONNECTIONS[PipedImporterConnectionID],$A295)</f>
        <v>#REF!</v>
      </c>
      <c r="X295" s="31" t="e">
        <f>"PipedImporterCapMax_"&amp;RIGHT($W295,11)</f>
        <v>#REF!</v>
      </c>
    </row>
    <row r="296" spans="1:24" x14ac:dyDescent="0.25">
      <c r="A296" s="94">
        <f t="shared" si="386"/>
        <v>73</v>
      </c>
      <c r="B296" s="118"/>
      <c r="C296" s="93" t="str">
        <f t="shared" ref="C296:D296" si="393">IF($B294&lt;&gt;"",C292,"")</f>
        <v/>
      </c>
      <c r="D296" s="93" t="str">
        <f t="shared" si="393"/>
        <v/>
      </c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5"/>
      <c r="W296" s="31" t="e">
        <f>INDEX(TBL_PIPED_IMPORTERS_CONNECTIONS[PipedImporterConnectionID],$A296)</f>
        <v>#REF!</v>
      </c>
      <c r="X296" s="31" t="e">
        <f>"PipedImporterTariffFixed_"&amp;RIGHT($W296,11)</f>
        <v>#REF!</v>
      </c>
    </row>
    <row r="297" spans="1:24" x14ac:dyDescent="0.25">
      <c r="A297" s="94">
        <f t="shared" si="386"/>
        <v>73</v>
      </c>
      <c r="B297" s="119"/>
      <c r="C297" s="93" t="str">
        <f t="shared" ref="C297:D297" si="394">IF($B294&lt;&gt;"",C293,"")</f>
        <v/>
      </c>
      <c r="D297" s="93" t="str">
        <f t="shared" si="394"/>
        <v/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6"/>
      <c r="W297" s="31" t="e">
        <f>INDEX(TBL_PIPED_IMPORTERS_CONNECTIONS[PipedImporterConnectionID],$A297)</f>
        <v>#REF!</v>
      </c>
      <c r="X297" s="31" t="e">
        <f>"PipedImporterTariffVar_"&amp;RIGHT($W297,11)</f>
        <v>#REF!</v>
      </c>
    </row>
    <row r="298" spans="1:24" x14ac:dyDescent="0.25">
      <c r="A298" s="94">
        <f t="shared" ref="A298" si="395">$A294+1</f>
        <v>74</v>
      </c>
      <c r="B298" s="117" t="str">
        <f>IFERROR(INDEX(TBL_PIPED_IMPORTERS_CONNECTIONS[Name],$A298),"")</f>
        <v/>
      </c>
      <c r="C298" s="93" t="str">
        <f t="shared" ref="C298:D298" si="396">IF($B298&lt;&gt;"",C294,"")</f>
        <v/>
      </c>
      <c r="D298" s="93" t="str">
        <f t="shared" si="396"/>
        <v/>
      </c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5"/>
      <c r="W298" s="31" t="e">
        <f>INDEX(TBL_PIPED_IMPORTERS_CONNECTIONS[PipedImporterConnectionID],$A298)</f>
        <v>#REF!</v>
      </c>
      <c r="X298" s="31" t="e">
        <f>"PipedImporterCapMin_"&amp;RIGHT($W298,11)</f>
        <v>#REF!</v>
      </c>
    </row>
    <row r="299" spans="1:24" x14ac:dyDescent="0.25">
      <c r="A299" s="94">
        <f t="shared" si="386"/>
        <v>74</v>
      </c>
      <c r="B299" s="118"/>
      <c r="C299" s="93" t="str">
        <f t="shared" ref="C299:D299" si="397">IF($B298&lt;&gt;"",C295,"")</f>
        <v/>
      </c>
      <c r="D299" s="93" t="str">
        <f t="shared" si="397"/>
        <v/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6"/>
      <c r="W299" s="31" t="e">
        <f>INDEX(TBL_PIPED_IMPORTERS_CONNECTIONS[PipedImporterConnectionID],$A299)</f>
        <v>#REF!</v>
      </c>
      <c r="X299" s="31" t="e">
        <f>"PipedImporterCapMax_"&amp;RIGHT($W299,11)</f>
        <v>#REF!</v>
      </c>
    </row>
    <row r="300" spans="1:24" x14ac:dyDescent="0.25">
      <c r="A300" s="94">
        <f t="shared" si="386"/>
        <v>74</v>
      </c>
      <c r="B300" s="118"/>
      <c r="C300" s="93" t="str">
        <f t="shared" ref="C300:D300" si="398">IF($B298&lt;&gt;"",C296,"")</f>
        <v/>
      </c>
      <c r="D300" s="93" t="str">
        <f t="shared" si="398"/>
        <v/>
      </c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5"/>
      <c r="W300" s="31" t="e">
        <f>INDEX(TBL_PIPED_IMPORTERS_CONNECTIONS[PipedImporterConnectionID],$A300)</f>
        <v>#REF!</v>
      </c>
      <c r="X300" s="31" t="e">
        <f>"PipedImporterTariffFixed_"&amp;RIGHT($W300,11)</f>
        <v>#REF!</v>
      </c>
    </row>
    <row r="301" spans="1:24" x14ac:dyDescent="0.25">
      <c r="A301" s="94">
        <f t="shared" si="386"/>
        <v>74</v>
      </c>
      <c r="B301" s="119"/>
      <c r="C301" s="93" t="str">
        <f t="shared" ref="C301:D301" si="399">IF($B298&lt;&gt;"",C297,"")</f>
        <v/>
      </c>
      <c r="D301" s="93" t="str">
        <f t="shared" si="399"/>
        <v/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6"/>
      <c r="W301" s="31" t="e">
        <f>INDEX(TBL_PIPED_IMPORTERS_CONNECTIONS[PipedImporterConnectionID],$A301)</f>
        <v>#REF!</v>
      </c>
      <c r="X301" s="31" t="e">
        <f>"PipedImporterTariffVar_"&amp;RIGHT($W301,11)</f>
        <v>#REF!</v>
      </c>
    </row>
    <row r="302" spans="1:24" x14ac:dyDescent="0.25">
      <c r="A302" s="94">
        <f t="shared" ref="A302" si="400">$A298+1</f>
        <v>75</v>
      </c>
      <c r="B302" s="117" t="str">
        <f>IFERROR(INDEX(TBL_PIPED_IMPORTERS_CONNECTIONS[Name],$A302),"")</f>
        <v/>
      </c>
      <c r="C302" s="93" t="str">
        <f t="shared" ref="C302:D302" si="401">IF($B302&lt;&gt;"",C298,"")</f>
        <v/>
      </c>
      <c r="D302" s="93" t="str">
        <f t="shared" si="401"/>
        <v/>
      </c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5"/>
      <c r="W302" s="31" t="e">
        <f>INDEX(TBL_PIPED_IMPORTERS_CONNECTIONS[PipedImporterConnectionID],$A302)</f>
        <v>#REF!</v>
      </c>
      <c r="X302" s="31" t="e">
        <f>"PipedImporterCapMin_"&amp;RIGHT($W302,11)</f>
        <v>#REF!</v>
      </c>
    </row>
    <row r="303" spans="1:24" x14ac:dyDescent="0.25">
      <c r="A303" s="94">
        <f t="shared" si="386"/>
        <v>75</v>
      </c>
      <c r="B303" s="118"/>
      <c r="C303" s="93" t="str">
        <f t="shared" ref="C303:D303" si="402">IF($B302&lt;&gt;"",C299,"")</f>
        <v/>
      </c>
      <c r="D303" s="93" t="str">
        <f t="shared" si="402"/>
        <v/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6"/>
      <c r="W303" s="31" t="e">
        <f>INDEX(TBL_PIPED_IMPORTERS_CONNECTIONS[PipedImporterConnectionID],$A303)</f>
        <v>#REF!</v>
      </c>
      <c r="X303" s="31" t="e">
        <f>"PipedImporterCapMax_"&amp;RIGHT($W303,11)</f>
        <v>#REF!</v>
      </c>
    </row>
    <row r="304" spans="1:24" x14ac:dyDescent="0.25">
      <c r="A304" s="94">
        <f t="shared" si="386"/>
        <v>75</v>
      </c>
      <c r="B304" s="118"/>
      <c r="C304" s="93" t="str">
        <f t="shared" ref="C304:D304" si="403">IF($B302&lt;&gt;"",C300,"")</f>
        <v/>
      </c>
      <c r="D304" s="93" t="str">
        <f t="shared" si="403"/>
        <v/>
      </c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5"/>
      <c r="W304" s="31" t="e">
        <f>INDEX(TBL_PIPED_IMPORTERS_CONNECTIONS[PipedImporterConnectionID],$A304)</f>
        <v>#REF!</v>
      </c>
      <c r="X304" s="31" t="e">
        <f>"PipedImporterTariffFixed_"&amp;RIGHT($W304,11)</f>
        <v>#REF!</v>
      </c>
    </row>
    <row r="305" spans="1:24" x14ac:dyDescent="0.25">
      <c r="A305" s="94">
        <f t="shared" si="386"/>
        <v>75</v>
      </c>
      <c r="B305" s="119"/>
      <c r="C305" s="93" t="str">
        <f t="shared" ref="C305:D305" si="404">IF($B302&lt;&gt;"",C301,"")</f>
        <v/>
      </c>
      <c r="D305" s="93" t="str">
        <f t="shared" si="404"/>
        <v/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6"/>
      <c r="W305" s="31" t="e">
        <f>INDEX(TBL_PIPED_IMPORTERS_CONNECTIONS[PipedImporterConnectionID],$A305)</f>
        <v>#REF!</v>
      </c>
      <c r="X305" s="31" t="e">
        <f>"PipedImporterTariffVar_"&amp;RIGHT($W305,11)</f>
        <v>#REF!</v>
      </c>
    </row>
    <row r="306" spans="1:24" x14ac:dyDescent="0.25">
      <c r="A306" s="94">
        <f t="shared" ref="A306" si="405">$A302+1</f>
        <v>76</v>
      </c>
      <c r="B306" s="117" t="str">
        <f>IFERROR(INDEX(TBL_PIPED_IMPORTERS_CONNECTIONS[Name],$A306),"")</f>
        <v/>
      </c>
      <c r="C306" s="93" t="str">
        <f t="shared" ref="C306:D306" si="406">IF($B306&lt;&gt;"",C302,"")</f>
        <v/>
      </c>
      <c r="D306" s="93" t="str">
        <f t="shared" si="406"/>
        <v/>
      </c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5"/>
      <c r="W306" s="31" t="e">
        <f>INDEX(TBL_PIPED_IMPORTERS_CONNECTIONS[PipedImporterConnectionID],$A306)</f>
        <v>#REF!</v>
      </c>
      <c r="X306" s="31" t="e">
        <f>"PipedImporterCapMin_"&amp;RIGHT($W306,11)</f>
        <v>#REF!</v>
      </c>
    </row>
    <row r="307" spans="1:24" x14ac:dyDescent="0.25">
      <c r="A307" s="94">
        <f t="shared" si="386"/>
        <v>76</v>
      </c>
      <c r="B307" s="118"/>
      <c r="C307" s="93" t="str">
        <f t="shared" ref="C307:D307" si="407">IF($B306&lt;&gt;"",C303,"")</f>
        <v/>
      </c>
      <c r="D307" s="93" t="str">
        <f t="shared" si="407"/>
        <v/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6"/>
      <c r="W307" s="31" t="e">
        <f>INDEX(TBL_PIPED_IMPORTERS_CONNECTIONS[PipedImporterConnectionID],$A307)</f>
        <v>#REF!</v>
      </c>
      <c r="X307" s="31" t="e">
        <f>"PipedImporterCapMax_"&amp;RIGHT($W307,11)</f>
        <v>#REF!</v>
      </c>
    </row>
    <row r="308" spans="1:24" x14ac:dyDescent="0.25">
      <c r="A308" s="94">
        <f t="shared" si="386"/>
        <v>76</v>
      </c>
      <c r="B308" s="118"/>
      <c r="C308" s="93" t="str">
        <f t="shared" ref="C308:D308" si="408">IF($B306&lt;&gt;"",C304,"")</f>
        <v/>
      </c>
      <c r="D308" s="93" t="str">
        <f t="shared" si="408"/>
        <v/>
      </c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5"/>
      <c r="W308" s="31" t="e">
        <f>INDEX(TBL_PIPED_IMPORTERS_CONNECTIONS[PipedImporterConnectionID],$A308)</f>
        <v>#REF!</v>
      </c>
      <c r="X308" s="31" t="e">
        <f>"PipedImporterTariffFixed_"&amp;RIGHT($W308,11)</f>
        <v>#REF!</v>
      </c>
    </row>
    <row r="309" spans="1:24" x14ac:dyDescent="0.25">
      <c r="A309" s="94">
        <f t="shared" si="386"/>
        <v>76</v>
      </c>
      <c r="B309" s="119"/>
      <c r="C309" s="93" t="str">
        <f t="shared" ref="C309:D309" si="409">IF($B306&lt;&gt;"",C305,"")</f>
        <v/>
      </c>
      <c r="D309" s="93" t="str">
        <f t="shared" si="409"/>
        <v/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6"/>
      <c r="W309" s="31" t="e">
        <f>INDEX(TBL_PIPED_IMPORTERS_CONNECTIONS[PipedImporterConnectionID],$A309)</f>
        <v>#REF!</v>
      </c>
      <c r="X309" s="31" t="e">
        <f>"PipedImporterTariffVar_"&amp;RIGHT($W309,11)</f>
        <v>#REF!</v>
      </c>
    </row>
    <row r="310" spans="1:24" x14ac:dyDescent="0.25">
      <c r="A310" s="94">
        <f t="shared" ref="A310" si="410">$A306+1</f>
        <v>77</v>
      </c>
      <c r="B310" s="117" t="str">
        <f>IFERROR(INDEX(TBL_PIPED_IMPORTERS_CONNECTIONS[Name],$A310),"")</f>
        <v/>
      </c>
      <c r="C310" s="93" t="str">
        <f t="shared" ref="C310:D310" si="411">IF($B310&lt;&gt;"",C306,"")</f>
        <v/>
      </c>
      <c r="D310" s="93" t="str">
        <f t="shared" si="411"/>
        <v/>
      </c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5"/>
      <c r="W310" s="31" t="e">
        <f>INDEX(TBL_PIPED_IMPORTERS_CONNECTIONS[PipedImporterConnectionID],$A310)</f>
        <v>#REF!</v>
      </c>
      <c r="X310" s="31" t="e">
        <f>"PipedImporterCapMin_"&amp;RIGHT($W310,11)</f>
        <v>#REF!</v>
      </c>
    </row>
    <row r="311" spans="1:24" x14ac:dyDescent="0.25">
      <c r="A311" s="94">
        <f t="shared" ref="A311:A313" si="412">$A310</f>
        <v>77</v>
      </c>
      <c r="B311" s="118"/>
      <c r="C311" s="93" t="str">
        <f t="shared" ref="C311:D311" si="413">IF($B310&lt;&gt;"",C307,"")</f>
        <v/>
      </c>
      <c r="D311" s="93" t="str">
        <f t="shared" si="413"/>
        <v/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6"/>
      <c r="W311" s="31" t="e">
        <f>INDEX(TBL_PIPED_IMPORTERS_CONNECTIONS[PipedImporterConnectionID],$A311)</f>
        <v>#REF!</v>
      </c>
      <c r="X311" s="31" t="e">
        <f>"PipedImporterCapMax_"&amp;RIGHT($W311,11)</f>
        <v>#REF!</v>
      </c>
    </row>
    <row r="312" spans="1:24" x14ac:dyDescent="0.25">
      <c r="A312" s="94">
        <f t="shared" si="412"/>
        <v>77</v>
      </c>
      <c r="B312" s="118"/>
      <c r="C312" s="93" t="str">
        <f t="shared" ref="C312:D312" si="414">IF($B310&lt;&gt;"",C308,"")</f>
        <v/>
      </c>
      <c r="D312" s="93" t="str">
        <f t="shared" si="414"/>
        <v/>
      </c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5"/>
      <c r="W312" s="31" t="e">
        <f>INDEX(TBL_PIPED_IMPORTERS_CONNECTIONS[PipedImporterConnectionID],$A312)</f>
        <v>#REF!</v>
      </c>
      <c r="X312" s="31" t="e">
        <f>"PipedImporterTariffFixed_"&amp;RIGHT($W312,11)</f>
        <v>#REF!</v>
      </c>
    </row>
    <row r="313" spans="1:24" x14ac:dyDescent="0.25">
      <c r="A313" s="94">
        <f t="shared" si="412"/>
        <v>77</v>
      </c>
      <c r="B313" s="119"/>
      <c r="C313" s="93" t="str">
        <f t="shared" ref="C313:D313" si="415">IF($B310&lt;&gt;"",C309,"")</f>
        <v/>
      </c>
      <c r="D313" s="93" t="str">
        <f t="shared" si="415"/>
        <v/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6"/>
      <c r="W313" s="31" t="e">
        <f>INDEX(TBL_PIPED_IMPORTERS_CONNECTIONS[PipedImporterConnectionID],$A313)</f>
        <v>#REF!</v>
      </c>
      <c r="X313" s="31" t="e">
        <f>"PipedImporterTariffVar_"&amp;RIGHT($W313,11)</f>
        <v>#REF!</v>
      </c>
    </row>
    <row r="314" spans="1:24" x14ac:dyDescent="0.25">
      <c r="A314" s="94">
        <f t="shared" ref="A314" si="416">$A310+1</f>
        <v>78</v>
      </c>
      <c r="B314" s="117" t="str">
        <f>IFERROR(INDEX(TBL_PIPED_IMPORTERS_CONNECTIONS[Name],$A314),"")</f>
        <v/>
      </c>
      <c r="C314" s="93" t="str">
        <f t="shared" ref="C314:D314" si="417">IF($B314&lt;&gt;"",C310,"")</f>
        <v/>
      </c>
      <c r="D314" s="93" t="str">
        <f t="shared" si="417"/>
        <v/>
      </c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5"/>
      <c r="W314" s="31" t="e">
        <f>INDEX(TBL_PIPED_IMPORTERS_CONNECTIONS[PipedImporterConnectionID],$A314)</f>
        <v>#REF!</v>
      </c>
      <c r="X314" s="31" t="e">
        <f>"PipedImporterCapMin_"&amp;RIGHT($W314,11)</f>
        <v>#REF!</v>
      </c>
    </row>
    <row r="315" spans="1:24" x14ac:dyDescent="0.25">
      <c r="A315" s="94">
        <f t="shared" ref="A315:A317" si="418">$A314</f>
        <v>78</v>
      </c>
      <c r="B315" s="118"/>
      <c r="C315" s="93" t="str">
        <f t="shared" ref="C315:D315" si="419">IF($B314&lt;&gt;"",C311,"")</f>
        <v/>
      </c>
      <c r="D315" s="93" t="str">
        <f t="shared" si="419"/>
        <v/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6"/>
      <c r="W315" s="31" t="e">
        <f>INDEX(TBL_PIPED_IMPORTERS_CONNECTIONS[PipedImporterConnectionID],$A315)</f>
        <v>#REF!</v>
      </c>
      <c r="X315" s="31" t="e">
        <f>"PipedImporterCapMax_"&amp;RIGHT($W315,11)</f>
        <v>#REF!</v>
      </c>
    </row>
    <row r="316" spans="1:24" x14ac:dyDescent="0.25">
      <c r="A316" s="94">
        <f t="shared" si="418"/>
        <v>78</v>
      </c>
      <c r="B316" s="118"/>
      <c r="C316" s="93" t="str">
        <f t="shared" ref="C316:D316" si="420">IF($B314&lt;&gt;"",C312,"")</f>
        <v/>
      </c>
      <c r="D316" s="93" t="str">
        <f t="shared" si="420"/>
        <v/>
      </c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5"/>
      <c r="W316" s="31" t="e">
        <f>INDEX(TBL_PIPED_IMPORTERS_CONNECTIONS[PipedImporterConnectionID],$A316)</f>
        <v>#REF!</v>
      </c>
      <c r="X316" s="31" t="e">
        <f>"PipedImporterTariffFixed_"&amp;RIGHT($W316,11)</f>
        <v>#REF!</v>
      </c>
    </row>
    <row r="317" spans="1:24" x14ac:dyDescent="0.25">
      <c r="A317" s="94">
        <f t="shared" si="418"/>
        <v>78</v>
      </c>
      <c r="B317" s="119"/>
      <c r="C317" s="93" t="str">
        <f t="shared" ref="C317:D317" si="421">IF($B314&lt;&gt;"",C313,"")</f>
        <v/>
      </c>
      <c r="D317" s="93" t="str">
        <f t="shared" si="421"/>
        <v/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6"/>
      <c r="W317" s="31" t="e">
        <f>INDEX(TBL_PIPED_IMPORTERS_CONNECTIONS[PipedImporterConnectionID],$A317)</f>
        <v>#REF!</v>
      </c>
      <c r="X317" s="31" t="e">
        <f>"PipedImporterTariffVar_"&amp;RIGHT($W317,11)</f>
        <v>#REF!</v>
      </c>
    </row>
    <row r="318" spans="1:24" x14ac:dyDescent="0.25">
      <c r="A318" s="94">
        <f t="shared" ref="A318" si="422">$A314+1</f>
        <v>79</v>
      </c>
      <c r="B318" s="117" t="str">
        <f>IFERROR(INDEX(TBL_PIPED_IMPORTERS_CONNECTIONS[Name],$A318),"")</f>
        <v/>
      </c>
      <c r="C318" s="93" t="str">
        <f t="shared" ref="C318:D318" si="423">IF($B318&lt;&gt;"",C314,"")</f>
        <v/>
      </c>
      <c r="D318" s="93" t="str">
        <f t="shared" si="423"/>
        <v/>
      </c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5"/>
      <c r="W318" s="31" t="e">
        <f>INDEX(TBL_PIPED_IMPORTERS_CONNECTIONS[PipedImporterConnectionID],$A318)</f>
        <v>#REF!</v>
      </c>
      <c r="X318" s="31" t="e">
        <f>"PipedImporterCapMin_"&amp;RIGHT($W318,11)</f>
        <v>#REF!</v>
      </c>
    </row>
    <row r="319" spans="1:24" x14ac:dyDescent="0.25">
      <c r="A319" s="94">
        <f t="shared" ref="A319:A337" si="424">$A318</f>
        <v>79</v>
      </c>
      <c r="B319" s="118"/>
      <c r="C319" s="93" t="str">
        <f t="shared" ref="C319:D319" si="425">IF($B318&lt;&gt;"",C315,"")</f>
        <v/>
      </c>
      <c r="D319" s="93" t="str">
        <f t="shared" si="425"/>
        <v/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6"/>
      <c r="W319" s="31" t="e">
        <f>INDEX(TBL_PIPED_IMPORTERS_CONNECTIONS[PipedImporterConnectionID],$A319)</f>
        <v>#REF!</v>
      </c>
      <c r="X319" s="31" t="e">
        <f>"PipedImporterCapMax_"&amp;RIGHT($W319,11)</f>
        <v>#REF!</v>
      </c>
    </row>
    <row r="320" spans="1:24" x14ac:dyDescent="0.25">
      <c r="A320" s="94">
        <f t="shared" si="424"/>
        <v>79</v>
      </c>
      <c r="B320" s="118"/>
      <c r="C320" s="93" t="str">
        <f t="shared" ref="C320:D320" si="426">IF($B318&lt;&gt;"",C316,"")</f>
        <v/>
      </c>
      <c r="D320" s="93" t="str">
        <f t="shared" si="426"/>
        <v/>
      </c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5"/>
      <c r="W320" s="31" t="e">
        <f>INDEX(TBL_PIPED_IMPORTERS_CONNECTIONS[PipedImporterConnectionID],$A320)</f>
        <v>#REF!</v>
      </c>
      <c r="X320" s="31" t="e">
        <f>"PipedImporterTariffFixed_"&amp;RIGHT($W320,11)</f>
        <v>#REF!</v>
      </c>
    </row>
    <row r="321" spans="1:24" x14ac:dyDescent="0.25">
      <c r="A321" s="94">
        <f t="shared" si="424"/>
        <v>79</v>
      </c>
      <c r="B321" s="119"/>
      <c r="C321" s="93" t="str">
        <f t="shared" ref="C321:D321" si="427">IF($B318&lt;&gt;"",C317,"")</f>
        <v/>
      </c>
      <c r="D321" s="93" t="str">
        <f t="shared" si="427"/>
        <v/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6"/>
      <c r="W321" s="31" t="e">
        <f>INDEX(TBL_PIPED_IMPORTERS_CONNECTIONS[PipedImporterConnectionID],$A321)</f>
        <v>#REF!</v>
      </c>
      <c r="X321" s="31" t="e">
        <f>"PipedImporterTariffVar_"&amp;RIGHT($W321,11)</f>
        <v>#REF!</v>
      </c>
    </row>
    <row r="322" spans="1:24" x14ac:dyDescent="0.25">
      <c r="A322" s="94">
        <f t="shared" ref="A322" si="428">$A318+1</f>
        <v>80</v>
      </c>
      <c r="B322" s="117" t="str">
        <f>IFERROR(INDEX(TBL_PIPED_IMPORTERS_CONNECTIONS[Name],$A322),"")</f>
        <v/>
      </c>
      <c r="C322" s="93" t="str">
        <f t="shared" ref="C322:D322" si="429">IF($B322&lt;&gt;"",C318,"")</f>
        <v/>
      </c>
      <c r="D322" s="93" t="str">
        <f t="shared" si="429"/>
        <v/>
      </c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5"/>
      <c r="W322" s="31" t="e">
        <f>INDEX(TBL_PIPED_IMPORTERS_CONNECTIONS[PipedImporterConnectionID],$A322)</f>
        <v>#REF!</v>
      </c>
      <c r="X322" s="31" t="e">
        <f>"PipedImporterCapMin_"&amp;RIGHT($W322,11)</f>
        <v>#REF!</v>
      </c>
    </row>
    <row r="323" spans="1:24" x14ac:dyDescent="0.25">
      <c r="A323" s="94">
        <f t="shared" si="424"/>
        <v>80</v>
      </c>
      <c r="B323" s="118"/>
      <c r="C323" s="93" t="str">
        <f t="shared" ref="C323:D323" si="430">IF($B322&lt;&gt;"",C319,"")</f>
        <v/>
      </c>
      <c r="D323" s="93" t="str">
        <f t="shared" si="430"/>
        <v/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6"/>
      <c r="W323" s="31" t="e">
        <f>INDEX(TBL_PIPED_IMPORTERS_CONNECTIONS[PipedImporterConnectionID],$A323)</f>
        <v>#REF!</v>
      </c>
      <c r="X323" s="31" t="e">
        <f>"PipedImporterCapMax_"&amp;RIGHT($W323,11)</f>
        <v>#REF!</v>
      </c>
    </row>
    <row r="324" spans="1:24" x14ac:dyDescent="0.25">
      <c r="A324" s="94">
        <f t="shared" si="424"/>
        <v>80</v>
      </c>
      <c r="B324" s="118"/>
      <c r="C324" s="93" t="str">
        <f t="shared" ref="C324:D324" si="431">IF($B322&lt;&gt;"",C320,"")</f>
        <v/>
      </c>
      <c r="D324" s="93" t="str">
        <f t="shared" si="431"/>
        <v/>
      </c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5"/>
      <c r="W324" s="31" t="e">
        <f>INDEX(TBL_PIPED_IMPORTERS_CONNECTIONS[PipedImporterConnectionID],$A324)</f>
        <v>#REF!</v>
      </c>
      <c r="X324" s="31" t="e">
        <f>"PipedImporterTariffFixed_"&amp;RIGHT($W324,11)</f>
        <v>#REF!</v>
      </c>
    </row>
    <row r="325" spans="1:24" x14ac:dyDescent="0.25">
      <c r="A325" s="94">
        <f t="shared" si="424"/>
        <v>80</v>
      </c>
      <c r="B325" s="119"/>
      <c r="C325" s="93" t="str">
        <f t="shared" ref="C325:D325" si="432">IF($B322&lt;&gt;"",C321,"")</f>
        <v/>
      </c>
      <c r="D325" s="93" t="str">
        <f t="shared" si="432"/>
        <v/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6"/>
      <c r="W325" s="31" t="e">
        <f>INDEX(TBL_PIPED_IMPORTERS_CONNECTIONS[PipedImporterConnectionID],$A325)</f>
        <v>#REF!</v>
      </c>
      <c r="X325" s="31" t="e">
        <f>"PipedImporterTariffVar_"&amp;RIGHT($W325,11)</f>
        <v>#REF!</v>
      </c>
    </row>
    <row r="326" spans="1:24" x14ac:dyDescent="0.25">
      <c r="A326" s="94">
        <f t="shared" ref="A326" si="433">$A322+1</f>
        <v>81</v>
      </c>
      <c r="B326" s="117" t="str">
        <f>IFERROR(INDEX(TBL_PIPED_IMPORTERS_CONNECTIONS[Name],$A326),"")</f>
        <v/>
      </c>
      <c r="C326" s="93" t="str">
        <f t="shared" ref="C326:D326" si="434">IF($B326&lt;&gt;"",C322,"")</f>
        <v/>
      </c>
      <c r="D326" s="93" t="str">
        <f t="shared" si="434"/>
        <v/>
      </c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5"/>
      <c r="W326" s="31" t="e">
        <f>INDEX(TBL_PIPED_IMPORTERS_CONNECTIONS[PipedImporterConnectionID],$A326)</f>
        <v>#REF!</v>
      </c>
      <c r="X326" s="31" t="e">
        <f>"PipedImporterCapMin_"&amp;RIGHT($W326,11)</f>
        <v>#REF!</v>
      </c>
    </row>
    <row r="327" spans="1:24" x14ac:dyDescent="0.25">
      <c r="A327" s="94">
        <f t="shared" si="424"/>
        <v>81</v>
      </c>
      <c r="B327" s="118"/>
      <c r="C327" s="93" t="str">
        <f t="shared" ref="C327:D327" si="435">IF($B326&lt;&gt;"",C323,"")</f>
        <v/>
      </c>
      <c r="D327" s="93" t="str">
        <f t="shared" si="435"/>
        <v/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6"/>
      <c r="W327" s="31" t="e">
        <f>INDEX(TBL_PIPED_IMPORTERS_CONNECTIONS[PipedImporterConnectionID],$A327)</f>
        <v>#REF!</v>
      </c>
      <c r="X327" s="31" t="e">
        <f>"PipedImporterCapMax_"&amp;RIGHT($W327,11)</f>
        <v>#REF!</v>
      </c>
    </row>
    <row r="328" spans="1:24" x14ac:dyDescent="0.25">
      <c r="A328" s="94">
        <f t="shared" si="424"/>
        <v>81</v>
      </c>
      <c r="B328" s="118"/>
      <c r="C328" s="93" t="str">
        <f t="shared" ref="C328:D328" si="436">IF($B326&lt;&gt;"",C324,"")</f>
        <v/>
      </c>
      <c r="D328" s="93" t="str">
        <f t="shared" si="436"/>
        <v/>
      </c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5"/>
      <c r="W328" s="31" t="e">
        <f>INDEX(TBL_PIPED_IMPORTERS_CONNECTIONS[PipedImporterConnectionID],$A328)</f>
        <v>#REF!</v>
      </c>
      <c r="X328" s="31" t="e">
        <f>"PipedImporterTariffFixed_"&amp;RIGHT($W328,11)</f>
        <v>#REF!</v>
      </c>
    </row>
    <row r="329" spans="1:24" x14ac:dyDescent="0.25">
      <c r="A329" s="94">
        <f t="shared" si="424"/>
        <v>81</v>
      </c>
      <c r="B329" s="119"/>
      <c r="C329" s="93" t="str">
        <f t="shared" ref="C329:D329" si="437">IF($B326&lt;&gt;"",C325,"")</f>
        <v/>
      </c>
      <c r="D329" s="93" t="str">
        <f t="shared" si="437"/>
        <v/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6"/>
      <c r="W329" s="31" t="e">
        <f>INDEX(TBL_PIPED_IMPORTERS_CONNECTIONS[PipedImporterConnectionID],$A329)</f>
        <v>#REF!</v>
      </c>
      <c r="X329" s="31" t="e">
        <f>"PipedImporterTariffVar_"&amp;RIGHT($W329,11)</f>
        <v>#REF!</v>
      </c>
    </row>
    <row r="330" spans="1:24" x14ac:dyDescent="0.25">
      <c r="A330" s="94">
        <f t="shared" ref="A330" si="438">$A326+1</f>
        <v>82</v>
      </c>
      <c r="B330" s="117" t="str">
        <f>IFERROR(INDEX(TBL_PIPED_IMPORTERS_CONNECTIONS[Name],$A330),"")</f>
        <v/>
      </c>
      <c r="C330" s="93" t="str">
        <f t="shared" ref="C330:D330" si="439">IF($B330&lt;&gt;"",C326,"")</f>
        <v/>
      </c>
      <c r="D330" s="93" t="str">
        <f t="shared" si="439"/>
        <v/>
      </c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5"/>
      <c r="W330" s="31" t="e">
        <f>INDEX(TBL_PIPED_IMPORTERS_CONNECTIONS[PipedImporterConnectionID],$A330)</f>
        <v>#REF!</v>
      </c>
      <c r="X330" s="31" t="e">
        <f>"PipedImporterCapMin_"&amp;RIGHT($W330,11)</f>
        <v>#REF!</v>
      </c>
    </row>
    <row r="331" spans="1:24" x14ac:dyDescent="0.25">
      <c r="A331" s="94">
        <f t="shared" si="424"/>
        <v>82</v>
      </c>
      <c r="B331" s="118"/>
      <c r="C331" s="93" t="str">
        <f t="shared" ref="C331:D331" si="440">IF($B330&lt;&gt;"",C327,"")</f>
        <v/>
      </c>
      <c r="D331" s="93" t="str">
        <f t="shared" si="440"/>
        <v/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6"/>
      <c r="W331" s="31" t="e">
        <f>INDEX(TBL_PIPED_IMPORTERS_CONNECTIONS[PipedImporterConnectionID],$A331)</f>
        <v>#REF!</v>
      </c>
      <c r="X331" s="31" t="e">
        <f>"PipedImporterCapMax_"&amp;RIGHT($W331,11)</f>
        <v>#REF!</v>
      </c>
    </row>
    <row r="332" spans="1:24" x14ac:dyDescent="0.25">
      <c r="A332" s="94">
        <f t="shared" si="424"/>
        <v>82</v>
      </c>
      <c r="B332" s="118"/>
      <c r="C332" s="93" t="str">
        <f t="shared" ref="C332:D332" si="441">IF($B330&lt;&gt;"",C328,"")</f>
        <v/>
      </c>
      <c r="D332" s="93" t="str">
        <f t="shared" si="441"/>
        <v/>
      </c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5"/>
      <c r="W332" s="31" t="e">
        <f>INDEX(TBL_PIPED_IMPORTERS_CONNECTIONS[PipedImporterConnectionID],$A332)</f>
        <v>#REF!</v>
      </c>
      <c r="X332" s="31" t="e">
        <f>"PipedImporterTariffFixed_"&amp;RIGHT($W332,11)</f>
        <v>#REF!</v>
      </c>
    </row>
    <row r="333" spans="1:24" x14ac:dyDescent="0.25">
      <c r="A333" s="94">
        <f t="shared" si="424"/>
        <v>82</v>
      </c>
      <c r="B333" s="119"/>
      <c r="C333" s="93" t="str">
        <f t="shared" ref="C333:D333" si="442">IF($B330&lt;&gt;"",C329,"")</f>
        <v/>
      </c>
      <c r="D333" s="93" t="str">
        <f t="shared" si="442"/>
        <v/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6"/>
      <c r="W333" s="31" t="e">
        <f>INDEX(TBL_PIPED_IMPORTERS_CONNECTIONS[PipedImporterConnectionID],$A333)</f>
        <v>#REF!</v>
      </c>
      <c r="X333" s="31" t="e">
        <f>"PipedImporterTariffVar_"&amp;RIGHT($W333,11)</f>
        <v>#REF!</v>
      </c>
    </row>
    <row r="334" spans="1:24" x14ac:dyDescent="0.25">
      <c r="A334" s="94">
        <f t="shared" ref="A334" si="443">$A330+1</f>
        <v>83</v>
      </c>
      <c r="B334" s="117" t="str">
        <f>IFERROR(INDEX(TBL_PIPED_IMPORTERS_CONNECTIONS[Name],$A334),"")</f>
        <v/>
      </c>
      <c r="C334" s="93" t="str">
        <f t="shared" ref="C334:D334" si="444">IF($B334&lt;&gt;"",C330,"")</f>
        <v/>
      </c>
      <c r="D334" s="93" t="str">
        <f t="shared" si="444"/>
        <v/>
      </c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5"/>
      <c r="W334" s="31" t="e">
        <f>INDEX(TBL_PIPED_IMPORTERS_CONNECTIONS[PipedImporterConnectionID],$A334)</f>
        <v>#REF!</v>
      </c>
      <c r="X334" s="31" t="e">
        <f>"PipedImporterCapMin_"&amp;RIGHT($W334,11)</f>
        <v>#REF!</v>
      </c>
    </row>
    <row r="335" spans="1:24" x14ac:dyDescent="0.25">
      <c r="A335" s="94">
        <f t="shared" si="424"/>
        <v>83</v>
      </c>
      <c r="B335" s="118"/>
      <c r="C335" s="93" t="str">
        <f t="shared" ref="C335:D335" si="445">IF($B334&lt;&gt;"",C331,"")</f>
        <v/>
      </c>
      <c r="D335" s="93" t="str">
        <f t="shared" si="445"/>
        <v/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6"/>
      <c r="W335" s="31" t="e">
        <f>INDEX(TBL_PIPED_IMPORTERS_CONNECTIONS[PipedImporterConnectionID],$A335)</f>
        <v>#REF!</v>
      </c>
      <c r="X335" s="31" t="e">
        <f>"PipedImporterCapMax_"&amp;RIGHT($W335,11)</f>
        <v>#REF!</v>
      </c>
    </row>
    <row r="336" spans="1:24" x14ac:dyDescent="0.25">
      <c r="A336" s="94">
        <f t="shared" si="424"/>
        <v>83</v>
      </c>
      <c r="B336" s="118"/>
      <c r="C336" s="93" t="str">
        <f t="shared" ref="C336:D336" si="446">IF($B334&lt;&gt;"",C332,"")</f>
        <v/>
      </c>
      <c r="D336" s="93" t="str">
        <f t="shared" si="446"/>
        <v/>
      </c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5"/>
      <c r="W336" s="31" t="e">
        <f>INDEX(TBL_PIPED_IMPORTERS_CONNECTIONS[PipedImporterConnectionID],$A336)</f>
        <v>#REF!</v>
      </c>
      <c r="X336" s="31" t="e">
        <f>"PipedImporterTariffFixed_"&amp;RIGHT($W336,11)</f>
        <v>#REF!</v>
      </c>
    </row>
    <row r="337" spans="1:24" x14ac:dyDescent="0.25">
      <c r="A337" s="94">
        <f t="shared" si="424"/>
        <v>83</v>
      </c>
      <c r="B337" s="119"/>
      <c r="C337" s="93" t="str">
        <f t="shared" ref="C337:D337" si="447">IF($B334&lt;&gt;"",C333,"")</f>
        <v/>
      </c>
      <c r="D337" s="93" t="str">
        <f t="shared" si="447"/>
        <v/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6"/>
      <c r="W337" s="31" t="e">
        <f>INDEX(TBL_PIPED_IMPORTERS_CONNECTIONS[PipedImporterConnectionID],$A337)</f>
        <v>#REF!</v>
      </c>
      <c r="X337" s="31" t="e">
        <f>"PipedImporterTariffVar_"&amp;RIGHT($W337,11)</f>
        <v>#REF!</v>
      </c>
    </row>
    <row r="338" spans="1:24" x14ac:dyDescent="0.25">
      <c r="A338" s="94">
        <f t="shared" ref="A338" si="448">$A334+1</f>
        <v>84</v>
      </c>
      <c r="B338" s="117" t="str">
        <f>IFERROR(INDEX(TBL_PIPED_IMPORTERS_CONNECTIONS[Name],$A338),"")</f>
        <v/>
      </c>
      <c r="C338" s="93" t="str">
        <f t="shared" ref="C338:D338" si="449">IF($B338&lt;&gt;"",C334,"")</f>
        <v/>
      </c>
      <c r="D338" s="93" t="str">
        <f t="shared" si="449"/>
        <v/>
      </c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5"/>
      <c r="W338" s="31" t="e">
        <f>INDEX(TBL_PIPED_IMPORTERS_CONNECTIONS[PipedImporterConnectionID],$A338)</f>
        <v>#REF!</v>
      </c>
      <c r="X338" s="31" t="e">
        <f>"PipedImporterCapMin_"&amp;RIGHT($W338,11)</f>
        <v>#REF!</v>
      </c>
    </row>
    <row r="339" spans="1:24" x14ac:dyDescent="0.25">
      <c r="A339" s="94">
        <f t="shared" ref="A339:A341" si="450">$A338</f>
        <v>84</v>
      </c>
      <c r="B339" s="118"/>
      <c r="C339" s="93" t="str">
        <f t="shared" ref="C339:D339" si="451">IF($B338&lt;&gt;"",C335,"")</f>
        <v/>
      </c>
      <c r="D339" s="93" t="str">
        <f t="shared" si="451"/>
        <v/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6"/>
      <c r="W339" s="31" t="e">
        <f>INDEX(TBL_PIPED_IMPORTERS_CONNECTIONS[PipedImporterConnectionID],$A339)</f>
        <v>#REF!</v>
      </c>
      <c r="X339" s="31" t="e">
        <f>"PipedImporterCapMax_"&amp;RIGHT($W339,11)</f>
        <v>#REF!</v>
      </c>
    </row>
    <row r="340" spans="1:24" x14ac:dyDescent="0.25">
      <c r="A340" s="94">
        <f t="shared" si="450"/>
        <v>84</v>
      </c>
      <c r="B340" s="118"/>
      <c r="C340" s="93" t="str">
        <f t="shared" ref="C340:D340" si="452">IF($B338&lt;&gt;"",C336,"")</f>
        <v/>
      </c>
      <c r="D340" s="93" t="str">
        <f t="shared" si="452"/>
        <v/>
      </c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5"/>
      <c r="W340" s="31" t="e">
        <f>INDEX(TBL_PIPED_IMPORTERS_CONNECTIONS[PipedImporterConnectionID],$A340)</f>
        <v>#REF!</v>
      </c>
      <c r="X340" s="31" t="e">
        <f>"PipedImporterTariffFixed_"&amp;RIGHT($W340,11)</f>
        <v>#REF!</v>
      </c>
    </row>
    <row r="341" spans="1:24" x14ac:dyDescent="0.25">
      <c r="A341" s="94">
        <f t="shared" si="450"/>
        <v>84</v>
      </c>
      <c r="B341" s="119"/>
      <c r="C341" s="93" t="str">
        <f t="shared" ref="C341:D341" si="453">IF($B338&lt;&gt;"",C337,"")</f>
        <v/>
      </c>
      <c r="D341" s="93" t="str">
        <f t="shared" si="453"/>
        <v/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6"/>
      <c r="W341" s="31" t="e">
        <f>INDEX(TBL_PIPED_IMPORTERS_CONNECTIONS[PipedImporterConnectionID],$A341)</f>
        <v>#REF!</v>
      </c>
      <c r="X341" s="31" t="e">
        <f>"PipedImporterTariffVar_"&amp;RIGHT($W341,11)</f>
        <v>#REF!</v>
      </c>
    </row>
    <row r="342" spans="1:24" x14ac:dyDescent="0.25">
      <c r="A342" s="94">
        <f t="shared" ref="A342" si="454">$A338+1</f>
        <v>85</v>
      </c>
      <c r="B342" s="117" t="str">
        <f>IFERROR(INDEX(TBL_PIPED_IMPORTERS_CONNECTIONS[Name],$A342),"")</f>
        <v/>
      </c>
      <c r="C342" s="93" t="str">
        <f t="shared" ref="C342:D342" si="455">IF($B342&lt;&gt;"",C338,"")</f>
        <v/>
      </c>
      <c r="D342" s="93" t="str">
        <f t="shared" si="455"/>
        <v/>
      </c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5"/>
      <c r="W342" s="31" t="e">
        <f>INDEX(TBL_PIPED_IMPORTERS_CONNECTIONS[PipedImporterConnectionID],$A342)</f>
        <v>#REF!</v>
      </c>
      <c r="X342" s="31" t="e">
        <f>"PipedImporterCapMin_"&amp;RIGHT($W342,11)</f>
        <v>#REF!</v>
      </c>
    </row>
    <row r="343" spans="1:24" x14ac:dyDescent="0.25">
      <c r="A343" s="94">
        <f t="shared" ref="A343:A345" si="456">$A342</f>
        <v>85</v>
      </c>
      <c r="B343" s="118"/>
      <c r="C343" s="93" t="str">
        <f t="shared" ref="C343:D343" si="457">IF($B342&lt;&gt;"",C339,"")</f>
        <v/>
      </c>
      <c r="D343" s="93" t="str">
        <f t="shared" si="457"/>
        <v/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6"/>
      <c r="W343" s="31" t="e">
        <f>INDEX(TBL_PIPED_IMPORTERS_CONNECTIONS[PipedImporterConnectionID],$A343)</f>
        <v>#REF!</v>
      </c>
      <c r="X343" s="31" t="e">
        <f>"PipedImporterCapMax_"&amp;RIGHT($W343,11)</f>
        <v>#REF!</v>
      </c>
    </row>
    <row r="344" spans="1:24" x14ac:dyDescent="0.25">
      <c r="A344" s="94">
        <f t="shared" si="456"/>
        <v>85</v>
      </c>
      <c r="B344" s="118"/>
      <c r="C344" s="93" t="str">
        <f t="shared" ref="C344:D344" si="458">IF($B342&lt;&gt;"",C340,"")</f>
        <v/>
      </c>
      <c r="D344" s="93" t="str">
        <f t="shared" si="458"/>
        <v/>
      </c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5"/>
      <c r="W344" s="31" t="e">
        <f>INDEX(TBL_PIPED_IMPORTERS_CONNECTIONS[PipedImporterConnectionID],$A344)</f>
        <v>#REF!</v>
      </c>
      <c r="X344" s="31" t="e">
        <f>"PipedImporterTariffFixed_"&amp;RIGHT($W344,11)</f>
        <v>#REF!</v>
      </c>
    </row>
    <row r="345" spans="1:24" x14ac:dyDescent="0.25">
      <c r="A345" s="94">
        <f t="shared" si="456"/>
        <v>85</v>
      </c>
      <c r="B345" s="119"/>
      <c r="C345" s="93" t="str">
        <f t="shared" ref="C345:D345" si="459">IF($B342&lt;&gt;"",C341,"")</f>
        <v/>
      </c>
      <c r="D345" s="93" t="str">
        <f t="shared" si="459"/>
        <v/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6"/>
      <c r="W345" s="31" t="e">
        <f>INDEX(TBL_PIPED_IMPORTERS_CONNECTIONS[PipedImporterConnectionID],$A345)</f>
        <v>#REF!</v>
      </c>
      <c r="X345" s="31" t="e">
        <f>"PipedImporterTariffVar_"&amp;RIGHT($W345,11)</f>
        <v>#REF!</v>
      </c>
    </row>
    <row r="346" spans="1:24" x14ac:dyDescent="0.25">
      <c r="A346" s="94">
        <f t="shared" ref="A346" si="460">$A342+1</f>
        <v>86</v>
      </c>
      <c r="B346" s="117" t="str">
        <f>IFERROR(INDEX(TBL_PIPED_IMPORTERS_CONNECTIONS[Name],$A346),"")</f>
        <v/>
      </c>
      <c r="C346" s="93" t="str">
        <f t="shared" ref="C346:D346" si="461">IF($B346&lt;&gt;"",C342,"")</f>
        <v/>
      </c>
      <c r="D346" s="93" t="str">
        <f t="shared" si="461"/>
        <v/>
      </c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5"/>
      <c r="W346" s="31" t="e">
        <f>INDEX(TBL_PIPED_IMPORTERS_CONNECTIONS[PipedImporterConnectionID],$A346)</f>
        <v>#REF!</v>
      </c>
      <c r="X346" s="31" t="e">
        <f>"PipedImporterCapMin_"&amp;RIGHT($W346,11)</f>
        <v>#REF!</v>
      </c>
    </row>
    <row r="347" spans="1:24" x14ac:dyDescent="0.25">
      <c r="A347" s="94">
        <f t="shared" ref="A347:A365" si="462">$A346</f>
        <v>86</v>
      </c>
      <c r="B347" s="118"/>
      <c r="C347" s="93" t="str">
        <f t="shared" ref="C347:D347" si="463">IF($B346&lt;&gt;"",C343,"")</f>
        <v/>
      </c>
      <c r="D347" s="93" t="str">
        <f t="shared" si="463"/>
        <v/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6"/>
      <c r="W347" s="31" t="e">
        <f>INDEX(TBL_PIPED_IMPORTERS_CONNECTIONS[PipedImporterConnectionID],$A347)</f>
        <v>#REF!</v>
      </c>
      <c r="X347" s="31" t="e">
        <f>"PipedImporterCapMax_"&amp;RIGHT($W347,11)</f>
        <v>#REF!</v>
      </c>
    </row>
    <row r="348" spans="1:24" x14ac:dyDescent="0.25">
      <c r="A348" s="94">
        <f t="shared" si="462"/>
        <v>86</v>
      </c>
      <c r="B348" s="118"/>
      <c r="C348" s="93" t="str">
        <f t="shared" ref="C348:D348" si="464">IF($B346&lt;&gt;"",C344,"")</f>
        <v/>
      </c>
      <c r="D348" s="93" t="str">
        <f t="shared" si="464"/>
        <v/>
      </c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5"/>
      <c r="W348" s="31" t="e">
        <f>INDEX(TBL_PIPED_IMPORTERS_CONNECTIONS[PipedImporterConnectionID],$A348)</f>
        <v>#REF!</v>
      </c>
      <c r="X348" s="31" t="e">
        <f>"PipedImporterTariffFixed_"&amp;RIGHT($W348,11)</f>
        <v>#REF!</v>
      </c>
    </row>
    <row r="349" spans="1:24" x14ac:dyDescent="0.25">
      <c r="A349" s="94">
        <f t="shared" si="462"/>
        <v>86</v>
      </c>
      <c r="B349" s="119"/>
      <c r="C349" s="93" t="str">
        <f t="shared" ref="C349:D349" si="465">IF($B346&lt;&gt;"",C345,"")</f>
        <v/>
      </c>
      <c r="D349" s="93" t="str">
        <f t="shared" si="465"/>
        <v/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6"/>
      <c r="W349" s="31" t="e">
        <f>INDEX(TBL_PIPED_IMPORTERS_CONNECTIONS[PipedImporterConnectionID],$A349)</f>
        <v>#REF!</v>
      </c>
      <c r="X349" s="31" t="e">
        <f>"PipedImporterTariffVar_"&amp;RIGHT($W349,11)</f>
        <v>#REF!</v>
      </c>
    </row>
    <row r="350" spans="1:24" x14ac:dyDescent="0.25">
      <c r="A350" s="94">
        <f t="shared" ref="A350" si="466">$A346+1</f>
        <v>87</v>
      </c>
      <c r="B350" s="117" t="str">
        <f>IFERROR(INDEX(TBL_PIPED_IMPORTERS_CONNECTIONS[Name],$A350),"")</f>
        <v/>
      </c>
      <c r="C350" s="93" t="str">
        <f t="shared" ref="C350:D350" si="467">IF($B350&lt;&gt;"",C346,"")</f>
        <v/>
      </c>
      <c r="D350" s="93" t="str">
        <f t="shared" si="467"/>
        <v/>
      </c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5"/>
      <c r="W350" s="31" t="e">
        <f>INDEX(TBL_PIPED_IMPORTERS_CONNECTIONS[PipedImporterConnectionID],$A350)</f>
        <v>#REF!</v>
      </c>
      <c r="X350" s="31" t="e">
        <f>"PipedImporterCapMin_"&amp;RIGHT($W350,11)</f>
        <v>#REF!</v>
      </c>
    </row>
    <row r="351" spans="1:24" x14ac:dyDescent="0.25">
      <c r="A351" s="94">
        <f t="shared" si="462"/>
        <v>87</v>
      </c>
      <c r="B351" s="118"/>
      <c r="C351" s="93" t="str">
        <f t="shared" ref="C351:D351" si="468">IF($B350&lt;&gt;"",C347,"")</f>
        <v/>
      </c>
      <c r="D351" s="93" t="str">
        <f t="shared" si="468"/>
        <v/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6"/>
      <c r="W351" s="31" t="e">
        <f>INDEX(TBL_PIPED_IMPORTERS_CONNECTIONS[PipedImporterConnectionID],$A351)</f>
        <v>#REF!</v>
      </c>
      <c r="X351" s="31" t="e">
        <f>"PipedImporterCapMax_"&amp;RIGHT($W351,11)</f>
        <v>#REF!</v>
      </c>
    </row>
    <row r="352" spans="1:24" x14ac:dyDescent="0.25">
      <c r="A352" s="94">
        <f t="shared" si="462"/>
        <v>87</v>
      </c>
      <c r="B352" s="118"/>
      <c r="C352" s="93" t="str">
        <f t="shared" ref="C352:D352" si="469">IF($B350&lt;&gt;"",C348,"")</f>
        <v/>
      </c>
      <c r="D352" s="93" t="str">
        <f t="shared" si="469"/>
        <v/>
      </c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5"/>
      <c r="W352" s="31" t="e">
        <f>INDEX(TBL_PIPED_IMPORTERS_CONNECTIONS[PipedImporterConnectionID],$A352)</f>
        <v>#REF!</v>
      </c>
      <c r="X352" s="31" t="e">
        <f>"PipedImporterTariffFixed_"&amp;RIGHT($W352,11)</f>
        <v>#REF!</v>
      </c>
    </row>
    <row r="353" spans="1:24" x14ac:dyDescent="0.25">
      <c r="A353" s="94">
        <f t="shared" si="462"/>
        <v>87</v>
      </c>
      <c r="B353" s="119"/>
      <c r="C353" s="93" t="str">
        <f t="shared" ref="C353:D353" si="470">IF($B350&lt;&gt;"",C349,"")</f>
        <v/>
      </c>
      <c r="D353" s="93" t="str">
        <f t="shared" si="470"/>
        <v/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6"/>
      <c r="W353" s="31" t="e">
        <f>INDEX(TBL_PIPED_IMPORTERS_CONNECTIONS[PipedImporterConnectionID],$A353)</f>
        <v>#REF!</v>
      </c>
      <c r="X353" s="31" t="e">
        <f>"PipedImporterTariffVar_"&amp;RIGHT($W353,11)</f>
        <v>#REF!</v>
      </c>
    </row>
    <row r="354" spans="1:24" x14ac:dyDescent="0.25">
      <c r="A354" s="94">
        <f t="shared" ref="A354" si="471">$A350+1</f>
        <v>88</v>
      </c>
      <c r="B354" s="117" t="str">
        <f>IFERROR(INDEX(TBL_PIPED_IMPORTERS_CONNECTIONS[Name],$A354),"")</f>
        <v/>
      </c>
      <c r="C354" s="93" t="str">
        <f t="shared" ref="C354:D354" si="472">IF($B354&lt;&gt;"",C350,"")</f>
        <v/>
      </c>
      <c r="D354" s="93" t="str">
        <f t="shared" si="472"/>
        <v/>
      </c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5"/>
      <c r="W354" s="31" t="e">
        <f>INDEX(TBL_PIPED_IMPORTERS_CONNECTIONS[PipedImporterConnectionID],$A354)</f>
        <v>#REF!</v>
      </c>
      <c r="X354" s="31" t="e">
        <f>"PipedImporterCapMin_"&amp;RIGHT($W354,11)</f>
        <v>#REF!</v>
      </c>
    </row>
    <row r="355" spans="1:24" x14ac:dyDescent="0.25">
      <c r="A355" s="94">
        <f t="shared" si="462"/>
        <v>88</v>
      </c>
      <c r="B355" s="118"/>
      <c r="C355" s="93" t="str">
        <f t="shared" ref="C355:D355" si="473">IF($B354&lt;&gt;"",C351,"")</f>
        <v/>
      </c>
      <c r="D355" s="93" t="str">
        <f t="shared" si="473"/>
        <v/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6"/>
      <c r="W355" s="31" t="e">
        <f>INDEX(TBL_PIPED_IMPORTERS_CONNECTIONS[PipedImporterConnectionID],$A355)</f>
        <v>#REF!</v>
      </c>
      <c r="X355" s="31" t="e">
        <f>"PipedImporterCapMax_"&amp;RIGHT($W355,11)</f>
        <v>#REF!</v>
      </c>
    </row>
    <row r="356" spans="1:24" x14ac:dyDescent="0.25">
      <c r="A356" s="94">
        <f t="shared" si="462"/>
        <v>88</v>
      </c>
      <c r="B356" s="118"/>
      <c r="C356" s="93" t="str">
        <f t="shared" ref="C356:D356" si="474">IF($B354&lt;&gt;"",C352,"")</f>
        <v/>
      </c>
      <c r="D356" s="93" t="str">
        <f t="shared" si="474"/>
        <v/>
      </c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5"/>
      <c r="W356" s="31" t="e">
        <f>INDEX(TBL_PIPED_IMPORTERS_CONNECTIONS[PipedImporterConnectionID],$A356)</f>
        <v>#REF!</v>
      </c>
      <c r="X356" s="31" t="e">
        <f>"PipedImporterTariffFixed_"&amp;RIGHT($W356,11)</f>
        <v>#REF!</v>
      </c>
    </row>
    <row r="357" spans="1:24" x14ac:dyDescent="0.25">
      <c r="A357" s="94">
        <f t="shared" si="462"/>
        <v>88</v>
      </c>
      <c r="B357" s="119"/>
      <c r="C357" s="93" t="str">
        <f t="shared" ref="C357:D357" si="475">IF($B354&lt;&gt;"",C353,"")</f>
        <v/>
      </c>
      <c r="D357" s="93" t="str">
        <f t="shared" si="475"/>
        <v/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6"/>
      <c r="W357" s="31" t="e">
        <f>INDEX(TBL_PIPED_IMPORTERS_CONNECTIONS[PipedImporterConnectionID],$A357)</f>
        <v>#REF!</v>
      </c>
      <c r="X357" s="31" t="e">
        <f>"PipedImporterTariffVar_"&amp;RIGHT($W357,11)</f>
        <v>#REF!</v>
      </c>
    </row>
    <row r="358" spans="1:24" x14ac:dyDescent="0.25">
      <c r="A358" s="94">
        <f t="shared" ref="A358" si="476">$A354+1</f>
        <v>89</v>
      </c>
      <c r="B358" s="117" t="str">
        <f>IFERROR(INDEX(TBL_PIPED_IMPORTERS_CONNECTIONS[Name],$A358),"")</f>
        <v/>
      </c>
      <c r="C358" s="93" t="str">
        <f t="shared" ref="C358:D358" si="477">IF($B358&lt;&gt;"",C354,"")</f>
        <v/>
      </c>
      <c r="D358" s="93" t="str">
        <f t="shared" si="477"/>
        <v/>
      </c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5"/>
      <c r="W358" s="31" t="e">
        <f>INDEX(TBL_PIPED_IMPORTERS_CONNECTIONS[PipedImporterConnectionID],$A358)</f>
        <v>#REF!</v>
      </c>
      <c r="X358" s="31" t="e">
        <f>"PipedImporterCapMin_"&amp;RIGHT($W358,11)</f>
        <v>#REF!</v>
      </c>
    </row>
    <row r="359" spans="1:24" x14ac:dyDescent="0.25">
      <c r="A359" s="94">
        <f t="shared" si="462"/>
        <v>89</v>
      </c>
      <c r="B359" s="118"/>
      <c r="C359" s="93" t="str">
        <f t="shared" ref="C359:D359" si="478">IF($B358&lt;&gt;"",C355,"")</f>
        <v/>
      </c>
      <c r="D359" s="93" t="str">
        <f t="shared" si="478"/>
        <v/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6"/>
      <c r="W359" s="31" t="e">
        <f>INDEX(TBL_PIPED_IMPORTERS_CONNECTIONS[PipedImporterConnectionID],$A359)</f>
        <v>#REF!</v>
      </c>
      <c r="X359" s="31" t="e">
        <f>"PipedImporterCapMax_"&amp;RIGHT($W359,11)</f>
        <v>#REF!</v>
      </c>
    </row>
    <row r="360" spans="1:24" x14ac:dyDescent="0.25">
      <c r="A360" s="94">
        <f t="shared" si="462"/>
        <v>89</v>
      </c>
      <c r="B360" s="118"/>
      <c r="C360" s="93" t="str">
        <f t="shared" ref="C360:D360" si="479">IF($B358&lt;&gt;"",C356,"")</f>
        <v/>
      </c>
      <c r="D360" s="93" t="str">
        <f t="shared" si="479"/>
        <v/>
      </c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5"/>
      <c r="W360" s="31" t="e">
        <f>INDEX(TBL_PIPED_IMPORTERS_CONNECTIONS[PipedImporterConnectionID],$A360)</f>
        <v>#REF!</v>
      </c>
      <c r="X360" s="31" t="e">
        <f>"PipedImporterTariffFixed_"&amp;RIGHT($W360,11)</f>
        <v>#REF!</v>
      </c>
    </row>
    <row r="361" spans="1:24" x14ac:dyDescent="0.25">
      <c r="A361" s="94">
        <f t="shared" si="462"/>
        <v>89</v>
      </c>
      <c r="B361" s="119"/>
      <c r="C361" s="93" t="str">
        <f t="shared" ref="C361:D361" si="480">IF($B358&lt;&gt;"",C357,"")</f>
        <v/>
      </c>
      <c r="D361" s="93" t="str">
        <f t="shared" si="480"/>
        <v/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6"/>
      <c r="W361" s="31" t="e">
        <f>INDEX(TBL_PIPED_IMPORTERS_CONNECTIONS[PipedImporterConnectionID],$A361)</f>
        <v>#REF!</v>
      </c>
      <c r="X361" s="31" t="e">
        <f>"PipedImporterTariffVar_"&amp;RIGHT($W361,11)</f>
        <v>#REF!</v>
      </c>
    </row>
    <row r="362" spans="1:24" x14ac:dyDescent="0.25">
      <c r="A362" s="94">
        <f t="shared" ref="A362" si="481">$A358+1</f>
        <v>90</v>
      </c>
      <c r="B362" s="117" t="str">
        <f>IFERROR(INDEX(TBL_PIPED_IMPORTERS_CONNECTIONS[Name],$A362),"")</f>
        <v/>
      </c>
      <c r="C362" s="93" t="str">
        <f t="shared" ref="C362:D362" si="482">IF($B362&lt;&gt;"",C358,"")</f>
        <v/>
      </c>
      <c r="D362" s="93" t="str">
        <f t="shared" si="482"/>
        <v/>
      </c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5"/>
      <c r="W362" s="31" t="e">
        <f>INDEX(TBL_PIPED_IMPORTERS_CONNECTIONS[PipedImporterConnectionID],$A362)</f>
        <v>#REF!</v>
      </c>
      <c r="X362" s="31" t="e">
        <f>"PipedImporterCapMin_"&amp;RIGHT($W362,11)</f>
        <v>#REF!</v>
      </c>
    </row>
    <row r="363" spans="1:24" x14ac:dyDescent="0.25">
      <c r="A363" s="94">
        <f t="shared" si="462"/>
        <v>90</v>
      </c>
      <c r="B363" s="118"/>
      <c r="C363" s="93" t="str">
        <f t="shared" ref="C363:D363" si="483">IF($B362&lt;&gt;"",C359,"")</f>
        <v/>
      </c>
      <c r="D363" s="93" t="str">
        <f t="shared" si="483"/>
        <v/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6"/>
      <c r="W363" s="31" t="e">
        <f>INDEX(TBL_PIPED_IMPORTERS_CONNECTIONS[PipedImporterConnectionID],$A363)</f>
        <v>#REF!</v>
      </c>
      <c r="X363" s="31" t="e">
        <f>"PipedImporterCapMax_"&amp;RIGHT($W363,11)</f>
        <v>#REF!</v>
      </c>
    </row>
    <row r="364" spans="1:24" x14ac:dyDescent="0.25">
      <c r="A364" s="94">
        <f t="shared" si="462"/>
        <v>90</v>
      </c>
      <c r="B364" s="118"/>
      <c r="C364" s="93" t="str">
        <f t="shared" ref="C364:D364" si="484">IF($B362&lt;&gt;"",C360,"")</f>
        <v/>
      </c>
      <c r="D364" s="93" t="str">
        <f t="shared" si="484"/>
        <v/>
      </c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5"/>
      <c r="W364" s="31" t="e">
        <f>INDEX(TBL_PIPED_IMPORTERS_CONNECTIONS[PipedImporterConnectionID],$A364)</f>
        <v>#REF!</v>
      </c>
      <c r="X364" s="31" t="e">
        <f>"PipedImporterTariffFixed_"&amp;RIGHT($W364,11)</f>
        <v>#REF!</v>
      </c>
    </row>
    <row r="365" spans="1:24" x14ac:dyDescent="0.25">
      <c r="A365" s="94">
        <f t="shared" si="462"/>
        <v>90</v>
      </c>
      <c r="B365" s="119"/>
      <c r="C365" s="93" t="str">
        <f t="shared" ref="C365:D365" si="485">IF($B362&lt;&gt;"",C361,"")</f>
        <v/>
      </c>
      <c r="D365" s="93" t="str">
        <f t="shared" si="485"/>
        <v/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6"/>
      <c r="W365" s="31" t="e">
        <f>INDEX(TBL_PIPED_IMPORTERS_CONNECTIONS[PipedImporterConnectionID],$A365)</f>
        <v>#REF!</v>
      </c>
      <c r="X365" s="31" t="e">
        <f>"PipedImporterTariffVar_"&amp;RIGHT($W365,11)</f>
        <v>#REF!</v>
      </c>
    </row>
    <row r="366" spans="1:24" x14ac:dyDescent="0.25">
      <c r="A366" s="94">
        <f t="shared" ref="A366" si="486">$A362+1</f>
        <v>91</v>
      </c>
      <c r="B366" s="117" t="str">
        <f>IFERROR(INDEX(TBL_PIPED_IMPORTERS_CONNECTIONS[Name],$A366),"")</f>
        <v/>
      </c>
      <c r="C366" s="93" t="str">
        <f t="shared" ref="C366:D366" si="487">IF($B366&lt;&gt;"",C362,"")</f>
        <v/>
      </c>
      <c r="D366" s="93" t="str">
        <f t="shared" si="487"/>
        <v/>
      </c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5"/>
      <c r="W366" s="31" t="e">
        <f>INDEX(TBL_PIPED_IMPORTERS_CONNECTIONS[PipedImporterConnectionID],$A366)</f>
        <v>#REF!</v>
      </c>
      <c r="X366" s="31" t="e">
        <f>"PipedImporterCapMin_"&amp;RIGHT($W366,11)</f>
        <v>#REF!</v>
      </c>
    </row>
    <row r="367" spans="1:24" x14ac:dyDescent="0.25">
      <c r="A367" s="94">
        <f t="shared" ref="A367:A369" si="488">$A366</f>
        <v>91</v>
      </c>
      <c r="B367" s="118"/>
      <c r="C367" s="93" t="str">
        <f t="shared" ref="C367:D367" si="489">IF($B366&lt;&gt;"",C363,"")</f>
        <v/>
      </c>
      <c r="D367" s="93" t="str">
        <f t="shared" si="489"/>
        <v/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6"/>
      <c r="W367" s="31" t="e">
        <f>INDEX(TBL_PIPED_IMPORTERS_CONNECTIONS[PipedImporterConnectionID],$A367)</f>
        <v>#REF!</v>
      </c>
      <c r="X367" s="31" t="e">
        <f>"PipedImporterCapMax_"&amp;RIGHT($W367,11)</f>
        <v>#REF!</v>
      </c>
    </row>
    <row r="368" spans="1:24" x14ac:dyDescent="0.25">
      <c r="A368" s="94">
        <f t="shared" si="488"/>
        <v>91</v>
      </c>
      <c r="B368" s="118"/>
      <c r="C368" s="93" t="str">
        <f t="shared" ref="C368:D368" si="490">IF($B366&lt;&gt;"",C364,"")</f>
        <v/>
      </c>
      <c r="D368" s="93" t="str">
        <f t="shared" si="490"/>
        <v/>
      </c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5"/>
      <c r="W368" s="31" t="e">
        <f>INDEX(TBL_PIPED_IMPORTERS_CONNECTIONS[PipedImporterConnectionID],$A368)</f>
        <v>#REF!</v>
      </c>
      <c r="X368" s="31" t="e">
        <f>"PipedImporterTariffFixed_"&amp;RIGHT($W368,11)</f>
        <v>#REF!</v>
      </c>
    </row>
    <row r="369" spans="1:24" x14ac:dyDescent="0.25">
      <c r="A369" s="94">
        <f t="shared" si="488"/>
        <v>91</v>
      </c>
      <c r="B369" s="119"/>
      <c r="C369" s="93" t="str">
        <f t="shared" ref="C369:D369" si="491">IF($B366&lt;&gt;"",C365,"")</f>
        <v/>
      </c>
      <c r="D369" s="93" t="str">
        <f t="shared" si="491"/>
        <v/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6"/>
      <c r="W369" s="31" t="e">
        <f>INDEX(TBL_PIPED_IMPORTERS_CONNECTIONS[PipedImporterConnectionID],$A369)</f>
        <v>#REF!</v>
      </c>
      <c r="X369" s="31" t="e">
        <f>"PipedImporterTariffVar_"&amp;RIGHT($W369,11)</f>
        <v>#REF!</v>
      </c>
    </row>
    <row r="370" spans="1:24" x14ac:dyDescent="0.25">
      <c r="A370" s="94">
        <f t="shared" ref="A370" si="492">$A366+1</f>
        <v>92</v>
      </c>
      <c r="B370" s="117" t="str">
        <f>IFERROR(INDEX(TBL_PIPED_IMPORTERS_CONNECTIONS[Name],$A370),"")</f>
        <v/>
      </c>
      <c r="C370" s="93" t="str">
        <f t="shared" ref="C370:D370" si="493">IF($B370&lt;&gt;"",C366,"")</f>
        <v/>
      </c>
      <c r="D370" s="93" t="str">
        <f t="shared" si="493"/>
        <v/>
      </c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5"/>
      <c r="W370" s="31" t="e">
        <f>INDEX(TBL_PIPED_IMPORTERS_CONNECTIONS[PipedImporterConnectionID],$A370)</f>
        <v>#REF!</v>
      </c>
      <c r="X370" s="31" t="e">
        <f>"PipedImporterCapMin_"&amp;RIGHT($W370,11)</f>
        <v>#REF!</v>
      </c>
    </row>
    <row r="371" spans="1:24" x14ac:dyDescent="0.25">
      <c r="A371" s="94">
        <f t="shared" ref="A371:A373" si="494">$A370</f>
        <v>92</v>
      </c>
      <c r="B371" s="118"/>
      <c r="C371" s="93" t="str">
        <f t="shared" ref="C371:D371" si="495">IF($B370&lt;&gt;"",C367,"")</f>
        <v/>
      </c>
      <c r="D371" s="93" t="str">
        <f t="shared" si="495"/>
        <v/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6"/>
      <c r="W371" s="31" t="e">
        <f>INDEX(TBL_PIPED_IMPORTERS_CONNECTIONS[PipedImporterConnectionID],$A371)</f>
        <v>#REF!</v>
      </c>
      <c r="X371" s="31" t="e">
        <f>"PipedImporterCapMax_"&amp;RIGHT($W371,11)</f>
        <v>#REF!</v>
      </c>
    </row>
    <row r="372" spans="1:24" x14ac:dyDescent="0.25">
      <c r="A372" s="94">
        <f t="shared" si="494"/>
        <v>92</v>
      </c>
      <c r="B372" s="118"/>
      <c r="C372" s="93" t="str">
        <f t="shared" ref="C372:D372" si="496">IF($B370&lt;&gt;"",C368,"")</f>
        <v/>
      </c>
      <c r="D372" s="93" t="str">
        <f t="shared" si="496"/>
        <v/>
      </c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5"/>
      <c r="W372" s="31" t="e">
        <f>INDEX(TBL_PIPED_IMPORTERS_CONNECTIONS[PipedImporterConnectionID],$A372)</f>
        <v>#REF!</v>
      </c>
      <c r="X372" s="31" t="e">
        <f>"PipedImporterTariffFixed_"&amp;RIGHT($W372,11)</f>
        <v>#REF!</v>
      </c>
    </row>
    <row r="373" spans="1:24" x14ac:dyDescent="0.25">
      <c r="A373" s="94">
        <f t="shared" si="494"/>
        <v>92</v>
      </c>
      <c r="B373" s="119"/>
      <c r="C373" s="93" t="str">
        <f t="shared" ref="C373:D373" si="497">IF($B370&lt;&gt;"",C369,"")</f>
        <v/>
      </c>
      <c r="D373" s="93" t="str">
        <f t="shared" si="497"/>
        <v/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6"/>
      <c r="W373" s="31" t="e">
        <f>INDEX(TBL_PIPED_IMPORTERS_CONNECTIONS[PipedImporterConnectionID],$A373)</f>
        <v>#REF!</v>
      </c>
      <c r="X373" s="31" t="e">
        <f>"PipedImporterTariffVar_"&amp;RIGHT($W373,11)</f>
        <v>#REF!</v>
      </c>
    </row>
    <row r="374" spans="1:24" x14ac:dyDescent="0.25">
      <c r="A374" s="94">
        <f t="shared" ref="A374" si="498">$A370+1</f>
        <v>93</v>
      </c>
      <c r="B374" s="117" t="str">
        <f>IFERROR(INDEX(TBL_PIPED_IMPORTERS_CONNECTIONS[Name],$A374),"")</f>
        <v/>
      </c>
      <c r="C374" s="93" t="str">
        <f t="shared" ref="C374:D374" si="499">IF($B374&lt;&gt;"",C370,"")</f>
        <v/>
      </c>
      <c r="D374" s="93" t="str">
        <f t="shared" si="499"/>
        <v/>
      </c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5"/>
      <c r="W374" s="31" t="e">
        <f>INDEX(TBL_PIPED_IMPORTERS_CONNECTIONS[PipedImporterConnectionID],$A374)</f>
        <v>#REF!</v>
      </c>
      <c r="X374" s="31" t="e">
        <f>"PipedImporterCapMin_"&amp;RIGHT($W374,11)</f>
        <v>#REF!</v>
      </c>
    </row>
    <row r="375" spans="1:24" x14ac:dyDescent="0.25">
      <c r="A375" s="94">
        <f t="shared" ref="A375:A393" si="500">$A374</f>
        <v>93</v>
      </c>
      <c r="B375" s="118"/>
      <c r="C375" s="93" t="str">
        <f t="shared" ref="C375:D375" si="501">IF($B374&lt;&gt;"",C371,"")</f>
        <v/>
      </c>
      <c r="D375" s="93" t="str">
        <f t="shared" si="501"/>
        <v/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6"/>
      <c r="W375" s="31" t="e">
        <f>INDEX(TBL_PIPED_IMPORTERS_CONNECTIONS[PipedImporterConnectionID],$A375)</f>
        <v>#REF!</v>
      </c>
      <c r="X375" s="31" t="e">
        <f>"PipedImporterCapMax_"&amp;RIGHT($W375,11)</f>
        <v>#REF!</v>
      </c>
    </row>
    <row r="376" spans="1:24" x14ac:dyDescent="0.25">
      <c r="A376" s="94">
        <f t="shared" si="500"/>
        <v>93</v>
      </c>
      <c r="B376" s="118"/>
      <c r="C376" s="93" t="str">
        <f t="shared" ref="C376:D376" si="502">IF($B374&lt;&gt;"",C372,"")</f>
        <v/>
      </c>
      <c r="D376" s="93" t="str">
        <f t="shared" si="502"/>
        <v/>
      </c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5"/>
      <c r="W376" s="31" t="e">
        <f>INDEX(TBL_PIPED_IMPORTERS_CONNECTIONS[PipedImporterConnectionID],$A376)</f>
        <v>#REF!</v>
      </c>
      <c r="X376" s="31" t="e">
        <f>"PipedImporterTariffFixed_"&amp;RIGHT($W376,11)</f>
        <v>#REF!</v>
      </c>
    </row>
    <row r="377" spans="1:24" x14ac:dyDescent="0.25">
      <c r="A377" s="94">
        <f t="shared" si="500"/>
        <v>93</v>
      </c>
      <c r="B377" s="119"/>
      <c r="C377" s="93" t="str">
        <f t="shared" ref="C377:D377" si="503">IF($B374&lt;&gt;"",C373,"")</f>
        <v/>
      </c>
      <c r="D377" s="93" t="str">
        <f t="shared" si="503"/>
        <v/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6"/>
      <c r="W377" s="31" t="e">
        <f>INDEX(TBL_PIPED_IMPORTERS_CONNECTIONS[PipedImporterConnectionID],$A377)</f>
        <v>#REF!</v>
      </c>
      <c r="X377" s="31" t="e">
        <f>"PipedImporterTariffVar_"&amp;RIGHT($W377,11)</f>
        <v>#REF!</v>
      </c>
    </row>
    <row r="378" spans="1:24" x14ac:dyDescent="0.25">
      <c r="A378" s="94">
        <f t="shared" ref="A378" si="504">$A374+1</f>
        <v>94</v>
      </c>
      <c r="B378" s="117" t="str">
        <f>IFERROR(INDEX(TBL_PIPED_IMPORTERS_CONNECTIONS[Name],$A378),"")</f>
        <v/>
      </c>
      <c r="C378" s="93" t="str">
        <f t="shared" ref="C378:D378" si="505">IF($B378&lt;&gt;"",C374,"")</f>
        <v/>
      </c>
      <c r="D378" s="93" t="str">
        <f t="shared" si="505"/>
        <v/>
      </c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5"/>
      <c r="W378" s="31" t="e">
        <f>INDEX(TBL_PIPED_IMPORTERS_CONNECTIONS[PipedImporterConnectionID],$A378)</f>
        <v>#REF!</v>
      </c>
      <c r="X378" s="31" t="e">
        <f>"PipedImporterCapMin_"&amp;RIGHT($W378,11)</f>
        <v>#REF!</v>
      </c>
    </row>
    <row r="379" spans="1:24" x14ac:dyDescent="0.25">
      <c r="A379" s="94">
        <f t="shared" si="500"/>
        <v>94</v>
      </c>
      <c r="B379" s="118"/>
      <c r="C379" s="93" t="str">
        <f t="shared" ref="C379:D379" si="506">IF($B378&lt;&gt;"",C375,"")</f>
        <v/>
      </c>
      <c r="D379" s="93" t="str">
        <f t="shared" si="506"/>
        <v/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6"/>
      <c r="W379" s="31" t="e">
        <f>INDEX(TBL_PIPED_IMPORTERS_CONNECTIONS[PipedImporterConnectionID],$A379)</f>
        <v>#REF!</v>
      </c>
      <c r="X379" s="31" t="e">
        <f>"PipedImporterCapMax_"&amp;RIGHT($W379,11)</f>
        <v>#REF!</v>
      </c>
    </row>
    <row r="380" spans="1:24" x14ac:dyDescent="0.25">
      <c r="A380" s="94">
        <f t="shared" si="500"/>
        <v>94</v>
      </c>
      <c r="B380" s="118"/>
      <c r="C380" s="93" t="str">
        <f t="shared" ref="C380:D380" si="507">IF($B378&lt;&gt;"",C376,"")</f>
        <v/>
      </c>
      <c r="D380" s="93" t="str">
        <f t="shared" si="507"/>
        <v/>
      </c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5"/>
      <c r="W380" s="31" t="e">
        <f>INDEX(TBL_PIPED_IMPORTERS_CONNECTIONS[PipedImporterConnectionID],$A380)</f>
        <v>#REF!</v>
      </c>
      <c r="X380" s="31" t="e">
        <f>"PipedImporterTariffFixed_"&amp;RIGHT($W380,11)</f>
        <v>#REF!</v>
      </c>
    </row>
    <row r="381" spans="1:24" x14ac:dyDescent="0.25">
      <c r="A381" s="94">
        <f t="shared" si="500"/>
        <v>94</v>
      </c>
      <c r="B381" s="119"/>
      <c r="C381" s="93" t="str">
        <f t="shared" ref="C381:D381" si="508">IF($B378&lt;&gt;"",C377,"")</f>
        <v/>
      </c>
      <c r="D381" s="93" t="str">
        <f t="shared" si="508"/>
        <v/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6"/>
      <c r="W381" s="31" t="e">
        <f>INDEX(TBL_PIPED_IMPORTERS_CONNECTIONS[PipedImporterConnectionID],$A381)</f>
        <v>#REF!</v>
      </c>
      <c r="X381" s="31" t="e">
        <f>"PipedImporterTariffVar_"&amp;RIGHT($W381,11)</f>
        <v>#REF!</v>
      </c>
    </row>
    <row r="382" spans="1:24" x14ac:dyDescent="0.25">
      <c r="A382" s="94">
        <f t="shared" ref="A382" si="509">$A378+1</f>
        <v>95</v>
      </c>
      <c r="B382" s="117" t="str">
        <f>IFERROR(INDEX(TBL_PIPED_IMPORTERS_CONNECTIONS[Name],$A382),"")</f>
        <v/>
      </c>
      <c r="C382" s="93" t="str">
        <f t="shared" ref="C382:D382" si="510">IF($B382&lt;&gt;"",C378,"")</f>
        <v/>
      </c>
      <c r="D382" s="93" t="str">
        <f t="shared" si="510"/>
        <v/>
      </c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5"/>
      <c r="W382" s="31" t="e">
        <f>INDEX(TBL_PIPED_IMPORTERS_CONNECTIONS[PipedImporterConnectionID],$A382)</f>
        <v>#REF!</v>
      </c>
      <c r="X382" s="31" t="e">
        <f>"PipedImporterCapMin_"&amp;RIGHT($W382,11)</f>
        <v>#REF!</v>
      </c>
    </row>
    <row r="383" spans="1:24" x14ac:dyDescent="0.25">
      <c r="A383" s="94">
        <f t="shared" si="500"/>
        <v>95</v>
      </c>
      <c r="B383" s="118"/>
      <c r="C383" s="93" t="str">
        <f t="shared" ref="C383:D383" si="511">IF($B382&lt;&gt;"",C379,"")</f>
        <v/>
      </c>
      <c r="D383" s="93" t="str">
        <f t="shared" si="511"/>
        <v/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6"/>
      <c r="W383" s="31" t="e">
        <f>INDEX(TBL_PIPED_IMPORTERS_CONNECTIONS[PipedImporterConnectionID],$A383)</f>
        <v>#REF!</v>
      </c>
      <c r="X383" s="31" t="e">
        <f>"PipedImporterCapMax_"&amp;RIGHT($W383,11)</f>
        <v>#REF!</v>
      </c>
    </row>
    <row r="384" spans="1:24" x14ac:dyDescent="0.25">
      <c r="A384" s="94">
        <f t="shared" si="500"/>
        <v>95</v>
      </c>
      <c r="B384" s="118"/>
      <c r="C384" s="93" t="str">
        <f t="shared" ref="C384:D384" si="512">IF($B382&lt;&gt;"",C380,"")</f>
        <v/>
      </c>
      <c r="D384" s="93" t="str">
        <f t="shared" si="512"/>
        <v/>
      </c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5"/>
      <c r="W384" s="31" t="e">
        <f>INDEX(TBL_PIPED_IMPORTERS_CONNECTIONS[PipedImporterConnectionID],$A384)</f>
        <v>#REF!</v>
      </c>
      <c r="X384" s="31" t="e">
        <f>"PipedImporterTariffFixed_"&amp;RIGHT($W384,11)</f>
        <v>#REF!</v>
      </c>
    </row>
    <row r="385" spans="1:24" x14ac:dyDescent="0.25">
      <c r="A385" s="94">
        <f t="shared" si="500"/>
        <v>95</v>
      </c>
      <c r="B385" s="119"/>
      <c r="C385" s="93" t="str">
        <f t="shared" ref="C385:D385" si="513">IF($B382&lt;&gt;"",C381,"")</f>
        <v/>
      </c>
      <c r="D385" s="93" t="str">
        <f t="shared" si="513"/>
        <v/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6"/>
      <c r="W385" s="31" t="e">
        <f>INDEX(TBL_PIPED_IMPORTERS_CONNECTIONS[PipedImporterConnectionID],$A385)</f>
        <v>#REF!</v>
      </c>
      <c r="X385" s="31" t="e">
        <f>"PipedImporterTariffVar_"&amp;RIGHT($W385,11)</f>
        <v>#REF!</v>
      </c>
    </row>
    <row r="386" spans="1:24" x14ac:dyDescent="0.25">
      <c r="A386" s="94">
        <f t="shared" ref="A386" si="514">$A382+1</f>
        <v>96</v>
      </c>
      <c r="B386" s="117" t="str">
        <f>IFERROR(INDEX(TBL_PIPED_IMPORTERS_CONNECTIONS[Name],$A386),"")</f>
        <v/>
      </c>
      <c r="C386" s="93" t="str">
        <f t="shared" ref="C386:D386" si="515">IF($B386&lt;&gt;"",C382,"")</f>
        <v/>
      </c>
      <c r="D386" s="93" t="str">
        <f t="shared" si="515"/>
        <v/>
      </c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5"/>
      <c r="W386" s="31" t="e">
        <f>INDEX(TBL_PIPED_IMPORTERS_CONNECTIONS[PipedImporterConnectionID],$A386)</f>
        <v>#REF!</v>
      </c>
      <c r="X386" s="31" t="e">
        <f>"PipedImporterCapMin_"&amp;RIGHT($W386,11)</f>
        <v>#REF!</v>
      </c>
    </row>
    <row r="387" spans="1:24" x14ac:dyDescent="0.25">
      <c r="A387" s="94">
        <f t="shared" si="500"/>
        <v>96</v>
      </c>
      <c r="B387" s="118"/>
      <c r="C387" s="93" t="str">
        <f t="shared" ref="C387:D387" si="516">IF($B386&lt;&gt;"",C383,"")</f>
        <v/>
      </c>
      <c r="D387" s="93" t="str">
        <f t="shared" si="516"/>
        <v/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6"/>
      <c r="W387" s="31" t="e">
        <f>INDEX(TBL_PIPED_IMPORTERS_CONNECTIONS[PipedImporterConnectionID],$A387)</f>
        <v>#REF!</v>
      </c>
      <c r="X387" s="31" t="e">
        <f>"PipedImporterCapMax_"&amp;RIGHT($W387,11)</f>
        <v>#REF!</v>
      </c>
    </row>
    <row r="388" spans="1:24" x14ac:dyDescent="0.25">
      <c r="A388" s="94">
        <f t="shared" si="500"/>
        <v>96</v>
      </c>
      <c r="B388" s="118"/>
      <c r="C388" s="93" t="str">
        <f t="shared" ref="C388:D388" si="517">IF($B386&lt;&gt;"",C384,"")</f>
        <v/>
      </c>
      <c r="D388" s="93" t="str">
        <f t="shared" si="517"/>
        <v/>
      </c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5"/>
      <c r="W388" s="31" t="e">
        <f>INDEX(TBL_PIPED_IMPORTERS_CONNECTIONS[PipedImporterConnectionID],$A388)</f>
        <v>#REF!</v>
      </c>
      <c r="X388" s="31" t="e">
        <f>"PipedImporterTariffFixed_"&amp;RIGHT($W388,11)</f>
        <v>#REF!</v>
      </c>
    </row>
    <row r="389" spans="1:24" x14ac:dyDescent="0.25">
      <c r="A389" s="94">
        <f t="shared" si="500"/>
        <v>96</v>
      </c>
      <c r="B389" s="119"/>
      <c r="C389" s="93" t="str">
        <f t="shared" ref="C389:D389" si="518">IF($B386&lt;&gt;"",C385,"")</f>
        <v/>
      </c>
      <c r="D389" s="93" t="str">
        <f t="shared" si="518"/>
        <v/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6"/>
      <c r="W389" s="31" t="e">
        <f>INDEX(TBL_PIPED_IMPORTERS_CONNECTIONS[PipedImporterConnectionID],$A389)</f>
        <v>#REF!</v>
      </c>
      <c r="X389" s="31" t="e">
        <f>"PipedImporterTariffVar_"&amp;RIGHT($W389,11)</f>
        <v>#REF!</v>
      </c>
    </row>
    <row r="390" spans="1:24" x14ac:dyDescent="0.25">
      <c r="A390" s="94">
        <f t="shared" ref="A390" si="519">$A386+1</f>
        <v>97</v>
      </c>
      <c r="B390" s="117" t="str">
        <f>IFERROR(INDEX(TBL_PIPED_IMPORTERS_CONNECTIONS[Name],$A390),"")</f>
        <v/>
      </c>
      <c r="C390" s="93" t="str">
        <f t="shared" ref="C390:D390" si="520">IF($B390&lt;&gt;"",C386,"")</f>
        <v/>
      </c>
      <c r="D390" s="93" t="str">
        <f t="shared" si="520"/>
        <v/>
      </c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5"/>
      <c r="W390" s="31" t="e">
        <f>INDEX(TBL_PIPED_IMPORTERS_CONNECTIONS[PipedImporterConnectionID],$A390)</f>
        <v>#REF!</v>
      </c>
      <c r="X390" s="31" t="e">
        <f>"PipedImporterCapMin_"&amp;RIGHT($W390,11)</f>
        <v>#REF!</v>
      </c>
    </row>
    <row r="391" spans="1:24" x14ac:dyDescent="0.25">
      <c r="A391" s="94">
        <f t="shared" si="500"/>
        <v>97</v>
      </c>
      <c r="B391" s="118"/>
      <c r="C391" s="93" t="str">
        <f t="shared" ref="C391:D391" si="521">IF($B390&lt;&gt;"",C387,"")</f>
        <v/>
      </c>
      <c r="D391" s="93" t="str">
        <f t="shared" si="521"/>
        <v/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6"/>
      <c r="W391" s="31" t="e">
        <f>INDEX(TBL_PIPED_IMPORTERS_CONNECTIONS[PipedImporterConnectionID],$A391)</f>
        <v>#REF!</v>
      </c>
      <c r="X391" s="31" t="e">
        <f>"PipedImporterCapMax_"&amp;RIGHT($W391,11)</f>
        <v>#REF!</v>
      </c>
    </row>
    <row r="392" spans="1:24" x14ac:dyDescent="0.25">
      <c r="A392" s="94">
        <f t="shared" si="500"/>
        <v>97</v>
      </c>
      <c r="B392" s="118"/>
      <c r="C392" s="93" t="str">
        <f t="shared" ref="C392:D392" si="522">IF($B390&lt;&gt;"",C388,"")</f>
        <v/>
      </c>
      <c r="D392" s="93" t="str">
        <f t="shared" si="522"/>
        <v/>
      </c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5"/>
      <c r="W392" s="31" t="e">
        <f>INDEX(TBL_PIPED_IMPORTERS_CONNECTIONS[PipedImporterConnectionID],$A392)</f>
        <v>#REF!</v>
      </c>
      <c r="X392" s="31" t="e">
        <f>"PipedImporterTariffFixed_"&amp;RIGHT($W392,11)</f>
        <v>#REF!</v>
      </c>
    </row>
    <row r="393" spans="1:24" x14ac:dyDescent="0.25">
      <c r="A393" s="94">
        <f t="shared" si="500"/>
        <v>97</v>
      </c>
      <c r="B393" s="119"/>
      <c r="C393" s="93" t="str">
        <f t="shared" ref="C393:D393" si="523">IF($B390&lt;&gt;"",C389,"")</f>
        <v/>
      </c>
      <c r="D393" s="93" t="str">
        <f t="shared" si="523"/>
        <v/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6"/>
      <c r="W393" s="31" t="e">
        <f>INDEX(TBL_PIPED_IMPORTERS_CONNECTIONS[PipedImporterConnectionID],$A393)</f>
        <v>#REF!</v>
      </c>
      <c r="X393" s="31" t="e">
        <f>"PipedImporterTariffVar_"&amp;RIGHT($W393,11)</f>
        <v>#REF!</v>
      </c>
    </row>
    <row r="394" spans="1:24" x14ac:dyDescent="0.25">
      <c r="A394" s="94">
        <f t="shared" ref="A394" si="524">$A390+1</f>
        <v>98</v>
      </c>
      <c r="B394" s="117" t="str">
        <f>IFERROR(INDEX(TBL_PIPED_IMPORTERS_CONNECTIONS[Name],$A394),"")</f>
        <v/>
      </c>
      <c r="C394" s="93" t="str">
        <f t="shared" ref="C394:D394" si="525">IF($B394&lt;&gt;"",C390,"")</f>
        <v/>
      </c>
      <c r="D394" s="93" t="str">
        <f t="shared" si="525"/>
        <v/>
      </c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5"/>
      <c r="W394" s="31" t="e">
        <f>INDEX(TBL_PIPED_IMPORTERS_CONNECTIONS[PipedImporterConnectionID],$A394)</f>
        <v>#REF!</v>
      </c>
      <c r="X394" s="31" t="e">
        <f>"PipedImporterCapMin_"&amp;RIGHT($W394,11)</f>
        <v>#REF!</v>
      </c>
    </row>
    <row r="395" spans="1:24" x14ac:dyDescent="0.25">
      <c r="A395" s="94">
        <f t="shared" ref="A395:A397" si="526">$A394</f>
        <v>98</v>
      </c>
      <c r="B395" s="118"/>
      <c r="C395" s="93" t="str">
        <f t="shared" ref="C395:D395" si="527">IF($B394&lt;&gt;"",C391,"")</f>
        <v/>
      </c>
      <c r="D395" s="93" t="str">
        <f t="shared" si="527"/>
        <v/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6"/>
      <c r="W395" s="31" t="e">
        <f>INDEX(TBL_PIPED_IMPORTERS_CONNECTIONS[PipedImporterConnectionID],$A395)</f>
        <v>#REF!</v>
      </c>
      <c r="X395" s="31" t="e">
        <f>"PipedImporterCapMax_"&amp;RIGHT($W395,11)</f>
        <v>#REF!</v>
      </c>
    </row>
    <row r="396" spans="1:24" x14ac:dyDescent="0.25">
      <c r="A396" s="94">
        <f t="shared" si="526"/>
        <v>98</v>
      </c>
      <c r="B396" s="118"/>
      <c r="C396" s="93" t="str">
        <f t="shared" ref="C396:D396" si="528">IF($B394&lt;&gt;"",C392,"")</f>
        <v/>
      </c>
      <c r="D396" s="93" t="str">
        <f t="shared" si="528"/>
        <v/>
      </c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5"/>
      <c r="W396" s="31" t="e">
        <f>INDEX(TBL_PIPED_IMPORTERS_CONNECTIONS[PipedImporterConnectionID],$A396)</f>
        <v>#REF!</v>
      </c>
      <c r="X396" s="31" t="e">
        <f>"PipedImporterTariffFixed_"&amp;RIGHT($W396,11)</f>
        <v>#REF!</v>
      </c>
    </row>
    <row r="397" spans="1:24" x14ac:dyDescent="0.25">
      <c r="A397" s="94">
        <f t="shared" si="526"/>
        <v>98</v>
      </c>
      <c r="B397" s="119"/>
      <c r="C397" s="93" t="str">
        <f t="shared" ref="C397:D397" si="529">IF($B394&lt;&gt;"",C393,"")</f>
        <v/>
      </c>
      <c r="D397" s="93" t="str">
        <f t="shared" si="529"/>
        <v/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6"/>
      <c r="W397" s="31" t="e">
        <f>INDEX(TBL_PIPED_IMPORTERS_CONNECTIONS[PipedImporterConnectionID],$A397)</f>
        <v>#REF!</v>
      </c>
      <c r="X397" s="31" t="e">
        <f>"PipedImporterTariffVar_"&amp;RIGHT($W397,11)</f>
        <v>#REF!</v>
      </c>
    </row>
    <row r="398" spans="1:24" x14ac:dyDescent="0.25">
      <c r="A398" s="94">
        <f t="shared" ref="A398" si="530">$A394+1</f>
        <v>99</v>
      </c>
      <c r="B398" s="117" t="str">
        <f>IFERROR(INDEX(TBL_PIPED_IMPORTERS_CONNECTIONS[Name],$A398),"")</f>
        <v/>
      </c>
      <c r="C398" s="93" t="str">
        <f t="shared" ref="C398:D398" si="531">IF($B398&lt;&gt;"",C394,"")</f>
        <v/>
      </c>
      <c r="D398" s="93" t="str">
        <f t="shared" si="531"/>
        <v/>
      </c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5"/>
      <c r="W398" s="31" t="e">
        <f>INDEX(TBL_PIPED_IMPORTERS_CONNECTIONS[PipedImporterConnectionID],$A398)</f>
        <v>#REF!</v>
      </c>
      <c r="X398" s="31" t="e">
        <f>"PipedImporterCapMin_"&amp;RIGHT($W398,11)</f>
        <v>#REF!</v>
      </c>
    </row>
    <row r="399" spans="1:24" x14ac:dyDescent="0.25">
      <c r="A399" s="94">
        <f t="shared" ref="A399:A401" si="532">$A398</f>
        <v>99</v>
      </c>
      <c r="B399" s="118"/>
      <c r="C399" s="93" t="str">
        <f t="shared" ref="C399:D399" si="533">IF($B398&lt;&gt;"",C395,"")</f>
        <v/>
      </c>
      <c r="D399" s="93" t="str">
        <f t="shared" si="533"/>
        <v/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6"/>
      <c r="W399" s="31" t="e">
        <f>INDEX(TBL_PIPED_IMPORTERS_CONNECTIONS[PipedImporterConnectionID],$A399)</f>
        <v>#REF!</v>
      </c>
      <c r="X399" s="31" t="e">
        <f>"PipedImporterCapMax_"&amp;RIGHT($W399,11)</f>
        <v>#REF!</v>
      </c>
    </row>
    <row r="400" spans="1:24" x14ac:dyDescent="0.25">
      <c r="A400" s="94">
        <f t="shared" si="532"/>
        <v>99</v>
      </c>
      <c r="B400" s="118"/>
      <c r="C400" s="93" t="str">
        <f t="shared" ref="C400:D400" si="534">IF($B398&lt;&gt;"",C396,"")</f>
        <v/>
      </c>
      <c r="D400" s="93" t="str">
        <f t="shared" si="534"/>
        <v/>
      </c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5"/>
      <c r="W400" s="31" t="e">
        <f>INDEX(TBL_PIPED_IMPORTERS_CONNECTIONS[PipedImporterConnectionID],$A400)</f>
        <v>#REF!</v>
      </c>
      <c r="X400" s="31" t="e">
        <f>"PipedImporterTariffFixed_"&amp;RIGHT($W400,11)</f>
        <v>#REF!</v>
      </c>
    </row>
    <row r="401" spans="1:24" x14ac:dyDescent="0.25">
      <c r="A401" s="94">
        <f t="shared" si="532"/>
        <v>99</v>
      </c>
      <c r="B401" s="119"/>
      <c r="C401" s="93" t="str">
        <f t="shared" ref="C401:D401" si="535">IF($B398&lt;&gt;"",C397,"")</f>
        <v/>
      </c>
      <c r="D401" s="93" t="str">
        <f t="shared" si="535"/>
        <v/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6"/>
      <c r="W401" s="31" t="e">
        <f>INDEX(TBL_PIPED_IMPORTERS_CONNECTIONS[PipedImporterConnectionID],$A401)</f>
        <v>#REF!</v>
      </c>
      <c r="X401" s="31" t="e">
        <f>"PipedImporterTariffVar_"&amp;RIGHT($W401,11)</f>
        <v>#REF!</v>
      </c>
    </row>
    <row r="402" spans="1:24" x14ac:dyDescent="0.25">
      <c r="A402" s="94">
        <f t="shared" ref="A402" si="536">$A398+1</f>
        <v>100</v>
      </c>
      <c r="B402" s="117" t="str">
        <f>IFERROR(INDEX(TBL_PIPED_IMPORTERS_CONNECTIONS[Name],$A402),"")</f>
        <v/>
      </c>
      <c r="C402" s="93" t="str">
        <f t="shared" ref="C402:D402" si="537">IF($B402&lt;&gt;"",C398,"")</f>
        <v/>
      </c>
      <c r="D402" s="93" t="str">
        <f t="shared" si="537"/>
        <v/>
      </c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5"/>
      <c r="W402" s="31" t="e">
        <f>INDEX(TBL_PIPED_IMPORTERS_CONNECTIONS[PipedImporterConnectionID],$A402)</f>
        <v>#REF!</v>
      </c>
      <c r="X402" s="31" t="e">
        <f>"PipedImporterCapMin_"&amp;RIGHT($W402,11)</f>
        <v>#REF!</v>
      </c>
    </row>
    <row r="403" spans="1:24" x14ac:dyDescent="0.25">
      <c r="A403" s="94">
        <f t="shared" ref="A403:A421" si="538">$A402</f>
        <v>100</v>
      </c>
      <c r="B403" s="118"/>
      <c r="C403" s="93" t="str">
        <f t="shared" ref="C403:D403" si="539">IF($B402&lt;&gt;"",C399,"")</f>
        <v/>
      </c>
      <c r="D403" s="93" t="str">
        <f t="shared" si="539"/>
        <v/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6"/>
      <c r="W403" s="31" t="e">
        <f>INDEX(TBL_PIPED_IMPORTERS_CONNECTIONS[PipedImporterConnectionID],$A403)</f>
        <v>#REF!</v>
      </c>
      <c r="X403" s="31" t="e">
        <f>"PipedImporterCapMax_"&amp;RIGHT($W403,11)</f>
        <v>#REF!</v>
      </c>
    </row>
    <row r="404" spans="1:24" x14ac:dyDescent="0.25">
      <c r="A404" s="94">
        <f t="shared" si="538"/>
        <v>100</v>
      </c>
      <c r="B404" s="118"/>
      <c r="C404" s="93" t="str">
        <f t="shared" ref="C404:D404" si="540">IF($B402&lt;&gt;"",C400,"")</f>
        <v/>
      </c>
      <c r="D404" s="93" t="str">
        <f t="shared" si="540"/>
        <v/>
      </c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5"/>
      <c r="W404" s="31" t="e">
        <f>INDEX(TBL_PIPED_IMPORTERS_CONNECTIONS[PipedImporterConnectionID],$A404)</f>
        <v>#REF!</v>
      </c>
      <c r="X404" s="31" t="e">
        <f>"PipedImporterTariffFixed_"&amp;RIGHT($W404,11)</f>
        <v>#REF!</v>
      </c>
    </row>
    <row r="405" spans="1:24" x14ac:dyDescent="0.25">
      <c r="A405" s="94">
        <f t="shared" si="538"/>
        <v>100</v>
      </c>
      <c r="B405" s="119"/>
      <c r="C405" s="93" t="str">
        <f t="shared" ref="C405:D405" si="541">IF($B402&lt;&gt;"",C401,"")</f>
        <v/>
      </c>
      <c r="D405" s="93" t="str">
        <f t="shared" si="541"/>
        <v/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6"/>
      <c r="W405" s="31" t="e">
        <f>INDEX(TBL_PIPED_IMPORTERS_CONNECTIONS[PipedImporterConnectionID],$A405)</f>
        <v>#REF!</v>
      </c>
      <c r="X405" s="31" t="e">
        <f>"PipedImporterTariffVar_"&amp;RIGHT($W405,11)</f>
        <v>#REF!</v>
      </c>
    </row>
    <row r="406" spans="1:24" x14ac:dyDescent="0.25">
      <c r="A406" s="94">
        <f t="shared" ref="A406" si="542">$A402+1</f>
        <v>101</v>
      </c>
      <c r="B406" s="117" t="str">
        <f>IFERROR(INDEX(TBL_PIPED_IMPORTERS_CONNECTIONS[Name],$A406),"")</f>
        <v/>
      </c>
      <c r="C406" s="93" t="str">
        <f t="shared" ref="C406:D406" si="543">IF($B406&lt;&gt;"",C402,"")</f>
        <v/>
      </c>
      <c r="D406" s="93" t="str">
        <f t="shared" si="543"/>
        <v/>
      </c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5"/>
      <c r="W406" s="31" t="e">
        <f>INDEX(TBL_PIPED_IMPORTERS_CONNECTIONS[PipedImporterConnectionID],$A406)</f>
        <v>#REF!</v>
      </c>
      <c r="X406" s="31" t="e">
        <f>"PipedImporterCapMin_"&amp;RIGHT($W406,11)</f>
        <v>#REF!</v>
      </c>
    </row>
    <row r="407" spans="1:24" x14ac:dyDescent="0.25">
      <c r="A407" s="94">
        <f t="shared" si="538"/>
        <v>101</v>
      </c>
      <c r="B407" s="118"/>
      <c r="C407" s="93" t="str">
        <f t="shared" ref="C407:D407" si="544">IF($B406&lt;&gt;"",C403,"")</f>
        <v/>
      </c>
      <c r="D407" s="93" t="str">
        <f t="shared" si="544"/>
        <v/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6"/>
      <c r="W407" s="31" t="e">
        <f>INDEX(TBL_PIPED_IMPORTERS_CONNECTIONS[PipedImporterConnectionID],$A407)</f>
        <v>#REF!</v>
      </c>
      <c r="X407" s="31" t="e">
        <f>"PipedImporterCapMax_"&amp;RIGHT($W407,11)</f>
        <v>#REF!</v>
      </c>
    </row>
    <row r="408" spans="1:24" x14ac:dyDescent="0.25">
      <c r="A408" s="94">
        <f t="shared" si="538"/>
        <v>101</v>
      </c>
      <c r="B408" s="118"/>
      <c r="C408" s="93" t="str">
        <f t="shared" ref="C408:D408" si="545">IF($B406&lt;&gt;"",C404,"")</f>
        <v/>
      </c>
      <c r="D408" s="93" t="str">
        <f t="shared" si="545"/>
        <v/>
      </c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5"/>
      <c r="W408" s="31" t="e">
        <f>INDEX(TBL_PIPED_IMPORTERS_CONNECTIONS[PipedImporterConnectionID],$A408)</f>
        <v>#REF!</v>
      </c>
      <c r="X408" s="31" t="e">
        <f>"PipedImporterTariffFixed_"&amp;RIGHT($W408,11)</f>
        <v>#REF!</v>
      </c>
    </row>
    <row r="409" spans="1:24" x14ac:dyDescent="0.25">
      <c r="A409" s="94">
        <f t="shared" si="538"/>
        <v>101</v>
      </c>
      <c r="B409" s="119"/>
      <c r="C409" s="93" t="str">
        <f t="shared" ref="C409:D409" si="546">IF($B406&lt;&gt;"",C405,"")</f>
        <v/>
      </c>
      <c r="D409" s="93" t="str">
        <f t="shared" si="546"/>
        <v/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6"/>
      <c r="W409" s="31" t="e">
        <f>INDEX(TBL_PIPED_IMPORTERS_CONNECTIONS[PipedImporterConnectionID],$A409)</f>
        <v>#REF!</v>
      </c>
      <c r="X409" s="31" t="e">
        <f>"PipedImporterTariffVar_"&amp;RIGHT($W409,11)</f>
        <v>#REF!</v>
      </c>
    </row>
    <row r="410" spans="1:24" x14ac:dyDescent="0.25">
      <c r="A410" s="94">
        <f t="shared" ref="A410" si="547">$A406+1</f>
        <v>102</v>
      </c>
      <c r="B410" s="117" t="str">
        <f>IFERROR(INDEX(TBL_PIPED_IMPORTERS_CONNECTIONS[Name],$A410),"")</f>
        <v/>
      </c>
      <c r="C410" s="93" t="str">
        <f t="shared" ref="C410:D410" si="548">IF($B410&lt;&gt;"",C406,"")</f>
        <v/>
      </c>
      <c r="D410" s="93" t="str">
        <f t="shared" si="548"/>
        <v/>
      </c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5"/>
      <c r="W410" s="31" t="e">
        <f>INDEX(TBL_PIPED_IMPORTERS_CONNECTIONS[PipedImporterConnectionID],$A410)</f>
        <v>#REF!</v>
      </c>
      <c r="X410" s="31" t="e">
        <f>"PipedImporterCapMin_"&amp;RIGHT($W410,11)</f>
        <v>#REF!</v>
      </c>
    </row>
    <row r="411" spans="1:24" x14ac:dyDescent="0.25">
      <c r="A411" s="94">
        <f t="shared" si="538"/>
        <v>102</v>
      </c>
      <c r="B411" s="118"/>
      <c r="C411" s="93" t="str">
        <f t="shared" ref="C411:D411" si="549">IF($B410&lt;&gt;"",C407,"")</f>
        <v/>
      </c>
      <c r="D411" s="93" t="str">
        <f t="shared" si="549"/>
        <v/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6"/>
      <c r="W411" s="31" t="e">
        <f>INDEX(TBL_PIPED_IMPORTERS_CONNECTIONS[PipedImporterConnectionID],$A411)</f>
        <v>#REF!</v>
      </c>
      <c r="X411" s="31" t="e">
        <f>"PipedImporterCapMax_"&amp;RIGHT($W411,11)</f>
        <v>#REF!</v>
      </c>
    </row>
    <row r="412" spans="1:24" x14ac:dyDescent="0.25">
      <c r="A412" s="94">
        <f t="shared" si="538"/>
        <v>102</v>
      </c>
      <c r="B412" s="118"/>
      <c r="C412" s="93" t="str">
        <f t="shared" ref="C412:D412" si="550">IF($B410&lt;&gt;"",C408,"")</f>
        <v/>
      </c>
      <c r="D412" s="93" t="str">
        <f t="shared" si="550"/>
        <v/>
      </c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5"/>
      <c r="W412" s="31" t="e">
        <f>INDEX(TBL_PIPED_IMPORTERS_CONNECTIONS[PipedImporterConnectionID],$A412)</f>
        <v>#REF!</v>
      </c>
      <c r="X412" s="31" t="e">
        <f>"PipedImporterTariffFixed_"&amp;RIGHT($W412,11)</f>
        <v>#REF!</v>
      </c>
    </row>
    <row r="413" spans="1:24" x14ac:dyDescent="0.25">
      <c r="A413" s="94">
        <f t="shared" si="538"/>
        <v>102</v>
      </c>
      <c r="B413" s="119"/>
      <c r="C413" s="93" t="str">
        <f t="shared" ref="C413:D413" si="551">IF($B410&lt;&gt;"",C409,"")</f>
        <v/>
      </c>
      <c r="D413" s="93" t="str">
        <f t="shared" si="551"/>
        <v/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6"/>
      <c r="W413" s="31" t="e">
        <f>INDEX(TBL_PIPED_IMPORTERS_CONNECTIONS[PipedImporterConnectionID],$A413)</f>
        <v>#REF!</v>
      </c>
      <c r="X413" s="31" t="e">
        <f>"PipedImporterTariffVar_"&amp;RIGHT($W413,11)</f>
        <v>#REF!</v>
      </c>
    </row>
    <row r="414" spans="1:24" x14ac:dyDescent="0.25">
      <c r="A414" s="94">
        <f t="shared" ref="A414" si="552">$A410+1</f>
        <v>103</v>
      </c>
      <c r="B414" s="117" t="str">
        <f>IFERROR(INDEX(TBL_PIPED_IMPORTERS_CONNECTIONS[Name],$A414),"")</f>
        <v/>
      </c>
      <c r="C414" s="93" t="str">
        <f t="shared" ref="C414:D414" si="553">IF($B414&lt;&gt;"",C410,"")</f>
        <v/>
      </c>
      <c r="D414" s="93" t="str">
        <f t="shared" si="553"/>
        <v/>
      </c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5"/>
      <c r="W414" s="31" t="e">
        <f>INDEX(TBL_PIPED_IMPORTERS_CONNECTIONS[PipedImporterConnectionID],$A414)</f>
        <v>#REF!</v>
      </c>
      <c r="X414" s="31" t="e">
        <f>"PipedImporterCapMin_"&amp;RIGHT($W414,11)</f>
        <v>#REF!</v>
      </c>
    </row>
    <row r="415" spans="1:24" x14ac:dyDescent="0.25">
      <c r="A415" s="94">
        <f t="shared" si="538"/>
        <v>103</v>
      </c>
      <c r="B415" s="118"/>
      <c r="C415" s="93" t="str">
        <f t="shared" ref="C415:D415" si="554">IF($B414&lt;&gt;"",C411,"")</f>
        <v/>
      </c>
      <c r="D415" s="93" t="str">
        <f t="shared" si="554"/>
        <v/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6"/>
      <c r="W415" s="31" t="e">
        <f>INDEX(TBL_PIPED_IMPORTERS_CONNECTIONS[PipedImporterConnectionID],$A415)</f>
        <v>#REF!</v>
      </c>
      <c r="X415" s="31" t="e">
        <f>"PipedImporterCapMax_"&amp;RIGHT($W415,11)</f>
        <v>#REF!</v>
      </c>
    </row>
    <row r="416" spans="1:24" x14ac:dyDescent="0.25">
      <c r="A416" s="94">
        <f t="shared" si="538"/>
        <v>103</v>
      </c>
      <c r="B416" s="118"/>
      <c r="C416" s="93" t="str">
        <f t="shared" ref="C416:D416" si="555">IF($B414&lt;&gt;"",C412,"")</f>
        <v/>
      </c>
      <c r="D416" s="93" t="str">
        <f t="shared" si="555"/>
        <v/>
      </c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5"/>
      <c r="W416" s="31" t="e">
        <f>INDEX(TBL_PIPED_IMPORTERS_CONNECTIONS[PipedImporterConnectionID],$A416)</f>
        <v>#REF!</v>
      </c>
      <c r="X416" s="31" t="e">
        <f>"PipedImporterTariffFixed_"&amp;RIGHT($W416,11)</f>
        <v>#REF!</v>
      </c>
    </row>
    <row r="417" spans="1:24" x14ac:dyDescent="0.25">
      <c r="A417" s="94">
        <f t="shared" si="538"/>
        <v>103</v>
      </c>
      <c r="B417" s="119"/>
      <c r="C417" s="93" t="str">
        <f t="shared" ref="C417:D417" si="556">IF($B414&lt;&gt;"",C413,"")</f>
        <v/>
      </c>
      <c r="D417" s="93" t="str">
        <f t="shared" si="556"/>
        <v/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6"/>
      <c r="W417" s="31" t="e">
        <f>INDEX(TBL_PIPED_IMPORTERS_CONNECTIONS[PipedImporterConnectionID],$A417)</f>
        <v>#REF!</v>
      </c>
      <c r="X417" s="31" t="e">
        <f>"PipedImporterTariffVar_"&amp;RIGHT($W417,11)</f>
        <v>#REF!</v>
      </c>
    </row>
    <row r="418" spans="1:24" x14ac:dyDescent="0.25">
      <c r="A418" s="94">
        <f t="shared" ref="A418" si="557">$A414+1</f>
        <v>104</v>
      </c>
      <c r="B418" s="117" t="str">
        <f>IFERROR(INDEX(TBL_PIPED_IMPORTERS_CONNECTIONS[Name],$A418),"")</f>
        <v/>
      </c>
      <c r="C418" s="93" t="str">
        <f t="shared" ref="C418:D418" si="558">IF($B418&lt;&gt;"",C414,"")</f>
        <v/>
      </c>
      <c r="D418" s="93" t="str">
        <f t="shared" si="558"/>
        <v/>
      </c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5"/>
      <c r="W418" s="31" t="e">
        <f>INDEX(TBL_PIPED_IMPORTERS_CONNECTIONS[PipedImporterConnectionID],$A418)</f>
        <v>#REF!</v>
      </c>
      <c r="X418" s="31" t="e">
        <f>"PipedImporterCapMin_"&amp;RIGHT($W418,11)</f>
        <v>#REF!</v>
      </c>
    </row>
    <row r="419" spans="1:24" x14ac:dyDescent="0.25">
      <c r="A419" s="94">
        <f t="shared" si="538"/>
        <v>104</v>
      </c>
      <c r="B419" s="118"/>
      <c r="C419" s="93" t="str">
        <f t="shared" ref="C419:D419" si="559">IF($B418&lt;&gt;"",C415,"")</f>
        <v/>
      </c>
      <c r="D419" s="93" t="str">
        <f t="shared" si="559"/>
        <v/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6"/>
      <c r="W419" s="31" t="e">
        <f>INDEX(TBL_PIPED_IMPORTERS_CONNECTIONS[PipedImporterConnectionID],$A419)</f>
        <v>#REF!</v>
      </c>
      <c r="X419" s="31" t="e">
        <f>"PipedImporterCapMax_"&amp;RIGHT($W419,11)</f>
        <v>#REF!</v>
      </c>
    </row>
    <row r="420" spans="1:24" x14ac:dyDescent="0.25">
      <c r="A420" s="94">
        <f t="shared" si="538"/>
        <v>104</v>
      </c>
      <c r="B420" s="118"/>
      <c r="C420" s="93" t="str">
        <f t="shared" ref="C420:D420" si="560">IF($B418&lt;&gt;"",C416,"")</f>
        <v/>
      </c>
      <c r="D420" s="93" t="str">
        <f t="shared" si="560"/>
        <v/>
      </c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5"/>
      <c r="W420" s="31" t="e">
        <f>INDEX(TBL_PIPED_IMPORTERS_CONNECTIONS[PipedImporterConnectionID],$A420)</f>
        <v>#REF!</v>
      </c>
      <c r="X420" s="31" t="e">
        <f>"PipedImporterTariffFixed_"&amp;RIGHT($W420,11)</f>
        <v>#REF!</v>
      </c>
    </row>
    <row r="421" spans="1:24" x14ac:dyDescent="0.25">
      <c r="A421" s="94">
        <f t="shared" si="538"/>
        <v>104</v>
      </c>
      <c r="B421" s="119"/>
      <c r="C421" s="93" t="str">
        <f t="shared" ref="C421:D421" si="561">IF($B418&lt;&gt;"",C417,"")</f>
        <v/>
      </c>
      <c r="D421" s="93" t="str">
        <f t="shared" si="561"/>
        <v/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6"/>
      <c r="W421" s="31" t="e">
        <f>INDEX(TBL_PIPED_IMPORTERS_CONNECTIONS[PipedImporterConnectionID],$A421)</f>
        <v>#REF!</v>
      </c>
      <c r="X421" s="31" t="e">
        <f>"PipedImporterTariffVar_"&amp;RIGHT($W421,11)</f>
        <v>#REF!</v>
      </c>
    </row>
    <row r="422" spans="1:24" x14ac:dyDescent="0.25">
      <c r="A422" s="94">
        <f t="shared" ref="A422" si="562">$A418+1</f>
        <v>105</v>
      </c>
      <c r="B422" s="117" t="str">
        <f>IFERROR(INDEX(TBL_PIPED_IMPORTERS_CONNECTIONS[Name],$A422),"")</f>
        <v/>
      </c>
      <c r="C422" s="93" t="str">
        <f t="shared" ref="C422:D422" si="563">IF($B422&lt;&gt;"",C418,"")</f>
        <v/>
      </c>
      <c r="D422" s="93" t="str">
        <f t="shared" si="563"/>
        <v/>
      </c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5"/>
      <c r="W422" s="31" t="e">
        <f>INDEX(TBL_PIPED_IMPORTERS_CONNECTIONS[PipedImporterConnectionID],$A422)</f>
        <v>#REF!</v>
      </c>
      <c r="X422" s="31" t="e">
        <f>"PipedImporterCapMin_"&amp;RIGHT($W422,11)</f>
        <v>#REF!</v>
      </c>
    </row>
    <row r="423" spans="1:24" x14ac:dyDescent="0.25">
      <c r="A423" s="94">
        <f t="shared" ref="A423:A425" si="564">$A422</f>
        <v>105</v>
      </c>
      <c r="B423" s="118"/>
      <c r="C423" s="93" t="str">
        <f t="shared" ref="C423:D423" si="565">IF($B422&lt;&gt;"",C419,"")</f>
        <v/>
      </c>
      <c r="D423" s="93" t="str">
        <f t="shared" si="565"/>
        <v/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6"/>
      <c r="W423" s="31" t="e">
        <f>INDEX(TBL_PIPED_IMPORTERS_CONNECTIONS[PipedImporterConnectionID],$A423)</f>
        <v>#REF!</v>
      </c>
      <c r="X423" s="31" t="e">
        <f>"PipedImporterCapMax_"&amp;RIGHT($W423,11)</f>
        <v>#REF!</v>
      </c>
    </row>
    <row r="424" spans="1:24" x14ac:dyDescent="0.25">
      <c r="A424" s="94">
        <f t="shared" si="564"/>
        <v>105</v>
      </c>
      <c r="B424" s="118"/>
      <c r="C424" s="93" t="str">
        <f t="shared" ref="C424:D424" si="566">IF($B422&lt;&gt;"",C420,"")</f>
        <v/>
      </c>
      <c r="D424" s="93" t="str">
        <f t="shared" si="566"/>
        <v/>
      </c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5"/>
      <c r="W424" s="31" t="e">
        <f>INDEX(TBL_PIPED_IMPORTERS_CONNECTIONS[PipedImporterConnectionID],$A424)</f>
        <v>#REF!</v>
      </c>
      <c r="X424" s="31" t="e">
        <f>"PipedImporterTariffFixed_"&amp;RIGHT($W424,11)</f>
        <v>#REF!</v>
      </c>
    </row>
    <row r="425" spans="1:24" x14ac:dyDescent="0.25">
      <c r="A425" s="94">
        <f t="shared" si="564"/>
        <v>105</v>
      </c>
      <c r="B425" s="119"/>
      <c r="C425" s="93" t="str">
        <f t="shared" ref="C425:D425" si="567">IF($B422&lt;&gt;"",C421,"")</f>
        <v/>
      </c>
      <c r="D425" s="93" t="str">
        <f t="shared" si="567"/>
        <v/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6"/>
      <c r="W425" s="31" t="e">
        <f>INDEX(TBL_PIPED_IMPORTERS_CONNECTIONS[PipedImporterConnectionID],$A425)</f>
        <v>#REF!</v>
      </c>
      <c r="X425" s="31" t="e">
        <f>"PipedImporterTariffVar_"&amp;RIGHT($W425,11)</f>
        <v>#REF!</v>
      </c>
    </row>
    <row r="426" spans="1:24" x14ac:dyDescent="0.25">
      <c r="A426" s="94">
        <f t="shared" ref="A426" si="568">$A422+1</f>
        <v>106</v>
      </c>
      <c r="B426" s="117" t="str">
        <f>IFERROR(INDEX(TBL_PIPED_IMPORTERS_CONNECTIONS[Name],$A426),"")</f>
        <v/>
      </c>
      <c r="C426" s="93" t="str">
        <f t="shared" ref="C426:D426" si="569">IF($B426&lt;&gt;"",C422,"")</f>
        <v/>
      </c>
      <c r="D426" s="93" t="str">
        <f t="shared" si="569"/>
        <v/>
      </c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5"/>
      <c r="W426" s="31" t="e">
        <f>INDEX(TBL_PIPED_IMPORTERS_CONNECTIONS[PipedImporterConnectionID],$A426)</f>
        <v>#REF!</v>
      </c>
      <c r="X426" s="31" t="e">
        <f>"PipedImporterCapMin_"&amp;RIGHT($W426,11)</f>
        <v>#REF!</v>
      </c>
    </row>
    <row r="427" spans="1:24" x14ac:dyDescent="0.25">
      <c r="A427" s="94">
        <f t="shared" ref="A427:A429" si="570">$A426</f>
        <v>106</v>
      </c>
      <c r="B427" s="118"/>
      <c r="C427" s="93" t="str">
        <f t="shared" ref="C427:D427" si="571">IF($B426&lt;&gt;"",C423,"")</f>
        <v/>
      </c>
      <c r="D427" s="93" t="str">
        <f t="shared" si="571"/>
        <v/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6"/>
      <c r="W427" s="31" t="e">
        <f>INDEX(TBL_PIPED_IMPORTERS_CONNECTIONS[PipedImporterConnectionID],$A427)</f>
        <v>#REF!</v>
      </c>
      <c r="X427" s="31" t="e">
        <f>"PipedImporterCapMax_"&amp;RIGHT($W427,11)</f>
        <v>#REF!</v>
      </c>
    </row>
    <row r="428" spans="1:24" x14ac:dyDescent="0.25">
      <c r="A428" s="94">
        <f t="shared" si="570"/>
        <v>106</v>
      </c>
      <c r="B428" s="118"/>
      <c r="C428" s="93" t="str">
        <f t="shared" ref="C428:D428" si="572">IF($B426&lt;&gt;"",C424,"")</f>
        <v/>
      </c>
      <c r="D428" s="93" t="str">
        <f t="shared" si="572"/>
        <v/>
      </c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5"/>
      <c r="W428" s="31" t="e">
        <f>INDEX(TBL_PIPED_IMPORTERS_CONNECTIONS[PipedImporterConnectionID],$A428)</f>
        <v>#REF!</v>
      </c>
      <c r="X428" s="31" t="e">
        <f>"PipedImporterTariffFixed_"&amp;RIGHT($W428,11)</f>
        <v>#REF!</v>
      </c>
    </row>
    <row r="429" spans="1:24" x14ac:dyDescent="0.25">
      <c r="A429" s="94">
        <f t="shared" si="570"/>
        <v>106</v>
      </c>
      <c r="B429" s="119"/>
      <c r="C429" s="93" t="str">
        <f t="shared" ref="C429:D429" si="573">IF($B426&lt;&gt;"",C425,"")</f>
        <v/>
      </c>
      <c r="D429" s="93" t="str">
        <f t="shared" si="573"/>
        <v/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6"/>
      <c r="W429" s="31" t="e">
        <f>INDEX(TBL_PIPED_IMPORTERS_CONNECTIONS[PipedImporterConnectionID],$A429)</f>
        <v>#REF!</v>
      </c>
      <c r="X429" s="31" t="e">
        <f>"PipedImporterTariffVar_"&amp;RIGHT($W429,11)</f>
        <v>#REF!</v>
      </c>
    </row>
    <row r="430" spans="1:24" x14ac:dyDescent="0.25">
      <c r="A430" s="94">
        <f t="shared" ref="A430" si="574">$A426+1</f>
        <v>107</v>
      </c>
      <c r="B430" s="117" t="str">
        <f>IFERROR(INDEX(TBL_PIPED_IMPORTERS_CONNECTIONS[Name],$A430),"")</f>
        <v/>
      </c>
      <c r="C430" s="93" t="str">
        <f t="shared" ref="C430:D430" si="575">IF($B430&lt;&gt;"",C426,"")</f>
        <v/>
      </c>
      <c r="D430" s="93" t="str">
        <f t="shared" si="575"/>
        <v/>
      </c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5"/>
      <c r="W430" s="31" t="e">
        <f>INDEX(TBL_PIPED_IMPORTERS_CONNECTIONS[PipedImporterConnectionID],$A430)</f>
        <v>#REF!</v>
      </c>
      <c r="X430" s="31" t="e">
        <f>"PipedImporterCapMin_"&amp;RIGHT($W430,11)</f>
        <v>#REF!</v>
      </c>
    </row>
    <row r="431" spans="1:24" x14ac:dyDescent="0.25">
      <c r="A431" s="94">
        <f t="shared" ref="A431:A445" si="576">$A430</f>
        <v>107</v>
      </c>
      <c r="B431" s="118"/>
      <c r="C431" s="93" t="str">
        <f t="shared" ref="C431:D431" si="577">IF($B430&lt;&gt;"",C427,"")</f>
        <v/>
      </c>
      <c r="D431" s="93" t="str">
        <f t="shared" si="577"/>
        <v/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6"/>
      <c r="W431" s="31" t="e">
        <f>INDEX(TBL_PIPED_IMPORTERS_CONNECTIONS[PipedImporterConnectionID],$A431)</f>
        <v>#REF!</v>
      </c>
      <c r="X431" s="31" t="e">
        <f>"PipedImporterCapMax_"&amp;RIGHT($W431,11)</f>
        <v>#REF!</v>
      </c>
    </row>
    <row r="432" spans="1:24" x14ac:dyDescent="0.25">
      <c r="A432" s="94">
        <f t="shared" si="576"/>
        <v>107</v>
      </c>
      <c r="B432" s="118"/>
      <c r="C432" s="93" t="str">
        <f t="shared" ref="C432:D432" si="578">IF($B430&lt;&gt;"",C428,"")</f>
        <v/>
      </c>
      <c r="D432" s="93" t="str">
        <f t="shared" si="578"/>
        <v/>
      </c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5"/>
      <c r="W432" s="31" t="e">
        <f>INDEX(TBL_PIPED_IMPORTERS_CONNECTIONS[PipedImporterConnectionID],$A432)</f>
        <v>#REF!</v>
      </c>
      <c r="X432" s="31" t="e">
        <f>"PipedImporterTariffFixed_"&amp;RIGHT($W432,11)</f>
        <v>#REF!</v>
      </c>
    </row>
    <row r="433" spans="1:24" x14ac:dyDescent="0.25">
      <c r="A433" s="94">
        <f t="shared" si="576"/>
        <v>107</v>
      </c>
      <c r="B433" s="119"/>
      <c r="C433" s="93" t="str">
        <f t="shared" ref="C433:D433" si="579">IF($B430&lt;&gt;"",C429,"")</f>
        <v/>
      </c>
      <c r="D433" s="93" t="str">
        <f t="shared" si="579"/>
        <v/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6"/>
      <c r="W433" s="31" t="e">
        <f>INDEX(TBL_PIPED_IMPORTERS_CONNECTIONS[PipedImporterConnectionID],$A433)</f>
        <v>#REF!</v>
      </c>
      <c r="X433" s="31" t="e">
        <f>"PipedImporterTariffVar_"&amp;RIGHT($W433,11)</f>
        <v>#REF!</v>
      </c>
    </row>
    <row r="434" spans="1:24" x14ac:dyDescent="0.25">
      <c r="A434" s="94">
        <f t="shared" ref="A434" si="580">$A430+1</f>
        <v>108</v>
      </c>
      <c r="B434" s="117" t="str">
        <f>IFERROR(INDEX(TBL_PIPED_IMPORTERS_CONNECTIONS[Name],$A434),"")</f>
        <v/>
      </c>
      <c r="C434" s="93" t="str">
        <f t="shared" ref="C434:D434" si="581">IF($B434&lt;&gt;"",C430,"")</f>
        <v/>
      </c>
      <c r="D434" s="93" t="str">
        <f t="shared" si="581"/>
        <v/>
      </c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5"/>
      <c r="W434" s="31" t="e">
        <f>INDEX(TBL_PIPED_IMPORTERS_CONNECTIONS[PipedImporterConnectionID],$A434)</f>
        <v>#REF!</v>
      </c>
      <c r="X434" s="31" t="e">
        <f>"PipedImporterCapMin_"&amp;RIGHT($W434,11)</f>
        <v>#REF!</v>
      </c>
    </row>
    <row r="435" spans="1:24" x14ac:dyDescent="0.25">
      <c r="A435" s="94">
        <f t="shared" si="576"/>
        <v>108</v>
      </c>
      <c r="B435" s="118"/>
      <c r="C435" s="93" t="str">
        <f t="shared" ref="C435:D435" si="582">IF($B434&lt;&gt;"",C431,"")</f>
        <v/>
      </c>
      <c r="D435" s="93" t="str">
        <f t="shared" si="582"/>
        <v/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6"/>
      <c r="W435" s="31" t="e">
        <f>INDEX(TBL_PIPED_IMPORTERS_CONNECTIONS[PipedImporterConnectionID],$A435)</f>
        <v>#REF!</v>
      </c>
      <c r="X435" s="31" t="e">
        <f>"PipedImporterCapMax_"&amp;RIGHT($W435,11)</f>
        <v>#REF!</v>
      </c>
    </row>
    <row r="436" spans="1:24" x14ac:dyDescent="0.25">
      <c r="A436" s="94">
        <f t="shared" si="576"/>
        <v>108</v>
      </c>
      <c r="B436" s="118"/>
      <c r="C436" s="93" t="str">
        <f t="shared" ref="C436:D436" si="583">IF($B434&lt;&gt;"",C432,"")</f>
        <v/>
      </c>
      <c r="D436" s="93" t="str">
        <f t="shared" si="583"/>
        <v/>
      </c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5"/>
      <c r="W436" s="31" t="e">
        <f>INDEX(TBL_PIPED_IMPORTERS_CONNECTIONS[PipedImporterConnectionID],$A436)</f>
        <v>#REF!</v>
      </c>
      <c r="X436" s="31" t="e">
        <f>"PipedImporterTariffFixed_"&amp;RIGHT($W436,11)</f>
        <v>#REF!</v>
      </c>
    </row>
    <row r="437" spans="1:24" x14ac:dyDescent="0.25">
      <c r="A437" s="94">
        <f t="shared" si="576"/>
        <v>108</v>
      </c>
      <c r="B437" s="119"/>
      <c r="C437" s="93" t="str">
        <f t="shared" ref="C437:D437" si="584">IF($B434&lt;&gt;"",C433,"")</f>
        <v/>
      </c>
      <c r="D437" s="93" t="str">
        <f t="shared" si="584"/>
        <v/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6"/>
      <c r="W437" s="31" t="e">
        <f>INDEX(TBL_PIPED_IMPORTERS_CONNECTIONS[PipedImporterConnectionID],$A437)</f>
        <v>#REF!</v>
      </c>
      <c r="X437" s="31" t="e">
        <f>"PipedImporterTariffVar_"&amp;RIGHT($W437,11)</f>
        <v>#REF!</v>
      </c>
    </row>
    <row r="438" spans="1:24" x14ac:dyDescent="0.25">
      <c r="A438" s="94">
        <f t="shared" ref="A438" si="585">$A434+1</f>
        <v>109</v>
      </c>
      <c r="B438" s="117" t="str">
        <f>IFERROR(INDEX(TBL_PIPED_IMPORTERS_CONNECTIONS[Name],$A438),"")</f>
        <v/>
      </c>
      <c r="C438" s="93" t="str">
        <f t="shared" ref="C438:D438" si="586">IF($B438&lt;&gt;"",C434,"")</f>
        <v/>
      </c>
      <c r="D438" s="93" t="str">
        <f t="shared" si="586"/>
        <v/>
      </c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5"/>
      <c r="W438" s="31" t="e">
        <f>INDEX(TBL_PIPED_IMPORTERS_CONNECTIONS[PipedImporterConnectionID],$A438)</f>
        <v>#REF!</v>
      </c>
      <c r="X438" s="31" t="e">
        <f>"PipedImporterCapMin_"&amp;RIGHT($W438,11)</f>
        <v>#REF!</v>
      </c>
    </row>
    <row r="439" spans="1:24" x14ac:dyDescent="0.25">
      <c r="A439" s="94">
        <f t="shared" si="576"/>
        <v>109</v>
      </c>
      <c r="B439" s="118"/>
      <c r="C439" s="93" t="str">
        <f t="shared" ref="C439:D439" si="587">IF($B438&lt;&gt;"",C435,"")</f>
        <v/>
      </c>
      <c r="D439" s="93" t="str">
        <f t="shared" si="587"/>
        <v/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6"/>
      <c r="W439" s="31" t="e">
        <f>INDEX(TBL_PIPED_IMPORTERS_CONNECTIONS[PipedImporterConnectionID],$A439)</f>
        <v>#REF!</v>
      </c>
      <c r="X439" s="31" t="e">
        <f>"PipedImporterCapMax_"&amp;RIGHT($W439,11)</f>
        <v>#REF!</v>
      </c>
    </row>
    <row r="440" spans="1:24" x14ac:dyDescent="0.25">
      <c r="A440" s="94">
        <f t="shared" si="576"/>
        <v>109</v>
      </c>
      <c r="B440" s="118"/>
      <c r="C440" s="93" t="str">
        <f t="shared" ref="C440:D440" si="588">IF($B438&lt;&gt;"",C436,"")</f>
        <v/>
      </c>
      <c r="D440" s="93" t="str">
        <f t="shared" si="588"/>
        <v/>
      </c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5"/>
      <c r="W440" s="31" t="e">
        <f>INDEX(TBL_PIPED_IMPORTERS_CONNECTIONS[PipedImporterConnectionID],$A440)</f>
        <v>#REF!</v>
      </c>
      <c r="X440" s="31" t="e">
        <f>"PipedImporterTariffFixed_"&amp;RIGHT($W440,11)</f>
        <v>#REF!</v>
      </c>
    </row>
    <row r="441" spans="1:24" x14ac:dyDescent="0.25">
      <c r="A441" s="94">
        <f t="shared" si="576"/>
        <v>109</v>
      </c>
      <c r="B441" s="119"/>
      <c r="C441" s="93" t="str">
        <f t="shared" ref="C441:D441" si="589">IF($B438&lt;&gt;"",C437,"")</f>
        <v/>
      </c>
      <c r="D441" s="93" t="str">
        <f t="shared" si="589"/>
        <v/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6"/>
      <c r="W441" s="31" t="e">
        <f>INDEX(TBL_PIPED_IMPORTERS_CONNECTIONS[PipedImporterConnectionID],$A441)</f>
        <v>#REF!</v>
      </c>
      <c r="X441" s="31" t="e">
        <f>"PipedImporterTariffVar_"&amp;RIGHT($W441,11)</f>
        <v>#REF!</v>
      </c>
    </row>
    <row r="442" spans="1:24" x14ac:dyDescent="0.25">
      <c r="A442" s="94">
        <f t="shared" ref="A442" si="590">$A438+1</f>
        <v>110</v>
      </c>
      <c r="B442" s="117" t="str">
        <f>IFERROR(INDEX(TBL_PIPED_IMPORTERS_CONNECTIONS[Name],$A442),"")</f>
        <v/>
      </c>
      <c r="C442" s="93" t="str">
        <f t="shared" ref="C442:D442" si="591">IF($B442&lt;&gt;"",C438,"")</f>
        <v/>
      </c>
      <c r="D442" s="93" t="str">
        <f t="shared" si="591"/>
        <v/>
      </c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5"/>
      <c r="W442" s="31" t="e">
        <f>INDEX(TBL_PIPED_IMPORTERS_CONNECTIONS[PipedImporterConnectionID],$A442)</f>
        <v>#REF!</v>
      </c>
      <c r="X442" s="31" t="e">
        <f>"PipedImporterCapMin_"&amp;RIGHT($W442,11)</f>
        <v>#REF!</v>
      </c>
    </row>
    <row r="443" spans="1:24" x14ac:dyDescent="0.25">
      <c r="A443" s="94">
        <f t="shared" si="576"/>
        <v>110</v>
      </c>
      <c r="B443" s="118"/>
      <c r="C443" s="93" t="str">
        <f t="shared" ref="C443:D443" si="592">IF($B442&lt;&gt;"",C439,"")</f>
        <v/>
      </c>
      <c r="D443" s="93" t="str">
        <f t="shared" si="592"/>
        <v/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6"/>
      <c r="W443" s="31" t="e">
        <f>INDEX(TBL_PIPED_IMPORTERS_CONNECTIONS[PipedImporterConnectionID],$A443)</f>
        <v>#REF!</v>
      </c>
      <c r="X443" s="31" t="e">
        <f>"PipedImporterCapMax_"&amp;RIGHT($W443,11)</f>
        <v>#REF!</v>
      </c>
    </row>
    <row r="444" spans="1:24" x14ac:dyDescent="0.25">
      <c r="A444" s="94">
        <f t="shared" si="576"/>
        <v>110</v>
      </c>
      <c r="B444" s="118"/>
      <c r="C444" s="93" t="str">
        <f t="shared" ref="C444:D444" si="593">IF($B442&lt;&gt;"",C440,"")</f>
        <v/>
      </c>
      <c r="D444" s="93" t="str">
        <f t="shared" si="593"/>
        <v/>
      </c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5"/>
      <c r="W444" s="31" t="e">
        <f>INDEX(TBL_PIPED_IMPORTERS_CONNECTIONS[PipedImporterConnectionID],$A444)</f>
        <v>#REF!</v>
      </c>
      <c r="X444" s="31" t="e">
        <f>"PipedImporterTariffFixed_"&amp;RIGHT($W444,11)</f>
        <v>#REF!</v>
      </c>
    </row>
    <row r="445" spans="1:24" x14ac:dyDescent="0.25">
      <c r="A445" s="94">
        <f t="shared" si="576"/>
        <v>110</v>
      </c>
      <c r="B445" s="119"/>
      <c r="C445" s="93" t="str">
        <f t="shared" ref="C445:D445" si="594">IF($B442&lt;&gt;"",C441,"")</f>
        <v/>
      </c>
      <c r="D445" s="93" t="str">
        <f t="shared" si="594"/>
        <v/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6"/>
      <c r="W445" s="31" t="e">
        <f>INDEX(TBL_PIPED_IMPORTERS_CONNECTIONS[PipedImporterConnectionID],$A445)</f>
        <v>#REF!</v>
      </c>
      <c r="X445" s="31" t="e">
        <f>"PipedImporterTariffVar_"&amp;RIGHT($W445,11)</f>
        <v>#REF!</v>
      </c>
    </row>
  </sheetData>
  <mergeCells count="110"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57" priority="15" operator="equal">
      <formula>#REF!</formula>
    </cfRule>
  </conditionalFormatting>
  <conditionalFormatting sqref="D8:D9">
    <cfRule type="cellIs" dxfId="56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E5C0434A-65D6-45BB-934B-6E7905D7E866}">
      <formula1>0</formula1>
    </dataValidation>
    <dataValidation operator="greaterThanOrEqual" allowBlank="1" showInputMessage="1" showErrorMessage="1" sqref="V6:V445" xr:uid="{3F4DE22D-FD3F-4CA0-8F6F-6FC972DA8C65}"/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C0FA-C94D-4AF8-9060-01EB0F2279E0}">
  <sheetPr>
    <tabColor rgb="FF7030A0"/>
  </sheetPr>
  <dimension ref="A1:E7"/>
  <sheetViews>
    <sheetView workbookViewId="0">
      <selection activeCell="E7" sqref="E7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87</v>
      </c>
    </row>
    <row r="2" spans="1:4" x14ac:dyDescent="0.25">
      <c r="A2" s="1" t="s">
        <v>177</v>
      </c>
    </row>
    <row r="5" spans="1:4" x14ac:dyDescent="0.25">
      <c r="A5" t="s">
        <v>89</v>
      </c>
      <c r="B5" t="s">
        <v>1</v>
      </c>
      <c r="C5" t="s">
        <v>3</v>
      </c>
      <c r="D5" s="2" t="s">
        <v>88</v>
      </c>
    </row>
    <row r="6" spans="1:4" x14ac:dyDescent="0.25">
      <c r="A6" s="82" t="s">
        <v>90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82" t="s">
        <v>91</v>
      </c>
      <c r="B7" s="4">
        <f>ROW(2:2)</f>
        <v>2</v>
      </c>
      <c r="C7" s="20"/>
      <c r="D7" s="21" t="str">
        <f>"LNGImporter_"&amp;TEXT(TBL_LNG_IMPORTERS[[#This Row],[Index]],"000")</f>
        <v>LNGImporter_002</v>
      </c>
    </row>
  </sheetData>
  <dataValidations count="1">
    <dataValidation type="custom" allowBlank="1" showInputMessage="1" showErrorMessage="1" sqref="A6:C7" xr:uid="{3A75C551-F6DD-48A1-B385-CB8F83820DA8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E47BD-777F-4945-A86F-F1DF405870F0}">
  <sheetPr>
    <tabColor rgb="FF7030A0"/>
  </sheetPr>
  <dimension ref="A1:Z8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35.14062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bestFit="1" customWidth="1" outlineLevel="1"/>
  </cols>
  <sheetData>
    <row r="1" spans="1:9" x14ac:dyDescent="0.25">
      <c r="A1" s="1" t="s">
        <v>163</v>
      </c>
    </row>
    <row r="2" spans="1:9" x14ac:dyDescent="0.25">
      <c r="A2" s="1" t="s">
        <v>177</v>
      </c>
    </row>
    <row r="5" spans="1:9" x14ac:dyDescent="0.25">
      <c r="A5" t="s">
        <v>89</v>
      </c>
      <c r="B5" t="s">
        <v>164</v>
      </c>
      <c r="C5" t="s">
        <v>0</v>
      </c>
      <c r="D5" t="s">
        <v>37</v>
      </c>
      <c r="E5" t="s">
        <v>39</v>
      </c>
      <c r="F5" t="s">
        <v>159</v>
      </c>
      <c r="G5" t="s">
        <v>158</v>
      </c>
      <c r="H5" s="2" t="s">
        <v>3</v>
      </c>
      <c r="I5" s="2" t="s">
        <v>95</v>
      </c>
    </row>
    <row r="6" spans="1:9" x14ac:dyDescent="0.25">
      <c r="A6" s="83" t="s">
        <v>90</v>
      </c>
      <c r="B6" s="4">
        <f>INDEX(TBL_LNG_IMPORTERS[Index],MATCH(TBL_LNG_IMPORTERS_CONNECTIONS[[#This Row],[Terminal]],TBL_LNG_IMPORTERS[Terminal],0))</f>
        <v>1</v>
      </c>
      <c r="C6" s="86" t="s">
        <v>58</v>
      </c>
      <c r="D6" s="4">
        <f>INDEX(TBL_REGIONS_INDEX[Index],MATCH(TBL_LNG_IMPORTERS_CONNECTIONS[[#This Row],[Region]],TBL_REGIONS_INDEX[Region],0))</f>
        <v>3</v>
      </c>
      <c r="E6" s="88" t="s">
        <v>92</v>
      </c>
      <c r="F6" s="4" t="str">
        <f>TEXT(TBL_LNG_IMPORTERS_CONNECTIONS[[#This Row],[Terminal Index]],"000")&amp;TEXT(TBL_LNG_IMPORTERS_CONNECTIONS[[#This Row],[Region Index]],"000")</f>
        <v>001003</v>
      </c>
      <c r="G6" s="4">
        <f>COUNTIF($F$5:$F5,$F5)</f>
        <v>1</v>
      </c>
      <c r="H6" s="17"/>
      <c r="I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LNGImporterConnection_001_003_001</v>
      </c>
    </row>
    <row r="7" spans="1:9" x14ac:dyDescent="0.25">
      <c r="A7" s="83" t="s">
        <v>90</v>
      </c>
      <c r="B7" s="4">
        <f>INDEX(TBL_LNG_IMPORTERS[Index],MATCH(TBL_LNG_IMPORTERS_CONNECTIONS[[#This Row],[Terminal]],TBL_LNG_IMPORTERS[Terminal],0))</f>
        <v>1</v>
      </c>
      <c r="C7" s="87" t="s">
        <v>56</v>
      </c>
      <c r="D7" s="4">
        <f>INDEX(TBL_REGIONS_INDEX[Index],MATCH(TBL_LNG_IMPORTERS_CONNECTIONS[[#This Row],[Region]],TBL_REGIONS_INDEX[Region],0))</f>
        <v>1</v>
      </c>
      <c r="E7" s="88" t="s">
        <v>93</v>
      </c>
      <c r="F7" s="4" t="str">
        <f>TEXT(TBL_LNG_IMPORTERS_CONNECTIONS[[#This Row],[Terminal Index]],"000")&amp;TEXT(TBL_LNG_IMPORTERS_CONNECTIONS[[#This Row],[Region Index]],"000")</f>
        <v>001001</v>
      </c>
      <c r="G7" s="4">
        <f>COUNTIF($F$5:$F6,$F6)</f>
        <v>1</v>
      </c>
      <c r="H7" s="17"/>
      <c r="I7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LNGImporterConnection_001_001_001</v>
      </c>
    </row>
    <row r="8" spans="1:9" x14ac:dyDescent="0.25">
      <c r="A8" s="83" t="s">
        <v>91</v>
      </c>
      <c r="B8" s="4">
        <f>INDEX(TBL_LNG_IMPORTERS[Index],MATCH(TBL_LNG_IMPORTERS_CONNECTIONS[[#This Row],[Terminal]],TBL_LNG_IMPORTERS[Terminal],0))</f>
        <v>2</v>
      </c>
      <c r="C8" s="87" t="s">
        <v>57</v>
      </c>
      <c r="D8" s="4">
        <f>INDEX(TBL_REGIONS_INDEX[Index],MATCH(TBL_LNG_IMPORTERS_CONNECTIONS[[#This Row],[Region]],TBL_REGIONS_INDEX[Region],0))</f>
        <v>2</v>
      </c>
      <c r="E8" s="88" t="s">
        <v>94</v>
      </c>
      <c r="F8" s="4" t="str">
        <f>TEXT(TBL_LNG_IMPORTERS_CONNECTIONS[[#This Row],[Terminal Index]],"000")&amp;TEXT(TBL_LNG_IMPORTERS_CONNECTIONS[[#This Row],[Region Index]],"000")</f>
        <v>002002</v>
      </c>
      <c r="G8" s="4">
        <f>COUNTIF($F$5:$F7,$F7)</f>
        <v>1</v>
      </c>
      <c r="H8" s="17"/>
      <c r="I8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LNGImporterConnection_002_002_001</v>
      </c>
    </row>
  </sheetData>
  <phoneticPr fontId="5" type="noConversion"/>
  <dataValidations count="3">
    <dataValidation type="list" allowBlank="1" showInputMessage="1" showErrorMessage="1" sqref="C6:C8" xr:uid="{1C7D74C0-C936-4C88-AD4C-4EF4B3CD2364}">
      <formula1>INDIRECT("TBL_REGIONS_INDEX[Region]")</formula1>
    </dataValidation>
    <dataValidation type="list" allowBlank="1" showInputMessage="1" showErrorMessage="1" sqref="A6:A8" xr:uid="{D5072067-D7F6-4002-83BE-83304269FA4B}">
      <formula1>INDIRECT("TBL_LNG_IMPORTERS[Terminal]")</formula1>
    </dataValidation>
    <dataValidation type="custom" allowBlank="1" showInputMessage="1" showErrorMessage="1" sqref="E6:E8" xr:uid="{C2468385-153E-4FD3-99FE-D6F991FAE056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E5253-2C07-4B04-AF0E-50E57C4B9107}">
  <sheetPr>
    <tabColor rgb="FF7030A0"/>
  </sheetPr>
  <dimension ref="A1:Y445"/>
  <sheetViews>
    <sheetView topLeftCell="B1" workbookViewId="0">
      <selection activeCell="A446" sqref="A446:XFD497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96</v>
      </c>
    </row>
    <row r="2" spans="1:24" x14ac:dyDescent="0.25">
      <c r="B2" s="1" t="s">
        <v>161</v>
      </c>
    </row>
    <row r="3" spans="1:24" x14ac:dyDescent="0.25">
      <c r="B3" s="1" t="s">
        <v>162</v>
      </c>
    </row>
    <row r="4" spans="1:24" x14ac:dyDescent="0.25">
      <c r="B4" s="1" t="s">
        <v>97</v>
      </c>
    </row>
    <row r="5" spans="1:24" x14ac:dyDescent="0.25">
      <c r="B5" s="8" t="s">
        <v>105</v>
      </c>
      <c r="C5" s="8" t="s">
        <v>41</v>
      </c>
      <c r="D5" s="8" t="s">
        <v>42</v>
      </c>
      <c r="E5" s="22" t="s">
        <v>5</v>
      </c>
      <c r="F5" s="22" t="s">
        <v>6</v>
      </c>
      <c r="G5" s="22" t="s">
        <v>7</v>
      </c>
      <c r="H5" s="22" t="s">
        <v>8</v>
      </c>
      <c r="I5" s="22" t="s">
        <v>9</v>
      </c>
      <c r="J5" s="22" t="s">
        <v>10</v>
      </c>
      <c r="K5" s="22" t="s">
        <v>11</v>
      </c>
      <c r="L5" s="22" t="s">
        <v>12</v>
      </c>
      <c r="M5" s="22" t="s">
        <v>13</v>
      </c>
      <c r="N5" s="22" t="s">
        <v>14</v>
      </c>
      <c r="O5" s="22" t="s">
        <v>15</v>
      </c>
      <c r="P5" s="22" t="s">
        <v>16</v>
      </c>
      <c r="Q5" s="22" t="s">
        <v>17</v>
      </c>
      <c r="R5" s="22" t="s">
        <v>18</v>
      </c>
      <c r="S5" s="22" t="s">
        <v>19</v>
      </c>
      <c r="T5" s="22" t="s">
        <v>20</v>
      </c>
      <c r="U5" s="22" t="s">
        <v>21</v>
      </c>
      <c r="V5" s="8" t="s">
        <v>28</v>
      </c>
      <c r="W5" s="23" t="s">
        <v>95</v>
      </c>
      <c r="X5" s="30" t="s">
        <v>106</v>
      </c>
    </row>
    <row r="6" spans="1:24" x14ac:dyDescent="0.25">
      <c r="A6" s="94">
        <v>1</v>
      </c>
      <c r="B6" s="117" t="str">
        <f>IFERROR(INDEX(TBL_LNG_IMPORTERS_CONNECTIONS[Name],$A6),"")</f>
        <v>GATE NL</v>
      </c>
      <c r="C6" s="89" t="s">
        <v>43</v>
      </c>
      <c r="D6" s="90" t="s">
        <v>119</v>
      </c>
      <c r="E6" s="27">
        <v>0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5"/>
      <c r="W6" s="31" t="str">
        <f>INDEX(TBL_LNG_IMPORTERS_CONNECTIONS[LNGImporterConnectionID],$A6)</f>
        <v>LNGImporterConnection_001_003_001</v>
      </c>
      <c r="X6" s="31" t="str">
        <f>"LNGImporterCapMin_"&amp;RIGHT($W6,11)</f>
        <v>LNGImporterCapMin_001_003_001</v>
      </c>
    </row>
    <row r="7" spans="1:24" x14ac:dyDescent="0.25">
      <c r="A7" s="94">
        <f>$A6</f>
        <v>1</v>
      </c>
      <c r="B7" s="118"/>
      <c r="C7" s="91" t="s">
        <v>44</v>
      </c>
      <c r="D7" s="92" t="s">
        <v>119</v>
      </c>
      <c r="E7" s="28">
        <v>10</v>
      </c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6"/>
      <c r="W7" s="31" t="str">
        <f>INDEX(TBL_LNG_IMPORTERS_CONNECTIONS[LNGImporterConnectionID],$A7)</f>
        <v>LNGImporterConnection_001_003_001</v>
      </c>
      <c r="X7" s="31" t="str">
        <f>"LNGImporterCapMax_"&amp;RIGHT($W7,11)</f>
        <v>LNGImporterCapMax_001_003_001</v>
      </c>
    </row>
    <row r="8" spans="1:24" x14ac:dyDescent="0.25">
      <c r="A8" s="94">
        <f>$A7</f>
        <v>1</v>
      </c>
      <c r="B8" s="118"/>
      <c r="C8" s="89" t="s">
        <v>120</v>
      </c>
      <c r="D8" s="90" t="s">
        <v>46</v>
      </c>
      <c r="E8" s="27">
        <v>0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5"/>
      <c r="W8" s="31" t="str">
        <f>INDEX(TBL_LNG_IMPORTERS_CONNECTIONS[LNGImporterConnectionID],$A8)</f>
        <v>LNGImporterConnection_001_003_001</v>
      </c>
      <c r="X8" s="31" t="str">
        <f>"LNGImporterTariffFixed_"&amp;RIGHT($W8,11)</f>
        <v>LNGImporterTariffFixed_001_003_001</v>
      </c>
    </row>
    <row r="9" spans="1:24" x14ac:dyDescent="0.25">
      <c r="A9" s="94">
        <f>$A8</f>
        <v>1</v>
      </c>
      <c r="B9" s="119"/>
      <c r="C9" s="91" t="s">
        <v>121</v>
      </c>
      <c r="D9" s="92" t="s">
        <v>48</v>
      </c>
      <c r="E9" s="28">
        <v>0.4</v>
      </c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6"/>
      <c r="W9" s="31" t="str">
        <f>INDEX(TBL_LNG_IMPORTERS_CONNECTIONS[LNGImporterConnectionID],$A9)</f>
        <v>LNGImporterConnection_001_003_001</v>
      </c>
      <c r="X9" s="31" t="str">
        <f>"LNGImporterTariffVar_"&amp;RIGHT($W9,11)</f>
        <v>LNGImporterTariffVar_001_003_001</v>
      </c>
    </row>
    <row r="10" spans="1:24" x14ac:dyDescent="0.25">
      <c r="A10" s="94">
        <f>$A6+1</f>
        <v>2</v>
      </c>
      <c r="B10" s="117" t="str">
        <f>IFERROR(INDEX(TBL_LNG_IMPORTERS_CONNECTIONS[Name],$A10),"")</f>
        <v>GATE DE</v>
      </c>
      <c r="C10" s="93" t="str">
        <f>IF($B10&lt;&gt;"",C6,"")</f>
        <v>Capacity - Min</v>
      </c>
      <c r="D10" s="93" t="str">
        <f>IF($B10&lt;&gt;"",D6,"")</f>
        <v>mcm/day</v>
      </c>
      <c r="E10" s="27">
        <v>0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5"/>
      <c r="W10" s="31" t="str">
        <f>INDEX(TBL_LNG_IMPORTERS_CONNECTIONS[LNGImporterConnectionID],$A10)</f>
        <v>LNGImporterConnection_001_001_001</v>
      </c>
      <c r="X10" s="31" t="str">
        <f>"LNGImporterCapMin_"&amp;RIGHT($W10,11)</f>
        <v>LNGImporterCapMin_001_001_001</v>
      </c>
    </row>
    <row r="11" spans="1:24" x14ac:dyDescent="0.25">
      <c r="A11" s="94">
        <f>$A10</f>
        <v>2</v>
      </c>
      <c r="B11" s="118"/>
      <c r="C11" s="93" t="str">
        <f>IF($B10&lt;&gt;"",C7,"")</f>
        <v>Capacity - Max</v>
      </c>
      <c r="D11" s="93" t="str">
        <f>IF($B10&lt;&gt;"",D7,"")</f>
        <v>mcm/day</v>
      </c>
      <c r="E11" s="28">
        <v>10</v>
      </c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6"/>
      <c r="W11" s="31" t="str">
        <f>INDEX(TBL_LNG_IMPORTERS_CONNECTIONS[LNGImporterConnectionID],$A11)</f>
        <v>LNGImporterConnection_001_001_001</v>
      </c>
      <c r="X11" s="31" t="str">
        <f>"LNGImporterCapMax_"&amp;RIGHT($W11,11)</f>
        <v>LNGImporterCapMax_001_001_001</v>
      </c>
    </row>
    <row r="12" spans="1:24" x14ac:dyDescent="0.25">
      <c r="A12" s="94">
        <f>$A11</f>
        <v>2</v>
      </c>
      <c r="B12" s="118"/>
      <c r="C12" s="93" t="str">
        <f>IF($B10&lt;&gt;"",C8,"")</f>
        <v>Cost to Market - fixed</v>
      </c>
      <c r="D12" s="93" t="str">
        <f>IF($B10&lt;&gt;"",D8,"")</f>
        <v>EUR/month</v>
      </c>
      <c r="E12" s="27">
        <v>0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5"/>
      <c r="W12" s="31" t="str">
        <f>INDEX(TBL_LNG_IMPORTERS_CONNECTIONS[LNGImporterConnectionID],$A12)</f>
        <v>LNGImporterConnection_001_001_001</v>
      </c>
      <c r="X12" s="31" t="str">
        <f>"LNGImporterTariffFixed_"&amp;RIGHT($W12,11)</f>
        <v>LNGImporterTariffFixed_001_001_001</v>
      </c>
    </row>
    <row r="13" spans="1:24" x14ac:dyDescent="0.25">
      <c r="A13" s="94">
        <f>$A12</f>
        <v>2</v>
      </c>
      <c r="B13" s="119"/>
      <c r="C13" s="93" t="str">
        <f>IF($B10&lt;&gt;"",C9,"")</f>
        <v>Cost to Market - variable</v>
      </c>
      <c r="D13" s="93" t="str">
        <f>IF($B10&lt;&gt;"",D9,"")</f>
        <v>EUR/MWh</v>
      </c>
      <c r="E13" s="28">
        <v>0.2</v>
      </c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6"/>
      <c r="W13" s="31" t="str">
        <f>INDEX(TBL_LNG_IMPORTERS_CONNECTIONS[LNGImporterConnectionID],$A13)</f>
        <v>LNGImporterConnection_001_001_001</v>
      </c>
      <c r="X13" s="31" t="str">
        <f>"LNGImporterTariffVar_"&amp;RIGHT($W13,11)</f>
        <v>LNGImporterTariffVar_001_001_001</v>
      </c>
    </row>
    <row r="14" spans="1:24" x14ac:dyDescent="0.25">
      <c r="A14" s="94">
        <f t="shared" ref="A14" si="0">$A10+1</f>
        <v>3</v>
      </c>
      <c r="B14" s="117" t="str">
        <f>IFERROR(INDEX(TBL_LNG_IMPORTERS_CONNECTIONS[Name],$A14),"")</f>
        <v>Dunkirk FR</v>
      </c>
      <c r="C14" s="93" t="str">
        <f t="shared" ref="C14:D14" si="1">IF($B14&lt;&gt;"",C10,"")</f>
        <v>Capacity - Min</v>
      </c>
      <c r="D14" s="93" t="str">
        <f t="shared" si="1"/>
        <v>mcm/day</v>
      </c>
      <c r="E14" s="27">
        <v>0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5"/>
      <c r="W14" s="31" t="str">
        <f>INDEX(TBL_LNG_IMPORTERS_CONNECTIONS[LNGImporterConnectionID],$A14)</f>
        <v>LNGImporterConnection_002_002_001</v>
      </c>
      <c r="X14" s="31" t="str">
        <f>"LNGImporterCapMin_"&amp;RIGHT($W14,11)</f>
        <v>LNGImporterCapMin_002_002_001</v>
      </c>
    </row>
    <row r="15" spans="1:24" x14ac:dyDescent="0.25">
      <c r="A15" s="94">
        <f t="shared" ref="A15:A17" si="2">$A14</f>
        <v>3</v>
      </c>
      <c r="B15" s="118"/>
      <c r="C15" s="93" t="str">
        <f t="shared" ref="C15:D15" si="3">IF($B14&lt;&gt;"",C11,"")</f>
        <v>Capacity - Max</v>
      </c>
      <c r="D15" s="93" t="str">
        <f t="shared" si="3"/>
        <v>mcm/day</v>
      </c>
      <c r="E15" s="28">
        <v>10</v>
      </c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6"/>
      <c r="W15" s="31" t="str">
        <f>INDEX(TBL_LNG_IMPORTERS_CONNECTIONS[LNGImporterConnectionID],$A15)</f>
        <v>LNGImporterConnection_002_002_001</v>
      </c>
      <c r="X15" s="31" t="str">
        <f>"LNGImporterCapMax_"&amp;RIGHT($W15,11)</f>
        <v>LNGImporterCapMax_002_002_001</v>
      </c>
    </row>
    <row r="16" spans="1:24" x14ac:dyDescent="0.25">
      <c r="A16" s="94">
        <f t="shared" si="2"/>
        <v>3</v>
      </c>
      <c r="B16" s="118"/>
      <c r="C16" s="93" t="str">
        <f t="shared" ref="C16:D16" si="4">IF($B14&lt;&gt;"",C12,"")</f>
        <v>Cost to Market - fixed</v>
      </c>
      <c r="D16" s="93" t="str">
        <f t="shared" si="4"/>
        <v>EUR/month</v>
      </c>
      <c r="E16" s="27">
        <v>0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5"/>
      <c r="W16" s="31" t="str">
        <f>INDEX(TBL_LNG_IMPORTERS_CONNECTIONS[LNGImporterConnectionID],$A16)</f>
        <v>LNGImporterConnection_002_002_001</v>
      </c>
      <c r="X16" s="31" t="str">
        <f>"LNGImporterTariffFixed_"&amp;RIGHT($W16,11)</f>
        <v>LNGImporterTariffFixed_002_002_001</v>
      </c>
    </row>
    <row r="17" spans="1:24" x14ac:dyDescent="0.25">
      <c r="A17" s="94">
        <f t="shared" si="2"/>
        <v>3</v>
      </c>
      <c r="B17" s="119"/>
      <c r="C17" s="93" t="str">
        <f t="shared" ref="C17:D17" si="5">IF($B14&lt;&gt;"",C13,"")</f>
        <v>Cost to Market - variable</v>
      </c>
      <c r="D17" s="93" t="str">
        <f t="shared" si="5"/>
        <v>EUR/MWh</v>
      </c>
      <c r="E17" s="28">
        <v>0.35</v>
      </c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6"/>
      <c r="W17" s="31" t="str">
        <f>INDEX(TBL_LNG_IMPORTERS_CONNECTIONS[LNGImporterConnectionID],$A17)</f>
        <v>LNGImporterConnection_002_002_001</v>
      </c>
      <c r="X17" s="31" t="str">
        <f>"LNGImporterTariffVar_"&amp;RIGHT($W17,11)</f>
        <v>LNGImporterTariffVar_002_002_001</v>
      </c>
    </row>
    <row r="18" spans="1:24" x14ac:dyDescent="0.25">
      <c r="A18" s="94">
        <f t="shared" ref="A18" si="6">$A14+1</f>
        <v>4</v>
      </c>
      <c r="B18" s="117" t="str">
        <f>IFERROR(INDEX(TBL_LNG_IMPORTERS_CONNECTIONS[Name],$A18),"")</f>
        <v/>
      </c>
      <c r="C18" s="93" t="str">
        <f t="shared" ref="C18:D18" si="7">IF($B18&lt;&gt;"",C14,"")</f>
        <v/>
      </c>
      <c r="D18" s="93" t="str">
        <f t="shared" si="7"/>
        <v/>
      </c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5"/>
      <c r="W18" s="31" t="e">
        <f>INDEX(TBL_LNG_IMPORTERS_CONNECTIONS[LNGImporterConnectionID],$A18)</f>
        <v>#REF!</v>
      </c>
      <c r="X18" s="31" t="e">
        <f>"LNGImporterCapMin_"&amp;RIGHT($W18,11)</f>
        <v>#REF!</v>
      </c>
    </row>
    <row r="19" spans="1:24" x14ac:dyDescent="0.25">
      <c r="A19" s="94">
        <f t="shared" ref="A19:A21" si="8">$A18</f>
        <v>4</v>
      </c>
      <c r="B19" s="118"/>
      <c r="C19" s="93" t="str">
        <f t="shared" ref="C19:D19" si="9">IF($B18&lt;&gt;"",C15,"")</f>
        <v/>
      </c>
      <c r="D19" s="93" t="str">
        <f t="shared" si="9"/>
        <v/>
      </c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6"/>
      <c r="W19" s="31" t="e">
        <f>INDEX(TBL_LNG_IMPORTERS_CONNECTIONS[LNGImporterConnectionID],$A19)</f>
        <v>#REF!</v>
      </c>
      <c r="X19" s="31" t="e">
        <f>"LNGImporterCapMax_"&amp;RIGHT($W19,11)</f>
        <v>#REF!</v>
      </c>
    </row>
    <row r="20" spans="1:24" x14ac:dyDescent="0.25">
      <c r="A20" s="94">
        <f t="shared" si="8"/>
        <v>4</v>
      </c>
      <c r="B20" s="118"/>
      <c r="C20" s="93" t="str">
        <f t="shared" ref="C20:D20" si="10">IF($B18&lt;&gt;"",C16,"")</f>
        <v/>
      </c>
      <c r="D20" s="93" t="str">
        <f t="shared" si="10"/>
        <v/>
      </c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5"/>
      <c r="W20" s="31" t="e">
        <f>INDEX(TBL_LNG_IMPORTERS_CONNECTIONS[LNGImporterConnectionID],$A20)</f>
        <v>#REF!</v>
      </c>
      <c r="X20" s="31" t="e">
        <f>"LNGImporterTariffFixed_"&amp;RIGHT($W20,11)</f>
        <v>#REF!</v>
      </c>
    </row>
    <row r="21" spans="1:24" x14ac:dyDescent="0.25">
      <c r="A21" s="94">
        <f t="shared" si="8"/>
        <v>4</v>
      </c>
      <c r="B21" s="119"/>
      <c r="C21" s="93" t="str">
        <f t="shared" ref="C21:D21" si="11">IF($B18&lt;&gt;"",C17,"")</f>
        <v/>
      </c>
      <c r="D21" s="93" t="str">
        <f t="shared" si="11"/>
        <v/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6"/>
      <c r="W21" s="31" t="e">
        <f>INDEX(TBL_LNG_IMPORTERS_CONNECTIONS[LNGImporterConnectionID],$A21)</f>
        <v>#REF!</v>
      </c>
      <c r="X21" s="31" t="e">
        <f>"LNGImporterTariffVar_"&amp;RIGHT($W21,11)</f>
        <v>#REF!</v>
      </c>
    </row>
    <row r="22" spans="1:24" x14ac:dyDescent="0.25">
      <c r="A22" s="94">
        <f t="shared" ref="A22" si="12">$A18+1</f>
        <v>5</v>
      </c>
      <c r="B22" s="117" t="str">
        <f>IFERROR(INDEX(TBL_LNG_IMPORTERS_CONNECTIONS[Name],$A22),"")</f>
        <v/>
      </c>
      <c r="C22" s="93" t="str">
        <f t="shared" ref="C22:D22" si="13">IF($B22&lt;&gt;"",C18,"")</f>
        <v/>
      </c>
      <c r="D22" s="93" t="str">
        <f t="shared" si="13"/>
        <v/>
      </c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5"/>
      <c r="W22" s="31" t="e">
        <f>INDEX(TBL_LNG_IMPORTERS_CONNECTIONS[LNGImporterConnectionID],$A22)</f>
        <v>#REF!</v>
      </c>
      <c r="X22" s="31" t="e">
        <f>"LNGImporterCapMin_"&amp;RIGHT($W22,11)</f>
        <v>#REF!</v>
      </c>
    </row>
    <row r="23" spans="1:24" x14ac:dyDescent="0.25">
      <c r="A23" s="94">
        <f t="shared" ref="A23:A25" si="14">$A22</f>
        <v>5</v>
      </c>
      <c r="B23" s="118"/>
      <c r="C23" s="93" t="str">
        <f t="shared" ref="C23:D23" si="15">IF($B22&lt;&gt;"",C19,"")</f>
        <v/>
      </c>
      <c r="D23" s="93" t="str">
        <f t="shared" si="15"/>
        <v/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6"/>
      <c r="W23" s="31" t="e">
        <f>INDEX(TBL_LNG_IMPORTERS_CONNECTIONS[LNGImporterConnectionID],$A23)</f>
        <v>#REF!</v>
      </c>
      <c r="X23" s="31" t="e">
        <f>"LNGImporterCapMax_"&amp;RIGHT($W23,11)</f>
        <v>#REF!</v>
      </c>
    </row>
    <row r="24" spans="1:24" x14ac:dyDescent="0.25">
      <c r="A24" s="94">
        <f t="shared" si="14"/>
        <v>5</v>
      </c>
      <c r="B24" s="118"/>
      <c r="C24" s="93" t="str">
        <f t="shared" ref="C24:D24" si="16">IF($B22&lt;&gt;"",C20,"")</f>
        <v/>
      </c>
      <c r="D24" s="93" t="str">
        <f t="shared" si="16"/>
        <v/>
      </c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5"/>
      <c r="W24" s="31" t="e">
        <f>INDEX(TBL_LNG_IMPORTERS_CONNECTIONS[LNGImporterConnectionID],$A24)</f>
        <v>#REF!</v>
      </c>
      <c r="X24" s="31" t="e">
        <f>"LNGImporterTariffFixed_"&amp;RIGHT($W24,11)</f>
        <v>#REF!</v>
      </c>
    </row>
    <row r="25" spans="1:24" x14ac:dyDescent="0.25">
      <c r="A25" s="94">
        <f t="shared" si="14"/>
        <v>5</v>
      </c>
      <c r="B25" s="119"/>
      <c r="C25" s="93" t="str">
        <f t="shared" ref="C25:D25" si="17">IF($B22&lt;&gt;"",C21,"")</f>
        <v/>
      </c>
      <c r="D25" s="93" t="str">
        <f t="shared" si="17"/>
        <v/>
      </c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6"/>
      <c r="W25" s="31" t="e">
        <f>INDEX(TBL_LNG_IMPORTERS_CONNECTIONS[LNGImporterConnectionID],$A25)</f>
        <v>#REF!</v>
      </c>
      <c r="X25" s="31" t="e">
        <f>"LNGImporterTariffVar_"&amp;RIGHT($W25,11)</f>
        <v>#REF!</v>
      </c>
    </row>
    <row r="26" spans="1:24" x14ac:dyDescent="0.25">
      <c r="A26" s="94">
        <f t="shared" ref="A26" si="18">$A22+1</f>
        <v>6</v>
      </c>
      <c r="B26" s="117" t="str">
        <f>IFERROR(INDEX(TBL_LNG_IMPORTERS_CONNECTIONS[Name],$A26),"")</f>
        <v/>
      </c>
      <c r="C26" s="93" t="str">
        <f t="shared" ref="C26:D26" si="19">IF($B26&lt;&gt;"",C22,"")</f>
        <v/>
      </c>
      <c r="D26" s="93" t="str">
        <f t="shared" si="19"/>
        <v/>
      </c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5"/>
      <c r="W26" s="31" t="e">
        <f>INDEX(TBL_LNG_IMPORTERS_CONNECTIONS[LNGImporterConnectionID],$A26)</f>
        <v>#REF!</v>
      </c>
      <c r="X26" s="31" t="e">
        <f>"LNGImporterCapMin_"&amp;RIGHT($W26,11)</f>
        <v>#REF!</v>
      </c>
    </row>
    <row r="27" spans="1:24" x14ac:dyDescent="0.25">
      <c r="A27" s="94">
        <f t="shared" ref="A27:A29" si="20">$A26</f>
        <v>6</v>
      </c>
      <c r="B27" s="118"/>
      <c r="C27" s="93" t="str">
        <f t="shared" ref="C27:D27" si="21">IF($B26&lt;&gt;"",C23,"")</f>
        <v/>
      </c>
      <c r="D27" s="93" t="str">
        <f t="shared" si="21"/>
        <v/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6"/>
      <c r="W27" s="31" t="e">
        <f>INDEX(TBL_LNG_IMPORTERS_CONNECTIONS[LNGImporterConnectionID],$A27)</f>
        <v>#REF!</v>
      </c>
      <c r="X27" s="31" t="e">
        <f>"LNGImporterCapMax_"&amp;RIGHT($W27,11)</f>
        <v>#REF!</v>
      </c>
    </row>
    <row r="28" spans="1:24" x14ac:dyDescent="0.25">
      <c r="A28" s="94">
        <f t="shared" si="20"/>
        <v>6</v>
      </c>
      <c r="B28" s="118"/>
      <c r="C28" s="93" t="str">
        <f t="shared" ref="C28:D28" si="22">IF($B26&lt;&gt;"",C24,"")</f>
        <v/>
      </c>
      <c r="D28" s="93" t="str">
        <f t="shared" si="22"/>
        <v/>
      </c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5"/>
      <c r="W28" s="31" t="e">
        <f>INDEX(TBL_LNG_IMPORTERS_CONNECTIONS[LNGImporterConnectionID],$A28)</f>
        <v>#REF!</v>
      </c>
      <c r="X28" s="31" t="e">
        <f>"LNGImporterTariffFixed_"&amp;RIGHT($W28,11)</f>
        <v>#REF!</v>
      </c>
    </row>
    <row r="29" spans="1:24" x14ac:dyDescent="0.25">
      <c r="A29" s="94">
        <f t="shared" si="20"/>
        <v>6</v>
      </c>
      <c r="B29" s="119"/>
      <c r="C29" s="93" t="str">
        <f t="shared" ref="C29:D29" si="23">IF($B26&lt;&gt;"",C25,"")</f>
        <v/>
      </c>
      <c r="D29" s="93" t="str">
        <f t="shared" si="23"/>
        <v/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6"/>
      <c r="W29" s="31" t="e">
        <f>INDEX(TBL_LNG_IMPORTERS_CONNECTIONS[LNGImporterConnectionID],$A29)</f>
        <v>#REF!</v>
      </c>
      <c r="X29" s="31" t="e">
        <f>"LNGImporterTariffVar_"&amp;RIGHT($W29,11)</f>
        <v>#REF!</v>
      </c>
    </row>
    <row r="30" spans="1:24" x14ac:dyDescent="0.25">
      <c r="A30" s="94">
        <f t="shared" ref="A30" si="24">$A26+1</f>
        <v>7</v>
      </c>
      <c r="B30" s="117" t="str">
        <f>IFERROR(INDEX(TBL_LNG_IMPORTERS_CONNECTIONS[Name],$A30),"")</f>
        <v/>
      </c>
      <c r="C30" s="93" t="str">
        <f t="shared" ref="C30:D30" si="25">IF($B30&lt;&gt;"",C26,"")</f>
        <v/>
      </c>
      <c r="D30" s="93" t="str">
        <f t="shared" si="25"/>
        <v/>
      </c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5"/>
      <c r="W30" s="31" t="e">
        <f>INDEX(TBL_LNG_IMPORTERS_CONNECTIONS[LNGImporterConnectionID],$A30)</f>
        <v>#REF!</v>
      </c>
      <c r="X30" s="31" t="e">
        <f>"LNGImporterCapMin_"&amp;RIGHT($W30,11)</f>
        <v>#REF!</v>
      </c>
    </row>
    <row r="31" spans="1:24" x14ac:dyDescent="0.25">
      <c r="A31" s="94">
        <f t="shared" ref="A31:A33" si="26">$A30</f>
        <v>7</v>
      </c>
      <c r="B31" s="118"/>
      <c r="C31" s="93" t="str">
        <f t="shared" ref="C31:D31" si="27">IF($B30&lt;&gt;"",C27,"")</f>
        <v/>
      </c>
      <c r="D31" s="93" t="str">
        <f t="shared" si="27"/>
        <v/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6"/>
      <c r="W31" s="31" t="e">
        <f>INDEX(TBL_LNG_IMPORTERS_CONNECTIONS[LNGImporterConnectionID],$A31)</f>
        <v>#REF!</v>
      </c>
      <c r="X31" s="31" t="e">
        <f>"LNGImporterCapMax_"&amp;RIGHT($W31,11)</f>
        <v>#REF!</v>
      </c>
    </row>
    <row r="32" spans="1:24" x14ac:dyDescent="0.25">
      <c r="A32" s="94">
        <f t="shared" si="26"/>
        <v>7</v>
      </c>
      <c r="B32" s="118"/>
      <c r="C32" s="93" t="str">
        <f t="shared" ref="C32:D32" si="28">IF($B30&lt;&gt;"",C28,"")</f>
        <v/>
      </c>
      <c r="D32" s="93" t="str">
        <f t="shared" si="28"/>
        <v/>
      </c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5"/>
      <c r="W32" s="31" t="e">
        <f>INDEX(TBL_LNG_IMPORTERS_CONNECTIONS[LNGImporterConnectionID],$A32)</f>
        <v>#REF!</v>
      </c>
      <c r="X32" s="31" t="e">
        <f>"LNGImporterTariffFixed_"&amp;RIGHT($W32,11)</f>
        <v>#REF!</v>
      </c>
    </row>
    <row r="33" spans="1:24" x14ac:dyDescent="0.25">
      <c r="A33" s="94">
        <f t="shared" si="26"/>
        <v>7</v>
      </c>
      <c r="B33" s="119"/>
      <c r="C33" s="93" t="str">
        <f t="shared" ref="C33:D33" si="29">IF($B30&lt;&gt;"",C29,"")</f>
        <v/>
      </c>
      <c r="D33" s="93" t="str">
        <f t="shared" si="29"/>
        <v/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6"/>
      <c r="W33" s="31" t="e">
        <f>INDEX(TBL_LNG_IMPORTERS_CONNECTIONS[LNGImporterConnectionID],$A33)</f>
        <v>#REF!</v>
      </c>
      <c r="X33" s="31" t="e">
        <f>"LNGImporterTariffVar_"&amp;RIGHT($W33,11)</f>
        <v>#REF!</v>
      </c>
    </row>
    <row r="34" spans="1:24" x14ac:dyDescent="0.25">
      <c r="A34" s="94">
        <f t="shared" ref="A34" si="30">$A30+1</f>
        <v>8</v>
      </c>
      <c r="B34" s="117" t="str">
        <f>IFERROR(INDEX(TBL_LNG_IMPORTERS_CONNECTIONS[Name],$A34),"")</f>
        <v/>
      </c>
      <c r="C34" s="93" t="str">
        <f t="shared" ref="C34:D34" si="31">IF($B34&lt;&gt;"",C30,"")</f>
        <v/>
      </c>
      <c r="D34" s="93" t="str">
        <f t="shared" si="31"/>
        <v/>
      </c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5"/>
      <c r="W34" s="31" t="e">
        <f>INDEX(TBL_LNG_IMPORTERS_CONNECTIONS[LNGImporterConnectionID],$A34)</f>
        <v>#REF!</v>
      </c>
      <c r="X34" s="31" t="e">
        <f>"LNGImporterCapMin_"&amp;RIGHT($W34,11)</f>
        <v>#REF!</v>
      </c>
    </row>
    <row r="35" spans="1:24" x14ac:dyDescent="0.25">
      <c r="A35" s="94">
        <f t="shared" ref="A35:A37" si="32">$A34</f>
        <v>8</v>
      </c>
      <c r="B35" s="118"/>
      <c r="C35" s="93" t="str">
        <f t="shared" ref="C35:D35" si="33">IF($B34&lt;&gt;"",C31,"")</f>
        <v/>
      </c>
      <c r="D35" s="93" t="str">
        <f t="shared" si="33"/>
        <v/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6"/>
      <c r="W35" s="31" t="e">
        <f>INDEX(TBL_LNG_IMPORTERS_CONNECTIONS[LNGImporterConnectionID],$A35)</f>
        <v>#REF!</v>
      </c>
      <c r="X35" s="31" t="e">
        <f>"LNGImporterCapMax_"&amp;RIGHT($W35,11)</f>
        <v>#REF!</v>
      </c>
    </row>
    <row r="36" spans="1:24" x14ac:dyDescent="0.25">
      <c r="A36" s="94">
        <f t="shared" si="32"/>
        <v>8</v>
      </c>
      <c r="B36" s="118"/>
      <c r="C36" s="93" t="str">
        <f t="shared" ref="C36:D36" si="34">IF($B34&lt;&gt;"",C32,"")</f>
        <v/>
      </c>
      <c r="D36" s="93" t="str">
        <f t="shared" si="34"/>
        <v/>
      </c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5"/>
      <c r="W36" s="31" t="e">
        <f>INDEX(TBL_LNG_IMPORTERS_CONNECTIONS[LNGImporterConnectionID],$A36)</f>
        <v>#REF!</v>
      </c>
      <c r="X36" s="31" t="e">
        <f>"LNGImporterTariffFixed_"&amp;RIGHT($W36,11)</f>
        <v>#REF!</v>
      </c>
    </row>
    <row r="37" spans="1:24" x14ac:dyDescent="0.25">
      <c r="A37" s="94">
        <f t="shared" si="32"/>
        <v>8</v>
      </c>
      <c r="B37" s="119"/>
      <c r="C37" s="93" t="str">
        <f t="shared" ref="C37:D37" si="35">IF($B34&lt;&gt;"",C33,"")</f>
        <v/>
      </c>
      <c r="D37" s="93" t="str">
        <f t="shared" si="35"/>
        <v/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6"/>
      <c r="W37" s="31" t="e">
        <f>INDEX(TBL_LNG_IMPORTERS_CONNECTIONS[LNGImporterConnectionID],$A37)</f>
        <v>#REF!</v>
      </c>
      <c r="X37" s="31" t="e">
        <f>"LNGImporterTariffVar_"&amp;RIGHT($W37,11)</f>
        <v>#REF!</v>
      </c>
    </row>
    <row r="38" spans="1:24" x14ac:dyDescent="0.25">
      <c r="A38" s="94">
        <f t="shared" ref="A38" si="36">$A34+1</f>
        <v>9</v>
      </c>
      <c r="B38" s="117" t="str">
        <f>IFERROR(INDEX(TBL_LNG_IMPORTERS_CONNECTIONS[Name],$A38),"")</f>
        <v/>
      </c>
      <c r="C38" s="93" t="str">
        <f t="shared" ref="C38:D38" si="37">IF($B38&lt;&gt;"",C34,"")</f>
        <v/>
      </c>
      <c r="D38" s="93" t="str">
        <f t="shared" si="37"/>
        <v/>
      </c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5"/>
      <c r="W38" s="31" t="e">
        <f>INDEX(TBL_LNG_IMPORTERS_CONNECTIONS[LNGImporterConnectionID],$A38)</f>
        <v>#REF!</v>
      </c>
      <c r="X38" s="31" t="e">
        <f>"LNGImporterCapMin_"&amp;RIGHT($W38,11)</f>
        <v>#REF!</v>
      </c>
    </row>
    <row r="39" spans="1:24" x14ac:dyDescent="0.25">
      <c r="A39" s="94">
        <f t="shared" ref="A39:A57" si="38">$A38</f>
        <v>9</v>
      </c>
      <c r="B39" s="118"/>
      <c r="C39" s="93" t="str">
        <f t="shared" ref="C39:D39" si="39">IF($B38&lt;&gt;"",C35,"")</f>
        <v/>
      </c>
      <c r="D39" s="93" t="str">
        <f t="shared" si="39"/>
        <v/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6"/>
      <c r="W39" s="31" t="e">
        <f>INDEX(TBL_LNG_IMPORTERS_CONNECTIONS[LNGImporterConnectionID],$A39)</f>
        <v>#REF!</v>
      </c>
      <c r="X39" s="31" t="e">
        <f>"LNGImporterCapMax_"&amp;RIGHT($W39,11)</f>
        <v>#REF!</v>
      </c>
    </row>
    <row r="40" spans="1:24" x14ac:dyDescent="0.25">
      <c r="A40" s="94">
        <f t="shared" si="38"/>
        <v>9</v>
      </c>
      <c r="B40" s="118"/>
      <c r="C40" s="93" t="str">
        <f t="shared" ref="C40:D40" si="40">IF($B38&lt;&gt;"",C36,"")</f>
        <v/>
      </c>
      <c r="D40" s="93" t="str">
        <f t="shared" si="40"/>
        <v/>
      </c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5"/>
      <c r="W40" s="31" t="e">
        <f>INDEX(TBL_LNG_IMPORTERS_CONNECTIONS[LNGImporterConnectionID],$A40)</f>
        <v>#REF!</v>
      </c>
      <c r="X40" s="31" t="e">
        <f>"LNGImporterTariffFixed_"&amp;RIGHT($W40,11)</f>
        <v>#REF!</v>
      </c>
    </row>
    <row r="41" spans="1:24" x14ac:dyDescent="0.25">
      <c r="A41" s="94">
        <f t="shared" si="38"/>
        <v>9</v>
      </c>
      <c r="B41" s="119"/>
      <c r="C41" s="93" t="str">
        <f t="shared" ref="C41:D41" si="41">IF($B38&lt;&gt;"",C37,"")</f>
        <v/>
      </c>
      <c r="D41" s="93" t="str">
        <f t="shared" si="41"/>
        <v/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6"/>
      <c r="W41" s="31" t="e">
        <f>INDEX(TBL_LNG_IMPORTERS_CONNECTIONS[LNGImporterConnectionID],$A41)</f>
        <v>#REF!</v>
      </c>
      <c r="X41" s="31" t="e">
        <f>"LNGImporterTariffVar_"&amp;RIGHT($W41,11)</f>
        <v>#REF!</v>
      </c>
    </row>
    <row r="42" spans="1:24" x14ac:dyDescent="0.25">
      <c r="A42" s="94">
        <f t="shared" ref="A42" si="42">$A38+1</f>
        <v>10</v>
      </c>
      <c r="B42" s="117" t="str">
        <f>IFERROR(INDEX(TBL_LNG_IMPORTERS_CONNECTIONS[Name],$A42),"")</f>
        <v/>
      </c>
      <c r="C42" s="93" t="str">
        <f t="shared" ref="C42:D42" si="43">IF($B42&lt;&gt;"",C38,"")</f>
        <v/>
      </c>
      <c r="D42" s="93" t="str">
        <f t="shared" si="43"/>
        <v/>
      </c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5"/>
      <c r="W42" s="31" t="e">
        <f>INDEX(TBL_LNG_IMPORTERS_CONNECTIONS[LNGImporterConnectionID],$A42)</f>
        <v>#REF!</v>
      </c>
      <c r="X42" s="31" t="e">
        <f>"LNGImporterCapMin_"&amp;RIGHT($W42,11)</f>
        <v>#REF!</v>
      </c>
    </row>
    <row r="43" spans="1:24" x14ac:dyDescent="0.25">
      <c r="A43" s="94">
        <f t="shared" si="38"/>
        <v>10</v>
      </c>
      <c r="B43" s="118"/>
      <c r="C43" s="93" t="str">
        <f t="shared" ref="C43:D43" si="44">IF($B42&lt;&gt;"",C39,"")</f>
        <v/>
      </c>
      <c r="D43" s="93" t="str">
        <f t="shared" si="44"/>
        <v/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6"/>
      <c r="W43" s="31" t="e">
        <f>INDEX(TBL_LNG_IMPORTERS_CONNECTIONS[LNGImporterConnectionID],$A43)</f>
        <v>#REF!</v>
      </c>
      <c r="X43" s="31" t="e">
        <f>"LNGImporterCapMax_"&amp;RIGHT($W43,11)</f>
        <v>#REF!</v>
      </c>
    </row>
    <row r="44" spans="1:24" x14ac:dyDescent="0.25">
      <c r="A44" s="94">
        <f t="shared" si="38"/>
        <v>10</v>
      </c>
      <c r="B44" s="118"/>
      <c r="C44" s="93" t="str">
        <f t="shared" ref="C44:D44" si="45">IF($B42&lt;&gt;"",C40,"")</f>
        <v/>
      </c>
      <c r="D44" s="93" t="str">
        <f t="shared" si="45"/>
        <v/>
      </c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5"/>
      <c r="W44" s="31" t="e">
        <f>INDEX(TBL_LNG_IMPORTERS_CONNECTIONS[LNGImporterConnectionID],$A44)</f>
        <v>#REF!</v>
      </c>
      <c r="X44" s="31" t="e">
        <f>"LNGImporterTariffFixed_"&amp;RIGHT($W44,11)</f>
        <v>#REF!</v>
      </c>
    </row>
    <row r="45" spans="1:24" x14ac:dyDescent="0.25">
      <c r="A45" s="94">
        <f t="shared" si="38"/>
        <v>10</v>
      </c>
      <c r="B45" s="119"/>
      <c r="C45" s="93" t="str">
        <f t="shared" ref="C45:D45" si="46">IF($B42&lt;&gt;"",C41,"")</f>
        <v/>
      </c>
      <c r="D45" s="93" t="str">
        <f t="shared" si="46"/>
        <v/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6"/>
      <c r="W45" s="31" t="e">
        <f>INDEX(TBL_LNG_IMPORTERS_CONNECTIONS[LNGImporterConnectionID],$A45)</f>
        <v>#REF!</v>
      </c>
      <c r="X45" s="31" t="e">
        <f>"LNGImporterTariffVar_"&amp;RIGHT($W45,11)</f>
        <v>#REF!</v>
      </c>
    </row>
    <row r="46" spans="1:24" x14ac:dyDescent="0.25">
      <c r="A46" s="94">
        <f t="shared" ref="A46" si="47">$A42+1</f>
        <v>11</v>
      </c>
      <c r="B46" s="117" t="str">
        <f>IFERROR(INDEX(TBL_LNG_IMPORTERS_CONNECTIONS[Name],$A46),"")</f>
        <v/>
      </c>
      <c r="C46" s="93" t="str">
        <f t="shared" ref="C46:D46" si="48">IF($B46&lt;&gt;"",C42,"")</f>
        <v/>
      </c>
      <c r="D46" s="93" t="str">
        <f t="shared" si="48"/>
        <v/>
      </c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5"/>
      <c r="W46" s="31" t="e">
        <f>INDEX(TBL_LNG_IMPORTERS_CONNECTIONS[LNGImporterConnectionID],$A46)</f>
        <v>#REF!</v>
      </c>
      <c r="X46" s="31" t="e">
        <f>"LNGImporterCapMin_"&amp;RIGHT($W46,11)</f>
        <v>#REF!</v>
      </c>
    </row>
    <row r="47" spans="1:24" x14ac:dyDescent="0.25">
      <c r="A47" s="94">
        <f t="shared" si="38"/>
        <v>11</v>
      </c>
      <c r="B47" s="118"/>
      <c r="C47" s="93" t="str">
        <f t="shared" ref="C47:D47" si="49">IF($B46&lt;&gt;"",C43,"")</f>
        <v/>
      </c>
      <c r="D47" s="93" t="str">
        <f t="shared" si="49"/>
        <v/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6"/>
      <c r="W47" s="31" t="e">
        <f>INDEX(TBL_LNG_IMPORTERS_CONNECTIONS[LNGImporterConnectionID],$A47)</f>
        <v>#REF!</v>
      </c>
      <c r="X47" s="31" t="e">
        <f>"LNGImporterCapMax_"&amp;RIGHT($W47,11)</f>
        <v>#REF!</v>
      </c>
    </row>
    <row r="48" spans="1:24" x14ac:dyDescent="0.25">
      <c r="A48" s="94">
        <f t="shared" si="38"/>
        <v>11</v>
      </c>
      <c r="B48" s="118"/>
      <c r="C48" s="93" t="str">
        <f t="shared" ref="C48:D48" si="50">IF($B46&lt;&gt;"",C44,"")</f>
        <v/>
      </c>
      <c r="D48" s="93" t="str">
        <f t="shared" si="50"/>
        <v/>
      </c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5"/>
      <c r="W48" s="31" t="e">
        <f>INDEX(TBL_LNG_IMPORTERS_CONNECTIONS[LNGImporterConnectionID],$A48)</f>
        <v>#REF!</v>
      </c>
      <c r="X48" s="31" t="e">
        <f>"LNGImporterTariffFixed_"&amp;RIGHT($W48,11)</f>
        <v>#REF!</v>
      </c>
    </row>
    <row r="49" spans="1:24" x14ac:dyDescent="0.25">
      <c r="A49" s="94">
        <f t="shared" si="38"/>
        <v>11</v>
      </c>
      <c r="B49" s="119"/>
      <c r="C49" s="93" t="str">
        <f t="shared" ref="C49:D49" si="51">IF($B46&lt;&gt;"",C45,"")</f>
        <v/>
      </c>
      <c r="D49" s="93" t="str">
        <f t="shared" si="51"/>
        <v/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6"/>
      <c r="W49" s="31" t="e">
        <f>INDEX(TBL_LNG_IMPORTERS_CONNECTIONS[LNGImporterConnectionID],$A49)</f>
        <v>#REF!</v>
      </c>
      <c r="X49" s="31" t="e">
        <f>"LNGImporterTariffVar_"&amp;RIGHT($W49,11)</f>
        <v>#REF!</v>
      </c>
    </row>
    <row r="50" spans="1:24" x14ac:dyDescent="0.25">
      <c r="A50" s="94">
        <f t="shared" ref="A50" si="52">$A46+1</f>
        <v>12</v>
      </c>
      <c r="B50" s="117" t="str">
        <f>IFERROR(INDEX(TBL_LNG_IMPORTERS_CONNECTIONS[Name],$A50),"")</f>
        <v/>
      </c>
      <c r="C50" s="93" t="str">
        <f t="shared" ref="C50:D50" si="53">IF($B50&lt;&gt;"",C46,"")</f>
        <v/>
      </c>
      <c r="D50" s="93" t="str">
        <f t="shared" si="53"/>
        <v/>
      </c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5"/>
      <c r="W50" s="31" t="e">
        <f>INDEX(TBL_LNG_IMPORTERS_CONNECTIONS[LNGImporterConnectionID],$A50)</f>
        <v>#REF!</v>
      </c>
      <c r="X50" s="31" t="e">
        <f>"LNGImporterCapMin_"&amp;RIGHT($W50,11)</f>
        <v>#REF!</v>
      </c>
    </row>
    <row r="51" spans="1:24" x14ac:dyDescent="0.25">
      <c r="A51" s="94">
        <f t="shared" si="38"/>
        <v>12</v>
      </c>
      <c r="B51" s="118"/>
      <c r="C51" s="93" t="str">
        <f t="shared" ref="C51:D51" si="54">IF($B50&lt;&gt;"",C47,"")</f>
        <v/>
      </c>
      <c r="D51" s="93" t="str">
        <f t="shared" si="54"/>
        <v/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6"/>
      <c r="W51" s="31" t="e">
        <f>INDEX(TBL_LNG_IMPORTERS_CONNECTIONS[LNGImporterConnectionID],$A51)</f>
        <v>#REF!</v>
      </c>
      <c r="X51" s="31" t="e">
        <f>"LNGImporterCapMax_"&amp;RIGHT($W51,11)</f>
        <v>#REF!</v>
      </c>
    </row>
    <row r="52" spans="1:24" x14ac:dyDescent="0.25">
      <c r="A52" s="94">
        <f t="shared" si="38"/>
        <v>12</v>
      </c>
      <c r="B52" s="118"/>
      <c r="C52" s="93" t="str">
        <f t="shared" ref="C52:D52" si="55">IF($B50&lt;&gt;"",C48,"")</f>
        <v/>
      </c>
      <c r="D52" s="93" t="str">
        <f t="shared" si="55"/>
        <v/>
      </c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5"/>
      <c r="W52" s="31" t="e">
        <f>INDEX(TBL_LNG_IMPORTERS_CONNECTIONS[LNGImporterConnectionID],$A52)</f>
        <v>#REF!</v>
      </c>
      <c r="X52" s="31" t="e">
        <f>"LNGImporterTariffFixed_"&amp;RIGHT($W52,11)</f>
        <v>#REF!</v>
      </c>
    </row>
    <row r="53" spans="1:24" x14ac:dyDescent="0.25">
      <c r="A53" s="94">
        <f t="shared" si="38"/>
        <v>12</v>
      </c>
      <c r="B53" s="119"/>
      <c r="C53" s="93" t="str">
        <f t="shared" ref="C53:D53" si="56">IF($B50&lt;&gt;"",C49,"")</f>
        <v/>
      </c>
      <c r="D53" s="93" t="str">
        <f t="shared" si="56"/>
        <v/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6"/>
      <c r="W53" s="31" t="e">
        <f>INDEX(TBL_LNG_IMPORTERS_CONNECTIONS[LNGImporterConnectionID],$A53)</f>
        <v>#REF!</v>
      </c>
      <c r="X53" s="31" t="e">
        <f>"LNGImporterTariffVar_"&amp;RIGHT($W53,11)</f>
        <v>#REF!</v>
      </c>
    </row>
    <row r="54" spans="1:24" x14ac:dyDescent="0.25">
      <c r="A54" s="94">
        <f t="shared" ref="A54" si="57">$A50+1</f>
        <v>13</v>
      </c>
      <c r="B54" s="117" t="str">
        <f>IFERROR(INDEX(TBL_LNG_IMPORTERS_CONNECTIONS[Name],$A54),"")</f>
        <v/>
      </c>
      <c r="C54" s="93" t="str">
        <f t="shared" ref="C54:D54" si="58">IF($B54&lt;&gt;"",C50,"")</f>
        <v/>
      </c>
      <c r="D54" s="93" t="str">
        <f t="shared" si="58"/>
        <v/>
      </c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5"/>
      <c r="W54" s="31" t="e">
        <f>INDEX(TBL_LNG_IMPORTERS_CONNECTIONS[LNGImporterConnectionID],$A54)</f>
        <v>#REF!</v>
      </c>
      <c r="X54" s="31" t="e">
        <f>"LNGImporterCapMin_"&amp;RIGHT($W54,11)</f>
        <v>#REF!</v>
      </c>
    </row>
    <row r="55" spans="1:24" x14ac:dyDescent="0.25">
      <c r="A55" s="94">
        <f t="shared" si="38"/>
        <v>13</v>
      </c>
      <c r="B55" s="118"/>
      <c r="C55" s="93" t="str">
        <f t="shared" ref="C55:D55" si="59">IF($B54&lt;&gt;"",C51,"")</f>
        <v/>
      </c>
      <c r="D55" s="93" t="str">
        <f t="shared" si="59"/>
        <v/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6"/>
      <c r="W55" s="31" t="e">
        <f>INDEX(TBL_LNG_IMPORTERS_CONNECTIONS[LNGImporterConnectionID],$A55)</f>
        <v>#REF!</v>
      </c>
      <c r="X55" s="31" t="e">
        <f>"LNGImporterCapMax_"&amp;RIGHT($W55,11)</f>
        <v>#REF!</v>
      </c>
    </row>
    <row r="56" spans="1:24" x14ac:dyDescent="0.25">
      <c r="A56" s="94">
        <f t="shared" si="38"/>
        <v>13</v>
      </c>
      <c r="B56" s="118"/>
      <c r="C56" s="93" t="str">
        <f t="shared" ref="C56:D56" si="60">IF($B54&lt;&gt;"",C52,"")</f>
        <v/>
      </c>
      <c r="D56" s="93" t="str">
        <f t="shared" si="60"/>
        <v/>
      </c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5"/>
      <c r="W56" s="31" t="e">
        <f>INDEX(TBL_LNG_IMPORTERS_CONNECTIONS[LNGImporterConnectionID],$A56)</f>
        <v>#REF!</v>
      </c>
      <c r="X56" s="31" t="e">
        <f>"LNGImporterTariffFixed_"&amp;RIGHT($W56,11)</f>
        <v>#REF!</v>
      </c>
    </row>
    <row r="57" spans="1:24" x14ac:dyDescent="0.25">
      <c r="A57" s="94">
        <f t="shared" si="38"/>
        <v>13</v>
      </c>
      <c r="B57" s="119"/>
      <c r="C57" s="93" t="str">
        <f t="shared" ref="C57:D57" si="61">IF($B54&lt;&gt;"",C53,"")</f>
        <v/>
      </c>
      <c r="D57" s="93" t="str">
        <f t="shared" si="61"/>
        <v/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6"/>
      <c r="W57" s="31" t="e">
        <f>INDEX(TBL_LNG_IMPORTERS_CONNECTIONS[LNGImporterConnectionID],$A57)</f>
        <v>#REF!</v>
      </c>
      <c r="X57" s="31" t="e">
        <f>"LNGImporterTariffVar_"&amp;RIGHT($W57,11)</f>
        <v>#REF!</v>
      </c>
    </row>
    <row r="58" spans="1:24" x14ac:dyDescent="0.25">
      <c r="A58" s="94">
        <f t="shared" ref="A58" si="62">$A54+1</f>
        <v>14</v>
      </c>
      <c r="B58" s="117" t="str">
        <f>IFERROR(INDEX(TBL_LNG_IMPORTERS_CONNECTIONS[Name],$A58),"")</f>
        <v/>
      </c>
      <c r="C58" s="93" t="str">
        <f t="shared" ref="C58:D58" si="63">IF($B58&lt;&gt;"",C54,"")</f>
        <v/>
      </c>
      <c r="D58" s="93" t="str">
        <f t="shared" si="63"/>
        <v/>
      </c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5"/>
      <c r="W58" s="31" t="e">
        <f>INDEX(TBL_LNG_IMPORTERS_CONNECTIONS[LNGImporterConnectionID],$A58)</f>
        <v>#REF!</v>
      </c>
      <c r="X58" s="31" t="e">
        <f>"LNGImporterCapMin_"&amp;RIGHT($W58,11)</f>
        <v>#REF!</v>
      </c>
    </row>
    <row r="59" spans="1:24" x14ac:dyDescent="0.25">
      <c r="A59" s="94">
        <f t="shared" ref="A59:A61" si="64">$A58</f>
        <v>14</v>
      </c>
      <c r="B59" s="118"/>
      <c r="C59" s="93" t="str">
        <f t="shared" ref="C59:D59" si="65">IF($B58&lt;&gt;"",C55,"")</f>
        <v/>
      </c>
      <c r="D59" s="93" t="str">
        <f t="shared" si="65"/>
        <v/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6"/>
      <c r="W59" s="31" t="e">
        <f>INDEX(TBL_LNG_IMPORTERS_CONNECTIONS[LNGImporterConnectionID],$A59)</f>
        <v>#REF!</v>
      </c>
      <c r="X59" s="31" t="e">
        <f>"LNGImporterCapMax_"&amp;RIGHT($W59,11)</f>
        <v>#REF!</v>
      </c>
    </row>
    <row r="60" spans="1:24" x14ac:dyDescent="0.25">
      <c r="A60" s="94">
        <f t="shared" si="64"/>
        <v>14</v>
      </c>
      <c r="B60" s="118"/>
      <c r="C60" s="93" t="str">
        <f t="shared" ref="C60:D60" si="66">IF($B58&lt;&gt;"",C56,"")</f>
        <v/>
      </c>
      <c r="D60" s="93" t="str">
        <f t="shared" si="66"/>
        <v/>
      </c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5"/>
      <c r="W60" s="31" t="e">
        <f>INDEX(TBL_LNG_IMPORTERS_CONNECTIONS[LNGImporterConnectionID],$A60)</f>
        <v>#REF!</v>
      </c>
      <c r="X60" s="31" t="e">
        <f>"LNGImporterTariffFixed_"&amp;RIGHT($W60,11)</f>
        <v>#REF!</v>
      </c>
    </row>
    <row r="61" spans="1:24" x14ac:dyDescent="0.25">
      <c r="A61" s="94">
        <f t="shared" si="64"/>
        <v>14</v>
      </c>
      <c r="B61" s="119"/>
      <c r="C61" s="93" t="str">
        <f t="shared" ref="C61:D61" si="67">IF($B58&lt;&gt;"",C57,"")</f>
        <v/>
      </c>
      <c r="D61" s="93" t="str">
        <f t="shared" si="67"/>
        <v/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6"/>
      <c r="W61" s="31" t="e">
        <f>INDEX(TBL_LNG_IMPORTERS_CONNECTIONS[LNGImporterConnectionID],$A61)</f>
        <v>#REF!</v>
      </c>
      <c r="X61" s="31" t="e">
        <f>"LNGImporterTariffVar_"&amp;RIGHT($W61,11)</f>
        <v>#REF!</v>
      </c>
    </row>
    <row r="62" spans="1:24" x14ac:dyDescent="0.25">
      <c r="A62" s="94">
        <f t="shared" ref="A62" si="68">$A58+1</f>
        <v>15</v>
      </c>
      <c r="B62" s="117" t="str">
        <f>IFERROR(INDEX(TBL_LNG_IMPORTERS_CONNECTIONS[Name],$A62),"")</f>
        <v/>
      </c>
      <c r="C62" s="93" t="str">
        <f t="shared" ref="C62:D62" si="69">IF($B62&lt;&gt;"",C58,"")</f>
        <v/>
      </c>
      <c r="D62" s="93" t="str">
        <f t="shared" si="69"/>
        <v/>
      </c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5"/>
      <c r="W62" s="31" t="e">
        <f>INDEX(TBL_LNG_IMPORTERS_CONNECTIONS[LNGImporterConnectionID],$A62)</f>
        <v>#REF!</v>
      </c>
      <c r="X62" s="31" t="e">
        <f>"LNGImporterCapMin_"&amp;RIGHT($W62,11)</f>
        <v>#REF!</v>
      </c>
    </row>
    <row r="63" spans="1:24" x14ac:dyDescent="0.25">
      <c r="A63" s="94">
        <f t="shared" ref="A63:A65" si="70">$A62</f>
        <v>15</v>
      </c>
      <c r="B63" s="118"/>
      <c r="C63" s="93" t="str">
        <f t="shared" ref="C63:D63" si="71">IF($B62&lt;&gt;"",C59,"")</f>
        <v/>
      </c>
      <c r="D63" s="93" t="str">
        <f t="shared" si="71"/>
        <v/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6"/>
      <c r="W63" s="31" t="e">
        <f>INDEX(TBL_LNG_IMPORTERS_CONNECTIONS[LNGImporterConnectionID],$A63)</f>
        <v>#REF!</v>
      </c>
      <c r="X63" s="31" t="e">
        <f>"LNGImporterCapMax_"&amp;RIGHT($W63,11)</f>
        <v>#REF!</v>
      </c>
    </row>
    <row r="64" spans="1:24" x14ac:dyDescent="0.25">
      <c r="A64" s="94">
        <f t="shared" si="70"/>
        <v>15</v>
      </c>
      <c r="B64" s="118"/>
      <c r="C64" s="93" t="str">
        <f t="shared" ref="C64:D64" si="72">IF($B62&lt;&gt;"",C60,"")</f>
        <v/>
      </c>
      <c r="D64" s="93" t="str">
        <f t="shared" si="72"/>
        <v/>
      </c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5"/>
      <c r="W64" s="31" t="e">
        <f>INDEX(TBL_LNG_IMPORTERS_CONNECTIONS[LNGImporterConnectionID],$A64)</f>
        <v>#REF!</v>
      </c>
      <c r="X64" s="31" t="e">
        <f>"LNGImporterTariffFixed_"&amp;RIGHT($W64,11)</f>
        <v>#REF!</v>
      </c>
    </row>
    <row r="65" spans="1:24" x14ac:dyDescent="0.25">
      <c r="A65" s="94">
        <f t="shared" si="70"/>
        <v>15</v>
      </c>
      <c r="B65" s="119"/>
      <c r="C65" s="93" t="str">
        <f t="shared" ref="C65:D65" si="73">IF($B62&lt;&gt;"",C61,"")</f>
        <v/>
      </c>
      <c r="D65" s="93" t="str">
        <f t="shared" si="73"/>
        <v/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6"/>
      <c r="W65" s="31" t="e">
        <f>INDEX(TBL_LNG_IMPORTERS_CONNECTIONS[LNGImporterConnectionID],$A65)</f>
        <v>#REF!</v>
      </c>
      <c r="X65" s="31" t="e">
        <f>"LNGImporterTariffVar_"&amp;RIGHT($W65,11)</f>
        <v>#REF!</v>
      </c>
    </row>
    <row r="66" spans="1:24" x14ac:dyDescent="0.25">
      <c r="A66" s="94">
        <f t="shared" ref="A66" si="74">$A62+1</f>
        <v>16</v>
      </c>
      <c r="B66" s="117" t="str">
        <f>IFERROR(INDEX(TBL_LNG_IMPORTERS_CONNECTIONS[Name],$A66),"")</f>
        <v/>
      </c>
      <c r="C66" s="93" t="str">
        <f t="shared" ref="C66:D66" si="75">IF($B66&lt;&gt;"",C62,"")</f>
        <v/>
      </c>
      <c r="D66" s="93" t="str">
        <f t="shared" si="75"/>
        <v/>
      </c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5"/>
      <c r="W66" s="31" t="e">
        <f>INDEX(TBL_LNG_IMPORTERS_CONNECTIONS[LNGImporterConnectionID],$A66)</f>
        <v>#REF!</v>
      </c>
      <c r="X66" s="31" t="e">
        <f>"LNGImporterCapMin_"&amp;RIGHT($W66,11)</f>
        <v>#REF!</v>
      </c>
    </row>
    <row r="67" spans="1:24" x14ac:dyDescent="0.25">
      <c r="A67" s="94">
        <f t="shared" ref="A67:A69" si="76">$A66</f>
        <v>16</v>
      </c>
      <c r="B67" s="118"/>
      <c r="C67" s="93" t="str">
        <f t="shared" ref="C67:D67" si="77">IF($B66&lt;&gt;"",C63,"")</f>
        <v/>
      </c>
      <c r="D67" s="93" t="str">
        <f t="shared" si="77"/>
        <v/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6"/>
      <c r="W67" s="31" t="e">
        <f>INDEX(TBL_LNG_IMPORTERS_CONNECTIONS[LNGImporterConnectionID],$A67)</f>
        <v>#REF!</v>
      </c>
      <c r="X67" s="31" t="e">
        <f>"LNGImporterCapMax_"&amp;RIGHT($W67,11)</f>
        <v>#REF!</v>
      </c>
    </row>
    <row r="68" spans="1:24" x14ac:dyDescent="0.25">
      <c r="A68" s="94">
        <f t="shared" si="76"/>
        <v>16</v>
      </c>
      <c r="B68" s="118"/>
      <c r="C68" s="93" t="str">
        <f t="shared" ref="C68:D68" si="78">IF($B66&lt;&gt;"",C64,"")</f>
        <v/>
      </c>
      <c r="D68" s="93" t="str">
        <f t="shared" si="78"/>
        <v/>
      </c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5"/>
      <c r="W68" s="31" t="e">
        <f>INDEX(TBL_LNG_IMPORTERS_CONNECTIONS[LNGImporterConnectionID],$A68)</f>
        <v>#REF!</v>
      </c>
      <c r="X68" s="31" t="e">
        <f>"LNGImporterTariffFixed_"&amp;RIGHT($W68,11)</f>
        <v>#REF!</v>
      </c>
    </row>
    <row r="69" spans="1:24" x14ac:dyDescent="0.25">
      <c r="A69" s="94">
        <f t="shared" si="76"/>
        <v>16</v>
      </c>
      <c r="B69" s="119"/>
      <c r="C69" s="93" t="str">
        <f t="shared" ref="C69:D69" si="79">IF($B66&lt;&gt;"",C65,"")</f>
        <v/>
      </c>
      <c r="D69" s="93" t="str">
        <f t="shared" si="79"/>
        <v/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6"/>
      <c r="W69" s="31" t="e">
        <f>INDEX(TBL_LNG_IMPORTERS_CONNECTIONS[LNGImporterConnectionID],$A69)</f>
        <v>#REF!</v>
      </c>
      <c r="X69" s="31" t="e">
        <f>"LNGImporterTariffVar_"&amp;RIGHT($W69,11)</f>
        <v>#REF!</v>
      </c>
    </row>
    <row r="70" spans="1:24" x14ac:dyDescent="0.25">
      <c r="A70" s="94">
        <f t="shared" ref="A70" si="80">$A66+1</f>
        <v>17</v>
      </c>
      <c r="B70" s="117" t="str">
        <f>IFERROR(INDEX(TBL_LNG_IMPORTERS_CONNECTIONS[Name],$A70),"")</f>
        <v/>
      </c>
      <c r="C70" s="93" t="str">
        <f t="shared" ref="C70:D70" si="81">IF($B70&lt;&gt;"",C66,"")</f>
        <v/>
      </c>
      <c r="D70" s="93" t="str">
        <f t="shared" si="81"/>
        <v/>
      </c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5"/>
      <c r="W70" s="31" t="e">
        <f>INDEX(TBL_LNG_IMPORTERS_CONNECTIONS[LNGImporterConnectionID],$A70)</f>
        <v>#REF!</v>
      </c>
      <c r="X70" s="31" t="e">
        <f>"LNGImporterCapMin_"&amp;RIGHT($W70,11)</f>
        <v>#REF!</v>
      </c>
    </row>
    <row r="71" spans="1:24" x14ac:dyDescent="0.25">
      <c r="A71" s="94">
        <f t="shared" ref="A71:A73" si="82">$A70</f>
        <v>17</v>
      </c>
      <c r="B71" s="118"/>
      <c r="C71" s="93" t="str">
        <f t="shared" ref="C71:D71" si="83">IF($B70&lt;&gt;"",C67,"")</f>
        <v/>
      </c>
      <c r="D71" s="93" t="str">
        <f t="shared" si="83"/>
        <v/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6"/>
      <c r="W71" s="31" t="e">
        <f>INDEX(TBL_LNG_IMPORTERS_CONNECTIONS[LNGImporterConnectionID],$A71)</f>
        <v>#REF!</v>
      </c>
      <c r="X71" s="31" t="e">
        <f>"LNGImporterCapMax_"&amp;RIGHT($W71,11)</f>
        <v>#REF!</v>
      </c>
    </row>
    <row r="72" spans="1:24" x14ac:dyDescent="0.25">
      <c r="A72" s="94">
        <f t="shared" si="82"/>
        <v>17</v>
      </c>
      <c r="B72" s="118"/>
      <c r="C72" s="93" t="str">
        <f t="shared" ref="C72:D72" si="84">IF($B70&lt;&gt;"",C68,"")</f>
        <v/>
      </c>
      <c r="D72" s="93" t="str">
        <f t="shared" si="84"/>
        <v/>
      </c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5"/>
      <c r="W72" s="31" t="e">
        <f>INDEX(TBL_LNG_IMPORTERS_CONNECTIONS[LNGImporterConnectionID],$A72)</f>
        <v>#REF!</v>
      </c>
      <c r="X72" s="31" t="e">
        <f>"LNGImporterTariffFixed_"&amp;RIGHT($W72,11)</f>
        <v>#REF!</v>
      </c>
    </row>
    <row r="73" spans="1:24" x14ac:dyDescent="0.25">
      <c r="A73" s="94">
        <f t="shared" si="82"/>
        <v>17</v>
      </c>
      <c r="B73" s="119"/>
      <c r="C73" s="93" t="str">
        <f t="shared" ref="C73:D73" si="85">IF($B70&lt;&gt;"",C69,"")</f>
        <v/>
      </c>
      <c r="D73" s="93" t="str">
        <f t="shared" si="85"/>
        <v/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6"/>
      <c r="W73" s="31" t="e">
        <f>INDEX(TBL_LNG_IMPORTERS_CONNECTIONS[LNGImporterConnectionID],$A73)</f>
        <v>#REF!</v>
      </c>
      <c r="X73" s="31" t="e">
        <f>"LNGImporterTariffVar_"&amp;RIGHT($W73,11)</f>
        <v>#REF!</v>
      </c>
    </row>
    <row r="74" spans="1:24" x14ac:dyDescent="0.25">
      <c r="A74" s="94">
        <f t="shared" ref="A74" si="86">$A70+1</f>
        <v>18</v>
      </c>
      <c r="B74" s="117" t="str">
        <f>IFERROR(INDEX(TBL_LNG_IMPORTERS_CONNECTIONS[Name],$A74),"")</f>
        <v/>
      </c>
      <c r="C74" s="93" t="str">
        <f t="shared" ref="C74:D74" si="87">IF($B74&lt;&gt;"",C70,"")</f>
        <v/>
      </c>
      <c r="D74" s="93" t="str">
        <f t="shared" si="87"/>
        <v/>
      </c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5"/>
      <c r="W74" s="31" t="e">
        <f>INDEX(TBL_LNG_IMPORTERS_CONNECTIONS[LNGImporterConnectionID],$A74)</f>
        <v>#REF!</v>
      </c>
      <c r="X74" s="31" t="e">
        <f>"LNGImporterCapMin_"&amp;RIGHT($W74,11)</f>
        <v>#REF!</v>
      </c>
    </row>
    <row r="75" spans="1:24" x14ac:dyDescent="0.25">
      <c r="A75" s="94">
        <f t="shared" ref="A75:A77" si="88">$A74</f>
        <v>18</v>
      </c>
      <c r="B75" s="118"/>
      <c r="C75" s="93" t="str">
        <f t="shared" ref="C75:D75" si="89">IF($B74&lt;&gt;"",C71,"")</f>
        <v/>
      </c>
      <c r="D75" s="93" t="str">
        <f t="shared" si="89"/>
        <v/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6"/>
      <c r="W75" s="31" t="e">
        <f>INDEX(TBL_LNG_IMPORTERS_CONNECTIONS[LNGImporterConnectionID],$A75)</f>
        <v>#REF!</v>
      </c>
      <c r="X75" s="31" t="e">
        <f>"LNGImporterCapMax_"&amp;RIGHT($W75,11)</f>
        <v>#REF!</v>
      </c>
    </row>
    <row r="76" spans="1:24" x14ac:dyDescent="0.25">
      <c r="A76" s="94">
        <f t="shared" si="88"/>
        <v>18</v>
      </c>
      <c r="B76" s="118"/>
      <c r="C76" s="93" t="str">
        <f t="shared" ref="C76:D76" si="90">IF($B74&lt;&gt;"",C72,"")</f>
        <v/>
      </c>
      <c r="D76" s="93" t="str">
        <f t="shared" si="90"/>
        <v/>
      </c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5"/>
      <c r="W76" s="31" t="e">
        <f>INDEX(TBL_LNG_IMPORTERS_CONNECTIONS[LNGImporterConnectionID],$A76)</f>
        <v>#REF!</v>
      </c>
      <c r="X76" s="31" t="e">
        <f>"LNGImporterTariffFixed_"&amp;RIGHT($W76,11)</f>
        <v>#REF!</v>
      </c>
    </row>
    <row r="77" spans="1:24" x14ac:dyDescent="0.25">
      <c r="A77" s="94">
        <f t="shared" si="88"/>
        <v>18</v>
      </c>
      <c r="B77" s="119"/>
      <c r="C77" s="93" t="str">
        <f t="shared" ref="C77:D77" si="91">IF($B74&lt;&gt;"",C73,"")</f>
        <v/>
      </c>
      <c r="D77" s="93" t="str">
        <f t="shared" si="91"/>
        <v/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6"/>
      <c r="W77" s="31" t="e">
        <f>INDEX(TBL_LNG_IMPORTERS_CONNECTIONS[LNGImporterConnectionID],$A77)</f>
        <v>#REF!</v>
      </c>
      <c r="X77" s="31" t="e">
        <f>"LNGImporterTariffVar_"&amp;RIGHT($W77,11)</f>
        <v>#REF!</v>
      </c>
    </row>
    <row r="78" spans="1:24" x14ac:dyDescent="0.25">
      <c r="A78" s="94">
        <f t="shared" ref="A78" si="92">$A74+1</f>
        <v>19</v>
      </c>
      <c r="B78" s="117" t="str">
        <f>IFERROR(INDEX(TBL_LNG_IMPORTERS_CONNECTIONS[Name],$A78),"")</f>
        <v/>
      </c>
      <c r="C78" s="93" t="str">
        <f t="shared" ref="C78:D78" si="93">IF($B78&lt;&gt;"",C74,"")</f>
        <v/>
      </c>
      <c r="D78" s="93" t="str">
        <f t="shared" si="93"/>
        <v/>
      </c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5"/>
      <c r="W78" s="31" t="e">
        <f>INDEX(TBL_LNG_IMPORTERS_CONNECTIONS[LNGImporterConnectionID],$A78)</f>
        <v>#REF!</v>
      </c>
      <c r="X78" s="31" t="e">
        <f>"LNGImporterCapMin_"&amp;RIGHT($W78,11)</f>
        <v>#REF!</v>
      </c>
    </row>
    <row r="79" spans="1:24" x14ac:dyDescent="0.25">
      <c r="A79" s="94">
        <f t="shared" ref="A79:A97" si="94">$A78</f>
        <v>19</v>
      </c>
      <c r="B79" s="118"/>
      <c r="C79" s="93" t="str">
        <f t="shared" ref="C79:D79" si="95">IF($B78&lt;&gt;"",C75,"")</f>
        <v/>
      </c>
      <c r="D79" s="93" t="str">
        <f t="shared" si="95"/>
        <v/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6"/>
      <c r="W79" s="31" t="e">
        <f>INDEX(TBL_LNG_IMPORTERS_CONNECTIONS[LNGImporterConnectionID],$A79)</f>
        <v>#REF!</v>
      </c>
      <c r="X79" s="31" t="e">
        <f>"LNGImporterCapMax_"&amp;RIGHT($W79,11)</f>
        <v>#REF!</v>
      </c>
    </row>
    <row r="80" spans="1:24" x14ac:dyDescent="0.25">
      <c r="A80" s="94">
        <f t="shared" si="94"/>
        <v>19</v>
      </c>
      <c r="B80" s="118"/>
      <c r="C80" s="93" t="str">
        <f t="shared" ref="C80:D80" si="96">IF($B78&lt;&gt;"",C76,"")</f>
        <v/>
      </c>
      <c r="D80" s="93" t="str">
        <f t="shared" si="96"/>
        <v/>
      </c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5"/>
      <c r="W80" s="31" t="e">
        <f>INDEX(TBL_LNG_IMPORTERS_CONNECTIONS[LNGImporterConnectionID],$A80)</f>
        <v>#REF!</v>
      </c>
      <c r="X80" s="31" t="e">
        <f>"LNGImporterTariffFixed_"&amp;RIGHT($W80,11)</f>
        <v>#REF!</v>
      </c>
    </row>
    <row r="81" spans="1:24" x14ac:dyDescent="0.25">
      <c r="A81" s="94">
        <f t="shared" si="94"/>
        <v>19</v>
      </c>
      <c r="B81" s="119"/>
      <c r="C81" s="93" t="str">
        <f t="shared" ref="C81:D81" si="97">IF($B78&lt;&gt;"",C77,"")</f>
        <v/>
      </c>
      <c r="D81" s="93" t="str">
        <f t="shared" si="97"/>
        <v/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6"/>
      <c r="W81" s="31" t="e">
        <f>INDEX(TBL_LNG_IMPORTERS_CONNECTIONS[LNGImporterConnectionID],$A81)</f>
        <v>#REF!</v>
      </c>
      <c r="X81" s="31" t="e">
        <f>"LNGImporterTariffVar_"&amp;RIGHT($W81,11)</f>
        <v>#REF!</v>
      </c>
    </row>
    <row r="82" spans="1:24" x14ac:dyDescent="0.25">
      <c r="A82" s="94">
        <f t="shared" ref="A82" si="98">$A78+1</f>
        <v>20</v>
      </c>
      <c r="B82" s="117" t="str">
        <f>IFERROR(INDEX(TBL_LNG_IMPORTERS_CONNECTIONS[Name],$A82),"")</f>
        <v/>
      </c>
      <c r="C82" s="93" t="str">
        <f t="shared" ref="C82:D82" si="99">IF($B82&lt;&gt;"",C78,"")</f>
        <v/>
      </c>
      <c r="D82" s="93" t="str">
        <f t="shared" si="99"/>
        <v/>
      </c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5"/>
      <c r="W82" s="31" t="e">
        <f>INDEX(TBL_LNG_IMPORTERS_CONNECTIONS[LNGImporterConnectionID],$A82)</f>
        <v>#REF!</v>
      </c>
      <c r="X82" s="31" t="e">
        <f>"LNGImporterCapMin_"&amp;RIGHT($W82,11)</f>
        <v>#REF!</v>
      </c>
    </row>
    <row r="83" spans="1:24" x14ac:dyDescent="0.25">
      <c r="A83" s="94">
        <f t="shared" si="94"/>
        <v>20</v>
      </c>
      <c r="B83" s="118"/>
      <c r="C83" s="93" t="str">
        <f t="shared" ref="C83:D83" si="100">IF($B82&lt;&gt;"",C79,"")</f>
        <v/>
      </c>
      <c r="D83" s="93" t="str">
        <f t="shared" si="100"/>
        <v/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6"/>
      <c r="W83" s="31" t="e">
        <f>INDEX(TBL_LNG_IMPORTERS_CONNECTIONS[LNGImporterConnectionID],$A83)</f>
        <v>#REF!</v>
      </c>
      <c r="X83" s="31" t="e">
        <f>"LNGImporterCapMax_"&amp;RIGHT($W83,11)</f>
        <v>#REF!</v>
      </c>
    </row>
    <row r="84" spans="1:24" x14ac:dyDescent="0.25">
      <c r="A84" s="94">
        <f t="shared" si="94"/>
        <v>20</v>
      </c>
      <c r="B84" s="118"/>
      <c r="C84" s="93" t="str">
        <f t="shared" ref="C84:D84" si="101">IF($B82&lt;&gt;"",C80,"")</f>
        <v/>
      </c>
      <c r="D84" s="93" t="str">
        <f t="shared" si="101"/>
        <v/>
      </c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5"/>
      <c r="W84" s="31" t="e">
        <f>INDEX(TBL_LNG_IMPORTERS_CONNECTIONS[LNGImporterConnectionID],$A84)</f>
        <v>#REF!</v>
      </c>
      <c r="X84" s="31" t="e">
        <f>"LNGImporterTariffFixed_"&amp;RIGHT($W84,11)</f>
        <v>#REF!</v>
      </c>
    </row>
    <row r="85" spans="1:24" x14ac:dyDescent="0.25">
      <c r="A85" s="94">
        <f t="shared" si="94"/>
        <v>20</v>
      </c>
      <c r="B85" s="119"/>
      <c r="C85" s="93" t="str">
        <f t="shared" ref="C85:D85" si="102">IF($B82&lt;&gt;"",C81,"")</f>
        <v/>
      </c>
      <c r="D85" s="93" t="str">
        <f t="shared" si="102"/>
        <v/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6"/>
      <c r="W85" s="31" t="e">
        <f>INDEX(TBL_LNG_IMPORTERS_CONNECTIONS[LNGImporterConnectionID],$A85)</f>
        <v>#REF!</v>
      </c>
      <c r="X85" s="31" t="e">
        <f>"LNGImporterTariffVar_"&amp;RIGHT($W85,11)</f>
        <v>#REF!</v>
      </c>
    </row>
    <row r="86" spans="1:24" x14ac:dyDescent="0.25">
      <c r="A86" s="94">
        <f t="shared" ref="A86" si="103">$A82+1</f>
        <v>21</v>
      </c>
      <c r="B86" s="117" t="str">
        <f>IFERROR(INDEX(TBL_LNG_IMPORTERS_CONNECTIONS[Name],$A86),"")</f>
        <v/>
      </c>
      <c r="C86" s="93" t="str">
        <f t="shared" ref="C86:D86" si="104">IF($B86&lt;&gt;"",C82,"")</f>
        <v/>
      </c>
      <c r="D86" s="93" t="str">
        <f t="shared" si="104"/>
        <v/>
      </c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5"/>
      <c r="W86" s="31" t="e">
        <f>INDEX(TBL_LNG_IMPORTERS_CONNECTIONS[LNGImporterConnectionID],$A86)</f>
        <v>#REF!</v>
      </c>
      <c r="X86" s="31" t="e">
        <f>"LNGImporterCapMin_"&amp;RIGHT($W86,11)</f>
        <v>#REF!</v>
      </c>
    </row>
    <row r="87" spans="1:24" x14ac:dyDescent="0.25">
      <c r="A87" s="94">
        <f t="shared" si="94"/>
        <v>21</v>
      </c>
      <c r="B87" s="118"/>
      <c r="C87" s="93" t="str">
        <f t="shared" ref="C87:D87" si="105">IF($B86&lt;&gt;"",C83,"")</f>
        <v/>
      </c>
      <c r="D87" s="93" t="str">
        <f t="shared" si="105"/>
        <v/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6"/>
      <c r="W87" s="31" t="e">
        <f>INDEX(TBL_LNG_IMPORTERS_CONNECTIONS[LNGImporterConnectionID],$A87)</f>
        <v>#REF!</v>
      </c>
      <c r="X87" s="31" t="e">
        <f>"LNGImporterCapMax_"&amp;RIGHT($W87,11)</f>
        <v>#REF!</v>
      </c>
    </row>
    <row r="88" spans="1:24" x14ac:dyDescent="0.25">
      <c r="A88" s="94">
        <f t="shared" si="94"/>
        <v>21</v>
      </c>
      <c r="B88" s="118"/>
      <c r="C88" s="93" t="str">
        <f t="shared" ref="C88:D88" si="106">IF($B86&lt;&gt;"",C84,"")</f>
        <v/>
      </c>
      <c r="D88" s="93" t="str">
        <f t="shared" si="106"/>
        <v/>
      </c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5"/>
      <c r="W88" s="31" t="e">
        <f>INDEX(TBL_LNG_IMPORTERS_CONNECTIONS[LNGImporterConnectionID],$A88)</f>
        <v>#REF!</v>
      </c>
      <c r="X88" s="31" t="e">
        <f>"LNGImporterTariffFixed_"&amp;RIGHT($W88,11)</f>
        <v>#REF!</v>
      </c>
    </row>
    <row r="89" spans="1:24" x14ac:dyDescent="0.25">
      <c r="A89" s="94">
        <f t="shared" si="94"/>
        <v>21</v>
      </c>
      <c r="B89" s="119"/>
      <c r="C89" s="93" t="str">
        <f t="shared" ref="C89:D89" si="107">IF($B86&lt;&gt;"",C85,"")</f>
        <v/>
      </c>
      <c r="D89" s="93" t="str">
        <f t="shared" si="107"/>
        <v/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6"/>
      <c r="W89" s="31" t="e">
        <f>INDEX(TBL_LNG_IMPORTERS_CONNECTIONS[LNGImporterConnectionID],$A89)</f>
        <v>#REF!</v>
      </c>
      <c r="X89" s="31" t="e">
        <f>"LNGImporterTariffVar_"&amp;RIGHT($W89,11)</f>
        <v>#REF!</v>
      </c>
    </row>
    <row r="90" spans="1:24" x14ac:dyDescent="0.25">
      <c r="A90" s="94">
        <f t="shared" ref="A90" si="108">$A86+1</f>
        <v>22</v>
      </c>
      <c r="B90" s="117" t="str">
        <f>IFERROR(INDEX(TBL_LNG_IMPORTERS_CONNECTIONS[Name],$A90),"")</f>
        <v/>
      </c>
      <c r="C90" s="93" t="str">
        <f t="shared" ref="C90:D90" si="109">IF($B90&lt;&gt;"",C86,"")</f>
        <v/>
      </c>
      <c r="D90" s="93" t="str">
        <f t="shared" si="109"/>
        <v/>
      </c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5"/>
      <c r="W90" s="31" t="e">
        <f>INDEX(TBL_LNG_IMPORTERS_CONNECTIONS[LNGImporterConnectionID],$A90)</f>
        <v>#REF!</v>
      </c>
      <c r="X90" s="31" t="e">
        <f>"LNGImporterCapMin_"&amp;RIGHT($W90,11)</f>
        <v>#REF!</v>
      </c>
    </row>
    <row r="91" spans="1:24" x14ac:dyDescent="0.25">
      <c r="A91" s="94">
        <f t="shared" si="94"/>
        <v>22</v>
      </c>
      <c r="B91" s="118"/>
      <c r="C91" s="93" t="str">
        <f t="shared" ref="C91:D91" si="110">IF($B90&lt;&gt;"",C87,"")</f>
        <v/>
      </c>
      <c r="D91" s="93" t="str">
        <f t="shared" si="110"/>
        <v/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6"/>
      <c r="W91" s="31" t="e">
        <f>INDEX(TBL_LNG_IMPORTERS_CONNECTIONS[LNGImporterConnectionID],$A91)</f>
        <v>#REF!</v>
      </c>
      <c r="X91" s="31" t="e">
        <f>"LNGImporterCapMax_"&amp;RIGHT($W91,11)</f>
        <v>#REF!</v>
      </c>
    </row>
    <row r="92" spans="1:24" x14ac:dyDescent="0.25">
      <c r="A92" s="94">
        <f t="shared" si="94"/>
        <v>22</v>
      </c>
      <c r="B92" s="118"/>
      <c r="C92" s="93" t="str">
        <f t="shared" ref="C92:D92" si="111">IF($B90&lt;&gt;"",C88,"")</f>
        <v/>
      </c>
      <c r="D92" s="93" t="str">
        <f t="shared" si="111"/>
        <v/>
      </c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5"/>
      <c r="W92" s="31" t="e">
        <f>INDEX(TBL_LNG_IMPORTERS_CONNECTIONS[LNGImporterConnectionID],$A92)</f>
        <v>#REF!</v>
      </c>
      <c r="X92" s="31" t="e">
        <f>"LNGImporterTariffFixed_"&amp;RIGHT($W92,11)</f>
        <v>#REF!</v>
      </c>
    </row>
    <row r="93" spans="1:24" x14ac:dyDescent="0.25">
      <c r="A93" s="94">
        <f t="shared" si="94"/>
        <v>22</v>
      </c>
      <c r="B93" s="119"/>
      <c r="C93" s="93" t="str">
        <f t="shared" ref="C93:D93" si="112">IF($B90&lt;&gt;"",C89,"")</f>
        <v/>
      </c>
      <c r="D93" s="93" t="str">
        <f t="shared" si="112"/>
        <v/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6"/>
      <c r="W93" s="31" t="e">
        <f>INDEX(TBL_LNG_IMPORTERS_CONNECTIONS[LNGImporterConnectionID],$A93)</f>
        <v>#REF!</v>
      </c>
      <c r="X93" s="31" t="e">
        <f>"LNGImporterTariffVar_"&amp;RIGHT($W93,11)</f>
        <v>#REF!</v>
      </c>
    </row>
    <row r="94" spans="1:24" x14ac:dyDescent="0.25">
      <c r="A94" s="94">
        <f t="shared" ref="A94" si="113">$A90+1</f>
        <v>23</v>
      </c>
      <c r="B94" s="117" t="str">
        <f>IFERROR(INDEX(TBL_LNG_IMPORTERS_CONNECTIONS[Name],$A94),"")</f>
        <v/>
      </c>
      <c r="C94" s="93" t="str">
        <f t="shared" ref="C94:D94" si="114">IF($B94&lt;&gt;"",C90,"")</f>
        <v/>
      </c>
      <c r="D94" s="93" t="str">
        <f t="shared" si="114"/>
        <v/>
      </c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5"/>
      <c r="W94" s="31" t="e">
        <f>INDEX(TBL_LNG_IMPORTERS_CONNECTIONS[LNGImporterConnectionID],$A94)</f>
        <v>#REF!</v>
      </c>
      <c r="X94" s="31" t="e">
        <f>"LNGImporterCapMin_"&amp;RIGHT($W94,11)</f>
        <v>#REF!</v>
      </c>
    </row>
    <row r="95" spans="1:24" x14ac:dyDescent="0.25">
      <c r="A95" s="94">
        <f t="shared" si="94"/>
        <v>23</v>
      </c>
      <c r="B95" s="118"/>
      <c r="C95" s="93" t="str">
        <f t="shared" ref="C95:D95" si="115">IF($B94&lt;&gt;"",C91,"")</f>
        <v/>
      </c>
      <c r="D95" s="93" t="str">
        <f t="shared" si="115"/>
        <v/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6"/>
      <c r="W95" s="31" t="e">
        <f>INDEX(TBL_LNG_IMPORTERS_CONNECTIONS[LNGImporterConnectionID],$A95)</f>
        <v>#REF!</v>
      </c>
      <c r="X95" s="31" t="e">
        <f>"LNGImporterCapMax_"&amp;RIGHT($W95,11)</f>
        <v>#REF!</v>
      </c>
    </row>
    <row r="96" spans="1:24" x14ac:dyDescent="0.25">
      <c r="A96" s="94">
        <f t="shared" si="94"/>
        <v>23</v>
      </c>
      <c r="B96" s="118"/>
      <c r="C96" s="93" t="str">
        <f t="shared" ref="C96:D96" si="116">IF($B94&lt;&gt;"",C92,"")</f>
        <v/>
      </c>
      <c r="D96" s="93" t="str">
        <f t="shared" si="116"/>
        <v/>
      </c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5"/>
      <c r="W96" s="31" t="e">
        <f>INDEX(TBL_LNG_IMPORTERS_CONNECTIONS[LNGImporterConnectionID],$A96)</f>
        <v>#REF!</v>
      </c>
      <c r="X96" s="31" t="e">
        <f>"LNGImporterTariffFixed_"&amp;RIGHT($W96,11)</f>
        <v>#REF!</v>
      </c>
    </row>
    <row r="97" spans="1:24" x14ac:dyDescent="0.25">
      <c r="A97" s="94">
        <f t="shared" si="94"/>
        <v>23</v>
      </c>
      <c r="B97" s="119"/>
      <c r="C97" s="93" t="str">
        <f t="shared" ref="C97:D97" si="117">IF($B94&lt;&gt;"",C93,"")</f>
        <v/>
      </c>
      <c r="D97" s="93" t="str">
        <f t="shared" si="117"/>
        <v/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6"/>
      <c r="W97" s="31" t="e">
        <f>INDEX(TBL_LNG_IMPORTERS_CONNECTIONS[LNGImporterConnectionID],$A97)</f>
        <v>#REF!</v>
      </c>
      <c r="X97" s="31" t="e">
        <f>"LNGImporterTariffVar_"&amp;RIGHT($W97,11)</f>
        <v>#REF!</v>
      </c>
    </row>
    <row r="98" spans="1:24" x14ac:dyDescent="0.25">
      <c r="A98" s="94">
        <f t="shared" ref="A98" si="118">$A94+1</f>
        <v>24</v>
      </c>
      <c r="B98" s="117" t="str">
        <f>IFERROR(INDEX(TBL_LNG_IMPORTERS_CONNECTIONS[Name],$A98),"")</f>
        <v/>
      </c>
      <c r="C98" s="93" t="str">
        <f t="shared" ref="C98:D98" si="119">IF($B98&lt;&gt;"",C94,"")</f>
        <v/>
      </c>
      <c r="D98" s="93" t="str">
        <f t="shared" si="119"/>
        <v/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5"/>
      <c r="W98" s="31" t="e">
        <f>INDEX(TBL_LNG_IMPORTERS_CONNECTIONS[LNGImporterConnectionID],$A98)</f>
        <v>#REF!</v>
      </c>
      <c r="X98" s="31" t="e">
        <f>"LNGImporterCapMin_"&amp;RIGHT($W98,11)</f>
        <v>#REF!</v>
      </c>
    </row>
    <row r="99" spans="1:24" x14ac:dyDescent="0.25">
      <c r="A99" s="94">
        <f t="shared" ref="A99:A101" si="120">$A98</f>
        <v>24</v>
      </c>
      <c r="B99" s="118"/>
      <c r="C99" s="93" t="str">
        <f t="shared" ref="C99:D99" si="121">IF($B98&lt;&gt;"",C95,"")</f>
        <v/>
      </c>
      <c r="D99" s="93" t="str">
        <f t="shared" si="121"/>
        <v/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6"/>
      <c r="W99" s="31" t="e">
        <f>INDEX(TBL_LNG_IMPORTERS_CONNECTIONS[LNGImporterConnectionID],$A99)</f>
        <v>#REF!</v>
      </c>
      <c r="X99" s="31" t="e">
        <f>"LNGImporterCapMax_"&amp;RIGHT($W99,11)</f>
        <v>#REF!</v>
      </c>
    </row>
    <row r="100" spans="1:24" x14ac:dyDescent="0.25">
      <c r="A100" s="94">
        <f t="shared" si="120"/>
        <v>24</v>
      </c>
      <c r="B100" s="118"/>
      <c r="C100" s="93" t="str">
        <f t="shared" ref="C100:D100" si="122">IF($B98&lt;&gt;"",C96,"")</f>
        <v/>
      </c>
      <c r="D100" s="93" t="str">
        <f t="shared" si="122"/>
        <v/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5"/>
      <c r="W100" s="31" t="e">
        <f>INDEX(TBL_LNG_IMPORTERS_CONNECTIONS[LNGImporterConnectionID],$A100)</f>
        <v>#REF!</v>
      </c>
      <c r="X100" s="31" t="e">
        <f>"LNGImporterTariffFixed_"&amp;RIGHT($W100,11)</f>
        <v>#REF!</v>
      </c>
    </row>
    <row r="101" spans="1:24" x14ac:dyDescent="0.25">
      <c r="A101" s="94">
        <f t="shared" si="120"/>
        <v>24</v>
      </c>
      <c r="B101" s="119"/>
      <c r="C101" s="93" t="str">
        <f t="shared" ref="C101:D101" si="123">IF($B98&lt;&gt;"",C97,"")</f>
        <v/>
      </c>
      <c r="D101" s="93" t="str">
        <f t="shared" si="123"/>
        <v/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6"/>
      <c r="W101" s="31" t="e">
        <f>INDEX(TBL_LNG_IMPORTERS_CONNECTIONS[LNGImporterConnectionID],$A101)</f>
        <v>#REF!</v>
      </c>
      <c r="X101" s="31" t="e">
        <f>"LNGImporterTariffVar_"&amp;RIGHT($W101,11)</f>
        <v>#REF!</v>
      </c>
    </row>
    <row r="102" spans="1:24" x14ac:dyDescent="0.25">
      <c r="A102" s="94">
        <f t="shared" ref="A102" si="124">$A98+1</f>
        <v>25</v>
      </c>
      <c r="B102" s="117" t="str">
        <f>IFERROR(INDEX(TBL_LNG_IMPORTERS_CONNECTIONS[Name],$A102),"")</f>
        <v/>
      </c>
      <c r="C102" s="93" t="str">
        <f t="shared" ref="C102:D102" si="125">IF($B102&lt;&gt;"",C98,"")</f>
        <v/>
      </c>
      <c r="D102" s="93" t="str">
        <f t="shared" si="125"/>
        <v/>
      </c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5"/>
      <c r="W102" s="31" t="e">
        <f>INDEX(TBL_LNG_IMPORTERS_CONNECTIONS[LNGImporterConnectionID],$A102)</f>
        <v>#REF!</v>
      </c>
      <c r="X102" s="31" t="e">
        <f>"LNGImporterCapMin_"&amp;RIGHT($W102,11)</f>
        <v>#REF!</v>
      </c>
    </row>
    <row r="103" spans="1:24" x14ac:dyDescent="0.25">
      <c r="A103" s="94">
        <f t="shared" ref="A103:A105" si="126">$A102</f>
        <v>25</v>
      </c>
      <c r="B103" s="118"/>
      <c r="C103" s="93" t="str">
        <f t="shared" ref="C103:D103" si="127">IF($B102&lt;&gt;"",C99,"")</f>
        <v/>
      </c>
      <c r="D103" s="93" t="str">
        <f t="shared" si="127"/>
        <v/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6"/>
      <c r="W103" s="31" t="e">
        <f>INDEX(TBL_LNG_IMPORTERS_CONNECTIONS[LNGImporterConnectionID],$A103)</f>
        <v>#REF!</v>
      </c>
      <c r="X103" s="31" t="e">
        <f>"LNGImporterCapMax_"&amp;RIGHT($W103,11)</f>
        <v>#REF!</v>
      </c>
    </row>
    <row r="104" spans="1:24" x14ac:dyDescent="0.25">
      <c r="A104" s="94">
        <f t="shared" si="126"/>
        <v>25</v>
      </c>
      <c r="B104" s="118"/>
      <c r="C104" s="93" t="str">
        <f t="shared" ref="C104:D104" si="128">IF($B102&lt;&gt;"",C100,"")</f>
        <v/>
      </c>
      <c r="D104" s="93" t="str">
        <f t="shared" si="128"/>
        <v/>
      </c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5"/>
      <c r="W104" s="31" t="e">
        <f>INDEX(TBL_LNG_IMPORTERS_CONNECTIONS[LNGImporterConnectionID],$A104)</f>
        <v>#REF!</v>
      </c>
      <c r="X104" s="31" t="e">
        <f>"LNGImporterTariffFixed_"&amp;RIGHT($W104,11)</f>
        <v>#REF!</v>
      </c>
    </row>
    <row r="105" spans="1:24" x14ac:dyDescent="0.25">
      <c r="A105" s="94">
        <f t="shared" si="126"/>
        <v>25</v>
      </c>
      <c r="B105" s="119"/>
      <c r="C105" s="93" t="str">
        <f t="shared" ref="C105:D105" si="129">IF($B102&lt;&gt;"",C101,"")</f>
        <v/>
      </c>
      <c r="D105" s="93" t="str">
        <f t="shared" si="129"/>
        <v/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6"/>
      <c r="W105" s="31" t="e">
        <f>INDEX(TBL_LNG_IMPORTERS_CONNECTIONS[LNGImporterConnectionID],$A105)</f>
        <v>#REF!</v>
      </c>
      <c r="X105" s="31" t="e">
        <f>"LNGImporterTariffVar_"&amp;RIGHT($W105,11)</f>
        <v>#REF!</v>
      </c>
    </row>
    <row r="106" spans="1:24" x14ac:dyDescent="0.25">
      <c r="A106" s="94">
        <f t="shared" ref="A106" si="130">$A102+1</f>
        <v>26</v>
      </c>
      <c r="B106" s="117" t="str">
        <f>IFERROR(INDEX(TBL_LNG_IMPORTERS_CONNECTIONS[Name],$A106),"")</f>
        <v/>
      </c>
      <c r="C106" s="93" t="str">
        <f t="shared" ref="C106:D106" si="131">IF($B106&lt;&gt;"",C102,"")</f>
        <v/>
      </c>
      <c r="D106" s="93" t="str">
        <f t="shared" si="131"/>
        <v/>
      </c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5"/>
      <c r="W106" s="31" t="e">
        <f>INDEX(TBL_LNG_IMPORTERS_CONNECTIONS[LNGImporterConnectionID],$A106)</f>
        <v>#REF!</v>
      </c>
      <c r="X106" s="31" t="e">
        <f>"LNGImporterCapMin_"&amp;RIGHT($W106,11)</f>
        <v>#REF!</v>
      </c>
    </row>
    <row r="107" spans="1:24" x14ac:dyDescent="0.25">
      <c r="A107" s="94">
        <f t="shared" ref="A107:A109" si="132">$A106</f>
        <v>26</v>
      </c>
      <c r="B107" s="118"/>
      <c r="C107" s="93" t="str">
        <f t="shared" ref="C107:D107" si="133">IF($B106&lt;&gt;"",C103,"")</f>
        <v/>
      </c>
      <c r="D107" s="93" t="str">
        <f t="shared" si="133"/>
        <v/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6"/>
      <c r="W107" s="31" t="e">
        <f>INDEX(TBL_LNG_IMPORTERS_CONNECTIONS[LNGImporterConnectionID],$A107)</f>
        <v>#REF!</v>
      </c>
      <c r="X107" s="31" t="e">
        <f>"LNGImporterCapMax_"&amp;RIGHT($W107,11)</f>
        <v>#REF!</v>
      </c>
    </row>
    <row r="108" spans="1:24" x14ac:dyDescent="0.25">
      <c r="A108" s="94">
        <f t="shared" si="132"/>
        <v>26</v>
      </c>
      <c r="B108" s="118"/>
      <c r="C108" s="93" t="str">
        <f t="shared" ref="C108:D108" si="134">IF($B106&lt;&gt;"",C104,"")</f>
        <v/>
      </c>
      <c r="D108" s="93" t="str">
        <f t="shared" si="134"/>
        <v/>
      </c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5"/>
      <c r="W108" s="31" t="e">
        <f>INDEX(TBL_LNG_IMPORTERS_CONNECTIONS[LNGImporterConnectionID],$A108)</f>
        <v>#REF!</v>
      </c>
      <c r="X108" s="31" t="e">
        <f>"LNGImporterTariffFixed_"&amp;RIGHT($W108,11)</f>
        <v>#REF!</v>
      </c>
    </row>
    <row r="109" spans="1:24" x14ac:dyDescent="0.25">
      <c r="A109" s="94">
        <f t="shared" si="132"/>
        <v>26</v>
      </c>
      <c r="B109" s="119"/>
      <c r="C109" s="93" t="str">
        <f t="shared" ref="C109:D109" si="135">IF($B106&lt;&gt;"",C105,"")</f>
        <v/>
      </c>
      <c r="D109" s="93" t="str">
        <f t="shared" si="135"/>
        <v/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6"/>
      <c r="W109" s="31" t="e">
        <f>INDEX(TBL_LNG_IMPORTERS_CONNECTIONS[LNGImporterConnectionID],$A109)</f>
        <v>#REF!</v>
      </c>
      <c r="X109" s="31" t="e">
        <f>"LNGImporterTariffVar_"&amp;RIGHT($W109,11)</f>
        <v>#REF!</v>
      </c>
    </row>
    <row r="110" spans="1:24" x14ac:dyDescent="0.25">
      <c r="A110" s="94">
        <f t="shared" ref="A110" si="136">$A106+1</f>
        <v>27</v>
      </c>
      <c r="B110" s="117" t="str">
        <f>IFERROR(INDEX(TBL_LNG_IMPORTERS_CONNECTIONS[Name],$A110),"")</f>
        <v/>
      </c>
      <c r="C110" s="93" t="str">
        <f t="shared" ref="C110:D110" si="137">IF($B110&lt;&gt;"",C106,"")</f>
        <v/>
      </c>
      <c r="D110" s="93" t="str">
        <f t="shared" si="137"/>
        <v/>
      </c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5"/>
      <c r="W110" s="31" t="e">
        <f>INDEX(TBL_LNG_IMPORTERS_CONNECTIONS[LNGImporterConnectionID],$A110)</f>
        <v>#REF!</v>
      </c>
      <c r="X110" s="31" t="e">
        <f>"LNGImporterCapMin_"&amp;RIGHT($W110,11)</f>
        <v>#REF!</v>
      </c>
    </row>
    <row r="111" spans="1:24" x14ac:dyDescent="0.25">
      <c r="A111" s="94">
        <f t="shared" ref="A111:A113" si="138">$A110</f>
        <v>27</v>
      </c>
      <c r="B111" s="118"/>
      <c r="C111" s="93" t="str">
        <f t="shared" ref="C111:D111" si="139">IF($B110&lt;&gt;"",C107,"")</f>
        <v/>
      </c>
      <c r="D111" s="93" t="str">
        <f t="shared" si="139"/>
        <v/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6"/>
      <c r="W111" s="31" t="e">
        <f>INDEX(TBL_LNG_IMPORTERS_CONNECTIONS[LNGImporterConnectionID],$A111)</f>
        <v>#REF!</v>
      </c>
      <c r="X111" s="31" t="e">
        <f>"LNGImporterCapMax_"&amp;RIGHT($W111,11)</f>
        <v>#REF!</v>
      </c>
    </row>
    <row r="112" spans="1:24" x14ac:dyDescent="0.25">
      <c r="A112" s="94">
        <f t="shared" si="138"/>
        <v>27</v>
      </c>
      <c r="B112" s="118"/>
      <c r="C112" s="93" t="str">
        <f t="shared" ref="C112:D112" si="140">IF($B110&lt;&gt;"",C108,"")</f>
        <v/>
      </c>
      <c r="D112" s="93" t="str">
        <f t="shared" si="140"/>
        <v/>
      </c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5"/>
      <c r="W112" s="31" t="e">
        <f>INDEX(TBL_LNG_IMPORTERS_CONNECTIONS[LNGImporterConnectionID],$A112)</f>
        <v>#REF!</v>
      </c>
      <c r="X112" s="31" t="e">
        <f>"LNGImporterTariffFixed_"&amp;RIGHT($W112,11)</f>
        <v>#REF!</v>
      </c>
    </row>
    <row r="113" spans="1:24" x14ac:dyDescent="0.25">
      <c r="A113" s="94">
        <f t="shared" si="138"/>
        <v>27</v>
      </c>
      <c r="B113" s="119"/>
      <c r="C113" s="93" t="str">
        <f t="shared" ref="C113:D113" si="141">IF($B110&lt;&gt;"",C109,"")</f>
        <v/>
      </c>
      <c r="D113" s="93" t="str">
        <f t="shared" si="141"/>
        <v/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6"/>
      <c r="W113" s="31" t="e">
        <f>INDEX(TBL_LNG_IMPORTERS_CONNECTIONS[LNGImporterConnectionID],$A113)</f>
        <v>#REF!</v>
      </c>
      <c r="X113" s="31" t="e">
        <f>"LNGImporterTariffVar_"&amp;RIGHT($W113,11)</f>
        <v>#REF!</v>
      </c>
    </row>
    <row r="114" spans="1:24" x14ac:dyDescent="0.25">
      <c r="A114" s="94">
        <f t="shared" ref="A114" si="142">$A110+1</f>
        <v>28</v>
      </c>
      <c r="B114" s="117" t="str">
        <f>IFERROR(INDEX(TBL_LNG_IMPORTERS_CONNECTIONS[Name],$A114),"")</f>
        <v/>
      </c>
      <c r="C114" s="93" t="str">
        <f t="shared" ref="C114:D114" si="143">IF($B114&lt;&gt;"",C110,"")</f>
        <v/>
      </c>
      <c r="D114" s="93" t="str">
        <f t="shared" si="143"/>
        <v/>
      </c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5"/>
      <c r="W114" s="31" t="e">
        <f>INDEX(TBL_LNG_IMPORTERS_CONNECTIONS[LNGImporterConnectionID],$A114)</f>
        <v>#REF!</v>
      </c>
      <c r="X114" s="31" t="e">
        <f>"LNGImporterCapMin_"&amp;RIGHT($W114,11)</f>
        <v>#REF!</v>
      </c>
    </row>
    <row r="115" spans="1:24" x14ac:dyDescent="0.25">
      <c r="A115" s="94">
        <f t="shared" ref="A115:A117" si="144">$A114</f>
        <v>28</v>
      </c>
      <c r="B115" s="118"/>
      <c r="C115" s="93" t="str">
        <f t="shared" ref="C115:D115" si="145">IF($B114&lt;&gt;"",C111,"")</f>
        <v/>
      </c>
      <c r="D115" s="93" t="str">
        <f t="shared" si="145"/>
        <v/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6"/>
      <c r="W115" s="31" t="e">
        <f>INDEX(TBL_LNG_IMPORTERS_CONNECTIONS[LNGImporterConnectionID],$A115)</f>
        <v>#REF!</v>
      </c>
      <c r="X115" s="31" t="e">
        <f>"LNGImporterCapMax_"&amp;RIGHT($W115,11)</f>
        <v>#REF!</v>
      </c>
    </row>
    <row r="116" spans="1:24" x14ac:dyDescent="0.25">
      <c r="A116" s="94">
        <f t="shared" si="144"/>
        <v>28</v>
      </c>
      <c r="B116" s="118"/>
      <c r="C116" s="93" t="str">
        <f t="shared" ref="C116:D116" si="146">IF($B114&lt;&gt;"",C112,"")</f>
        <v/>
      </c>
      <c r="D116" s="93" t="str">
        <f t="shared" si="146"/>
        <v/>
      </c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5"/>
      <c r="W116" s="31" t="e">
        <f>INDEX(TBL_LNG_IMPORTERS_CONNECTIONS[LNGImporterConnectionID],$A116)</f>
        <v>#REF!</v>
      </c>
      <c r="X116" s="31" t="e">
        <f>"LNGImporterTariffFixed_"&amp;RIGHT($W116,11)</f>
        <v>#REF!</v>
      </c>
    </row>
    <row r="117" spans="1:24" x14ac:dyDescent="0.25">
      <c r="A117" s="94">
        <f t="shared" si="144"/>
        <v>28</v>
      </c>
      <c r="B117" s="119"/>
      <c r="C117" s="93" t="str">
        <f t="shared" ref="C117:D117" si="147">IF($B114&lt;&gt;"",C113,"")</f>
        <v/>
      </c>
      <c r="D117" s="93" t="str">
        <f t="shared" si="147"/>
        <v/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6"/>
      <c r="W117" s="31" t="e">
        <f>INDEX(TBL_LNG_IMPORTERS_CONNECTIONS[LNGImporterConnectionID],$A117)</f>
        <v>#REF!</v>
      </c>
      <c r="X117" s="31" t="e">
        <f>"LNGImporterTariffVar_"&amp;RIGHT($W117,11)</f>
        <v>#REF!</v>
      </c>
    </row>
    <row r="118" spans="1:24" x14ac:dyDescent="0.25">
      <c r="A118" s="94">
        <f t="shared" ref="A118" si="148">$A114+1</f>
        <v>29</v>
      </c>
      <c r="B118" s="117" t="str">
        <f>IFERROR(INDEX(TBL_LNG_IMPORTERS_CONNECTIONS[Name],$A118),"")</f>
        <v/>
      </c>
      <c r="C118" s="93" t="str">
        <f t="shared" ref="C118:D118" si="149">IF($B118&lt;&gt;"",C114,"")</f>
        <v/>
      </c>
      <c r="D118" s="93" t="str">
        <f t="shared" si="149"/>
        <v/>
      </c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5"/>
      <c r="W118" s="31" t="e">
        <f>INDEX(TBL_LNG_IMPORTERS_CONNECTIONS[LNGImporterConnectionID],$A118)</f>
        <v>#REF!</v>
      </c>
      <c r="X118" s="31" t="e">
        <f>"LNGImporterCapMin_"&amp;RIGHT($W118,11)</f>
        <v>#REF!</v>
      </c>
    </row>
    <row r="119" spans="1:24" x14ac:dyDescent="0.25">
      <c r="A119" s="94">
        <f t="shared" ref="A119:A137" si="150">$A118</f>
        <v>29</v>
      </c>
      <c r="B119" s="118"/>
      <c r="C119" s="93" t="str">
        <f t="shared" ref="C119:D119" si="151">IF($B118&lt;&gt;"",C115,"")</f>
        <v/>
      </c>
      <c r="D119" s="93" t="str">
        <f t="shared" si="151"/>
        <v/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6"/>
      <c r="W119" s="31" t="e">
        <f>INDEX(TBL_LNG_IMPORTERS_CONNECTIONS[LNGImporterConnectionID],$A119)</f>
        <v>#REF!</v>
      </c>
      <c r="X119" s="31" t="e">
        <f>"LNGImporterCapMax_"&amp;RIGHT($W119,11)</f>
        <v>#REF!</v>
      </c>
    </row>
    <row r="120" spans="1:24" x14ac:dyDescent="0.25">
      <c r="A120" s="94">
        <f t="shared" si="150"/>
        <v>29</v>
      </c>
      <c r="B120" s="118"/>
      <c r="C120" s="93" t="str">
        <f t="shared" ref="C120:D120" si="152">IF($B118&lt;&gt;"",C116,"")</f>
        <v/>
      </c>
      <c r="D120" s="93" t="str">
        <f t="shared" si="152"/>
        <v/>
      </c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5"/>
      <c r="W120" s="31" t="e">
        <f>INDEX(TBL_LNG_IMPORTERS_CONNECTIONS[LNGImporterConnectionID],$A120)</f>
        <v>#REF!</v>
      </c>
      <c r="X120" s="31" t="e">
        <f>"LNGImporterTariffFixed_"&amp;RIGHT($W120,11)</f>
        <v>#REF!</v>
      </c>
    </row>
    <row r="121" spans="1:24" x14ac:dyDescent="0.25">
      <c r="A121" s="94">
        <f t="shared" si="150"/>
        <v>29</v>
      </c>
      <c r="B121" s="119"/>
      <c r="C121" s="93" t="str">
        <f t="shared" ref="C121:D121" si="153">IF($B118&lt;&gt;"",C117,"")</f>
        <v/>
      </c>
      <c r="D121" s="93" t="str">
        <f t="shared" si="153"/>
        <v/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6"/>
      <c r="W121" s="31" t="e">
        <f>INDEX(TBL_LNG_IMPORTERS_CONNECTIONS[LNGImporterConnectionID],$A121)</f>
        <v>#REF!</v>
      </c>
      <c r="X121" s="31" t="e">
        <f>"LNGImporterTariffVar_"&amp;RIGHT($W121,11)</f>
        <v>#REF!</v>
      </c>
    </row>
    <row r="122" spans="1:24" x14ac:dyDescent="0.25">
      <c r="A122" s="94">
        <f t="shared" ref="A122" si="154">$A118+1</f>
        <v>30</v>
      </c>
      <c r="B122" s="117" t="str">
        <f>IFERROR(INDEX(TBL_LNG_IMPORTERS_CONNECTIONS[Name],$A122),"")</f>
        <v/>
      </c>
      <c r="C122" s="93" t="str">
        <f t="shared" ref="C122:D122" si="155">IF($B122&lt;&gt;"",C118,"")</f>
        <v/>
      </c>
      <c r="D122" s="93" t="str">
        <f t="shared" si="155"/>
        <v/>
      </c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5"/>
      <c r="W122" s="31" t="e">
        <f>INDEX(TBL_LNG_IMPORTERS_CONNECTIONS[LNGImporterConnectionID],$A122)</f>
        <v>#REF!</v>
      </c>
      <c r="X122" s="31" t="e">
        <f>"LNGImporterCapMin_"&amp;RIGHT($W122,11)</f>
        <v>#REF!</v>
      </c>
    </row>
    <row r="123" spans="1:24" x14ac:dyDescent="0.25">
      <c r="A123" s="94">
        <f t="shared" si="150"/>
        <v>30</v>
      </c>
      <c r="B123" s="118"/>
      <c r="C123" s="93" t="str">
        <f t="shared" ref="C123:D123" si="156">IF($B122&lt;&gt;"",C119,"")</f>
        <v/>
      </c>
      <c r="D123" s="93" t="str">
        <f t="shared" si="156"/>
        <v/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6"/>
      <c r="W123" s="31" t="e">
        <f>INDEX(TBL_LNG_IMPORTERS_CONNECTIONS[LNGImporterConnectionID],$A123)</f>
        <v>#REF!</v>
      </c>
      <c r="X123" s="31" t="e">
        <f>"LNGImporterCapMax_"&amp;RIGHT($W123,11)</f>
        <v>#REF!</v>
      </c>
    </row>
    <row r="124" spans="1:24" x14ac:dyDescent="0.25">
      <c r="A124" s="94">
        <f t="shared" si="150"/>
        <v>30</v>
      </c>
      <c r="B124" s="118"/>
      <c r="C124" s="93" t="str">
        <f t="shared" ref="C124:D124" si="157">IF($B122&lt;&gt;"",C120,"")</f>
        <v/>
      </c>
      <c r="D124" s="93" t="str">
        <f t="shared" si="157"/>
        <v/>
      </c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5"/>
      <c r="W124" s="31" t="e">
        <f>INDEX(TBL_LNG_IMPORTERS_CONNECTIONS[LNGImporterConnectionID],$A124)</f>
        <v>#REF!</v>
      </c>
      <c r="X124" s="31" t="e">
        <f>"LNGImporterTariffFixed_"&amp;RIGHT($W124,11)</f>
        <v>#REF!</v>
      </c>
    </row>
    <row r="125" spans="1:24" x14ac:dyDescent="0.25">
      <c r="A125" s="94">
        <f t="shared" si="150"/>
        <v>30</v>
      </c>
      <c r="B125" s="119"/>
      <c r="C125" s="93" t="str">
        <f t="shared" ref="C125:D125" si="158">IF($B122&lt;&gt;"",C121,"")</f>
        <v/>
      </c>
      <c r="D125" s="93" t="str">
        <f t="shared" si="158"/>
        <v/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6"/>
      <c r="W125" s="31" t="e">
        <f>INDEX(TBL_LNG_IMPORTERS_CONNECTIONS[LNGImporterConnectionID],$A125)</f>
        <v>#REF!</v>
      </c>
      <c r="X125" s="31" t="e">
        <f>"LNGImporterTariffVar_"&amp;RIGHT($W125,11)</f>
        <v>#REF!</v>
      </c>
    </row>
    <row r="126" spans="1:24" x14ac:dyDescent="0.25">
      <c r="A126" s="94">
        <f t="shared" ref="A126" si="159">$A122+1</f>
        <v>31</v>
      </c>
      <c r="B126" s="117" t="str">
        <f>IFERROR(INDEX(TBL_LNG_IMPORTERS_CONNECTIONS[Name],$A126),"")</f>
        <v/>
      </c>
      <c r="C126" s="93" t="str">
        <f t="shared" ref="C126:D126" si="160">IF($B126&lt;&gt;"",C122,"")</f>
        <v/>
      </c>
      <c r="D126" s="93" t="str">
        <f t="shared" si="160"/>
        <v/>
      </c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5"/>
      <c r="W126" s="31" t="e">
        <f>INDEX(TBL_LNG_IMPORTERS_CONNECTIONS[LNGImporterConnectionID],$A126)</f>
        <v>#REF!</v>
      </c>
      <c r="X126" s="31" t="e">
        <f>"LNGImporterCapMin_"&amp;RIGHT($W126,11)</f>
        <v>#REF!</v>
      </c>
    </row>
    <row r="127" spans="1:24" x14ac:dyDescent="0.25">
      <c r="A127" s="94">
        <f t="shared" si="150"/>
        <v>31</v>
      </c>
      <c r="B127" s="118"/>
      <c r="C127" s="93" t="str">
        <f t="shared" ref="C127:D127" si="161">IF($B126&lt;&gt;"",C123,"")</f>
        <v/>
      </c>
      <c r="D127" s="93" t="str">
        <f t="shared" si="161"/>
        <v/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6"/>
      <c r="W127" s="31" t="e">
        <f>INDEX(TBL_LNG_IMPORTERS_CONNECTIONS[LNGImporterConnectionID],$A127)</f>
        <v>#REF!</v>
      </c>
      <c r="X127" s="31" t="e">
        <f>"LNGImporterCapMax_"&amp;RIGHT($W127,11)</f>
        <v>#REF!</v>
      </c>
    </row>
    <row r="128" spans="1:24" x14ac:dyDescent="0.25">
      <c r="A128" s="94">
        <f t="shared" si="150"/>
        <v>31</v>
      </c>
      <c r="B128" s="118"/>
      <c r="C128" s="93" t="str">
        <f t="shared" ref="C128:D128" si="162">IF($B126&lt;&gt;"",C124,"")</f>
        <v/>
      </c>
      <c r="D128" s="93" t="str">
        <f t="shared" si="162"/>
        <v/>
      </c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5"/>
      <c r="W128" s="31" t="e">
        <f>INDEX(TBL_LNG_IMPORTERS_CONNECTIONS[LNGImporterConnectionID],$A128)</f>
        <v>#REF!</v>
      </c>
      <c r="X128" s="31" t="e">
        <f>"LNGImporterTariffFixed_"&amp;RIGHT($W128,11)</f>
        <v>#REF!</v>
      </c>
    </row>
    <row r="129" spans="1:24" x14ac:dyDescent="0.25">
      <c r="A129" s="94">
        <f t="shared" si="150"/>
        <v>31</v>
      </c>
      <c r="B129" s="119"/>
      <c r="C129" s="93" t="str">
        <f t="shared" ref="C129:D129" si="163">IF($B126&lt;&gt;"",C125,"")</f>
        <v/>
      </c>
      <c r="D129" s="93" t="str">
        <f t="shared" si="163"/>
        <v/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6"/>
      <c r="W129" s="31" t="e">
        <f>INDEX(TBL_LNG_IMPORTERS_CONNECTIONS[LNGImporterConnectionID],$A129)</f>
        <v>#REF!</v>
      </c>
      <c r="X129" s="31" t="e">
        <f>"LNGImporterTariffVar_"&amp;RIGHT($W129,11)</f>
        <v>#REF!</v>
      </c>
    </row>
    <row r="130" spans="1:24" x14ac:dyDescent="0.25">
      <c r="A130" s="94">
        <f t="shared" ref="A130" si="164">$A126+1</f>
        <v>32</v>
      </c>
      <c r="B130" s="117" t="str">
        <f>IFERROR(INDEX(TBL_LNG_IMPORTERS_CONNECTIONS[Name],$A130),"")</f>
        <v/>
      </c>
      <c r="C130" s="93" t="str">
        <f t="shared" ref="C130:D130" si="165">IF($B130&lt;&gt;"",C126,"")</f>
        <v/>
      </c>
      <c r="D130" s="93" t="str">
        <f t="shared" si="165"/>
        <v/>
      </c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5"/>
      <c r="W130" s="31" t="e">
        <f>INDEX(TBL_LNG_IMPORTERS_CONNECTIONS[LNGImporterConnectionID],$A130)</f>
        <v>#REF!</v>
      </c>
      <c r="X130" s="31" t="e">
        <f>"LNGImporterCapMin_"&amp;RIGHT($W130,11)</f>
        <v>#REF!</v>
      </c>
    </row>
    <row r="131" spans="1:24" x14ac:dyDescent="0.25">
      <c r="A131" s="94">
        <f t="shared" si="150"/>
        <v>32</v>
      </c>
      <c r="B131" s="118"/>
      <c r="C131" s="93" t="str">
        <f t="shared" ref="C131:D131" si="166">IF($B130&lt;&gt;"",C127,"")</f>
        <v/>
      </c>
      <c r="D131" s="93" t="str">
        <f t="shared" si="166"/>
        <v/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6"/>
      <c r="W131" s="31" t="e">
        <f>INDEX(TBL_LNG_IMPORTERS_CONNECTIONS[LNGImporterConnectionID],$A131)</f>
        <v>#REF!</v>
      </c>
      <c r="X131" s="31" t="e">
        <f>"LNGImporterCapMax_"&amp;RIGHT($W131,11)</f>
        <v>#REF!</v>
      </c>
    </row>
    <row r="132" spans="1:24" x14ac:dyDescent="0.25">
      <c r="A132" s="94">
        <f t="shared" si="150"/>
        <v>32</v>
      </c>
      <c r="B132" s="118"/>
      <c r="C132" s="93" t="str">
        <f t="shared" ref="C132:D132" si="167">IF($B130&lt;&gt;"",C128,"")</f>
        <v/>
      </c>
      <c r="D132" s="93" t="str">
        <f t="shared" si="167"/>
        <v/>
      </c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5"/>
      <c r="W132" s="31" t="e">
        <f>INDEX(TBL_LNG_IMPORTERS_CONNECTIONS[LNGImporterConnectionID],$A132)</f>
        <v>#REF!</v>
      </c>
      <c r="X132" s="31" t="e">
        <f>"LNGImporterTariffFixed_"&amp;RIGHT($W132,11)</f>
        <v>#REF!</v>
      </c>
    </row>
    <row r="133" spans="1:24" x14ac:dyDescent="0.25">
      <c r="A133" s="94">
        <f t="shared" si="150"/>
        <v>32</v>
      </c>
      <c r="B133" s="119"/>
      <c r="C133" s="93" t="str">
        <f t="shared" ref="C133:D133" si="168">IF($B130&lt;&gt;"",C129,"")</f>
        <v/>
      </c>
      <c r="D133" s="93" t="str">
        <f t="shared" si="168"/>
        <v/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6"/>
      <c r="W133" s="31" t="e">
        <f>INDEX(TBL_LNG_IMPORTERS_CONNECTIONS[LNGImporterConnectionID],$A133)</f>
        <v>#REF!</v>
      </c>
      <c r="X133" s="31" t="e">
        <f>"LNGImporterTariffVar_"&amp;RIGHT($W133,11)</f>
        <v>#REF!</v>
      </c>
    </row>
    <row r="134" spans="1:24" x14ac:dyDescent="0.25">
      <c r="A134" s="94">
        <f t="shared" ref="A134" si="169">$A130+1</f>
        <v>33</v>
      </c>
      <c r="B134" s="117" t="str">
        <f>IFERROR(INDEX(TBL_LNG_IMPORTERS_CONNECTIONS[Name],$A134),"")</f>
        <v/>
      </c>
      <c r="C134" s="93" t="str">
        <f t="shared" ref="C134:D134" si="170">IF($B134&lt;&gt;"",C130,"")</f>
        <v/>
      </c>
      <c r="D134" s="93" t="str">
        <f t="shared" si="170"/>
        <v/>
      </c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5"/>
      <c r="W134" s="31" t="e">
        <f>INDEX(TBL_LNG_IMPORTERS_CONNECTIONS[LNGImporterConnectionID],$A134)</f>
        <v>#REF!</v>
      </c>
      <c r="X134" s="31" t="e">
        <f>"LNGImporterCapMin_"&amp;RIGHT($W134,11)</f>
        <v>#REF!</v>
      </c>
    </row>
    <row r="135" spans="1:24" x14ac:dyDescent="0.25">
      <c r="A135" s="94">
        <f t="shared" si="150"/>
        <v>33</v>
      </c>
      <c r="B135" s="118"/>
      <c r="C135" s="93" t="str">
        <f t="shared" ref="C135:D135" si="171">IF($B134&lt;&gt;"",C131,"")</f>
        <v/>
      </c>
      <c r="D135" s="93" t="str">
        <f t="shared" si="171"/>
        <v/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6"/>
      <c r="W135" s="31" t="e">
        <f>INDEX(TBL_LNG_IMPORTERS_CONNECTIONS[LNGImporterConnectionID],$A135)</f>
        <v>#REF!</v>
      </c>
      <c r="X135" s="31" t="e">
        <f>"LNGImporterCapMax_"&amp;RIGHT($W135,11)</f>
        <v>#REF!</v>
      </c>
    </row>
    <row r="136" spans="1:24" x14ac:dyDescent="0.25">
      <c r="A136" s="94">
        <f t="shared" si="150"/>
        <v>33</v>
      </c>
      <c r="B136" s="118"/>
      <c r="C136" s="93" t="str">
        <f t="shared" ref="C136:D136" si="172">IF($B134&lt;&gt;"",C132,"")</f>
        <v/>
      </c>
      <c r="D136" s="93" t="str">
        <f t="shared" si="172"/>
        <v/>
      </c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5"/>
      <c r="W136" s="31" t="e">
        <f>INDEX(TBL_LNG_IMPORTERS_CONNECTIONS[LNGImporterConnectionID],$A136)</f>
        <v>#REF!</v>
      </c>
      <c r="X136" s="31" t="e">
        <f>"LNGImporterTariffFixed_"&amp;RIGHT($W136,11)</f>
        <v>#REF!</v>
      </c>
    </row>
    <row r="137" spans="1:24" x14ac:dyDescent="0.25">
      <c r="A137" s="94">
        <f t="shared" si="150"/>
        <v>33</v>
      </c>
      <c r="B137" s="119"/>
      <c r="C137" s="93" t="str">
        <f t="shared" ref="C137:D137" si="173">IF($B134&lt;&gt;"",C133,"")</f>
        <v/>
      </c>
      <c r="D137" s="93" t="str">
        <f t="shared" si="173"/>
        <v/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6"/>
      <c r="W137" s="31" t="e">
        <f>INDEX(TBL_LNG_IMPORTERS_CONNECTIONS[LNGImporterConnectionID],$A137)</f>
        <v>#REF!</v>
      </c>
      <c r="X137" s="31" t="e">
        <f>"LNGImporterTariffVar_"&amp;RIGHT($W137,11)</f>
        <v>#REF!</v>
      </c>
    </row>
    <row r="138" spans="1:24" x14ac:dyDescent="0.25">
      <c r="A138" s="94">
        <f t="shared" ref="A138" si="174">$A134+1</f>
        <v>34</v>
      </c>
      <c r="B138" s="117" t="str">
        <f>IFERROR(INDEX(TBL_LNG_IMPORTERS_CONNECTIONS[Name],$A138),"")</f>
        <v/>
      </c>
      <c r="C138" s="93" t="str">
        <f t="shared" ref="C138:D138" si="175">IF($B138&lt;&gt;"",C134,"")</f>
        <v/>
      </c>
      <c r="D138" s="93" t="str">
        <f t="shared" si="175"/>
        <v/>
      </c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5"/>
      <c r="W138" s="31" t="e">
        <f>INDEX(TBL_LNG_IMPORTERS_CONNECTIONS[LNGImporterConnectionID],$A138)</f>
        <v>#REF!</v>
      </c>
      <c r="X138" s="31" t="e">
        <f>"LNGImporterCapMin_"&amp;RIGHT($W138,11)</f>
        <v>#REF!</v>
      </c>
    </row>
    <row r="139" spans="1:24" x14ac:dyDescent="0.25">
      <c r="A139" s="94">
        <f t="shared" ref="A139:A141" si="176">$A138</f>
        <v>34</v>
      </c>
      <c r="B139" s="118"/>
      <c r="C139" s="93" t="str">
        <f t="shared" ref="C139:D139" si="177">IF($B138&lt;&gt;"",C135,"")</f>
        <v/>
      </c>
      <c r="D139" s="93" t="str">
        <f t="shared" si="177"/>
        <v/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6"/>
      <c r="W139" s="31" t="e">
        <f>INDEX(TBL_LNG_IMPORTERS_CONNECTIONS[LNGImporterConnectionID],$A139)</f>
        <v>#REF!</v>
      </c>
      <c r="X139" s="31" t="e">
        <f>"LNGImporterCapMax_"&amp;RIGHT($W139,11)</f>
        <v>#REF!</v>
      </c>
    </row>
    <row r="140" spans="1:24" x14ac:dyDescent="0.25">
      <c r="A140" s="94">
        <f t="shared" si="176"/>
        <v>34</v>
      </c>
      <c r="B140" s="118"/>
      <c r="C140" s="93" t="str">
        <f t="shared" ref="C140:D140" si="178">IF($B138&lt;&gt;"",C136,"")</f>
        <v/>
      </c>
      <c r="D140" s="93" t="str">
        <f t="shared" si="178"/>
        <v/>
      </c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5"/>
      <c r="W140" s="31" t="e">
        <f>INDEX(TBL_LNG_IMPORTERS_CONNECTIONS[LNGImporterConnectionID],$A140)</f>
        <v>#REF!</v>
      </c>
      <c r="X140" s="31" t="e">
        <f>"LNGImporterTariffFixed_"&amp;RIGHT($W140,11)</f>
        <v>#REF!</v>
      </c>
    </row>
    <row r="141" spans="1:24" x14ac:dyDescent="0.25">
      <c r="A141" s="94">
        <f t="shared" si="176"/>
        <v>34</v>
      </c>
      <c r="B141" s="119"/>
      <c r="C141" s="93" t="str">
        <f t="shared" ref="C141:D141" si="179">IF($B138&lt;&gt;"",C137,"")</f>
        <v/>
      </c>
      <c r="D141" s="93" t="str">
        <f t="shared" si="179"/>
        <v/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6"/>
      <c r="W141" s="31" t="e">
        <f>INDEX(TBL_LNG_IMPORTERS_CONNECTIONS[LNGImporterConnectionID],$A141)</f>
        <v>#REF!</v>
      </c>
      <c r="X141" s="31" t="e">
        <f>"LNGImporterTariffVar_"&amp;RIGHT($W141,11)</f>
        <v>#REF!</v>
      </c>
    </row>
    <row r="142" spans="1:24" x14ac:dyDescent="0.25">
      <c r="A142" s="94">
        <f t="shared" ref="A142" si="180">$A138+1</f>
        <v>35</v>
      </c>
      <c r="B142" s="117" t="str">
        <f>IFERROR(INDEX(TBL_LNG_IMPORTERS_CONNECTIONS[Name],$A142),"")</f>
        <v/>
      </c>
      <c r="C142" s="93" t="str">
        <f t="shared" ref="C142:D142" si="181">IF($B142&lt;&gt;"",C138,"")</f>
        <v/>
      </c>
      <c r="D142" s="93" t="str">
        <f t="shared" si="181"/>
        <v/>
      </c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5"/>
      <c r="W142" s="31" t="e">
        <f>INDEX(TBL_LNG_IMPORTERS_CONNECTIONS[LNGImporterConnectionID],$A142)</f>
        <v>#REF!</v>
      </c>
      <c r="X142" s="31" t="e">
        <f>"LNGImporterCapMin_"&amp;RIGHT($W142,11)</f>
        <v>#REF!</v>
      </c>
    </row>
    <row r="143" spans="1:24" x14ac:dyDescent="0.25">
      <c r="A143" s="94">
        <f t="shared" ref="A143:A145" si="182">$A142</f>
        <v>35</v>
      </c>
      <c r="B143" s="118"/>
      <c r="C143" s="93" t="str">
        <f t="shared" ref="C143:D143" si="183">IF($B142&lt;&gt;"",C139,"")</f>
        <v/>
      </c>
      <c r="D143" s="93" t="str">
        <f t="shared" si="183"/>
        <v/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6"/>
      <c r="W143" s="31" t="e">
        <f>INDEX(TBL_LNG_IMPORTERS_CONNECTIONS[LNGImporterConnectionID],$A143)</f>
        <v>#REF!</v>
      </c>
      <c r="X143" s="31" t="e">
        <f>"LNGImporterCapMax_"&amp;RIGHT($W143,11)</f>
        <v>#REF!</v>
      </c>
    </row>
    <row r="144" spans="1:24" x14ac:dyDescent="0.25">
      <c r="A144" s="94">
        <f t="shared" si="182"/>
        <v>35</v>
      </c>
      <c r="B144" s="118"/>
      <c r="C144" s="93" t="str">
        <f t="shared" ref="C144:D144" si="184">IF($B142&lt;&gt;"",C140,"")</f>
        <v/>
      </c>
      <c r="D144" s="93" t="str">
        <f t="shared" si="184"/>
        <v/>
      </c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5"/>
      <c r="W144" s="31" t="e">
        <f>INDEX(TBL_LNG_IMPORTERS_CONNECTIONS[LNGImporterConnectionID],$A144)</f>
        <v>#REF!</v>
      </c>
      <c r="X144" s="31" t="e">
        <f>"LNGImporterTariffFixed_"&amp;RIGHT($W144,11)</f>
        <v>#REF!</v>
      </c>
    </row>
    <row r="145" spans="1:24" x14ac:dyDescent="0.25">
      <c r="A145" s="94">
        <f t="shared" si="182"/>
        <v>35</v>
      </c>
      <c r="B145" s="119"/>
      <c r="C145" s="93" t="str">
        <f t="shared" ref="C145:D145" si="185">IF($B142&lt;&gt;"",C141,"")</f>
        <v/>
      </c>
      <c r="D145" s="93" t="str">
        <f t="shared" si="185"/>
        <v/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6"/>
      <c r="W145" s="31" t="e">
        <f>INDEX(TBL_LNG_IMPORTERS_CONNECTIONS[LNGImporterConnectionID],$A145)</f>
        <v>#REF!</v>
      </c>
      <c r="X145" s="31" t="e">
        <f>"LNGImporterTariffVar_"&amp;RIGHT($W145,11)</f>
        <v>#REF!</v>
      </c>
    </row>
    <row r="146" spans="1:24" x14ac:dyDescent="0.25">
      <c r="A146" s="94">
        <f t="shared" ref="A146" si="186">$A142+1</f>
        <v>36</v>
      </c>
      <c r="B146" s="117" t="str">
        <f>IFERROR(INDEX(TBL_LNG_IMPORTERS_CONNECTIONS[Name],$A146),"")</f>
        <v/>
      </c>
      <c r="C146" s="93" t="str">
        <f t="shared" ref="C146:D146" si="187">IF($B146&lt;&gt;"",C142,"")</f>
        <v/>
      </c>
      <c r="D146" s="93" t="str">
        <f t="shared" si="187"/>
        <v/>
      </c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5"/>
      <c r="W146" s="31" t="e">
        <f>INDEX(TBL_LNG_IMPORTERS_CONNECTIONS[LNGImporterConnectionID],$A146)</f>
        <v>#REF!</v>
      </c>
      <c r="X146" s="31" t="e">
        <f>"LNGImporterCapMin_"&amp;RIGHT($W146,11)</f>
        <v>#REF!</v>
      </c>
    </row>
    <row r="147" spans="1:24" x14ac:dyDescent="0.25">
      <c r="A147" s="94">
        <f t="shared" ref="A147:A149" si="188">$A146</f>
        <v>36</v>
      </c>
      <c r="B147" s="118"/>
      <c r="C147" s="93" t="str">
        <f t="shared" ref="C147:D147" si="189">IF($B146&lt;&gt;"",C143,"")</f>
        <v/>
      </c>
      <c r="D147" s="93" t="str">
        <f t="shared" si="189"/>
        <v/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6"/>
      <c r="W147" s="31" t="e">
        <f>INDEX(TBL_LNG_IMPORTERS_CONNECTIONS[LNGImporterConnectionID],$A147)</f>
        <v>#REF!</v>
      </c>
      <c r="X147" s="31" t="e">
        <f>"LNGImporterCapMax_"&amp;RIGHT($W147,11)</f>
        <v>#REF!</v>
      </c>
    </row>
    <row r="148" spans="1:24" x14ac:dyDescent="0.25">
      <c r="A148" s="94">
        <f t="shared" si="188"/>
        <v>36</v>
      </c>
      <c r="B148" s="118"/>
      <c r="C148" s="93" t="str">
        <f t="shared" ref="C148:D148" si="190">IF($B146&lt;&gt;"",C144,"")</f>
        <v/>
      </c>
      <c r="D148" s="93" t="str">
        <f t="shared" si="190"/>
        <v/>
      </c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5"/>
      <c r="W148" s="31" t="e">
        <f>INDEX(TBL_LNG_IMPORTERS_CONNECTIONS[LNGImporterConnectionID],$A148)</f>
        <v>#REF!</v>
      </c>
      <c r="X148" s="31" t="e">
        <f>"LNGImporterTariffFixed_"&amp;RIGHT($W148,11)</f>
        <v>#REF!</v>
      </c>
    </row>
    <row r="149" spans="1:24" x14ac:dyDescent="0.25">
      <c r="A149" s="94">
        <f t="shared" si="188"/>
        <v>36</v>
      </c>
      <c r="B149" s="119"/>
      <c r="C149" s="93" t="str">
        <f t="shared" ref="C149:D149" si="191">IF($B146&lt;&gt;"",C145,"")</f>
        <v/>
      </c>
      <c r="D149" s="93" t="str">
        <f t="shared" si="191"/>
        <v/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6"/>
      <c r="W149" s="31" t="e">
        <f>INDEX(TBL_LNG_IMPORTERS_CONNECTIONS[LNGImporterConnectionID],$A149)</f>
        <v>#REF!</v>
      </c>
      <c r="X149" s="31" t="e">
        <f>"LNGImporterTariffVar_"&amp;RIGHT($W149,11)</f>
        <v>#REF!</v>
      </c>
    </row>
    <row r="150" spans="1:24" x14ac:dyDescent="0.25">
      <c r="A150" s="94">
        <f t="shared" ref="A150" si="192">$A146+1</f>
        <v>37</v>
      </c>
      <c r="B150" s="117" t="str">
        <f>IFERROR(INDEX(TBL_LNG_IMPORTERS_CONNECTIONS[Name],$A150),"")</f>
        <v/>
      </c>
      <c r="C150" s="93" t="str">
        <f t="shared" ref="C150:D150" si="193">IF($B150&lt;&gt;"",C146,"")</f>
        <v/>
      </c>
      <c r="D150" s="93" t="str">
        <f t="shared" si="193"/>
        <v/>
      </c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5"/>
      <c r="W150" s="31" t="e">
        <f>INDEX(TBL_LNG_IMPORTERS_CONNECTIONS[LNGImporterConnectionID],$A150)</f>
        <v>#REF!</v>
      </c>
      <c r="X150" s="31" t="e">
        <f>"LNGImporterCapMin_"&amp;RIGHT($W150,11)</f>
        <v>#REF!</v>
      </c>
    </row>
    <row r="151" spans="1:24" x14ac:dyDescent="0.25">
      <c r="A151" s="94">
        <f t="shared" ref="A151:A153" si="194">$A150</f>
        <v>37</v>
      </c>
      <c r="B151" s="118"/>
      <c r="C151" s="93" t="str">
        <f t="shared" ref="C151:D151" si="195">IF($B150&lt;&gt;"",C147,"")</f>
        <v/>
      </c>
      <c r="D151" s="93" t="str">
        <f t="shared" si="195"/>
        <v/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6"/>
      <c r="W151" s="31" t="e">
        <f>INDEX(TBL_LNG_IMPORTERS_CONNECTIONS[LNGImporterConnectionID],$A151)</f>
        <v>#REF!</v>
      </c>
      <c r="X151" s="31" t="e">
        <f>"LNGImporterCapMax_"&amp;RIGHT($W151,11)</f>
        <v>#REF!</v>
      </c>
    </row>
    <row r="152" spans="1:24" x14ac:dyDescent="0.25">
      <c r="A152" s="94">
        <f t="shared" si="194"/>
        <v>37</v>
      </c>
      <c r="B152" s="118"/>
      <c r="C152" s="93" t="str">
        <f t="shared" ref="C152:D152" si="196">IF($B150&lt;&gt;"",C148,"")</f>
        <v/>
      </c>
      <c r="D152" s="93" t="str">
        <f t="shared" si="196"/>
        <v/>
      </c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5"/>
      <c r="W152" s="31" t="e">
        <f>INDEX(TBL_LNG_IMPORTERS_CONNECTIONS[LNGImporterConnectionID],$A152)</f>
        <v>#REF!</v>
      </c>
      <c r="X152" s="31" t="e">
        <f>"LNGImporterTariffFixed_"&amp;RIGHT($W152,11)</f>
        <v>#REF!</v>
      </c>
    </row>
    <row r="153" spans="1:24" x14ac:dyDescent="0.25">
      <c r="A153" s="94">
        <f t="shared" si="194"/>
        <v>37</v>
      </c>
      <c r="B153" s="119"/>
      <c r="C153" s="93" t="str">
        <f t="shared" ref="C153:D153" si="197">IF($B150&lt;&gt;"",C149,"")</f>
        <v/>
      </c>
      <c r="D153" s="93" t="str">
        <f t="shared" si="197"/>
        <v/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6"/>
      <c r="W153" s="31" t="e">
        <f>INDEX(TBL_LNG_IMPORTERS_CONNECTIONS[LNGImporterConnectionID],$A153)</f>
        <v>#REF!</v>
      </c>
      <c r="X153" s="31" t="e">
        <f>"LNGImporterTariffVar_"&amp;RIGHT($W153,11)</f>
        <v>#REF!</v>
      </c>
    </row>
    <row r="154" spans="1:24" x14ac:dyDescent="0.25">
      <c r="A154" s="94">
        <f t="shared" ref="A154" si="198">$A150+1</f>
        <v>38</v>
      </c>
      <c r="B154" s="117" t="str">
        <f>IFERROR(INDEX(TBL_LNG_IMPORTERS_CONNECTIONS[Name],$A154),"")</f>
        <v/>
      </c>
      <c r="C154" s="93" t="str">
        <f t="shared" ref="C154:D154" si="199">IF($B154&lt;&gt;"",C150,"")</f>
        <v/>
      </c>
      <c r="D154" s="93" t="str">
        <f t="shared" si="199"/>
        <v/>
      </c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5"/>
      <c r="W154" s="31" t="e">
        <f>INDEX(TBL_LNG_IMPORTERS_CONNECTIONS[LNGImporterConnectionID],$A154)</f>
        <v>#REF!</v>
      </c>
      <c r="X154" s="31" t="e">
        <f>"LNGImporterCapMin_"&amp;RIGHT($W154,11)</f>
        <v>#REF!</v>
      </c>
    </row>
    <row r="155" spans="1:24" x14ac:dyDescent="0.25">
      <c r="A155" s="94">
        <f t="shared" ref="A155:A157" si="200">$A154</f>
        <v>38</v>
      </c>
      <c r="B155" s="118"/>
      <c r="C155" s="93" t="str">
        <f t="shared" ref="C155:D155" si="201">IF($B154&lt;&gt;"",C151,"")</f>
        <v/>
      </c>
      <c r="D155" s="93" t="str">
        <f t="shared" si="201"/>
        <v/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6"/>
      <c r="W155" s="31" t="e">
        <f>INDEX(TBL_LNG_IMPORTERS_CONNECTIONS[LNGImporterConnectionID],$A155)</f>
        <v>#REF!</v>
      </c>
      <c r="X155" s="31" t="e">
        <f>"LNGImporterCapMax_"&amp;RIGHT($W155,11)</f>
        <v>#REF!</v>
      </c>
    </row>
    <row r="156" spans="1:24" x14ac:dyDescent="0.25">
      <c r="A156" s="94">
        <f t="shared" si="200"/>
        <v>38</v>
      </c>
      <c r="B156" s="118"/>
      <c r="C156" s="93" t="str">
        <f t="shared" ref="C156:D156" si="202">IF($B154&lt;&gt;"",C152,"")</f>
        <v/>
      </c>
      <c r="D156" s="93" t="str">
        <f t="shared" si="202"/>
        <v/>
      </c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5"/>
      <c r="W156" s="31" t="e">
        <f>INDEX(TBL_LNG_IMPORTERS_CONNECTIONS[LNGImporterConnectionID],$A156)</f>
        <v>#REF!</v>
      </c>
      <c r="X156" s="31" t="e">
        <f>"LNGImporterTariffFixed_"&amp;RIGHT($W156,11)</f>
        <v>#REF!</v>
      </c>
    </row>
    <row r="157" spans="1:24" x14ac:dyDescent="0.25">
      <c r="A157" s="94">
        <f t="shared" si="200"/>
        <v>38</v>
      </c>
      <c r="B157" s="119"/>
      <c r="C157" s="93" t="str">
        <f t="shared" ref="C157:D157" si="203">IF($B154&lt;&gt;"",C153,"")</f>
        <v/>
      </c>
      <c r="D157" s="93" t="str">
        <f t="shared" si="203"/>
        <v/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6"/>
      <c r="W157" s="31" t="e">
        <f>INDEX(TBL_LNG_IMPORTERS_CONNECTIONS[LNGImporterConnectionID],$A157)</f>
        <v>#REF!</v>
      </c>
      <c r="X157" s="31" t="e">
        <f>"LNGImporterTariffVar_"&amp;RIGHT($W157,11)</f>
        <v>#REF!</v>
      </c>
    </row>
    <row r="158" spans="1:24" x14ac:dyDescent="0.25">
      <c r="A158" s="94">
        <f t="shared" ref="A158" si="204">$A154+1</f>
        <v>39</v>
      </c>
      <c r="B158" s="117" t="str">
        <f>IFERROR(INDEX(TBL_LNG_IMPORTERS_CONNECTIONS[Name],$A158),"")</f>
        <v/>
      </c>
      <c r="C158" s="93" t="str">
        <f t="shared" ref="C158:D158" si="205">IF($B158&lt;&gt;"",C154,"")</f>
        <v/>
      </c>
      <c r="D158" s="93" t="str">
        <f t="shared" si="205"/>
        <v/>
      </c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5"/>
      <c r="W158" s="31" t="e">
        <f>INDEX(TBL_LNG_IMPORTERS_CONNECTIONS[LNGImporterConnectionID],$A158)</f>
        <v>#REF!</v>
      </c>
      <c r="X158" s="31" t="e">
        <f>"LNGImporterCapMin_"&amp;RIGHT($W158,11)</f>
        <v>#REF!</v>
      </c>
    </row>
    <row r="159" spans="1:24" x14ac:dyDescent="0.25">
      <c r="A159" s="94">
        <f t="shared" ref="A159:A177" si="206">$A158</f>
        <v>39</v>
      </c>
      <c r="B159" s="118"/>
      <c r="C159" s="93" t="str">
        <f t="shared" ref="C159:D159" si="207">IF($B158&lt;&gt;"",C155,"")</f>
        <v/>
      </c>
      <c r="D159" s="93" t="str">
        <f t="shared" si="207"/>
        <v/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6"/>
      <c r="W159" s="31" t="e">
        <f>INDEX(TBL_LNG_IMPORTERS_CONNECTIONS[LNGImporterConnectionID],$A159)</f>
        <v>#REF!</v>
      </c>
      <c r="X159" s="31" t="e">
        <f>"LNGImporterCapMax_"&amp;RIGHT($W159,11)</f>
        <v>#REF!</v>
      </c>
    </row>
    <row r="160" spans="1:24" x14ac:dyDescent="0.25">
      <c r="A160" s="94">
        <f t="shared" si="206"/>
        <v>39</v>
      </c>
      <c r="B160" s="118"/>
      <c r="C160" s="93" t="str">
        <f t="shared" ref="C160:D160" si="208">IF($B158&lt;&gt;"",C156,"")</f>
        <v/>
      </c>
      <c r="D160" s="93" t="str">
        <f t="shared" si="208"/>
        <v/>
      </c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5"/>
      <c r="W160" s="31" t="e">
        <f>INDEX(TBL_LNG_IMPORTERS_CONNECTIONS[LNGImporterConnectionID],$A160)</f>
        <v>#REF!</v>
      </c>
      <c r="X160" s="31" t="e">
        <f>"LNGImporterTariffFixed_"&amp;RIGHT($W160,11)</f>
        <v>#REF!</v>
      </c>
    </row>
    <row r="161" spans="1:24" x14ac:dyDescent="0.25">
      <c r="A161" s="94">
        <f t="shared" si="206"/>
        <v>39</v>
      </c>
      <c r="B161" s="119"/>
      <c r="C161" s="93" t="str">
        <f t="shared" ref="C161:D161" si="209">IF($B158&lt;&gt;"",C157,"")</f>
        <v/>
      </c>
      <c r="D161" s="93" t="str">
        <f t="shared" si="209"/>
        <v/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6"/>
      <c r="W161" s="31" t="e">
        <f>INDEX(TBL_LNG_IMPORTERS_CONNECTIONS[LNGImporterConnectionID],$A161)</f>
        <v>#REF!</v>
      </c>
      <c r="X161" s="31" t="e">
        <f>"LNGImporterTariffVar_"&amp;RIGHT($W161,11)</f>
        <v>#REF!</v>
      </c>
    </row>
    <row r="162" spans="1:24" x14ac:dyDescent="0.25">
      <c r="A162" s="94">
        <f t="shared" ref="A162" si="210">$A158+1</f>
        <v>40</v>
      </c>
      <c r="B162" s="117" t="str">
        <f>IFERROR(INDEX(TBL_LNG_IMPORTERS_CONNECTIONS[Name],$A162),"")</f>
        <v/>
      </c>
      <c r="C162" s="93" t="str">
        <f t="shared" ref="C162:D162" si="211">IF($B162&lt;&gt;"",C158,"")</f>
        <v/>
      </c>
      <c r="D162" s="93" t="str">
        <f t="shared" si="211"/>
        <v/>
      </c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5"/>
      <c r="W162" s="31" t="e">
        <f>INDEX(TBL_LNG_IMPORTERS_CONNECTIONS[LNGImporterConnectionID],$A162)</f>
        <v>#REF!</v>
      </c>
      <c r="X162" s="31" t="e">
        <f>"LNGImporterCapMin_"&amp;RIGHT($W162,11)</f>
        <v>#REF!</v>
      </c>
    </row>
    <row r="163" spans="1:24" x14ac:dyDescent="0.25">
      <c r="A163" s="94">
        <f t="shared" si="206"/>
        <v>40</v>
      </c>
      <c r="B163" s="118"/>
      <c r="C163" s="93" t="str">
        <f t="shared" ref="C163:D163" si="212">IF($B162&lt;&gt;"",C159,"")</f>
        <v/>
      </c>
      <c r="D163" s="93" t="str">
        <f t="shared" si="212"/>
        <v/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6"/>
      <c r="W163" s="31" t="e">
        <f>INDEX(TBL_LNG_IMPORTERS_CONNECTIONS[LNGImporterConnectionID],$A163)</f>
        <v>#REF!</v>
      </c>
      <c r="X163" s="31" t="e">
        <f>"LNGImporterCapMax_"&amp;RIGHT($W163,11)</f>
        <v>#REF!</v>
      </c>
    </row>
    <row r="164" spans="1:24" x14ac:dyDescent="0.25">
      <c r="A164" s="94">
        <f t="shared" si="206"/>
        <v>40</v>
      </c>
      <c r="B164" s="118"/>
      <c r="C164" s="93" t="str">
        <f t="shared" ref="C164:D164" si="213">IF($B162&lt;&gt;"",C160,"")</f>
        <v/>
      </c>
      <c r="D164" s="93" t="str">
        <f t="shared" si="213"/>
        <v/>
      </c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5"/>
      <c r="W164" s="31" t="e">
        <f>INDEX(TBL_LNG_IMPORTERS_CONNECTIONS[LNGImporterConnectionID],$A164)</f>
        <v>#REF!</v>
      </c>
      <c r="X164" s="31" t="e">
        <f>"LNGImporterTariffFixed_"&amp;RIGHT($W164,11)</f>
        <v>#REF!</v>
      </c>
    </row>
    <row r="165" spans="1:24" x14ac:dyDescent="0.25">
      <c r="A165" s="94">
        <f t="shared" si="206"/>
        <v>40</v>
      </c>
      <c r="B165" s="119"/>
      <c r="C165" s="93" t="str">
        <f t="shared" ref="C165:D165" si="214">IF($B162&lt;&gt;"",C161,"")</f>
        <v/>
      </c>
      <c r="D165" s="93" t="str">
        <f t="shared" si="214"/>
        <v/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6"/>
      <c r="W165" s="31" t="e">
        <f>INDEX(TBL_LNG_IMPORTERS_CONNECTIONS[LNGImporterConnectionID],$A165)</f>
        <v>#REF!</v>
      </c>
      <c r="X165" s="31" t="e">
        <f>"LNGImporterTariffVar_"&amp;RIGHT($W165,11)</f>
        <v>#REF!</v>
      </c>
    </row>
    <row r="166" spans="1:24" x14ac:dyDescent="0.25">
      <c r="A166" s="94">
        <f t="shared" ref="A166" si="215">$A162+1</f>
        <v>41</v>
      </c>
      <c r="B166" s="117" t="str">
        <f>IFERROR(INDEX(TBL_LNG_IMPORTERS_CONNECTIONS[Name],$A166),"")</f>
        <v/>
      </c>
      <c r="C166" s="93" t="str">
        <f t="shared" ref="C166:D166" si="216">IF($B166&lt;&gt;"",C162,"")</f>
        <v/>
      </c>
      <c r="D166" s="93" t="str">
        <f t="shared" si="216"/>
        <v/>
      </c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5"/>
      <c r="W166" s="31" t="e">
        <f>INDEX(TBL_LNG_IMPORTERS_CONNECTIONS[LNGImporterConnectionID],$A166)</f>
        <v>#REF!</v>
      </c>
      <c r="X166" s="31" t="e">
        <f>"LNGImporterCapMin_"&amp;RIGHT($W166,11)</f>
        <v>#REF!</v>
      </c>
    </row>
    <row r="167" spans="1:24" x14ac:dyDescent="0.25">
      <c r="A167" s="94">
        <f t="shared" si="206"/>
        <v>41</v>
      </c>
      <c r="B167" s="118"/>
      <c r="C167" s="93" t="str">
        <f t="shared" ref="C167:D167" si="217">IF($B166&lt;&gt;"",C163,"")</f>
        <v/>
      </c>
      <c r="D167" s="93" t="str">
        <f t="shared" si="217"/>
        <v/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6"/>
      <c r="W167" s="31" t="e">
        <f>INDEX(TBL_LNG_IMPORTERS_CONNECTIONS[LNGImporterConnectionID],$A167)</f>
        <v>#REF!</v>
      </c>
      <c r="X167" s="31" t="e">
        <f>"LNGImporterCapMax_"&amp;RIGHT($W167,11)</f>
        <v>#REF!</v>
      </c>
    </row>
    <row r="168" spans="1:24" x14ac:dyDescent="0.25">
      <c r="A168" s="94">
        <f t="shared" si="206"/>
        <v>41</v>
      </c>
      <c r="B168" s="118"/>
      <c r="C168" s="93" t="str">
        <f t="shared" ref="C168:D168" si="218">IF($B166&lt;&gt;"",C164,"")</f>
        <v/>
      </c>
      <c r="D168" s="93" t="str">
        <f t="shared" si="218"/>
        <v/>
      </c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5"/>
      <c r="W168" s="31" t="e">
        <f>INDEX(TBL_LNG_IMPORTERS_CONNECTIONS[LNGImporterConnectionID],$A168)</f>
        <v>#REF!</v>
      </c>
      <c r="X168" s="31" t="e">
        <f>"LNGImporterTariffFixed_"&amp;RIGHT($W168,11)</f>
        <v>#REF!</v>
      </c>
    </row>
    <row r="169" spans="1:24" x14ac:dyDescent="0.25">
      <c r="A169" s="94">
        <f t="shared" si="206"/>
        <v>41</v>
      </c>
      <c r="B169" s="119"/>
      <c r="C169" s="93" t="str">
        <f t="shared" ref="C169:D169" si="219">IF($B166&lt;&gt;"",C165,"")</f>
        <v/>
      </c>
      <c r="D169" s="93" t="str">
        <f t="shared" si="219"/>
        <v/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6"/>
      <c r="W169" s="31" t="e">
        <f>INDEX(TBL_LNG_IMPORTERS_CONNECTIONS[LNGImporterConnectionID],$A169)</f>
        <v>#REF!</v>
      </c>
      <c r="X169" s="31" t="e">
        <f>"LNGImporterTariffVar_"&amp;RIGHT($W169,11)</f>
        <v>#REF!</v>
      </c>
    </row>
    <row r="170" spans="1:24" x14ac:dyDescent="0.25">
      <c r="A170" s="94">
        <f t="shared" ref="A170" si="220">$A166+1</f>
        <v>42</v>
      </c>
      <c r="B170" s="117" t="str">
        <f>IFERROR(INDEX(TBL_LNG_IMPORTERS_CONNECTIONS[Name],$A170),"")</f>
        <v/>
      </c>
      <c r="C170" s="93" t="str">
        <f t="shared" ref="C170:D170" si="221">IF($B170&lt;&gt;"",C166,"")</f>
        <v/>
      </c>
      <c r="D170" s="93" t="str">
        <f t="shared" si="221"/>
        <v/>
      </c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5"/>
      <c r="W170" s="31" t="e">
        <f>INDEX(TBL_LNG_IMPORTERS_CONNECTIONS[LNGImporterConnectionID],$A170)</f>
        <v>#REF!</v>
      </c>
      <c r="X170" s="31" t="e">
        <f>"LNGImporterCapMin_"&amp;RIGHT($W170,11)</f>
        <v>#REF!</v>
      </c>
    </row>
    <row r="171" spans="1:24" x14ac:dyDescent="0.25">
      <c r="A171" s="94">
        <f t="shared" si="206"/>
        <v>42</v>
      </c>
      <c r="B171" s="118"/>
      <c r="C171" s="93" t="str">
        <f t="shared" ref="C171:D171" si="222">IF($B170&lt;&gt;"",C167,"")</f>
        <v/>
      </c>
      <c r="D171" s="93" t="str">
        <f t="shared" si="222"/>
        <v/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6"/>
      <c r="W171" s="31" t="e">
        <f>INDEX(TBL_LNG_IMPORTERS_CONNECTIONS[LNGImporterConnectionID],$A171)</f>
        <v>#REF!</v>
      </c>
      <c r="X171" s="31" t="e">
        <f>"LNGImporterCapMax_"&amp;RIGHT($W171,11)</f>
        <v>#REF!</v>
      </c>
    </row>
    <row r="172" spans="1:24" x14ac:dyDescent="0.25">
      <c r="A172" s="94">
        <f t="shared" si="206"/>
        <v>42</v>
      </c>
      <c r="B172" s="118"/>
      <c r="C172" s="93" t="str">
        <f t="shared" ref="C172:D172" si="223">IF($B170&lt;&gt;"",C168,"")</f>
        <v/>
      </c>
      <c r="D172" s="93" t="str">
        <f t="shared" si="223"/>
        <v/>
      </c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5"/>
      <c r="W172" s="31" t="e">
        <f>INDEX(TBL_LNG_IMPORTERS_CONNECTIONS[LNGImporterConnectionID],$A172)</f>
        <v>#REF!</v>
      </c>
      <c r="X172" s="31" t="e">
        <f>"LNGImporterTariffFixed_"&amp;RIGHT($W172,11)</f>
        <v>#REF!</v>
      </c>
    </row>
    <row r="173" spans="1:24" x14ac:dyDescent="0.25">
      <c r="A173" s="94">
        <f t="shared" si="206"/>
        <v>42</v>
      </c>
      <c r="B173" s="119"/>
      <c r="C173" s="93" t="str">
        <f t="shared" ref="C173:D173" si="224">IF($B170&lt;&gt;"",C169,"")</f>
        <v/>
      </c>
      <c r="D173" s="93" t="str">
        <f t="shared" si="224"/>
        <v/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6"/>
      <c r="W173" s="31" t="e">
        <f>INDEX(TBL_LNG_IMPORTERS_CONNECTIONS[LNGImporterConnectionID],$A173)</f>
        <v>#REF!</v>
      </c>
      <c r="X173" s="31" t="e">
        <f>"LNGImporterTariffVar_"&amp;RIGHT($W173,11)</f>
        <v>#REF!</v>
      </c>
    </row>
    <row r="174" spans="1:24" x14ac:dyDescent="0.25">
      <c r="A174" s="94">
        <f t="shared" ref="A174" si="225">$A170+1</f>
        <v>43</v>
      </c>
      <c r="B174" s="117" t="str">
        <f>IFERROR(INDEX(TBL_LNG_IMPORTERS_CONNECTIONS[Name],$A174),"")</f>
        <v/>
      </c>
      <c r="C174" s="93" t="str">
        <f t="shared" ref="C174:D174" si="226">IF($B174&lt;&gt;"",C170,"")</f>
        <v/>
      </c>
      <c r="D174" s="93" t="str">
        <f t="shared" si="226"/>
        <v/>
      </c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5"/>
      <c r="W174" s="31" t="e">
        <f>INDEX(TBL_LNG_IMPORTERS_CONNECTIONS[LNGImporterConnectionID],$A174)</f>
        <v>#REF!</v>
      </c>
      <c r="X174" s="31" t="e">
        <f>"LNGImporterCapMin_"&amp;RIGHT($W174,11)</f>
        <v>#REF!</v>
      </c>
    </row>
    <row r="175" spans="1:24" x14ac:dyDescent="0.25">
      <c r="A175" s="94">
        <f t="shared" si="206"/>
        <v>43</v>
      </c>
      <c r="B175" s="118"/>
      <c r="C175" s="93" t="str">
        <f t="shared" ref="C175:D175" si="227">IF($B174&lt;&gt;"",C171,"")</f>
        <v/>
      </c>
      <c r="D175" s="93" t="str">
        <f t="shared" si="227"/>
        <v/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6"/>
      <c r="W175" s="31" t="e">
        <f>INDEX(TBL_LNG_IMPORTERS_CONNECTIONS[LNGImporterConnectionID],$A175)</f>
        <v>#REF!</v>
      </c>
      <c r="X175" s="31" t="e">
        <f>"LNGImporterCapMax_"&amp;RIGHT($W175,11)</f>
        <v>#REF!</v>
      </c>
    </row>
    <row r="176" spans="1:24" x14ac:dyDescent="0.25">
      <c r="A176" s="94">
        <f t="shared" si="206"/>
        <v>43</v>
      </c>
      <c r="B176" s="118"/>
      <c r="C176" s="93" t="str">
        <f t="shared" ref="C176:D176" si="228">IF($B174&lt;&gt;"",C172,"")</f>
        <v/>
      </c>
      <c r="D176" s="93" t="str">
        <f t="shared" si="228"/>
        <v/>
      </c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5"/>
      <c r="W176" s="31" t="e">
        <f>INDEX(TBL_LNG_IMPORTERS_CONNECTIONS[LNGImporterConnectionID],$A176)</f>
        <v>#REF!</v>
      </c>
      <c r="X176" s="31" t="e">
        <f>"LNGImporterTariffFixed_"&amp;RIGHT($W176,11)</f>
        <v>#REF!</v>
      </c>
    </row>
    <row r="177" spans="1:24" x14ac:dyDescent="0.25">
      <c r="A177" s="94">
        <f t="shared" si="206"/>
        <v>43</v>
      </c>
      <c r="B177" s="119"/>
      <c r="C177" s="93" t="str">
        <f t="shared" ref="C177:D177" si="229">IF($B174&lt;&gt;"",C173,"")</f>
        <v/>
      </c>
      <c r="D177" s="93" t="str">
        <f t="shared" si="229"/>
        <v/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6"/>
      <c r="W177" s="31" t="e">
        <f>INDEX(TBL_LNG_IMPORTERS_CONNECTIONS[LNGImporterConnectionID],$A177)</f>
        <v>#REF!</v>
      </c>
      <c r="X177" s="31" t="e">
        <f>"LNGImporterTariffVar_"&amp;RIGHT($W177,11)</f>
        <v>#REF!</v>
      </c>
    </row>
    <row r="178" spans="1:24" x14ac:dyDescent="0.25">
      <c r="A178" s="94">
        <f t="shared" ref="A178" si="230">$A174+1</f>
        <v>44</v>
      </c>
      <c r="B178" s="117" t="str">
        <f>IFERROR(INDEX(TBL_LNG_IMPORTERS_CONNECTIONS[Name],$A178),"")</f>
        <v/>
      </c>
      <c r="C178" s="93" t="str">
        <f t="shared" ref="C178:D178" si="231">IF($B178&lt;&gt;"",C174,"")</f>
        <v/>
      </c>
      <c r="D178" s="93" t="str">
        <f t="shared" si="231"/>
        <v/>
      </c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5"/>
      <c r="W178" s="31" t="e">
        <f>INDEX(TBL_LNG_IMPORTERS_CONNECTIONS[LNGImporterConnectionID],$A178)</f>
        <v>#REF!</v>
      </c>
      <c r="X178" s="31" t="e">
        <f>"LNGImporterCapMin_"&amp;RIGHT($W178,11)</f>
        <v>#REF!</v>
      </c>
    </row>
    <row r="179" spans="1:24" x14ac:dyDescent="0.25">
      <c r="A179" s="94">
        <f t="shared" ref="A179:A181" si="232">$A178</f>
        <v>44</v>
      </c>
      <c r="B179" s="118"/>
      <c r="C179" s="93" t="str">
        <f t="shared" ref="C179:D179" si="233">IF($B178&lt;&gt;"",C175,"")</f>
        <v/>
      </c>
      <c r="D179" s="93" t="str">
        <f t="shared" si="233"/>
        <v/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6"/>
      <c r="W179" s="31" t="e">
        <f>INDEX(TBL_LNG_IMPORTERS_CONNECTIONS[LNGImporterConnectionID],$A179)</f>
        <v>#REF!</v>
      </c>
      <c r="X179" s="31" t="e">
        <f>"LNGImporterCapMax_"&amp;RIGHT($W179,11)</f>
        <v>#REF!</v>
      </c>
    </row>
    <row r="180" spans="1:24" x14ac:dyDescent="0.25">
      <c r="A180" s="94">
        <f t="shared" si="232"/>
        <v>44</v>
      </c>
      <c r="B180" s="118"/>
      <c r="C180" s="93" t="str">
        <f t="shared" ref="C180:D180" si="234">IF($B178&lt;&gt;"",C176,"")</f>
        <v/>
      </c>
      <c r="D180" s="93" t="str">
        <f t="shared" si="234"/>
        <v/>
      </c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5"/>
      <c r="W180" s="31" t="e">
        <f>INDEX(TBL_LNG_IMPORTERS_CONNECTIONS[LNGImporterConnectionID],$A180)</f>
        <v>#REF!</v>
      </c>
      <c r="X180" s="31" t="e">
        <f>"LNGImporterTariffFixed_"&amp;RIGHT($W180,11)</f>
        <v>#REF!</v>
      </c>
    </row>
    <row r="181" spans="1:24" x14ac:dyDescent="0.25">
      <c r="A181" s="94">
        <f t="shared" si="232"/>
        <v>44</v>
      </c>
      <c r="B181" s="119"/>
      <c r="C181" s="93" t="str">
        <f t="shared" ref="C181:D181" si="235">IF($B178&lt;&gt;"",C177,"")</f>
        <v/>
      </c>
      <c r="D181" s="93" t="str">
        <f t="shared" si="235"/>
        <v/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6"/>
      <c r="W181" s="31" t="e">
        <f>INDEX(TBL_LNG_IMPORTERS_CONNECTIONS[LNGImporterConnectionID],$A181)</f>
        <v>#REF!</v>
      </c>
      <c r="X181" s="31" t="e">
        <f>"LNGImporterTariffVar_"&amp;RIGHT($W181,11)</f>
        <v>#REF!</v>
      </c>
    </row>
    <row r="182" spans="1:24" x14ac:dyDescent="0.25">
      <c r="A182" s="94">
        <f t="shared" ref="A182" si="236">$A178+1</f>
        <v>45</v>
      </c>
      <c r="B182" s="117" t="str">
        <f>IFERROR(INDEX(TBL_LNG_IMPORTERS_CONNECTIONS[Name],$A182),"")</f>
        <v/>
      </c>
      <c r="C182" s="93" t="str">
        <f t="shared" ref="C182:D182" si="237">IF($B182&lt;&gt;"",C178,"")</f>
        <v/>
      </c>
      <c r="D182" s="93" t="str">
        <f t="shared" si="237"/>
        <v/>
      </c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5"/>
      <c r="W182" s="31" t="e">
        <f>INDEX(TBL_LNG_IMPORTERS_CONNECTIONS[LNGImporterConnectionID],$A182)</f>
        <v>#REF!</v>
      </c>
      <c r="X182" s="31" t="e">
        <f>"LNGImporterCapMin_"&amp;RIGHT($W182,11)</f>
        <v>#REF!</v>
      </c>
    </row>
    <row r="183" spans="1:24" x14ac:dyDescent="0.25">
      <c r="A183" s="94">
        <f t="shared" ref="A183:A185" si="238">$A182</f>
        <v>45</v>
      </c>
      <c r="B183" s="118"/>
      <c r="C183" s="93" t="str">
        <f t="shared" ref="C183:D183" si="239">IF($B182&lt;&gt;"",C179,"")</f>
        <v/>
      </c>
      <c r="D183" s="93" t="str">
        <f t="shared" si="239"/>
        <v/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6"/>
      <c r="W183" s="31" t="e">
        <f>INDEX(TBL_LNG_IMPORTERS_CONNECTIONS[LNGImporterConnectionID],$A183)</f>
        <v>#REF!</v>
      </c>
      <c r="X183" s="31" t="e">
        <f>"LNGImporterCapMax_"&amp;RIGHT($W183,11)</f>
        <v>#REF!</v>
      </c>
    </row>
    <row r="184" spans="1:24" x14ac:dyDescent="0.25">
      <c r="A184" s="94">
        <f t="shared" si="238"/>
        <v>45</v>
      </c>
      <c r="B184" s="118"/>
      <c r="C184" s="93" t="str">
        <f t="shared" ref="C184:D184" si="240">IF($B182&lt;&gt;"",C180,"")</f>
        <v/>
      </c>
      <c r="D184" s="93" t="str">
        <f t="shared" si="240"/>
        <v/>
      </c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5"/>
      <c r="W184" s="31" t="e">
        <f>INDEX(TBL_LNG_IMPORTERS_CONNECTIONS[LNGImporterConnectionID],$A184)</f>
        <v>#REF!</v>
      </c>
      <c r="X184" s="31" t="e">
        <f>"LNGImporterTariffFixed_"&amp;RIGHT($W184,11)</f>
        <v>#REF!</v>
      </c>
    </row>
    <row r="185" spans="1:24" x14ac:dyDescent="0.25">
      <c r="A185" s="94">
        <f t="shared" si="238"/>
        <v>45</v>
      </c>
      <c r="B185" s="119"/>
      <c r="C185" s="93" t="str">
        <f t="shared" ref="C185:D185" si="241">IF($B182&lt;&gt;"",C181,"")</f>
        <v/>
      </c>
      <c r="D185" s="93" t="str">
        <f t="shared" si="241"/>
        <v/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6"/>
      <c r="W185" s="31" t="e">
        <f>INDEX(TBL_LNG_IMPORTERS_CONNECTIONS[LNGImporterConnectionID],$A185)</f>
        <v>#REF!</v>
      </c>
      <c r="X185" s="31" t="e">
        <f>"LNGImporterTariffVar_"&amp;RIGHT($W185,11)</f>
        <v>#REF!</v>
      </c>
    </row>
    <row r="186" spans="1:24" x14ac:dyDescent="0.25">
      <c r="A186" s="94">
        <f t="shared" ref="A186" si="242">$A182+1</f>
        <v>46</v>
      </c>
      <c r="B186" s="117" t="str">
        <f>IFERROR(INDEX(TBL_LNG_IMPORTERS_CONNECTIONS[Name],$A186),"")</f>
        <v/>
      </c>
      <c r="C186" s="93" t="str">
        <f t="shared" ref="C186:D186" si="243">IF($B186&lt;&gt;"",C182,"")</f>
        <v/>
      </c>
      <c r="D186" s="93" t="str">
        <f t="shared" si="243"/>
        <v/>
      </c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5"/>
      <c r="W186" s="31" t="e">
        <f>INDEX(TBL_LNG_IMPORTERS_CONNECTIONS[LNGImporterConnectionID],$A186)</f>
        <v>#REF!</v>
      </c>
      <c r="X186" s="31" t="e">
        <f>"LNGImporterCapMin_"&amp;RIGHT($W186,11)</f>
        <v>#REF!</v>
      </c>
    </row>
    <row r="187" spans="1:24" x14ac:dyDescent="0.25">
      <c r="A187" s="94">
        <f t="shared" ref="A187:A189" si="244">$A186</f>
        <v>46</v>
      </c>
      <c r="B187" s="118"/>
      <c r="C187" s="93" t="str">
        <f t="shared" ref="C187:D187" si="245">IF($B186&lt;&gt;"",C183,"")</f>
        <v/>
      </c>
      <c r="D187" s="93" t="str">
        <f t="shared" si="245"/>
        <v/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6"/>
      <c r="W187" s="31" t="e">
        <f>INDEX(TBL_LNG_IMPORTERS_CONNECTIONS[LNGImporterConnectionID],$A187)</f>
        <v>#REF!</v>
      </c>
      <c r="X187" s="31" t="e">
        <f>"LNGImporterCapMax_"&amp;RIGHT($W187,11)</f>
        <v>#REF!</v>
      </c>
    </row>
    <row r="188" spans="1:24" x14ac:dyDescent="0.25">
      <c r="A188" s="94">
        <f t="shared" si="244"/>
        <v>46</v>
      </c>
      <c r="B188" s="118"/>
      <c r="C188" s="93" t="str">
        <f t="shared" ref="C188:D188" si="246">IF($B186&lt;&gt;"",C184,"")</f>
        <v/>
      </c>
      <c r="D188" s="93" t="str">
        <f t="shared" si="246"/>
        <v/>
      </c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5"/>
      <c r="W188" s="31" t="e">
        <f>INDEX(TBL_LNG_IMPORTERS_CONNECTIONS[LNGImporterConnectionID],$A188)</f>
        <v>#REF!</v>
      </c>
      <c r="X188" s="31" t="e">
        <f>"LNGImporterTariffFixed_"&amp;RIGHT($W188,11)</f>
        <v>#REF!</v>
      </c>
    </row>
    <row r="189" spans="1:24" x14ac:dyDescent="0.25">
      <c r="A189" s="94">
        <f t="shared" si="244"/>
        <v>46</v>
      </c>
      <c r="B189" s="119"/>
      <c r="C189" s="93" t="str">
        <f t="shared" ref="C189:D189" si="247">IF($B186&lt;&gt;"",C185,"")</f>
        <v/>
      </c>
      <c r="D189" s="93" t="str">
        <f t="shared" si="247"/>
        <v/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6"/>
      <c r="W189" s="31" t="e">
        <f>INDEX(TBL_LNG_IMPORTERS_CONNECTIONS[LNGImporterConnectionID],$A189)</f>
        <v>#REF!</v>
      </c>
      <c r="X189" s="31" t="e">
        <f>"LNGImporterTariffVar_"&amp;RIGHT($W189,11)</f>
        <v>#REF!</v>
      </c>
    </row>
    <row r="190" spans="1:24" x14ac:dyDescent="0.25">
      <c r="A190" s="94">
        <f t="shared" ref="A190" si="248">$A186+1</f>
        <v>47</v>
      </c>
      <c r="B190" s="117" t="str">
        <f>IFERROR(INDEX(TBL_LNG_IMPORTERS_CONNECTIONS[Name],$A190),"")</f>
        <v/>
      </c>
      <c r="C190" s="93" t="str">
        <f t="shared" ref="C190:D190" si="249">IF($B190&lt;&gt;"",C186,"")</f>
        <v/>
      </c>
      <c r="D190" s="93" t="str">
        <f t="shared" si="249"/>
        <v/>
      </c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5"/>
      <c r="W190" s="31" t="e">
        <f>INDEX(TBL_LNG_IMPORTERS_CONNECTIONS[LNGImporterConnectionID],$A190)</f>
        <v>#REF!</v>
      </c>
      <c r="X190" s="31" t="e">
        <f>"LNGImporterCapMin_"&amp;RIGHT($W190,11)</f>
        <v>#REF!</v>
      </c>
    </row>
    <row r="191" spans="1:24" x14ac:dyDescent="0.25">
      <c r="A191" s="94">
        <f t="shared" ref="A191:A193" si="250">$A190</f>
        <v>47</v>
      </c>
      <c r="B191" s="118"/>
      <c r="C191" s="93" t="str">
        <f t="shared" ref="C191:D191" si="251">IF($B190&lt;&gt;"",C187,"")</f>
        <v/>
      </c>
      <c r="D191" s="93" t="str">
        <f t="shared" si="251"/>
        <v/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6"/>
      <c r="W191" s="31" t="e">
        <f>INDEX(TBL_LNG_IMPORTERS_CONNECTIONS[LNGImporterConnectionID],$A191)</f>
        <v>#REF!</v>
      </c>
      <c r="X191" s="31" t="e">
        <f>"LNGImporterCapMax_"&amp;RIGHT($W191,11)</f>
        <v>#REF!</v>
      </c>
    </row>
    <row r="192" spans="1:24" x14ac:dyDescent="0.25">
      <c r="A192" s="94">
        <f t="shared" si="250"/>
        <v>47</v>
      </c>
      <c r="B192" s="118"/>
      <c r="C192" s="93" t="str">
        <f t="shared" ref="C192:D192" si="252">IF($B190&lt;&gt;"",C188,"")</f>
        <v/>
      </c>
      <c r="D192" s="93" t="str">
        <f t="shared" si="252"/>
        <v/>
      </c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5"/>
      <c r="W192" s="31" t="e">
        <f>INDEX(TBL_LNG_IMPORTERS_CONNECTIONS[LNGImporterConnectionID],$A192)</f>
        <v>#REF!</v>
      </c>
      <c r="X192" s="31" t="e">
        <f>"LNGImporterTariffFixed_"&amp;RIGHT($W192,11)</f>
        <v>#REF!</v>
      </c>
    </row>
    <row r="193" spans="1:24" x14ac:dyDescent="0.25">
      <c r="A193" s="94">
        <f t="shared" si="250"/>
        <v>47</v>
      </c>
      <c r="B193" s="119"/>
      <c r="C193" s="93" t="str">
        <f t="shared" ref="C193:D193" si="253">IF($B190&lt;&gt;"",C189,"")</f>
        <v/>
      </c>
      <c r="D193" s="93" t="str">
        <f t="shared" si="253"/>
        <v/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6"/>
      <c r="W193" s="31" t="e">
        <f>INDEX(TBL_LNG_IMPORTERS_CONNECTIONS[LNGImporterConnectionID],$A193)</f>
        <v>#REF!</v>
      </c>
      <c r="X193" s="31" t="e">
        <f>"LNGImporterTariffVar_"&amp;RIGHT($W193,11)</f>
        <v>#REF!</v>
      </c>
    </row>
    <row r="194" spans="1:24" x14ac:dyDescent="0.25">
      <c r="A194" s="94">
        <f t="shared" ref="A194" si="254">$A190+1</f>
        <v>48</v>
      </c>
      <c r="B194" s="117" t="str">
        <f>IFERROR(INDEX(TBL_LNG_IMPORTERS_CONNECTIONS[Name],$A194),"")</f>
        <v/>
      </c>
      <c r="C194" s="93" t="str">
        <f t="shared" ref="C194:D194" si="255">IF($B194&lt;&gt;"",C190,"")</f>
        <v/>
      </c>
      <c r="D194" s="93" t="str">
        <f t="shared" si="255"/>
        <v/>
      </c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5"/>
      <c r="W194" s="31" t="e">
        <f>INDEX(TBL_LNG_IMPORTERS_CONNECTIONS[LNGImporterConnectionID],$A194)</f>
        <v>#REF!</v>
      </c>
      <c r="X194" s="31" t="e">
        <f>"LNGImporterCapMin_"&amp;RIGHT($W194,11)</f>
        <v>#REF!</v>
      </c>
    </row>
    <row r="195" spans="1:24" x14ac:dyDescent="0.25">
      <c r="A195" s="94">
        <f t="shared" ref="A195:A197" si="256">$A194</f>
        <v>48</v>
      </c>
      <c r="B195" s="118"/>
      <c r="C195" s="93" t="str">
        <f t="shared" ref="C195:D195" si="257">IF($B194&lt;&gt;"",C191,"")</f>
        <v/>
      </c>
      <c r="D195" s="93" t="str">
        <f t="shared" si="257"/>
        <v/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6"/>
      <c r="W195" s="31" t="e">
        <f>INDEX(TBL_LNG_IMPORTERS_CONNECTIONS[LNGImporterConnectionID],$A195)</f>
        <v>#REF!</v>
      </c>
      <c r="X195" s="31" t="e">
        <f>"LNGImporterCapMax_"&amp;RIGHT($W195,11)</f>
        <v>#REF!</v>
      </c>
    </row>
    <row r="196" spans="1:24" x14ac:dyDescent="0.25">
      <c r="A196" s="94">
        <f t="shared" si="256"/>
        <v>48</v>
      </c>
      <c r="B196" s="118"/>
      <c r="C196" s="93" t="str">
        <f t="shared" ref="C196:D196" si="258">IF($B194&lt;&gt;"",C192,"")</f>
        <v/>
      </c>
      <c r="D196" s="93" t="str">
        <f t="shared" si="258"/>
        <v/>
      </c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5"/>
      <c r="W196" s="31" t="e">
        <f>INDEX(TBL_LNG_IMPORTERS_CONNECTIONS[LNGImporterConnectionID],$A196)</f>
        <v>#REF!</v>
      </c>
      <c r="X196" s="31" t="e">
        <f>"LNGImporterTariffFixed_"&amp;RIGHT($W196,11)</f>
        <v>#REF!</v>
      </c>
    </row>
    <row r="197" spans="1:24" x14ac:dyDescent="0.25">
      <c r="A197" s="94">
        <f t="shared" si="256"/>
        <v>48</v>
      </c>
      <c r="B197" s="119"/>
      <c r="C197" s="93" t="str">
        <f t="shared" ref="C197:D197" si="259">IF($B194&lt;&gt;"",C193,"")</f>
        <v/>
      </c>
      <c r="D197" s="93" t="str">
        <f t="shared" si="259"/>
        <v/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6"/>
      <c r="W197" s="31" t="e">
        <f>INDEX(TBL_LNG_IMPORTERS_CONNECTIONS[LNGImporterConnectionID],$A197)</f>
        <v>#REF!</v>
      </c>
      <c r="X197" s="31" t="e">
        <f>"LNGImporterTariffVar_"&amp;RIGHT($W197,11)</f>
        <v>#REF!</v>
      </c>
    </row>
    <row r="198" spans="1:24" x14ac:dyDescent="0.25">
      <c r="A198" s="94">
        <f t="shared" ref="A198" si="260">$A194+1</f>
        <v>49</v>
      </c>
      <c r="B198" s="117" t="str">
        <f>IFERROR(INDEX(TBL_LNG_IMPORTERS_CONNECTIONS[Name],$A198),"")</f>
        <v/>
      </c>
      <c r="C198" s="93" t="str">
        <f t="shared" ref="C198:D198" si="261">IF($B198&lt;&gt;"",C194,"")</f>
        <v/>
      </c>
      <c r="D198" s="93" t="str">
        <f t="shared" si="261"/>
        <v/>
      </c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5"/>
      <c r="W198" s="31" t="e">
        <f>INDEX(TBL_LNG_IMPORTERS_CONNECTIONS[LNGImporterConnectionID],$A198)</f>
        <v>#REF!</v>
      </c>
      <c r="X198" s="31" t="e">
        <f>"LNGImporterCapMin_"&amp;RIGHT($W198,11)</f>
        <v>#REF!</v>
      </c>
    </row>
    <row r="199" spans="1:24" x14ac:dyDescent="0.25">
      <c r="A199" s="94">
        <f t="shared" ref="A199:A217" si="262">$A198</f>
        <v>49</v>
      </c>
      <c r="B199" s="118"/>
      <c r="C199" s="93" t="str">
        <f t="shared" ref="C199:D199" si="263">IF($B198&lt;&gt;"",C195,"")</f>
        <v/>
      </c>
      <c r="D199" s="93" t="str">
        <f t="shared" si="263"/>
        <v/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6"/>
      <c r="W199" s="31" t="e">
        <f>INDEX(TBL_LNG_IMPORTERS_CONNECTIONS[LNGImporterConnectionID],$A199)</f>
        <v>#REF!</v>
      </c>
      <c r="X199" s="31" t="e">
        <f>"LNGImporterCapMax_"&amp;RIGHT($W199,11)</f>
        <v>#REF!</v>
      </c>
    </row>
    <row r="200" spans="1:24" x14ac:dyDescent="0.25">
      <c r="A200" s="94">
        <f t="shared" si="262"/>
        <v>49</v>
      </c>
      <c r="B200" s="118"/>
      <c r="C200" s="93" t="str">
        <f t="shared" ref="C200:D200" si="264">IF($B198&lt;&gt;"",C196,"")</f>
        <v/>
      </c>
      <c r="D200" s="93" t="str">
        <f t="shared" si="264"/>
        <v/>
      </c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5"/>
      <c r="W200" s="31" t="e">
        <f>INDEX(TBL_LNG_IMPORTERS_CONNECTIONS[LNGImporterConnectionID],$A200)</f>
        <v>#REF!</v>
      </c>
      <c r="X200" s="31" t="e">
        <f>"LNGImporterTariffFixed_"&amp;RIGHT($W200,11)</f>
        <v>#REF!</v>
      </c>
    </row>
    <row r="201" spans="1:24" x14ac:dyDescent="0.25">
      <c r="A201" s="94">
        <f t="shared" si="262"/>
        <v>49</v>
      </c>
      <c r="B201" s="119"/>
      <c r="C201" s="93" t="str">
        <f t="shared" ref="C201:D201" si="265">IF($B198&lt;&gt;"",C197,"")</f>
        <v/>
      </c>
      <c r="D201" s="93" t="str">
        <f t="shared" si="265"/>
        <v/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6"/>
      <c r="W201" s="31" t="e">
        <f>INDEX(TBL_LNG_IMPORTERS_CONNECTIONS[LNGImporterConnectionID],$A201)</f>
        <v>#REF!</v>
      </c>
      <c r="X201" s="31" t="e">
        <f>"LNGImporterTariffVar_"&amp;RIGHT($W201,11)</f>
        <v>#REF!</v>
      </c>
    </row>
    <row r="202" spans="1:24" x14ac:dyDescent="0.25">
      <c r="A202" s="94">
        <f t="shared" ref="A202" si="266">$A198+1</f>
        <v>50</v>
      </c>
      <c r="B202" s="117" t="str">
        <f>IFERROR(INDEX(TBL_LNG_IMPORTERS_CONNECTIONS[Name],$A202),"")</f>
        <v/>
      </c>
      <c r="C202" s="93" t="str">
        <f t="shared" ref="C202:D202" si="267">IF($B202&lt;&gt;"",C198,"")</f>
        <v/>
      </c>
      <c r="D202" s="93" t="str">
        <f t="shared" si="267"/>
        <v/>
      </c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5"/>
      <c r="W202" s="31" t="e">
        <f>INDEX(TBL_LNG_IMPORTERS_CONNECTIONS[LNGImporterConnectionID],$A202)</f>
        <v>#REF!</v>
      </c>
      <c r="X202" s="31" t="e">
        <f>"LNGImporterCapMin_"&amp;RIGHT($W202,11)</f>
        <v>#REF!</v>
      </c>
    </row>
    <row r="203" spans="1:24" x14ac:dyDescent="0.25">
      <c r="A203" s="94">
        <f t="shared" si="262"/>
        <v>50</v>
      </c>
      <c r="B203" s="118"/>
      <c r="C203" s="93" t="str">
        <f t="shared" ref="C203:D203" si="268">IF($B202&lt;&gt;"",C199,"")</f>
        <v/>
      </c>
      <c r="D203" s="93" t="str">
        <f t="shared" si="268"/>
        <v/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6"/>
      <c r="W203" s="31" t="e">
        <f>INDEX(TBL_LNG_IMPORTERS_CONNECTIONS[LNGImporterConnectionID],$A203)</f>
        <v>#REF!</v>
      </c>
      <c r="X203" s="31" t="e">
        <f>"LNGImporterCapMax_"&amp;RIGHT($W203,11)</f>
        <v>#REF!</v>
      </c>
    </row>
    <row r="204" spans="1:24" x14ac:dyDescent="0.25">
      <c r="A204" s="94">
        <f t="shared" si="262"/>
        <v>50</v>
      </c>
      <c r="B204" s="118"/>
      <c r="C204" s="93" t="str">
        <f t="shared" ref="C204:D204" si="269">IF($B202&lt;&gt;"",C200,"")</f>
        <v/>
      </c>
      <c r="D204" s="93" t="str">
        <f t="shared" si="269"/>
        <v/>
      </c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5"/>
      <c r="W204" s="31" t="e">
        <f>INDEX(TBL_LNG_IMPORTERS_CONNECTIONS[LNGImporterConnectionID],$A204)</f>
        <v>#REF!</v>
      </c>
      <c r="X204" s="31" t="e">
        <f>"LNGImporterTariffFixed_"&amp;RIGHT($W204,11)</f>
        <v>#REF!</v>
      </c>
    </row>
    <row r="205" spans="1:24" x14ac:dyDescent="0.25">
      <c r="A205" s="94">
        <f t="shared" si="262"/>
        <v>50</v>
      </c>
      <c r="B205" s="119"/>
      <c r="C205" s="93" t="str">
        <f t="shared" ref="C205:D205" si="270">IF($B202&lt;&gt;"",C201,"")</f>
        <v/>
      </c>
      <c r="D205" s="93" t="str">
        <f t="shared" si="270"/>
        <v/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6"/>
      <c r="W205" s="31" t="e">
        <f>INDEX(TBL_LNG_IMPORTERS_CONNECTIONS[LNGImporterConnectionID],$A205)</f>
        <v>#REF!</v>
      </c>
      <c r="X205" s="31" t="e">
        <f>"LNGImporterTariffVar_"&amp;RIGHT($W205,11)</f>
        <v>#REF!</v>
      </c>
    </row>
    <row r="206" spans="1:24" x14ac:dyDescent="0.25">
      <c r="A206" s="94">
        <f t="shared" ref="A206" si="271">$A202+1</f>
        <v>51</v>
      </c>
      <c r="B206" s="117" t="str">
        <f>IFERROR(INDEX(TBL_LNG_IMPORTERS_CONNECTIONS[Name],$A206),"")</f>
        <v/>
      </c>
      <c r="C206" s="93" t="str">
        <f t="shared" ref="C206:D206" si="272">IF($B206&lt;&gt;"",C202,"")</f>
        <v/>
      </c>
      <c r="D206" s="93" t="str">
        <f t="shared" si="272"/>
        <v/>
      </c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5"/>
      <c r="W206" s="31" t="e">
        <f>INDEX(TBL_LNG_IMPORTERS_CONNECTIONS[LNGImporterConnectionID],$A206)</f>
        <v>#REF!</v>
      </c>
      <c r="X206" s="31" t="e">
        <f>"LNGImporterCapMin_"&amp;RIGHT($W206,11)</f>
        <v>#REF!</v>
      </c>
    </row>
    <row r="207" spans="1:24" x14ac:dyDescent="0.25">
      <c r="A207" s="94">
        <f t="shared" si="262"/>
        <v>51</v>
      </c>
      <c r="B207" s="118"/>
      <c r="C207" s="93" t="str">
        <f t="shared" ref="C207:D207" si="273">IF($B206&lt;&gt;"",C203,"")</f>
        <v/>
      </c>
      <c r="D207" s="93" t="str">
        <f t="shared" si="273"/>
        <v/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6"/>
      <c r="W207" s="31" t="e">
        <f>INDEX(TBL_LNG_IMPORTERS_CONNECTIONS[LNGImporterConnectionID],$A207)</f>
        <v>#REF!</v>
      </c>
      <c r="X207" s="31" t="e">
        <f>"LNGImporterCapMax_"&amp;RIGHT($W207,11)</f>
        <v>#REF!</v>
      </c>
    </row>
    <row r="208" spans="1:24" x14ac:dyDescent="0.25">
      <c r="A208" s="94">
        <f t="shared" si="262"/>
        <v>51</v>
      </c>
      <c r="B208" s="118"/>
      <c r="C208" s="93" t="str">
        <f t="shared" ref="C208:D208" si="274">IF($B206&lt;&gt;"",C204,"")</f>
        <v/>
      </c>
      <c r="D208" s="93" t="str">
        <f t="shared" si="274"/>
        <v/>
      </c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5"/>
      <c r="W208" s="31" t="e">
        <f>INDEX(TBL_LNG_IMPORTERS_CONNECTIONS[LNGImporterConnectionID],$A208)</f>
        <v>#REF!</v>
      </c>
      <c r="X208" s="31" t="e">
        <f>"LNGImporterTariffFixed_"&amp;RIGHT($W208,11)</f>
        <v>#REF!</v>
      </c>
    </row>
    <row r="209" spans="1:24" x14ac:dyDescent="0.25">
      <c r="A209" s="94">
        <f t="shared" si="262"/>
        <v>51</v>
      </c>
      <c r="B209" s="119"/>
      <c r="C209" s="93" t="str">
        <f t="shared" ref="C209:D209" si="275">IF($B206&lt;&gt;"",C205,"")</f>
        <v/>
      </c>
      <c r="D209" s="93" t="str">
        <f t="shared" si="275"/>
        <v/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6"/>
      <c r="W209" s="31" t="e">
        <f>INDEX(TBL_LNG_IMPORTERS_CONNECTIONS[LNGImporterConnectionID],$A209)</f>
        <v>#REF!</v>
      </c>
      <c r="X209" s="31" t="e">
        <f>"LNGImporterTariffVar_"&amp;RIGHT($W209,11)</f>
        <v>#REF!</v>
      </c>
    </row>
    <row r="210" spans="1:24" x14ac:dyDescent="0.25">
      <c r="A210" s="94">
        <f t="shared" ref="A210" si="276">$A206+1</f>
        <v>52</v>
      </c>
      <c r="B210" s="117" t="str">
        <f>IFERROR(INDEX(TBL_LNG_IMPORTERS_CONNECTIONS[Name],$A210),"")</f>
        <v/>
      </c>
      <c r="C210" s="93" t="str">
        <f t="shared" ref="C210:D210" si="277">IF($B210&lt;&gt;"",C206,"")</f>
        <v/>
      </c>
      <c r="D210" s="93" t="str">
        <f t="shared" si="277"/>
        <v/>
      </c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5"/>
      <c r="W210" s="31" t="e">
        <f>INDEX(TBL_LNG_IMPORTERS_CONNECTIONS[LNGImporterConnectionID],$A210)</f>
        <v>#REF!</v>
      </c>
      <c r="X210" s="31" t="e">
        <f>"LNGImporterCapMin_"&amp;RIGHT($W210,11)</f>
        <v>#REF!</v>
      </c>
    </row>
    <row r="211" spans="1:24" x14ac:dyDescent="0.25">
      <c r="A211" s="94">
        <f t="shared" si="262"/>
        <v>52</v>
      </c>
      <c r="B211" s="118"/>
      <c r="C211" s="93" t="str">
        <f t="shared" ref="C211:D211" si="278">IF($B210&lt;&gt;"",C207,"")</f>
        <v/>
      </c>
      <c r="D211" s="93" t="str">
        <f t="shared" si="278"/>
        <v/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6"/>
      <c r="W211" s="31" t="e">
        <f>INDEX(TBL_LNG_IMPORTERS_CONNECTIONS[LNGImporterConnectionID],$A211)</f>
        <v>#REF!</v>
      </c>
      <c r="X211" s="31" t="e">
        <f>"LNGImporterCapMax_"&amp;RIGHT($W211,11)</f>
        <v>#REF!</v>
      </c>
    </row>
    <row r="212" spans="1:24" x14ac:dyDescent="0.25">
      <c r="A212" s="94">
        <f t="shared" si="262"/>
        <v>52</v>
      </c>
      <c r="B212" s="118"/>
      <c r="C212" s="93" t="str">
        <f t="shared" ref="C212:D212" si="279">IF($B210&lt;&gt;"",C208,"")</f>
        <v/>
      </c>
      <c r="D212" s="93" t="str">
        <f t="shared" si="279"/>
        <v/>
      </c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5"/>
      <c r="W212" s="31" t="e">
        <f>INDEX(TBL_LNG_IMPORTERS_CONNECTIONS[LNGImporterConnectionID],$A212)</f>
        <v>#REF!</v>
      </c>
      <c r="X212" s="31" t="e">
        <f>"LNGImporterTariffFixed_"&amp;RIGHT($W212,11)</f>
        <v>#REF!</v>
      </c>
    </row>
    <row r="213" spans="1:24" x14ac:dyDescent="0.25">
      <c r="A213" s="94">
        <f t="shared" si="262"/>
        <v>52</v>
      </c>
      <c r="B213" s="119"/>
      <c r="C213" s="93" t="str">
        <f t="shared" ref="C213:D213" si="280">IF($B210&lt;&gt;"",C209,"")</f>
        <v/>
      </c>
      <c r="D213" s="93" t="str">
        <f t="shared" si="280"/>
        <v/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6"/>
      <c r="W213" s="31" t="e">
        <f>INDEX(TBL_LNG_IMPORTERS_CONNECTIONS[LNGImporterConnectionID],$A213)</f>
        <v>#REF!</v>
      </c>
      <c r="X213" s="31" t="e">
        <f>"LNGImporterTariffVar_"&amp;RIGHT($W213,11)</f>
        <v>#REF!</v>
      </c>
    </row>
    <row r="214" spans="1:24" x14ac:dyDescent="0.25">
      <c r="A214" s="94">
        <f t="shared" ref="A214" si="281">$A210+1</f>
        <v>53</v>
      </c>
      <c r="B214" s="117" t="str">
        <f>IFERROR(INDEX(TBL_LNG_IMPORTERS_CONNECTIONS[Name],$A214),"")</f>
        <v/>
      </c>
      <c r="C214" s="93" t="str">
        <f t="shared" ref="C214:D214" si="282">IF($B214&lt;&gt;"",C210,"")</f>
        <v/>
      </c>
      <c r="D214" s="93" t="str">
        <f t="shared" si="282"/>
        <v/>
      </c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5"/>
      <c r="W214" s="31" t="e">
        <f>INDEX(TBL_LNG_IMPORTERS_CONNECTIONS[LNGImporterConnectionID],$A214)</f>
        <v>#REF!</v>
      </c>
      <c r="X214" s="31" t="e">
        <f>"LNGImporterCapMin_"&amp;RIGHT($W214,11)</f>
        <v>#REF!</v>
      </c>
    </row>
    <row r="215" spans="1:24" x14ac:dyDescent="0.25">
      <c r="A215" s="94">
        <f t="shared" si="262"/>
        <v>53</v>
      </c>
      <c r="B215" s="118"/>
      <c r="C215" s="93" t="str">
        <f t="shared" ref="C215:D215" si="283">IF($B214&lt;&gt;"",C211,"")</f>
        <v/>
      </c>
      <c r="D215" s="93" t="str">
        <f t="shared" si="283"/>
        <v/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6"/>
      <c r="W215" s="31" t="e">
        <f>INDEX(TBL_LNG_IMPORTERS_CONNECTIONS[LNGImporterConnectionID],$A215)</f>
        <v>#REF!</v>
      </c>
      <c r="X215" s="31" t="e">
        <f>"LNGImporterCapMax_"&amp;RIGHT($W215,11)</f>
        <v>#REF!</v>
      </c>
    </row>
    <row r="216" spans="1:24" x14ac:dyDescent="0.25">
      <c r="A216" s="94">
        <f t="shared" si="262"/>
        <v>53</v>
      </c>
      <c r="B216" s="118"/>
      <c r="C216" s="93" t="str">
        <f t="shared" ref="C216:D216" si="284">IF($B214&lt;&gt;"",C212,"")</f>
        <v/>
      </c>
      <c r="D216" s="93" t="str">
        <f t="shared" si="284"/>
        <v/>
      </c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5"/>
      <c r="W216" s="31" t="e">
        <f>INDEX(TBL_LNG_IMPORTERS_CONNECTIONS[LNGImporterConnectionID],$A216)</f>
        <v>#REF!</v>
      </c>
      <c r="X216" s="31" t="e">
        <f>"LNGImporterTariffFixed_"&amp;RIGHT($W216,11)</f>
        <v>#REF!</v>
      </c>
    </row>
    <row r="217" spans="1:24" x14ac:dyDescent="0.25">
      <c r="A217" s="94">
        <f t="shared" si="262"/>
        <v>53</v>
      </c>
      <c r="B217" s="119"/>
      <c r="C217" s="93" t="str">
        <f t="shared" ref="C217:D217" si="285">IF($B214&lt;&gt;"",C213,"")</f>
        <v/>
      </c>
      <c r="D217" s="93" t="str">
        <f t="shared" si="285"/>
        <v/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6"/>
      <c r="W217" s="31" t="e">
        <f>INDEX(TBL_LNG_IMPORTERS_CONNECTIONS[LNGImporterConnectionID],$A217)</f>
        <v>#REF!</v>
      </c>
      <c r="X217" s="31" t="e">
        <f>"LNGImporterTariffVar_"&amp;RIGHT($W217,11)</f>
        <v>#REF!</v>
      </c>
    </row>
    <row r="218" spans="1:24" x14ac:dyDescent="0.25">
      <c r="A218" s="94">
        <f t="shared" ref="A218" si="286">$A214+1</f>
        <v>54</v>
      </c>
      <c r="B218" s="117" t="str">
        <f>IFERROR(INDEX(TBL_LNG_IMPORTERS_CONNECTIONS[Name],$A218),"")</f>
        <v/>
      </c>
      <c r="C218" s="93" t="str">
        <f t="shared" ref="C218:D218" si="287">IF($B218&lt;&gt;"",C214,"")</f>
        <v/>
      </c>
      <c r="D218" s="93" t="str">
        <f t="shared" si="287"/>
        <v/>
      </c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5"/>
      <c r="W218" s="31" t="e">
        <f>INDEX(TBL_LNG_IMPORTERS_CONNECTIONS[LNGImporterConnectionID],$A218)</f>
        <v>#REF!</v>
      </c>
      <c r="X218" s="31" t="e">
        <f>"LNGImporterCapMin_"&amp;RIGHT($W218,11)</f>
        <v>#REF!</v>
      </c>
    </row>
    <row r="219" spans="1:24" x14ac:dyDescent="0.25">
      <c r="A219" s="94">
        <f t="shared" ref="A219:A221" si="288">$A218</f>
        <v>54</v>
      </c>
      <c r="B219" s="118"/>
      <c r="C219" s="93" t="str">
        <f t="shared" ref="C219:D219" si="289">IF($B218&lt;&gt;"",C215,"")</f>
        <v/>
      </c>
      <c r="D219" s="93" t="str">
        <f t="shared" si="289"/>
        <v/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6"/>
      <c r="W219" s="31" t="e">
        <f>INDEX(TBL_LNG_IMPORTERS_CONNECTIONS[LNGImporterConnectionID],$A219)</f>
        <v>#REF!</v>
      </c>
      <c r="X219" s="31" t="e">
        <f>"LNGImporterCapMax_"&amp;RIGHT($W219,11)</f>
        <v>#REF!</v>
      </c>
    </row>
    <row r="220" spans="1:24" x14ac:dyDescent="0.25">
      <c r="A220" s="94">
        <f t="shared" si="288"/>
        <v>54</v>
      </c>
      <c r="B220" s="118"/>
      <c r="C220" s="93" t="str">
        <f t="shared" ref="C220:D220" si="290">IF($B218&lt;&gt;"",C216,"")</f>
        <v/>
      </c>
      <c r="D220" s="93" t="str">
        <f t="shared" si="290"/>
        <v/>
      </c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5"/>
      <c r="W220" s="31" t="e">
        <f>INDEX(TBL_LNG_IMPORTERS_CONNECTIONS[LNGImporterConnectionID],$A220)</f>
        <v>#REF!</v>
      </c>
      <c r="X220" s="31" t="e">
        <f>"LNGImporterTariffFixed_"&amp;RIGHT($W220,11)</f>
        <v>#REF!</v>
      </c>
    </row>
    <row r="221" spans="1:24" x14ac:dyDescent="0.25">
      <c r="A221" s="94">
        <f t="shared" si="288"/>
        <v>54</v>
      </c>
      <c r="B221" s="119"/>
      <c r="C221" s="93" t="str">
        <f t="shared" ref="C221:D221" si="291">IF($B218&lt;&gt;"",C217,"")</f>
        <v/>
      </c>
      <c r="D221" s="93" t="str">
        <f t="shared" si="291"/>
        <v/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6"/>
      <c r="W221" s="31" t="e">
        <f>INDEX(TBL_LNG_IMPORTERS_CONNECTIONS[LNGImporterConnectionID],$A221)</f>
        <v>#REF!</v>
      </c>
      <c r="X221" s="31" t="e">
        <f>"LNGImporterTariffVar_"&amp;RIGHT($W221,11)</f>
        <v>#REF!</v>
      </c>
    </row>
    <row r="222" spans="1:24" x14ac:dyDescent="0.25">
      <c r="A222" s="94">
        <f t="shared" ref="A222" si="292">$A218+1</f>
        <v>55</v>
      </c>
      <c r="B222" s="117" t="str">
        <f>IFERROR(INDEX(TBL_LNG_IMPORTERS_CONNECTIONS[Name],$A222),"")</f>
        <v/>
      </c>
      <c r="C222" s="93" t="str">
        <f t="shared" ref="C222:D222" si="293">IF($B222&lt;&gt;"",C218,"")</f>
        <v/>
      </c>
      <c r="D222" s="93" t="str">
        <f t="shared" si="293"/>
        <v/>
      </c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5"/>
      <c r="W222" s="31" t="e">
        <f>INDEX(TBL_LNG_IMPORTERS_CONNECTIONS[LNGImporterConnectionID],$A222)</f>
        <v>#REF!</v>
      </c>
      <c r="X222" s="31" t="e">
        <f>"LNGImporterCapMin_"&amp;RIGHT($W222,11)</f>
        <v>#REF!</v>
      </c>
    </row>
    <row r="223" spans="1:24" x14ac:dyDescent="0.25">
      <c r="A223" s="94">
        <f t="shared" ref="A223:A225" si="294">$A222</f>
        <v>55</v>
      </c>
      <c r="B223" s="118"/>
      <c r="C223" s="93" t="str">
        <f t="shared" ref="C223:D223" si="295">IF($B222&lt;&gt;"",C219,"")</f>
        <v/>
      </c>
      <c r="D223" s="93" t="str">
        <f t="shared" si="295"/>
        <v/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6"/>
      <c r="W223" s="31" t="e">
        <f>INDEX(TBL_LNG_IMPORTERS_CONNECTIONS[LNGImporterConnectionID],$A223)</f>
        <v>#REF!</v>
      </c>
      <c r="X223" s="31" t="e">
        <f>"LNGImporterCapMax_"&amp;RIGHT($W223,11)</f>
        <v>#REF!</v>
      </c>
    </row>
    <row r="224" spans="1:24" x14ac:dyDescent="0.25">
      <c r="A224" s="94">
        <f t="shared" si="294"/>
        <v>55</v>
      </c>
      <c r="B224" s="118"/>
      <c r="C224" s="93" t="str">
        <f t="shared" ref="C224:D224" si="296">IF($B222&lt;&gt;"",C220,"")</f>
        <v/>
      </c>
      <c r="D224" s="93" t="str">
        <f t="shared" si="296"/>
        <v/>
      </c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5"/>
      <c r="W224" s="31" t="e">
        <f>INDEX(TBL_LNG_IMPORTERS_CONNECTIONS[LNGImporterConnectionID],$A224)</f>
        <v>#REF!</v>
      </c>
      <c r="X224" s="31" t="e">
        <f>"LNGImporterTariffFixed_"&amp;RIGHT($W224,11)</f>
        <v>#REF!</v>
      </c>
    </row>
    <row r="225" spans="1:24" x14ac:dyDescent="0.25">
      <c r="A225" s="94">
        <f t="shared" si="294"/>
        <v>55</v>
      </c>
      <c r="B225" s="119"/>
      <c r="C225" s="93" t="str">
        <f t="shared" ref="C225:D225" si="297">IF($B222&lt;&gt;"",C221,"")</f>
        <v/>
      </c>
      <c r="D225" s="93" t="str">
        <f t="shared" si="297"/>
        <v/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6"/>
      <c r="W225" s="31" t="e">
        <f>INDEX(TBL_LNG_IMPORTERS_CONNECTIONS[LNGImporterConnectionID],$A225)</f>
        <v>#REF!</v>
      </c>
      <c r="X225" s="31" t="e">
        <f>"LNGImporterTariffVar_"&amp;RIGHT($W225,11)</f>
        <v>#REF!</v>
      </c>
    </row>
    <row r="226" spans="1:24" x14ac:dyDescent="0.25">
      <c r="A226" s="94">
        <f t="shared" ref="A226" si="298">$A222+1</f>
        <v>56</v>
      </c>
      <c r="B226" s="117" t="str">
        <f>IFERROR(INDEX(TBL_LNG_IMPORTERS_CONNECTIONS[Name],$A226),"")</f>
        <v/>
      </c>
      <c r="C226" s="93" t="str">
        <f t="shared" ref="C226:D226" si="299">IF($B226&lt;&gt;"",C222,"")</f>
        <v/>
      </c>
      <c r="D226" s="93" t="str">
        <f t="shared" si="299"/>
        <v/>
      </c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5"/>
      <c r="W226" s="31" t="e">
        <f>INDEX(TBL_LNG_IMPORTERS_CONNECTIONS[LNGImporterConnectionID],$A226)</f>
        <v>#REF!</v>
      </c>
      <c r="X226" s="31" t="e">
        <f>"LNGImporterCapMin_"&amp;RIGHT($W226,11)</f>
        <v>#REF!</v>
      </c>
    </row>
    <row r="227" spans="1:24" x14ac:dyDescent="0.25">
      <c r="A227" s="94">
        <f t="shared" ref="A227:A229" si="300">$A226</f>
        <v>56</v>
      </c>
      <c r="B227" s="118"/>
      <c r="C227" s="93" t="str">
        <f t="shared" ref="C227:D227" si="301">IF($B226&lt;&gt;"",C223,"")</f>
        <v/>
      </c>
      <c r="D227" s="93" t="str">
        <f t="shared" si="301"/>
        <v/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6"/>
      <c r="W227" s="31" t="e">
        <f>INDEX(TBL_LNG_IMPORTERS_CONNECTIONS[LNGImporterConnectionID],$A227)</f>
        <v>#REF!</v>
      </c>
      <c r="X227" s="31" t="e">
        <f>"LNGImporterCapMax_"&amp;RIGHT($W227,11)</f>
        <v>#REF!</v>
      </c>
    </row>
    <row r="228" spans="1:24" x14ac:dyDescent="0.25">
      <c r="A228" s="94">
        <f t="shared" si="300"/>
        <v>56</v>
      </c>
      <c r="B228" s="118"/>
      <c r="C228" s="93" t="str">
        <f t="shared" ref="C228:D228" si="302">IF($B226&lt;&gt;"",C224,"")</f>
        <v/>
      </c>
      <c r="D228" s="93" t="str">
        <f t="shared" si="302"/>
        <v/>
      </c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5"/>
      <c r="W228" s="31" t="e">
        <f>INDEX(TBL_LNG_IMPORTERS_CONNECTIONS[LNGImporterConnectionID],$A228)</f>
        <v>#REF!</v>
      </c>
      <c r="X228" s="31" t="e">
        <f>"LNGImporterTariffFixed_"&amp;RIGHT($W228,11)</f>
        <v>#REF!</v>
      </c>
    </row>
    <row r="229" spans="1:24" x14ac:dyDescent="0.25">
      <c r="A229" s="94">
        <f t="shared" si="300"/>
        <v>56</v>
      </c>
      <c r="B229" s="119"/>
      <c r="C229" s="93" t="str">
        <f t="shared" ref="C229:D229" si="303">IF($B226&lt;&gt;"",C225,"")</f>
        <v/>
      </c>
      <c r="D229" s="93" t="str">
        <f t="shared" si="303"/>
        <v/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6"/>
      <c r="W229" s="31" t="e">
        <f>INDEX(TBL_LNG_IMPORTERS_CONNECTIONS[LNGImporterConnectionID],$A229)</f>
        <v>#REF!</v>
      </c>
      <c r="X229" s="31" t="e">
        <f>"LNGImporterTariffVar_"&amp;RIGHT($W229,11)</f>
        <v>#REF!</v>
      </c>
    </row>
    <row r="230" spans="1:24" x14ac:dyDescent="0.25">
      <c r="A230" s="94">
        <f t="shared" ref="A230" si="304">$A226+1</f>
        <v>57</v>
      </c>
      <c r="B230" s="117" t="str">
        <f>IFERROR(INDEX(TBL_LNG_IMPORTERS_CONNECTIONS[Name],$A230),"")</f>
        <v/>
      </c>
      <c r="C230" s="93" t="str">
        <f t="shared" ref="C230:D230" si="305">IF($B230&lt;&gt;"",C226,"")</f>
        <v/>
      </c>
      <c r="D230" s="93" t="str">
        <f t="shared" si="305"/>
        <v/>
      </c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5"/>
      <c r="W230" s="31" t="e">
        <f>INDEX(TBL_LNG_IMPORTERS_CONNECTIONS[LNGImporterConnectionID],$A230)</f>
        <v>#REF!</v>
      </c>
      <c r="X230" s="31" t="e">
        <f>"LNGImporterCapMin_"&amp;RIGHT($W230,11)</f>
        <v>#REF!</v>
      </c>
    </row>
    <row r="231" spans="1:24" x14ac:dyDescent="0.25">
      <c r="A231" s="94">
        <f t="shared" ref="A231:A233" si="306">$A230</f>
        <v>57</v>
      </c>
      <c r="B231" s="118"/>
      <c r="C231" s="93" t="str">
        <f t="shared" ref="C231:D231" si="307">IF($B230&lt;&gt;"",C227,"")</f>
        <v/>
      </c>
      <c r="D231" s="93" t="str">
        <f t="shared" si="307"/>
        <v/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6"/>
      <c r="W231" s="31" t="e">
        <f>INDEX(TBL_LNG_IMPORTERS_CONNECTIONS[LNGImporterConnectionID],$A231)</f>
        <v>#REF!</v>
      </c>
      <c r="X231" s="31" t="e">
        <f>"LNGImporterCapMax_"&amp;RIGHT($W231,11)</f>
        <v>#REF!</v>
      </c>
    </row>
    <row r="232" spans="1:24" x14ac:dyDescent="0.25">
      <c r="A232" s="94">
        <f t="shared" si="306"/>
        <v>57</v>
      </c>
      <c r="B232" s="118"/>
      <c r="C232" s="93" t="str">
        <f t="shared" ref="C232:D232" si="308">IF($B230&lt;&gt;"",C228,"")</f>
        <v/>
      </c>
      <c r="D232" s="93" t="str">
        <f t="shared" si="308"/>
        <v/>
      </c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5"/>
      <c r="W232" s="31" t="e">
        <f>INDEX(TBL_LNG_IMPORTERS_CONNECTIONS[LNGImporterConnectionID],$A232)</f>
        <v>#REF!</v>
      </c>
      <c r="X232" s="31" t="e">
        <f>"LNGImporterTariffFixed_"&amp;RIGHT($W232,11)</f>
        <v>#REF!</v>
      </c>
    </row>
    <row r="233" spans="1:24" x14ac:dyDescent="0.25">
      <c r="A233" s="94">
        <f t="shared" si="306"/>
        <v>57</v>
      </c>
      <c r="B233" s="119"/>
      <c r="C233" s="93" t="str">
        <f t="shared" ref="C233:D233" si="309">IF($B230&lt;&gt;"",C229,"")</f>
        <v/>
      </c>
      <c r="D233" s="93" t="str">
        <f t="shared" si="309"/>
        <v/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6"/>
      <c r="W233" s="31" t="e">
        <f>INDEX(TBL_LNG_IMPORTERS_CONNECTIONS[LNGImporterConnectionID],$A233)</f>
        <v>#REF!</v>
      </c>
      <c r="X233" s="31" t="e">
        <f>"LNGImporterTariffVar_"&amp;RIGHT($W233,11)</f>
        <v>#REF!</v>
      </c>
    </row>
    <row r="234" spans="1:24" x14ac:dyDescent="0.25">
      <c r="A234" s="94">
        <f t="shared" ref="A234" si="310">$A230+1</f>
        <v>58</v>
      </c>
      <c r="B234" s="117" t="str">
        <f>IFERROR(INDEX(TBL_LNG_IMPORTERS_CONNECTIONS[Name],$A234),"")</f>
        <v/>
      </c>
      <c r="C234" s="93" t="str">
        <f t="shared" ref="C234:D234" si="311">IF($B234&lt;&gt;"",C230,"")</f>
        <v/>
      </c>
      <c r="D234" s="93" t="str">
        <f t="shared" si="311"/>
        <v/>
      </c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5"/>
      <c r="W234" s="31" t="e">
        <f>INDEX(TBL_LNG_IMPORTERS_CONNECTIONS[LNGImporterConnectionID],$A234)</f>
        <v>#REF!</v>
      </c>
      <c r="X234" s="31" t="e">
        <f>"LNGImporterCapMin_"&amp;RIGHT($W234,11)</f>
        <v>#REF!</v>
      </c>
    </row>
    <row r="235" spans="1:24" x14ac:dyDescent="0.25">
      <c r="A235" s="94">
        <f t="shared" ref="A235:A237" si="312">$A234</f>
        <v>58</v>
      </c>
      <c r="B235" s="118"/>
      <c r="C235" s="93" t="str">
        <f t="shared" ref="C235:D235" si="313">IF($B234&lt;&gt;"",C231,"")</f>
        <v/>
      </c>
      <c r="D235" s="93" t="str">
        <f t="shared" si="313"/>
        <v/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6"/>
      <c r="W235" s="31" t="e">
        <f>INDEX(TBL_LNG_IMPORTERS_CONNECTIONS[LNGImporterConnectionID],$A235)</f>
        <v>#REF!</v>
      </c>
      <c r="X235" s="31" t="e">
        <f>"LNGImporterCapMax_"&amp;RIGHT($W235,11)</f>
        <v>#REF!</v>
      </c>
    </row>
    <row r="236" spans="1:24" x14ac:dyDescent="0.25">
      <c r="A236" s="94">
        <f t="shared" si="312"/>
        <v>58</v>
      </c>
      <c r="B236" s="118"/>
      <c r="C236" s="93" t="str">
        <f t="shared" ref="C236:D236" si="314">IF($B234&lt;&gt;"",C232,"")</f>
        <v/>
      </c>
      <c r="D236" s="93" t="str">
        <f t="shared" si="314"/>
        <v/>
      </c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5"/>
      <c r="W236" s="31" t="e">
        <f>INDEX(TBL_LNG_IMPORTERS_CONNECTIONS[LNGImporterConnectionID],$A236)</f>
        <v>#REF!</v>
      </c>
      <c r="X236" s="31" t="e">
        <f>"LNGImporterTariffFixed_"&amp;RIGHT($W236,11)</f>
        <v>#REF!</v>
      </c>
    </row>
    <row r="237" spans="1:24" x14ac:dyDescent="0.25">
      <c r="A237" s="94">
        <f t="shared" si="312"/>
        <v>58</v>
      </c>
      <c r="B237" s="119"/>
      <c r="C237" s="93" t="str">
        <f t="shared" ref="C237:D237" si="315">IF($B234&lt;&gt;"",C233,"")</f>
        <v/>
      </c>
      <c r="D237" s="93" t="str">
        <f t="shared" si="315"/>
        <v/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6"/>
      <c r="W237" s="31" t="e">
        <f>INDEX(TBL_LNG_IMPORTERS_CONNECTIONS[LNGImporterConnectionID],$A237)</f>
        <v>#REF!</v>
      </c>
      <c r="X237" s="31" t="e">
        <f>"LNGImporterTariffVar_"&amp;RIGHT($W237,11)</f>
        <v>#REF!</v>
      </c>
    </row>
    <row r="238" spans="1:24" x14ac:dyDescent="0.25">
      <c r="A238" s="94">
        <f t="shared" ref="A238" si="316">$A234+1</f>
        <v>59</v>
      </c>
      <c r="B238" s="117" t="str">
        <f>IFERROR(INDEX(TBL_LNG_IMPORTERS_CONNECTIONS[Name],$A238),"")</f>
        <v/>
      </c>
      <c r="C238" s="93" t="str">
        <f t="shared" ref="C238:D238" si="317">IF($B238&lt;&gt;"",C234,"")</f>
        <v/>
      </c>
      <c r="D238" s="93" t="str">
        <f t="shared" si="317"/>
        <v/>
      </c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5"/>
      <c r="W238" s="31" t="e">
        <f>INDEX(TBL_LNG_IMPORTERS_CONNECTIONS[LNGImporterConnectionID],$A238)</f>
        <v>#REF!</v>
      </c>
      <c r="X238" s="31" t="e">
        <f>"LNGImporterCapMin_"&amp;RIGHT($W238,11)</f>
        <v>#REF!</v>
      </c>
    </row>
    <row r="239" spans="1:24" x14ac:dyDescent="0.25">
      <c r="A239" s="94">
        <f t="shared" ref="A239:A257" si="318">$A238</f>
        <v>59</v>
      </c>
      <c r="B239" s="118"/>
      <c r="C239" s="93" t="str">
        <f t="shared" ref="C239:D239" si="319">IF($B238&lt;&gt;"",C235,"")</f>
        <v/>
      </c>
      <c r="D239" s="93" t="str">
        <f t="shared" si="319"/>
        <v/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6"/>
      <c r="W239" s="31" t="e">
        <f>INDEX(TBL_LNG_IMPORTERS_CONNECTIONS[LNGImporterConnectionID],$A239)</f>
        <v>#REF!</v>
      </c>
      <c r="X239" s="31" t="e">
        <f>"LNGImporterCapMax_"&amp;RIGHT($W239,11)</f>
        <v>#REF!</v>
      </c>
    </row>
    <row r="240" spans="1:24" x14ac:dyDescent="0.25">
      <c r="A240" s="94">
        <f t="shared" si="318"/>
        <v>59</v>
      </c>
      <c r="B240" s="118"/>
      <c r="C240" s="93" t="str">
        <f t="shared" ref="C240:D240" si="320">IF($B238&lt;&gt;"",C236,"")</f>
        <v/>
      </c>
      <c r="D240" s="93" t="str">
        <f t="shared" si="320"/>
        <v/>
      </c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5"/>
      <c r="W240" s="31" t="e">
        <f>INDEX(TBL_LNG_IMPORTERS_CONNECTIONS[LNGImporterConnectionID],$A240)</f>
        <v>#REF!</v>
      </c>
      <c r="X240" s="31" t="e">
        <f>"LNGImporterTariffFixed_"&amp;RIGHT($W240,11)</f>
        <v>#REF!</v>
      </c>
    </row>
    <row r="241" spans="1:24" x14ac:dyDescent="0.25">
      <c r="A241" s="94">
        <f t="shared" si="318"/>
        <v>59</v>
      </c>
      <c r="B241" s="119"/>
      <c r="C241" s="93" t="str">
        <f t="shared" ref="C241:D241" si="321">IF($B238&lt;&gt;"",C237,"")</f>
        <v/>
      </c>
      <c r="D241" s="93" t="str">
        <f t="shared" si="321"/>
        <v/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6"/>
      <c r="W241" s="31" t="e">
        <f>INDEX(TBL_LNG_IMPORTERS_CONNECTIONS[LNGImporterConnectionID],$A241)</f>
        <v>#REF!</v>
      </c>
      <c r="X241" s="31" t="e">
        <f>"LNGImporterTariffVar_"&amp;RIGHT($W241,11)</f>
        <v>#REF!</v>
      </c>
    </row>
    <row r="242" spans="1:24" x14ac:dyDescent="0.25">
      <c r="A242" s="94">
        <f t="shared" ref="A242" si="322">$A238+1</f>
        <v>60</v>
      </c>
      <c r="B242" s="117" t="str">
        <f>IFERROR(INDEX(TBL_LNG_IMPORTERS_CONNECTIONS[Name],$A242),"")</f>
        <v/>
      </c>
      <c r="C242" s="93" t="str">
        <f t="shared" ref="C242:D242" si="323">IF($B242&lt;&gt;"",C238,"")</f>
        <v/>
      </c>
      <c r="D242" s="93" t="str">
        <f t="shared" si="323"/>
        <v/>
      </c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5"/>
      <c r="W242" s="31" t="e">
        <f>INDEX(TBL_LNG_IMPORTERS_CONNECTIONS[LNGImporterConnectionID],$A242)</f>
        <v>#REF!</v>
      </c>
      <c r="X242" s="31" t="e">
        <f>"LNGImporterCapMin_"&amp;RIGHT($W242,11)</f>
        <v>#REF!</v>
      </c>
    </row>
    <row r="243" spans="1:24" x14ac:dyDescent="0.25">
      <c r="A243" s="94">
        <f t="shared" si="318"/>
        <v>60</v>
      </c>
      <c r="B243" s="118"/>
      <c r="C243" s="93" t="str">
        <f t="shared" ref="C243:D243" si="324">IF($B242&lt;&gt;"",C239,"")</f>
        <v/>
      </c>
      <c r="D243" s="93" t="str">
        <f t="shared" si="324"/>
        <v/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6"/>
      <c r="W243" s="31" t="e">
        <f>INDEX(TBL_LNG_IMPORTERS_CONNECTIONS[LNGImporterConnectionID],$A243)</f>
        <v>#REF!</v>
      </c>
      <c r="X243" s="31" t="e">
        <f>"LNGImporterCapMax_"&amp;RIGHT($W243,11)</f>
        <v>#REF!</v>
      </c>
    </row>
    <row r="244" spans="1:24" x14ac:dyDescent="0.25">
      <c r="A244" s="94">
        <f t="shared" si="318"/>
        <v>60</v>
      </c>
      <c r="B244" s="118"/>
      <c r="C244" s="93" t="str">
        <f t="shared" ref="C244:D244" si="325">IF($B242&lt;&gt;"",C240,"")</f>
        <v/>
      </c>
      <c r="D244" s="93" t="str">
        <f t="shared" si="325"/>
        <v/>
      </c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5"/>
      <c r="W244" s="31" t="e">
        <f>INDEX(TBL_LNG_IMPORTERS_CONNECTIONS[LNGImporterConnectionID],$A244)</f>
        <v>#REF!</v>
      </c>
      <c r="X244" s="31" t="e">
        <f>"LNGImporterTariffFixed_"&amp;RIGHT($W244,11)</f>
        <v>#REF!</v>
      </c>
    </row>
    <row r="245" spans="1:24" x14ac:dyDescent="0.25">
      <c r="A245" s="94">
        <f t="shared" si="318"/>
        <v>60</v>
      </c>
      <c r="B245" s="119"/>
      <c r="C245" s="93" t="str">
        <f t="shared" ref="C245:D245" si="326">IF($B242&lt;&gt;"",C241,"")</f>
        <v/>
      </c>
      <c r="D245" s="93" t="str">
        <f t="shared" si="326"/>
        <v/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6"/>
      <c r="W245" s="31" t="e">
        <f>INDEX(TBL_LNG_IMPORTERS_CONNECTIONS[LNGImporterConnectionID],$A245)</f>
        <v>#REF!</v>
      </c>
      <c r="X245" s="31" t="e">
        <f>"LNGImporterTariffVar_"&amp;RIGHT($W245,11)</f>
        <v>#REF!</v>
      </c>
    </row>
    <row r="246" spans="1:24" x14ac:dyDescent="0.25">
      <c r="A246" s="94">
        <f t="shared" ref="A246" si="327">$A242+1</f>
        <v>61</v>
      </c>
      <c r="B246" s="117" t="str">
        <f>IFERROR(INDEX(TBL_LNG_IMPORTERS_CONNECTIONS[Name],$A246),"")</f>
        <v/>
      </c>
      <c r="C246" s="93" t="str">
        <f t="shared" ref="C246:D246" si="328">IF($B246&lt;&gt;"",C242,"")</f>
        <v/>
      </c>
      <c r="D246" s="93" t="str">
        <f t="shared" si="328"/>
        <v/>
      </c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5"/>
      <c r="W246" s="31" t="e">
        <f>INDEX(TBL_LNG_IMPORTERS_CONNECTIONS[LNGImporterConnectionID],$A246)</f>
        <v>#REF!</v>
      </c>
      <c r="X246" s="31" t="e">
        <f>"LNGImporterCapMin_"&amp;RIGHT($W246,11)</f>
        <v>#REF!</v>
      </c>
    </row>
    <row r="247" spans="1:24" x14ac:dyDescent="0.25">
      <c r="A247" s="94">
        <f t="shared" si="318"/>
        <v>61</v>
      </c>
      <c r="B247" s="118"/>
      <c r="C247" s="93" t="str">
        <f t="shared" ref="C247:D247" si="329">IF($B246&lt;&gt;"",C243,"")</f>
        <v/>
      </c>
      <c r="D247" s="93" t="str">
        <f t="shared" si="329"/>
        <v/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6"/>
      <c r="W247" s="31" t="e">
        <f>INDEX(TBL_LNG_IMPORTERS_CONNECTIONS[LNGImporterConnectionID],$A247)</f>
        <v>#REF!</v>
      </c>
      <c r="X247" s="31" t="e">
        <f>"LNGImporterCapMax_"&amp;RIGHT($W247,11)</f>
        <v>#REF!</v>
      </c>
    </row>
    <row r="248" spans="1:24" x14ac:dyDescent="0.25">
      <c r="A248" s="94">
        <f t="shared" si="318"/>
        <v>61</v>
      </c>
      <c r="B248" s="118"/>
      <c r="C248" s="93" t="str">
        <f t="shared" ref="C248:D248" si="330">IF($B246&lt;&gt;"",C244,"")</f>
        <v/>
      </c>
      <c r="D248" s="93" t="str">
        <f t="shared" si="330"/>
        <v/>
      </c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5"/>
      <c r="W248" s="31" t="e">
        <f>INDEX(TBL_LNG_IMPORTERS_CONNECTIONS[LNGImporterConnectionID],$A248)</f>
        <v>#REF!</v>
      </c>
      <c r="X248" s="31" t="e">
        <f>"LNGImporterTariffFixed_"&amp;RIGHT($W248,11)</f>
        <v>#REF!</v>
      </c>
    </row>
    <row r="249" spans="1:24" x14ac:dyDescent="0.25">
      <c r="A249" s="94">
        <f t="shared" si="318"/>
        <v>61</v>
      </c>
      <c r="B249" s="119"/>
      <c r="C249" s="93" t="str">
        <f t="shared" ref="C249:D249" si="331">IF($B246&lt;&gt;"",C245,"")</f>
        <v/>
      </c>
      <c r="D249" s="93" t="str">
        <f t="shared" si="331"/>
        <v/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6"/>
      <c r="W249" s="31" t="e">
        <f>INDEX(TBL_LNG_IMPORTERS_CONNECTIONS[LNGImporterConnectionID],$A249)</f>
        <v>#REF!</v>
      </c>
      <c r="X249" s="31" t="e">
        <f>"LNGImporterTariffVar_"&amp;RIGHT($W249,11)</f>
        <v>#REF!</v>
      </c>
    </row>
    <row r="250" spans="1:24" x14ac:dyDescent="0.25">
      <c r="A250" s="94">
        <f t="shared" ref="A250" si="332">$A246+1</f>
        <v>62</v>
      </c>
      <c r="B250" s="117" t="str">
        <f>IFERROR(INDEX(TBL_LNG_IMPORTERS_CONNECTIONS[Name],$A250),"")</f>
        <v/>
      </c>
      <c r="C250" s="93" t="str">
        <f t="shared" ref="C250:D250" si="333">IF($B250&lt;&gt;"",C246,"")</f>
        <v/>
      </c>
      <c r="D250" s="93" t="str">
        <f t="shared" si="333"/>
        <v/>
      </c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5"/>
      <c r="W250" s="31" t="e">
        <f>INDEX(TBL_LNG_IMPORTERS_CONNECTIONS[LNGImporterConnectionID],$A250)</f>
        <v>#REF!</v>
      </c>
      <c r="X250" s="31" t="e">
        <f>"LNGImporterCapMin_"&amp;RIGHT($W250,11)</f>
        <v>#REF!</v>
      </c>
    </row>
    <row r="251" spans="1:24" x14ac:dyDescent="0.25">
      <c r="A251" s="94">
        <f t="shared" si="318"/>
        <v>62</v>
      </c>
      <c r="B251" s="118"/>
      <c r="C251" s="93" t="str">
        <f t="shared" ref="C251:D251" si="334">IF($B250&lt;&gt;"",C247,"")</f>
        <v/>
      </c>
      <c r="D251" s="93" t="str">
        <f t="shared" si="334"/>
        <v/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6"/>
      <c r="W251" s="31" t="e">
        <f>INDEX(TBL_LNG_IMPORTERS_CONNECTIONS[LNGImporterConnectionID],$A251)</f>
        <v>#REF!</v>
      </c>
      <c r="X251" s="31" t="e">
        <f>"LNGImporterCapMax_"&amp;RIGHT($W251,11)</f>
        <v>#REF!</v>
      </c>
    </row>
    <row r="252" spans="1:24" x14ac:dyDescent="0.25">
      <c r="A252" s="94">
        <f t="shared" si="318"/>
        <v>62</v>
      </c>
      <c r="B252" s="118"/>
      <c r="C252" s="93" t="str">
        <f t="shared" ref="C252:D252" si="335">IF($B250&lt;&gt;"",C248,"")</f>
        <v/>
      </c>
      <c r="D252" s="93" t="str">
        <f t="shared" si="335"/>
        <v/>
      </c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5"/>
      <c r="W252" s="31" t="e">
        <f>INDEX(TBL_LNG_IMPORTERS_CONNECTIONS[LNGImporterConnectionID],$A252)</f>
        <v>#REF!</v>
      </c>
      <c r="X252" s="31" t="e">
        <f>"LNGImporterTariffFixed_"&amp;RIGHT($W252,11)</f>
        <v>#REF!</v>
      </c>
    </row>
    <row r="253" spans="1:24" x14ac:dyDescent="0.25">
      <c r="A253" s="94">
        <f t="shared" si="318"/>
        <v>62</v>
      </c>
      <c r="B253" s="119"/>
      <c r="C253" s="93" t="str">
        <f t="shared" ref="C253:D253" si="336">IF($B250&lt;&gt;"",C249,"")</f>
        <v/>
      </c>
      <c r="D253" s="93" t="str">
        <f t="shared" si="336"/>
        <v/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6"/>
      <c r="W253" s="31" t="e">
        <f>INDEX(TBL_LNG_IMPORTERS_CONNECTIONS[LNGImporterConnectionID],$A253)</f>
        <v>#REF!</v>
      </c>
      <c r="X253" s="31" t="e">
        <f>"LNGImporterTariffVar_"&amp;RIGHT($W253,11)</f>
        <v>#REF!</v>
      </c>
    </row>
    <row r="254" spans="1:24" x14ac:dyDescent="0.25">
      <c r="A254" s="94">
        <f t="shared" ref="A254" si="337">$A250+1</f>
        <v>63</v>
      </c>
      <c r="B254" s="117" t="str">
        <f>IFERROR(INDEX(TBL_LNG_IMPORTERS_CONNECTIONS[Name],$A254),"")</f>
        <v/>
      </c>
      <c r="C254" s="93" t="str">
        <f t="shared" ref="C254:D254" si="338">IF($B254&lt;&gt;"",C250,"")</f>
        <v/>
      </c>
      <c r="D254" s="93" t="str">
        <f t="shared" si="338"/>
        <v/>
      </c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5"/>
      <c r="W254" s="31" t="e">
        <f>INDEX(TBL_LNG_IMPORTERS_CONNECTIONS[LNGImporterConnectionID],$A254)</f>
        <v>#REF!</v>
      </c>
      <c r="X254" s="31" t="e">
        <f>"LNGImporterCapMin_"&amp;RIGHT($W254,11)</f>
        <v>#REF!</v>
      </c>
    </row>
    <row r="255" spans="1:24" x14ac:dyDescent="0.25">
      <c r="A255" s="94">
        <f t="shared" si="318"/>
        <v>63</v>
      </c>
      <c r="B255" s="118"/>
      <c r="C255" s="93" t="str">
        <f t="shared" ref="C255:D255" si="339">IF($B254&lt;&gt;"",C251,"")</f>
        <v/>
      </c>
      <c r="D255" s="93" t="str">
        <f t="shared" si="339"/>
        <v/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6"/>
      <c r="W255" s="31" t="e">
        <f>INDEX(TBL_LNG_IMPORTERS_CONNECTIONS[LNGImporterConnectionID],$A255)</f>
        <v>#REF!</v>
      </c>
      <c r="X255" s="31" t="e">
        <f>"LNGImporterCapMax_"&amp;RIGHT($W255,11)</f>
        <v>#REF!</v>
      </c>
    </row>
    <row r="256" spans="1:24" x14ac:dyDescent="0.25">
      <c r="A256" s="94">
        <f t="shared" si="318"/>
        <v>63</v>
      </c>
      <c r="B256" s="118"/>
      <c r="C256" s="93" t="str">
        <f t="shared" ref="C256:D256" si="340">IF($B254&lt;&gt;"",C252,"")</f>
        <v/>
      </c>
      <c r="D256" s="93" t="str">
        <f t="shared" si="340"/>
        <v/>
      </c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5"/>
      <c r="W256" s="31" t="e">
        <f>INDEX(TBL_LNG_IMPORTERS_CONNECTIONS[LNGImporterConnectionID],$A256)</f>
        <v>#REF!</v>
      </c>
      <c r="X256" s="31" t="e">
        <f>"LNGImporterTariffFixed_"&amp;RIGHT($W256,11)</f>
        <v>#REF!</v>
      </c>
    </row>
    <row r="257" spans="1:24" x14ac:dyDescent="0.25">
      <c r="A257" s="94">
        <f t="shared" si="318"/>
        <v>63</v>
      </c>
      <c r="B257" s="119"/>
      <c r="C257" s="93" t="str">
        <f t="shared" ref="C257:D257" si="341">IF($B254&lt;&gt;"",C253,"")</f>
        <v/>
      </c>
      <c r="D257" s="93" t="str">
        <f t="shared" si="341"/>
        <v/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6"/>
      <c r="W257" s="31" t="e">
        <f>INDEX(TBL_LNG_IMPORTERS_CONNECTIONS[LNGImporterConnectionID],$A257)</f>
        <v>#REF!</v>
      </c>
      <c r="X257" s="31" t="e">
        <f>"LNGImporterTariffVar_"&amp;RIGHT($W257,11)</f>
        <v>#REF!</v>
      </c>
    </row>
    <row r="258" spans="1:24" x14ac:dyDescent="0.25">
      <c r="A258" s="94">
        <f t="shared" ref="A258" si="342">$A254+1</f>
        <v>64</v>
      </c>
      <c r="B258" s="117" t="str">
        <f>IFERROR(INDEX(TBL_LNG_IMPORTERS_CONNECTIONS[Name],$A258),"")</f>
        <v/>
      </c>
      <c r="C258" s="93" t="str">
        <f t="shared" ref="C258:D258" si="343">IF($B258&lt;&gt;"",C254,"")</f>
        <v/>
      </c>
      <c r="D258" s="93" t="str">
        <f t="shared" si="343"/>
        <v/>
      </c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5"/>
      <c r="W258" s="31" t="e">
        <f>INDEX(TBL_LNG_IMPORTERS_CONNECTIONS[LNGImporterConnectionID],$A258)</f>
        <v>#REF!</v>
      </c>
      <c r="X258" s="31" t="e">
        <f>"LNGImporterCapMin_"&amp;RIGHT($W258,11)</f>
        <v>#REF!</v>
      </c>
    </row>
    <row r="259" spans="1:24" x14ac:dyDescent="0.25">
      <c r="A259" s="94">
        <f t="shared" ref="A259:A261" si="344">$A258</f>
        <v>64</v>
      </c>
      <c r="B259" s="118"/>
      <c r="C259" s="93" t="str">
        <f t="shared" ref="C259:D259" si="345">IF($B258&lt;&gt;"",C255,"")</f>
        <v/>
      </c>
      <c r="D259" s="93" t="str">
        <f t="shared" si="345"/>
        <v/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6"/>
      <c r="W259" s="31" t="e">
        <f>INDEX(TBL_LNG_IMPORTERS_CONNECTIONS[LNGImporterConnectionID],$A259)</f>
        <v>#REF!</v>
      </c>
      <c r="X259" s="31" t="e">
        <f>"LNGImporterCapMax_"&amp;RIGHT($W259,11)</f>
        <v>#REF!</v>
      </c>
    </row>
    <row r="260" spans="1:24" x14ac:dyDescent="0.25">
      <c r="A260" s="94">
        <f t="shared" si="344"/>
        <v>64</v>
      </c>
      <c r="B260" s="118"/>
      <c r="C260" s="93" t="str">
        <f t="shared" ref="C260:D260" si="346">IF($B258&lt;&gt;"",C256,"")</f>
        <v/>
      </c>
      <c r="D260" s="93" t="str">
        <f t="shared" si="346"/>
        <v/>
      </c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5"/>
      <c r="W260" s="31" t="e">
        <f>INDEX(TBL_LNG_IMPORTERS_CONNECTIONS[LNGImporterConnectionID],$A260)</f>
        <v>#REF!</v>
      </c>
      <c r="X260" s="31" t="e">
        <f>"LNGImporterTariffFixed_"&amp;RIGHT($W260,11)</f>
        <v>#REF!</v>
      </c>
    </row>
    <row r="261" spans="1:24" x14ac:dyDescent="0.25">
      <c r="A261" s="94">
        <f t="shared" si="344"/>
        <v>64</v>
      </c>
      <c r="B261" s="119"/>
      <c r="C261" s="93" t="str">
        <f t="shared" ref="C261:D261" si="347">IF($B258&lt;&gt;"",C257,"")</f>
        <v/>
      </c>
      <c r="D261" s="93" t="str">
        <f t="shared" si="347"/>
        <v/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6"/>
      <c r="W261" s="31" t="e">
        <f>INDEX(TBL_LNG_IMPORTERS_CONNECTIONS[LNGImporterConnectionID],$A261)</f>
        <v>#REF!</v>
      </c>
      <c r="X261" s="31" t="e">
        <f>"LNGImporterTariffVar_"&amp;RIGHT($W261,11)</f>
        <v>#REF!</v>
      </c>
    </row>
    <row r="262" spans="1:24" x14ac:dyDescent="0.25">
      <c r="A262" s="94">
        <f t="shared" ref="A262" si="348">$A258+1</f>
        <v>65</v>
      </c>
      <c r="B262" s="117" t="str">
        <f>IFERROR(INDEX(TBL_LNG_IMPORTERS_CONNECTIONS[Name],$A262),"")</f>
        <v/>
      </c>
      <c r="C262" s="93" t="str">
        <f t="shared" ref="C262:D262" si="349">IF($B262&lt;&gt;"",C258,"")</f>
        <v/>
      </c>
      <c r="D262" s="93" t="str">
        <f t="shared" si="349"/>
        <v/>
      </c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5"/>
      <c r="W262" s="31" t="e">
        <f>INDEX(TBL_LNG_IMPORTERS_CONNECTIONS[LNGImporterConnectionID],$A262)</f>
        <v>#REF!</v>
      </c>
      <c r="X262" s="31" t="e">
        <f>"LNGImporterCapMin_"&amp;RIGHT($W262,11)</f>
        <v>#REF!</v>
      </c>
    </row>
    <row r="263" spans="1:24" x14ac:dyDescent="0.25">
      <c r="A263" s="94">
        <f t="shared" ref="A263:A265" si="350">$A262</f>
        <v>65</v>
      </c>
      <c r="B263" s="118"/>
      <c r="C263" s="93" t="str">
        <f t="shared" ref="C263:D263" si="351">IF($B262&lt;&gt;"",C259,"")</f>
        <v/>
      </c>
      <c r="D263" s="93" t="str">
        <f t="shared" si="351"/>
        <v/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6"/>
      <c r="W263" s="31" t="e">
        <f>INDEX(TBL_LNG_IMPORTERS_CONNECTIONS[LNGImporterConnectionID],$A263)</f>
        <v>#REF!</v>
      </c>
      <c r="X263" s="31" t="e">
        <f>"LNGImporterCapMax_"&amp;RIGHT($W263,11)</f>
        <v>#REF!</v>
      </c>
    </row>
    <row r="264" spans="1:24" x14ac:dyDescent="0.25">
      <c r="A264" s="94">
        <f t="shared" si="350"/>
        <v>65</v>
      </c>
      <c r="B264" s="118"/>
      <c r="C264" s="93" t="str">
        <f t="shared" ref="C264:D264" si="352">IF($B262&lt;&gt;"",C260,"")</f>
        <v/>
      </c>
      <c r="D264" s="93" t="str">
        <f t="shared" si="352"/>
        <v/>
      </c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5"/>
      <c r="W264" s="31" t="e">
        <f>INDEX(TBL_LNG_IMPORTERS_CONNECTIONS[LNGImporterConnectionID],$A264)</f>
        <v>#REF!</v>
      </c>
      <c r="X264" s="31" t="e">
        <f>"LNGImporterTariffFixed_"&amp;RIGHT($W264,11)</f>
        <v>#REF!</v>
      </c>
    </row>
    <row r="265" spans="1:24" x14ac:dyDescent="0.25">
      <c r="A265" s="94">
        <f t="shared" si="350"/>
        <v>65</v>
      </c>
      <c r="B265" s="119"/>
      <c r="C265" s="93" t="str">
        <f t="shared" ref="C265:D265" si="353">IF($B262&lt;&gt;"",C261,"")</f>
        <v/>
      </c>
      <c r="D265" s="93" t="str">
        <f t="shared" si="353"/>
        <v/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6"/>
      <c r="W265" s="31" t="e">
        <f>INDEX(TBL_LNG_IMPORTERS_CONNECTIONS[LNGImporterConnectionID],$A265)</f>
        <v>#REF!</v>
      </c>
      <c r="X265" s="31" t="e">
        <f>"LNGImporterTariffVar_"&amp;RIGHT($W265,11)</f>
        <v>#REF!</v>
      </c>
    </row>
    <row r="266" spans="1:24" x14ac:dyDescent="0.25">
      <c r="A266" s="94">
        <f t="shared" ref="A266" si="354">$A262+1</f>
        <v>66</v>
      </c>
      <c r="B266" s="117" t="str">
        <f>IFERROR(INDEX(TBL_LNG_IMPORTERS_CONNECTIONS[Name],$A266),"")</f>
        <v/>
      </c>
      <c r="C266" s="93" t="str">
        <f t="shared" ref="C266:D266" si="355">IF($B266&lt;&gt;"",C262,"")</f>
        <v/>
      </c>
      <c r="D266" s="93" t="str">
        <f t="shared" si="355"/>
        <v/>
      </c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5"/>
      <c r="W266" s="31" t="e">
        <f>INDEX(TBL_LNG_IMPORTERS_CONNECTIONS[LNGImporterConnectionID],$A266)</f>
        <v>#REF!</v>
      </c>
      <c r="X266" s="31" t="e">
        <f>"LNGImporterCapMin_"&amp;RIGHT($W266,11)</f>
        <v>#REF!</v>
      </c>
    </row>
    <row r="267" spans="1:24" x14ac:dyDescent="0.25">
      <c r="A267" s="94">
        <f t="shared" ref="A267:A269" si="356">$A266</f>
        <v>66</v>
      </c>
      <c r="B267" s="118"/>
      <c r="C267" s="93" t="str">
        <f t="shared" ref="C267:D267" si="357">IF($B266&lt;&gt;"",C263,"")</f>
        <v/>
      </c>
      <c r="D267" s="93" t="str">
        <f t="shared" si="357"/>
        <v/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6"/>
      <c r="W267" s="31" t="e">
        <f>INDEX(TBL_LNG_IMPORTERS_CONNECTIONS[LNGImporterConnectionID],$A267)</f>
        <v>#REF!</v>
      </c>
      <c r="X267" s="31" t="e">
        <f>"LNGImporterCapMax_"&amp;RIGHT($W267,11)</f>
        <v>#REF!</v>
      </c>
    </row>
    <row r="268" spans="1:24" x14ac:dyDescent="0.25">
      <c r="A268" s="94">
        <f t="shared" si="356"/>
        <v>66</v>
      </c>
      <c r="B268" s="118"/>
      <c r="C268" s="93" t="str">
        <f t="shared" ref="C268:D268" si="358">IF($B266&lt;&gt;"",C264,"")</f>
        <v/>
      </c>
      <c r="D268" s="93" t="str">
        <f t="shared" si="358"/>
        <v/>
      </c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5"/>
      <c r="W268" s="31" t="e">
        <f>INDEX(TBL_LNG_IMPORTERS_CONNECTIONS[LNGImporterConnectionID],$A268)</f>
        <v>#REF!</v>
      </c>
      <c r="X268" s="31" t="e">
        <f>"LNGImporterTariffFixed_"&amp;RIGHT($W268,11)</f>
        <v>#REF!</v>
      </c>
    </row>
    <row r="269" spans="1:24" x14ac:dyDescent="0.25">
      <c r="A269" s="94">
        <f t="shared" si="356"/>
        <v>66</v>
      </c>
      <c r="B269" s="119"/>
      <c r="C269" s="93" t="str">
        <f t="shared" ref="C269:D269" si="359">IF($B266&lt;&gt;"",C265,"")</f>
        <v/>
      </c>
      <c r="D269" s="93" t="str">
        <f t="shared" si="359"/>
        <v/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6"/>
      <c r="W269" s="31" t="e">
        <f>INDEX(TBL_LNG_IMPORTERS_CONNECTIONS[LNGImporterConnectionID],$A269)</f>
        <v>#REF!</v>
      </c>
      <c r="X269" s="31" t="e">
        <f>"LNGImporterTariffVar_"&amp;RIGHT($W269,11)</f>
        <v>#REF!</v>
      </c>
    </row>
    <row r="270" spans="1:24" x14ac:dyDescent="0.25">
      <c r="A270" s="94">
        <f t="shared" ref="A270" si="360">$A266+1</f>
        <v>67</v>
      </c>
      <c r="B270" s="117" t="str">
        <f>IFERROR(INDEX(TBL_LNG_IMPORTERS_CONNECTIONS[Name],$A270),"")</f>
        <v/>
      </c>
      <c r="C270" s="93" t="str">
        <f t="shared" ref="C270:D270" si="361">IF($B270&lt;&gt;"",C266,"")</f>
        <v/>
      </c>
      <c r="D270" s="93" t="str">
        <f t="shared" si="361"/>
        <v/>
      </c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5"/>
      <c r="W270" s="31" t="e">
        <f>INDEX(TBL_LNG_IMPORTERS_CONNECTIONS[LNGImporterConnectionID],$A270)</f>
        <v>#REF!</v>
      </c>
      <c r="X270" s="31" t="e">
        <f>"LNGImporterCapMin_"&amp;RIGHT($W270,11)</f>
        <v>#REF!</v>
      </c>
    </row>
    <row r="271" spans="1:24" x14ac:dyDescent="0.25">
      <c r="A271" s="94">
        <f t="shared" ref="A271:A273" si="362">$A270</f>
        <v>67</v>
      </c>
      <c r="B271" s="118"/>
      <c r="C271" s="93" t="str">
        <f t="shared" ref="C271:D271" si="363">IF($B270&lt;&gt;"",C267,"")</f>
        <v/>
      </c>
      <c r="D271" s="93" t="str">
        <f t="shared" si="363"/>
        <v/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6"/>
      <c r="W271" s="31" t="e">
        <f>INDEX(TBL_LNG_IMPORTERS_CONNECTIONS[LNGImporterConnectionID],$A271)</f>
        <v>#REF!</v>
      </c>
      <c r="X271" s="31" t="e">
        <f>"LNGImporterCapMax_"&amp;RIGHT($W271,11)</f>
        <v>#REF!</v>
      </c>
    </row>
    <row r="272" spans="1:24" x14ac:dyDescent="0.25">
      <c r="A272" s="94">
        <f t="shared" si="362"/>
        <v>67</v>
      </c>
      <c r="B272" s="118"/>
      <c r="C272" s="93" t="str">
        <f t="shared" ref="C272:D272" si="364">IF($B270&lt;&gt;"",C268,"")</f>
        <v/>
      </c>
      <c r="D272" s="93" t="str">
        <f t="shared" si="364"/>
        <v/>
      </c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5"/>
      <c r="W272" s="31" t="e">
        <f>INDEX(TBL_LNG_IMPORTERS_CONNECTIONS[LNGImporterConnectionID],$A272)</f>
        <v>#REF!</v>
      </c>
      <c r="X272" s="31" t="e">
        <f>"LNGImporterTariffFixed_"&amp;RIGHT($W272,11)</f>
        <v>#REF!</v>
      </c>
    </row>
    <row r="273" spans="1:24" x14ac:dyDescent="0.25">
      <c r="A273" s="94">
        <f t="shared" si="362"/>
        <v>67</v>
      </c>
      <c r="B273" s="119"/>
      <c r="C273" s="93" t="str">
        <f t="shared" ref="C273:D273" si="365">IF($B270&lt;&gt;"",C269,"")</f>
        <v/>
      </c>
      <c r="D273" s="93" t="str">
        <f t="shared" si="365"/>
        <v/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6"/>
      <c r="W273" s="31" t="e">
        <f>INDEX(TBL_LNG_IMPORTERS_CONNECTIONS[LNGImporterConnectionID],$A273)</f>
        <v>#REF!</v>
      </c>
      <c r="X273" s="31" t="e">
        <f>"LNGImporterTariffVar_"&amp;RIGHT($W273,11)</f>
        <v>#REF!</v>
      </c>
    </row>
    <row r="274" spans="1:24" x14ac:dyDescent="0.25">
      <c r="A274" s="94">
        <f t="shared" ref="A274" si="366">$A270+1</f>
        <v>68</v>
      </c>
      <c r="B274" s="117" t="str">
        <f>IFERROR(INDEX(TBL_LNG_IMPORTERS_CONNECTIONS[Name],$A274),"")</f>
        <v/>
      </c>
      <c r="C274" s="93" t="str">
        <f t="shared" ref="C274:D274" si="367">IF($B274&lt;&gt;"",C270,"")</f>
        <v/>
      </c>
      <c r="D274" s="93" t="str">
        <f t="shared" si="367"/>
        <v/>
      </c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5"/>
      <c r="W274" s="31" t="e">
        <f>INDEX(TBL_LNG_IMPORTERS_CONNECTIONS[LNGImporterConnectionID],$A274)</f>
        <v>#REF!</v>
      </c>
      <c r="X274" s="31" t="e">
        <f>"LNGImporterCapMin_"&amp;RIGHT($W274,11)</f>
        <v>#REF!</v>
      </c>
    </row>
    <row r="275" spans="1:24" x14ac:dyDescent="0.25">
      <c r="A275" s="94">
        <f t="shared" ref="A275:A277" si="368">$A274</f>
        <v>68</v>
      </c>
      <c r="B275" s="118"/>
      <c r="C275" s="93" t="str">
        <f t="shared" ref="C275:D275" si="369">IF($B274&lt;&gt;"",C271,"")</f>
        <v/>
      </c>
      <c r="D275" s="93" t="str">
        <f t="shared" si="369"/>
        <v/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6"/>
      <c r="W275" s="31" t="e">
        <f>INDEX(TBL_LNG_IMPORTERS_CONNECTIONS[LNGImporterConnectionID],$A275)</f>
        <v>#REF!</v>
      </c>
      <c r="X275" s="31" t="e">
        <f>"LNGImporterCapMax_"&amp;RIGHT($W275,11)</f>
        <v>#REF!</v>
      </c>
    </row>
    <row r="276" spans="1:24" x14ac:dyDescent="0.25">
      <c r="A276" s="94">
        <f t="shared" si="368"/>
        <v>68</v>
      </c>
      <c r="B276" s="118"/>
      <c r="C276" s="93" t="str">
        <f t="shared" ref="C276:D276" si="370">IF($B274&lt;&gt;"",C272,"")</f>
        <v/>
      </c>
      <c r="D276" s="93" t="str">
        <f t="shared" si="370"/>
        <v/>
      </c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5"/>
      <c r="W276" s="31" t="e">
        <f>INDEX(TBL_LNG_IMPORTERS_CONNECTIONS[LNGImporterConnectionID],$A276)</f>
        <v>#REF!</v>
      </c>
      <c r="X276" s="31" t="e">
        <f>"LNGImporterTariffFixed_"&amp;RIGHT($W276,11)</f>
        <v>#REF!</v>
      </c>
    </row>
    <row r="277" spans="1:24" x14ac:dyDescent="0.25">
      <c r="A277" s="94">
        <f t="shared" si="368"/>
        <v>68</v>
      </c>
      <c r="B277" s="119"/>
      <c r="C277" s="93" t="str">
        <f t="shared" ref="C277:D277" si="371">IF($B274&lt;&gt;"",C273,"")</f>
        <v/>
      </c>
      <c r="D277" s="93" t="str">
        <f t="shared" si="371"/>
        <v/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6"/>
      <c r="W277" s="31" t="e">
        <f>INDEX(TBL_LNG_IMPORTERS_CONNECTIONS[LNGImporterConnectionID],$A277)</f>
        <v>#REF!</v>
      </c>
      <c r="X277" s="31" t="e">
        <f>"LNGImporterTariffVar_"&amp;RIGHT($W277,11)</f>
        <v>#REF!</v>
      </c>
    </row>
    <row r="278" spans="1:24" x14ac:dyDescent="0.25">
      <c r="A278" s="94">
        <f t="shared" ref="A278" si="372">$A274+1</f>
        <v>69</v>
      </c>
      <c r="B278" s="117" t="str">
        <f>IFERROR(INDEX(TBL_LNG_IMPORTERS_CONNECTIONS[Name],$A278),"")</f>
        <v/>
      </c>
      <c r="C278" s="93" t="str">
        <f t="shared" ref="C278:D278" si="373">IF($B278&lt;&gt;"",C274,"")</f>
        <v/>
      </c>
      <c r="D278" s="93" t="str">
        <f t="shared" si="373"/>
        <v/>
      </c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5"/>
      <c r="W278" s="31" t="e">
        <f>INDEX(TBL_LNG_IMPORTERS_CONNECTIONS[LNGImporterConnectionID],$A278)</f>
        <v>#REF!</v>
      </c>
      <c r="X278" s="31" t="e">
        <f>"LNGImporterCapMin_"&amp;RIGHT($W278,11)</f>
        <v>#REF!</v>
      </c>
    </row>
    <row r="279" spans="1:24" x14ac:dyDescent="0.25">
      <c r="A279" s="94">
        <f t="shared" ref="A279:A297" si="374">$A278</f>
        <v>69</v>
      </c>
      <c r="B279" s="118"/>
      <c r="C279" s="93" t="str">
        <f t="shared" ref="C279:D279" si="375">IF($B278&lt;&gt;"",C275,"")</f>
        <v/>
      </c>
      <c r="D279" s="93" t="str">
        <f t="shared" si="375"/>
        <v/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6"/>
      <c r="W279" s="31" t="e">
        <f>INDEX(TBL_LNG_IMPORTERS_CONNECTIONS[LNGImporterConnectionID],$A279)</f>
        <v>#REF!</v>
      </c>
      <c r="X279" s="31" t="e">
        <f>"LNGImporterCapMax_"&amp;RIGHT($W279,11)</f>
        <v>#REF!</v>
      </c>
    </row>
    <row r="280" spans="1:24" x14ac:dyDescent="0.25">
      <c r="A280" s="94">
        <f t="shared" si="374"/>
        <v>69</v>
      </c>
      <c r="B280" s="118"/>
      <c r="C280" s="93" t="str">
        <f t="shared" ref="C280:D280" si="376">IF($B278&lt;&gt;"",C276,"")</f>
        <v/>
      </c>
      <c r="D280" s="93" t="str">
        <f t="shared" si="376"/>
        <v/>
      </c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5"/>
      <c r="W280" s="31" t="e">
        <f>INDEX(TBL_LNG_IMPORTERS_CONNECTIONS[LNGImporterConnectionID],$A280)</f>
        <v>#REF!</v>
      </c>
      <c r="X280" s="31" t="e">
        <f>"LNGImporterTariffFixed_"&amp;RIGHT($W280,11)</f>
        <v>#REF!</v>
      </c>
    </row>
    <row r="281" spans="1:24" x14ac:dyDescent="0.25">
      <c r="A281" s="94">
        <f t="shared" si="374"/>
        <v>69</v>
      </c>
      <c r="B281" s="119"/>
      <c r="C281" s="93" t="str">
        <f t="shared" ref="C281:D281" si="377">IF($B278&lt;&gt;"",C277,"")</f>
        <v/>
      </c>
      <c r="D281" s="93" t="str">
        <f t="shared" si="377"/>
        <v/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6"/>
      <c r="W281" s="31" t="e">
        <f>INDEX(TBL_LNG_IMPORTERS_CONNECTIONS[LNGImporterConnectionID],$A281)</f>
        <v>#REF!</v>
      </c>
      <c r="X281" s="31" t="e">
        <f>"LNGImporterTariffVar_"&amp;RIGHT($W281,11)</f>
        <v>#REF!</v>
      </c>
    </row>
    <row r="282" spans="1:24" x14ac:dyDescent="0.25">
      <c r="A282" s="94">
        <f t="shared" ref="A282" si="378">$A278+1</f>
        <v>70</v>
      </c>
      <c r="B282" s="117" t="str">
        <f>IFERROR(INDEX(TBL_LNG_IMPORTERS_CONNECTIONS[Name],$A282),"")</f>
        <v/>
      </c>
      <c r="C282" s="93" t="str">
        <f t="shared" ref="C282:D282" si="379">IF($B282&lt;&gt;"",C278,"")</f>
        <v/>
      </c>
      <c r="D282" s="93" t="str">
        <f t="shared" si="379"/>
        <v/>
      </c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5"/>
      <c r="W282" s="31" t="e">
        <f>INDEX(TBL_LNG_IMPORTERS_CONNECTIONS[LNGImporterConnectionID],$A282)</f>
        <v>#REF!</v>
      </c>
      <c r="X282" s="31" t="e">
        <f>"LNGImporterCapMin_"&amp;RIGHT($W282,11)</f>
        <v>#REF!</v>
      </c>
    </row>
    <row r="283" spans="1:24" x14ac:dyDescent="0.25">
      <c r="A283" s="94">
        <f t="shared" si="374"/>
        <v>70</v>
      </c>
      <c r="B283" s="118"/>
      <c r="C283" s="93" t="str">
        <f t="shared" ref="C283:D283" si="380">IF($B282&lt;&gt;"",C279,"")</f>
        <v/>
      </c>
      <c r="D283" s="93" t="str">
        <f t="shared" si="380"/>
        <v/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6"/>
      <c r="W283" s="31" t="e">
        <f>INDEX(TBL_LNG_IMPORTERS_CONNECTIONS[LNGImporterConnectionID],$A283)</f>
        <v>#REF!</v>
      </c>
      <c r="X283" s="31" t="e">
        <f>"LNGImporterCapMax_"&amp;RIGHT($W283,11)</f>
        <v>#REF!</v>
      </c>
    </row>
    <row r="284" spans="1:24" x14ac:dyDescent="0.25">
      <c r="A284" s="94">
        <f t="shared" si="374"/>
        <v>70</v>
      </c>
      <c r="B284" s="118"/>
      <c r="C284" s="93" t="str">
        <f t="shared" ref="C284:D284" si="381">IF($B282&lt;&gt;"",C280,"")</f>
        <v/>
      </c>
      <c r="D284" s="93" t="str">
        <f t="shared" si="381"/>
        <v/>
      </c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5"/>
      <c r="W284" s="31" t="e">
        <f>INDEX(TBL_LNG_IMPORTERS_CONNECTIONS[LNGImporterConnectionID],$A284)</f>
        <v>#REF!</v>
      </c>
      <c r="X284" s="31" t="e">
        <f>"LNGImporterTariffFixed_"&amp;RIGHT($W284,11)</f>
        <v>#REF!</v>
      </c>
    </row>
    <row r="285" spans="1:24" x14ac:dyDescent="0.25">
      <c r="A285" s="94">
        <f t="shared" si="374"/>
        <v>70</v>
      </c>
      <c r="B285" s="119"/>
      <c r="C285" s="93" t="str">
        <f t="shared" ref="C285:D285" si="382">IF($B282&lt;&gt;"",C281,"")</f>
        <v/>
      </c>
      <c r="D285" s="93" t="str">
        <f t="shared" si="382"/>
        <v/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6"/>
      <c r="W285" s="31" t="e">
        <f>INDEX(TBL_LNG_IMPORTERS_CONNECTIONS[LNGImporterConnectionID],$A285)</f>
        <v>#REF!</v>
      </c>
      <c r="X285" s="31" t="e">
        <f>"LNGImporterTariffVar_"&amp;RIGHT($W285,11)</f>
        <v>#REF!</v>
      </c>
    </row>
    <row r="286" spans="1:24" x14ac:dyDescent="0.25">
      <c r="A286" s="94">
        <f t="shared" ref="A286" si="383">$A282+1</f>
        <v>71</v>
      </c>
      <c r="B286" s="117" t="str">
        <f>IFERROR(INDEX(TBL_LNG_IMPORTERS_CONNECTIONS[Name],$A286),"")</f>
        <v/>
      </c>
      <c r="C286" s="93" t="str">
        <f t="shared" ref="C286:D286" si="384">IF($B286&lt;&gt;"",C282,"")</f>
        <v/>
      </c>
      <c r="D286" s="93" t="str">
        <f t="shared" si="384"/>
        <v/>
      </c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5"/>
      <c r="W286" s="31" t="e">
        <f>INDEX(TBL_LNG_IMPORTERS_CONNECTIONS[LNGImporterConnectionID],$A286)</f>
        <v>#REF!</v>
      </c>
      <c r="X286" s="31" t="e">
        <f>"LNGImporterCapMin_"&amp;RIGHT($W286,11)</f>
        <v>#REF!</v>
      </c>
    </row>
    <row r="287" spans="1:24" x14ac:dyDescent="0.25">
      <c r="A287" s="94">
        <f t="shared" si="374"/>
        <v>71</v>
      </c>
      <c r="B287" s="118"/>
      <c r="C287" s="93" t="str">
        <f t="shared" ref="C287:D287" si="385">IF($B286&lt;&gt;"",C283,"")</f>
        <v/>
      </c>
      <c r="D287" s="93" t="str">
        <f t="shared" si="385"/>
        <v/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6"/>
      <c r="W287" s="31" t="e">
        <f>INDEX(TBL_LNG_IMPORTERS_CONNECTIONS[LNGImporterConnectionID],$A287)</f>
        <v>#REF!</v>
      </c>
      <c r="X287" s="31" t="e">
        <f>"LNGImporterCapMax_"&amp;RIGHT($W287,11)</f>
        <v>#REF!</v>
      </c>
    </row>
    <row r="288" spans="1:24" x14ac:dyDescent="0.25">
      <c r="A288" s="94">
        <f t="shared" si="374"/>
        <v>71</v>
      </c>
      <c r="B288" s="118"/>
      <c r="C288" s="93" t="str">
        <f t="shared" ref="C288:D288" si="386">IF($B286&lt;&gt;"",C284,"")</f>
        <v/>
      </c>
      <c r="D288" s="93" t="str">
        <f t="shared" si="386"/>
        <v/>
      </c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5"/>
      <c r="W288" s="31" t="e">
        <f>INDEX(TBL_LNG_IMPORTERS_CONNECTIONS[LNGImporterConnectionID],$A288)</f>
        <v>#REF!</v>
      </c>
      <c r="X288" s="31" t="e">
        <f>"LNGImporterTariffFixed_"&amp;RIGHT($W288,11)</f>
        <v>#REF!</v>
      </c>
    </row>
    <row r="289" spans="1:24" x14ac:dyDescent="0.25">
      <c r="A289" s="94">
        <f t="shared" si="374"/>
        <v>71</v>
      </c>
      <c r="B289" s="119"/>
      <c r="C289" s="93" t="str">
        <f t="shared" ref="C289:D289" si="387">IF($B286&lt;&gt;"",C285,"")</f>
        <v/>
      </c>
      <c r="D289" s="93" t="str">
        <f t="shared" si="387"/>
        <v/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6"/>
      <c r="W289" s="31" t="e">
        <f>INDEX(TBL_LNG_IMPORTERS_CONNECTIONS[LNGImporterConnectionID],$A289)</f>
        <v>#REF!</v>
      </c>
      <c r="X289" s="31" t="e">
        <f>"LNGImporterTariffVar_"&amp;RIGHT($W289,11)</f>
        <v>#REF!</v>
      </c>
    </row>
    <row r="290" spans="1:24" x14ac:dyDescent="0.25">
      <c r="A290" s="94">
        <f t="shared" ref="A290" si="388">$A286+1</f>
        <v>72</v>
      </c>
      <c r="B290" s="117" t="str">
        <f>IFERROR(INDEX(TBL_LNG_IMPORTERS_CONNECTIONS[Name],$A290),"")</f>
        <v/>
      </c>
      <c r="C290" s="93" t="str">
        <f t="shared" ref="C290:D290" si="389">IF($B290&lt;&gt;"",C286,"")</f>
        <v/>
      </c>
      <c r="D290" s="93" t="str">
        <f t="shared" si="389"/>
        <v/>
      </c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5"/>
      <c r="W290" s="31" t="e">
        <f>INDEX(TBL_LNG_IMPORTERS_CONNECTIONS[LNGImporterConnectionID],$A290)</f>
        <v>#REF!</v>
      </c>
      <c r="X290" s="31" t="e">
        <f>"LNGImporterCapMin_"&amp;RIGHT($W290,11)</f>
        <v>#REF!</v>
      </c>
    </row>
    <row r="291" spans="1:24" x14ac:dyDescent="0.25">
      <c r="A291" s="94">
        <f t="shared" si="374"/>
        <v>72</v>
      </c>
      <c r="B291" s="118"/>
      <c r="C291" s="93" t="str">
        <f t="shared" ref="C291:D291" si="390">IF($B290&lt;&gt;"",C287,"")</f>
        <v/>
      </c>
      <c r="D291" s="93" t="str">
        <f t="shared" si="390"/>
        <v/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6"/>
      <c r="W291" s="31" t="e">
        <f>INDEX(TBL_LNG_IMPORTERS_CONNECTIONS[LNGImporterConnectionID],$A291)</f>
        <v>#REF!</v>
      </c>
      <c r="X291" s="31" t="e">
        <f>"LNGImporterCapMax_"&amp;RIGHT($W291,11)</f>
        <v>#REF!</v>
      </c>
    </row>
    <row r="292" spans="1:24" x14ac:dyDescent="0.25">
      <c r="A292" s="94">
        <f t="shared" si="374"/>
        <v>72</v>
      </c>
      <c r="B292" s="118"/>
      <c r="C292" s="93" t="str">
        <f t="shared" ref="C292:D292" si="391">IF($B290&lt;&gt;"",C288,"")</f>
        <v/>
      </c>
      <c r="D292" s="93" t="str">
        <f t="shared" si="391"/>
        <v/>
      </c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5"/>
      <c r="W292" s="31" t="e">
        <f>INDEX(TBL_LNG_IMPORTERS_CONNECTIONS[LNGImporterConnectionID],$A292)</f>
        <v>#REF!</v>
      </c>
      <c r="X292" s="31" t="e">
        <f>"LNGImporterTariffFixed_"&amp;RIGHT($W292,11)</f>
        <v>#REF!</v>
      </c>
    </row>
    <row r="293" spans="1:24" x14ac:dyDescent="0.25">
      <c r="A293" s="94">
        <f t="shared" si="374"/>
        <v>72</v>
      </c>
      <c r="B293" s="119"/>
      <c r="C293" s="93" t="str">
        <f t="shared" ref="C293:D293" si="392">IF($B290&lt;&gt;"",C289,"")</f>
        <v/>
      </c>
      <c r="D293" s="93" t="str">
        <f t="shared" si="392"/>
        <v/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6"/>
      <c r="W293" s="31" t="e">
        <f>INDEX(TBL_LNG_IMPORTERS_CONNECTIONS[LNGImporterConnectionID],$A293)</f>
        <v>#REF!</v>
      </c>
      <c r="X293" s="31" t="e">
        <f>"LNGImporterTariffVar_"&amp;RIGHT($W293,11)</f>
        <v>#REF!</v>
      </c>
    </row>
    <row r="294" spans="1:24" x14ac:dyDescent="0.25">
      <c r="A294" s="94">
        <f t="shared" ref="A294" si="393">$A290+1</f>
        <v>73</v>
      </c>
      <c r="B294" s="117" t="str">
        <f>IFERROR(INDEX(TBL_LNG_IMPORTERS_CONNECTIONS[Name],$A294),"")</f>
        <v/>
      </c>
      <c r="C294" s="93" t="str">
        <f t="shared" ref="C294:D294" si="394">IF($B294&lt;&gt;"",C290,"")</f>
        <v/>
      </c>
      <c r="D294" s="93" t="str">
        <f t="shared" si="394"/>
        <v/>
      </c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5"/>
      <c r="W294" s="31" t="e">
        <f>INDEX(TBL_LNG_IMPORTERS_CONNECTIONS[LNGImporterConnectionID],$A294)</f>
        <v>#REF!</v>
      </c>
      <c r="X294" s="31" t="e">
        <f>"LNGImporterCapMin_"&amp;RIGHT($W294,11)</f>
        <v>#REF!</v>
      </c>
    </row>
    <row r="295" spans="1:24" x14ac:dyDescent="0.25">
      <c r="A295" s="94">
        <f t="shared" si="374"/>
        <v>73</v>
      </c>
      <c r="B295" s="118"/>
      <c r="C295" s="93" t="str">
        <f t="shared" ref="C295:D295" si="395">IF($B294&lt;&gt;"",C291,"")</f>
        <v/>
      </c>
      <c r="D295" s="93" t="str">
        <f t="shared" si="395"/>
        <v/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6"/>
      <c r="W295" s="31" t="e">
        <f>INDEX(TBL_LNG_IMPORTERS_CONNECTIONS[LNGImporterConnectionID],$A295)</f>
        <v>#REF!</v>
      </c>
      <c r="X295" s="31" t="e">
        <f>"LNGImporterCapMax_"&amp;RIGHT($W295,11)</f>
        <v>#REF!</v>
      </c>
    </row>
    <row r="296" spans="1:24" x14ac:dyDescent="0.25">
      <c r="A296" s="94">
        <f t="shared" si="374"/>
        <v>73</v>
      </c>
      <c r="B296" s="118"/>
      <c r="C296" s="93" t="str">
        <f t="shared" ref="C296:D296" si="396">IF($B294&lt;&gt;"",C292,"")</f>
        <v/>
      </c>
      <c r="D296" s="93" t="str">
        <f t="shared" si="396"/>
        <v/>
      </c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5"/>
      <c r="W296" s="31" t="e">
        <f>INDEX(TBL_LNG_IMPORTERS_CONNECTIONS[LNGImporterConnectionID],$A296)</f>
        <v>#REF!</v>
      </c>
      <c r="X296" s="31" t="e">
        <f>"LNGImporterTariffFixed_"&amp;RIGHT($W296,11)</f>
        <v>#REF!</v>
      </c>
    </row>
    <row r="297" spans="1:24" x14ac:dyDescent="0.25">
      <c r="A297" s="94">
        <f t="shared" si="374"/>
        <v>73</v>
      </c>
      <c r="B297" s="119"/>
      <c r="C297" s="93" t="str">
        <f t="shared" ref="C297:D297" si="397">IF($B294&lt;&gt;"",C293,"")</f>
        <v/>
      </c>
      <c r="D297" s="93" t="str">
        <f t="shared" si="397"/>
        <v/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6"/>
      <c r="W297" s="31" t="e">
        <f>INDEX(TBL_LNG_IMPORTERS_CONNECTIONS[LNGImporterConnectionID],$A297)</f>
        <v>#REF!</v>
      </c>
      <c r="X297" s="31" t="e">
        <f>"LNGImporterTariffVar_"&amp;RIGHT($W297,11)</f>
        <v>#REF!</v>
      </c>
    </row>
    <row r="298" spans="1:24" x14ac:dyDescent="0.25">
      <c r="A298" s="94">
        <f t="shared" ref="A298" si="398">$A294+1</f>
        <v>74</v>
      </c>
      <c r="B298" s="117" t="str">
        <f>IFERROR(INDEX(TBL_LNG_IMPORTERS_CONNECTIONS[Name],$A298),"")</f>
        <v/>
      </c>
      <c r="C298" s="93" t="str">
        <f t="shared" ref="C298:D298" si="399">IF($B298&lt;&gt;"",C294,"")</f>
        <v/>
      </c>
      <c r="D298" s="93" t="str">
        <f t="shared" si="399"/>
        <v/>
      </c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5"/>
      <c r="W298" s="31" t="e">
        <f>INDEX(TBL_LNG_IMPORTERS_CONNECTIONS[LNGImporterConnectionID],$A298)</f>
        <v>#REF!</v>
      </c>
      <c r="X298" s="31" t="e">
        <f>"LNGImporterCapMin_"&amp;RIGHT($W298,11)</f>
        <v>#REF!</v>
      </c>
    </row>
    <row r="299" spans="1:24" x14ac:dyDescent="0.25">
      <c r="A299" s="94">
        <f t="shared" ref="A299:A301" si="400">$A298</f>
        <v>74</v>
      </c>
      <c r="B299" s="118"/>
      <c r="C299" s="93" t="str">
        <f t="shared" ref="C299:D299" si="401">IF($B298&lt;&gt;"",C295,"")</f>
        <v/>
      </c>
      <c r="D299" s="93" t="str">
        <f t="shared" si="401"/>
        <v/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6"/>
      <c r="W299" s="31" t="e">
        <f>INDEX(TBL_LNG_IMPORTERS_CONNECTIONS[LNGImporterConnectionID],$A299)</f>
        <v>#REF!</v>
      </c>
      <c r="X299" s="31" t="e">
        <f>"LNGImporterCapMax_"&amp;RIGHT($W299,11)</f>
        <v>#REF!</v>
      </c>
    </row>
    <row r="300" spans="1:24" x14ac:dyDescent="0.25">
      <c r="A300" s="94">
        <f t="shared" si="400"/>
        <v>74</v>
      </c>
      <c r="B300" s="118"/>
      <c r="C300" s="93" t="str">
        <f t="shared" ref="C300:D300" si="402">IF($B298&lt;&gt;"",C296,"")</f>
        <v/>
      </c>
      <c r="D300" s="93" t="str">
        <f t="shared" si="402"/>
        <v/>
      </c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5"/>
      <c r="W300" s="31" t="e">
        <f>INDEX(TBL_LNG_IMPORTERS_CONNECTIONS[LNGImporterConnectionID],$A300)</f>
        <v>#REF!</v>
      </c>
      <c r="X300" s="31" t="e">
        <f>"LNGImporterTariffFixed_"&amp;RIGHT($W300,11)</f>
        <v>#REF!</v>
      </c>
    </row>
    <row r="301" spans="1:24" x14ac:dyDescent="0.25">
      <c r="A301" s="94">
        <f t="shared" si="400"/>
        <v>74</v>
      </c>
      <c r="B301" s="119"/>
      <c r="C301" s="93" t="str">
        <f t="shared" ref="C301:D301" si="403">IF($B298&lt;&gt;"",C297,"")</f>
        <v/>
      </c>
      <c r="D301" s="93" t="str">
        <f t="shared" si="403"/>
        <v/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6"/>
      <c r="W301" s="31" t="e">
        <f>INDEX(TBL_LNG_IMPORTERS_CONNECTIONS[LNGImporterConnectionID],$A301)</f>
        <v>#REF!</v>
      </c>
      <c r="X301" s="31" t="e">
        <f>"LNGImporterTariffVar_"&amp;RIGHT($W301,11)</f>
        <v>#REF!</v>
      </c>
    </row>
    <row r="302" spans="1:24" x14ac:dyDescent="0.25">
      <c r="A302" s="94">
        <f t="shared" ref="A302" si="404">$A298+1</f>
        <v>75</v>
      </c>
      <c r="B302" s="117" t="str">
        <f>IFERROR(INDEX(TBL_LNG_IMPORTERS_CONNECTIONS[Name],$A302),"")</f>
        <v/>
      </c>
      <c r="C302" s="93" t="str">
        <f t="shared" ref="C302:D302" si="405">IF($B302&lt;&gt;"",C298,"")</f>
        <v/>
      </c>
      <c r="D302" s="93" t="str">
        <f t="shared" si="405"/>
        <v/>
      </c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5"/>
      <c r="W302" s="31" t="e">
        <f>INDEX(TBL_LNG_IMPORTERS_CONNECTIONS[LNGImporterConnectionID],$A302)</f>
        <v>#REF!</v>
      </c>
      <c r="X302" s="31" t="e">
        <f>"LNGImporterCapMin_"&amp;RIGHT($W302,11)</f>
        <v>#REF!</v>
      </c>
    </row>
    <row r="303" spans="1:24" x14ac:dyDescent="0.25">
      <c r="A303" s="94">
        <f t="shared" ref="A303:A305" si="406">$A302</f>
        <v>75</v>
      </c>
      <c r="B303" s="118"/>
      <c r="C303" s="93" t="str">
        <f t="shared" ref="C303:D303" si="407">IF($B302&lt;&gt;"",C299,"")</f>
        <v/>
      </c>
      <c r="D303" s="93" t="str">
        <f t="shared" si="407"/>
        <v/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6"/>
      <c r="W303" s="31" t="e">
        <f>INDEX(TBL_LNG_IMPORTERS_CONNECTIONS[LNGImporterConnectionID],$A303)</f>
        <v>#REF!</v>
      </c>
      <c r="X303" s="31" t="e">
        <f>"LNGImporterCapMax_"&amp;RIGHT($W303,11)</f>
        <v>#REF!</v>
      </c>
    </row>
    <row r="304" spans="1:24" x14ac:dyDescent="0.25">
      <c r="A304" s="94">
        <f t="shared" si="406"/>
        <v>75</v>
      </c>
      <c r="B304" s="118"/>
      <c r="C304" s="93" t="str">
        <f t="shared" ref="C304:D304" si="408">IF($B302&lt;&gt;"",C300,"")</f>
        <v/>
      </c>
      <c r="D304" s="93" t="str">
        <f t="shared" si="408"/>
        <v/>
      </c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5"/>
      <c r="W304" s="31" t="e">
        <f>INDEX(TBL_LNG_IMPORTERS_CONNECTIONS[LNGImporterConnectionID],$A304)</f>
        <v>#REF!</v>
      </c>
      <c r="X304" s="31" t="e">
        <f>"LNGImporterTariffFixed_"&amp;RIGHT($W304,11)</f>
        <v>#REF!</v>
      </c>
    </row>
    <row r="305" spans="1:24" x14ac:dyDescent="0.25">
      <c r="A305" s="94">
        <f t="shared" si="406"/>
        <v>75</v>
      </c>
      <c r="B305" s="119"/>
      <c r="C305" s="93" t="str">
        <f t="shared" ref="C305:D305" si="409">IF($B302&lt;&gt;"",C301,"")</f>
        <v/>
      </c>
      <c r="D305" s="93" t="str">
        <f t="shared" si="409"/>
        <v/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6"/>
      <c r="W305" s="31" t="e">
        <f>INDEX(TBL_LNG_IMPORTERS_CONNECTIONS[LNGImporterConnectionID],$A305)</f>
        <v>#REF!</v>
      </c>
      <c r="X305" s="31" t="e">
        <f>"LNGImporterTariffVar_"&amp;RIGHT($W305,11)</f>
        <v>#REF!</v>
      </c>
    </row>
    <row r="306" spans="1:24" x14ac:dyDescent="0.25">
      <c r="A306" s="94">
        <f t="shared" ref="A306" si="410">$A302+1</f>
        <v>76</v>
      </c>
      <c r="B306" s="117" t="str">
        <f>IFERROR(INDEX(TBL_LNG_IMPORTERS_CONNECTIONS[Name],$A306),"")</f>
        <v/>
      </c>
      <c r="C306" s="93" t="str">
        <f t="shared" ref="C306:D306" si="411">IF($B306&lt;&gt;"",C302,"")</f>
        <v/>
      </c>
      <c r="D306" s="93" t="str">
        <f t="shared" si="411"/>
        <v/>
      </c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5"/>
      <c r="W306" s="31" t="e">
        <f>INDEX(TBL_LNG_IMPORTERS_CONNECTIONS[LNGImporterConnectionID],$A306)</f>
        <v>#REF!</v>
      </c>
      <c r="X306" s="31" t="e">
        <f>"LNGImporterCapMin_"&amp;RIGHT($W306,11)</f>
        <v>#REF!</v>
      </c>
    </row>
    <row r="307" spans="1:24" x14ac:dyDescent="0.25">
      <c r="A307" s="94">
        <f t="shared" ref="A307:A309" si="412">$A306</f>
        <v>76</v>
      </c>
      <c r="B307" s="118"/>
      <c r="C307" s="93" t="str">
        <f t="shared" ref="C307:D307" si="413">IF($B306&lt;&gt;"",C303,"")</f>
        <v/>
      </c>
      <c r="D307" s="93" t="str">
        <f t="shared" si="413"/>
        <v/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6"/>
      <c r="W307" s="31" t="e">
        <f>INDEX(TBL_LNG_IMPORTERS_CONNECTIONS[LNGImporterConnectionID],$A307)</f>
        <v>#REF!</v>
      </c>
      <c r="X307" s="31" t="e">
        <f>"LNGImporterCapMax_"&amp;RIGHT($W307,11)</f>
        <v>#REF!</v>
      </c>
    </row>
    <row r="308" spans="1:24" x14ac:dyDescent="0.25">
      <c r="A308" s="94">
        <f t="shared" si="412"/>
        <v>76</v>
      </c>
      <c r="B308" s="118"/>
      <c r="C308" s="93" t="str">
        <f t="shared" ref="C308:D308" si="414">IF($B306&lt;&gt;"",C304,"")</f>
        <v/>
      </c>
      <c r="D308" s="93" t="str">
        <f t="shared" si="414"/>
        <v/>
      </c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5"/>
      <c r="W308" s="31" t="e">
        <f>INDEX(TBL_LNG_IMPORTERS_CONNECTIONS[LNGImporterConnectionID],$A308)</f>
        <v>#REF!</v>
      </c>
      <c r="X308" s="31" t="e">
        <f>"LNGImporterTariffFixed_"&amp;RIGHT($W308,11)</f>
        <v>#REF!</v>
      </c>
    </row>
    <row r="309" spans="1:24" x14ac:dyDescent="0.25">
      <c r="A309" s="94">
        <f t="shared" si="412"/>
        <v>76</v>
      </c>
      <c r="B309" s="119"/>
      <c r="C309" s="93" t="str">
        <f t="shared" ref="C309:D309" si="415">IF($B306&lt;&gt;"",C305,"")</f>
        <v/>
      </c>
      <c r="D309" s="93" t="str">
        <f t="shared" si="415"/>
        <v/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6"/>
      <c r="W309" s="31" t="e">
        <f>INDEX(TBL_LNG_IMPORTERS_CONNECTIONS[LNGImporterConnectionID],$A309)</f>
        <v>#REF!</v>
      </c>
      <c r="X309" s="31" t="e">
        <f>"LNGImporterTariffVar_"&amp;RIGHT($W309,11)</f>
        <v>#REF!</v>
      </c>
    </row>
    <row r="310" spans="1:24" x14ac:dyDescent="0.25">
      <c r="A310" s="94">
        <f t="shared" ref="A310" si="416">$A306+1</f>
        <v>77</v>
      </c>
      <c r="B310" s="117" t="str">
        <f>IFERROR(INDEX(TBL_LNG_IMPORTERS_CONNECTIONS[Name],$A310),"")</f>
        <v/>
      </c>
      <c r="C310" s="93" t="str">
        <f t="shared" ref="C310:D310" si="417">IF($B310&lt;&gt;"",C306,"")</f>
        <v/>
      </c>
      <c r="D310" s="93" t="str">
        <f t="shared" si="417"/>
        <v/>
      </c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5"/>
      <c r="W310" s="31" t="e">
        <f>INDEX(TBL_LNG_IMPORTERS_CONNECTIONS[LNGImporterConnectionID],$A310)</f>
        <v>#REF!</v>
      </c>
      <c r="X310" s="31" t="e">
        <f>"LNGImporterCapMin_"&amp;RIGHT($W310,11)</f>
        <v>#REF!</v>
      </c>
    </row>
    <row r="311" spans="1:24" x14ac:dyDescent="0.25">
      <c r="A311" s="94">
        <f t="shared" ref="A311:A313" si="418">$A310</f>
        <v>77</v>
      </c>
      <c r="B311" s="118"/>
      <c r="C311" s="93" t="str">
        <f t="shared" ref="C311:D311" si="419">IF($B310&lt;&gt;"",C307,"")</f>
        <v/>
      </c>
      <c r="D311" s="93" t="str">
        <f t="shared" si="419"/>
        <v/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6"/>
      <c r="W311" s="31" t="e">
        <f>INDEX(TBL_LNG_IMPORTERS_CONNECTIONS[LNGImporterConnectionID],$A311)</f>
        <v>#REF!</v>
      </c>
      <c r="X311" s="31" t="e">
        <f>"LNGImporterCapMax_"&amp;RIGHT($W311,11)</f>
        <v>#REF!</v>
      </c>
    </row>
    <row r="312" spans="1:24" x14ac:dyDescent="0.25">
      <c r="A312" s="94">
        <f t="shared" si="418"/>
        <v>77</v>
      </c>
      <c r="B312" s="118"/>
      <c r="C312" s="93" t="str">
        <f t="shared" ref="C312:D312" si="420">IF($B310&lt;&gt;"",C308,"")</f>
        <v/>
      </c>
      <c r="D312" s="93" t="str">
        <f t="shared" si="420"/>
        <v/>
      </c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5"/>
      <c r="W312" s="31" t="e">
        <f>INDEX(TBL_LNG_IMPORTERS_CONNECTIONS[LNGImporterConnectionID],$A312)</f>
        <v>#REF!</v>
      </c>
      <c r="X312" s="31" t="e">
        <f>"LNGImporterTariffFixed_"&amp;RIGHT($W312,11)</f>
        <v>#REF!</v>
      </c>
    </row>
    <row r="313" spans="1:24" x14ac:dyDescent="0.25">
      <c r="A313" s="94">
        <f t="shared" si="418"/>
        <v>77</v>
      </c>
      <c r="B313" s="119"/>
      <c r="C313" s="93" t="str">
        <f t="shared" ref="C313:D313" si="421">IF($B310&lt;&gt;"",C309,"")</f>
        <v/>
      </c>
      <c r="D313" s="93" t="str">
        <f t="shared" si="421"/>
        <v/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6"/>
      <c r="W313" s="31" t="e">
        <f>INDEX(TBL_LNG_IMPORTERS_CONNECTIONS[LNGImporterConnectionID],$A313)</f>
        <v>#REF!</v>
      </c>
      <c r="X313" s="31" t="e">
        <f>"LNGImporterTariffVar_"&amp;RIGHT($W313,11)</f>
        <v>#REF!</v>
      </c>
    </row>
    <row r="314" spans="1:24" x14ac:dyDescent="0.25">
      <c r="A314" s="94">
        <f t="shared" ref="A314" si="422">$A310+1</f>
        <v>78</v>
      </c>
      <c r="B314" s="117" t="str">
        <f>IFERROR(INDEX(TBL_LNG_IMPORTERS_CONNECTIONS[Name],$A314),"")</f>
        <v/>
      </c>
      <c r="C314" s="93" t="str">
        <f t="shared" ref="C314:D314" si="423">IF($B314&lt;&gt;"",C310,"")</f>
        <v/>
      </c>
      <c r="D314" s="93" t="str">
        <f t="shared" si="423"/>
        <v/>
      </c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5"/>
      <c r="W314" s="31" t="e">
        <f>INDEX(TBL_LNG_IMPORTERS_CONNECTIONS[LNGImporterConnectionID],$A314)</f>
        <v>#REF!</v>
      </c>
      <c r="X314" s="31" t="e">
        <f>"LNGImporterCapMin_"&amp;RIGHT($W314,11)</f>
        <v>#REF!</v>
      </c>
    </row>
    <row r="315" spans="1:24" x14ac:dyDescent="0.25">
      <c r="A315" s="94">
        <f t="shared" ref="A315:A317" si="424">$A314</f>
        <v>78</v>
      </c>
      <c r="B315" s="118"/>
      <c r="C315" s="93" t="str">
        <f t="shared" ref="C315:D315" si="425">IF($B314&lt;&gt;"",C311,"")</f>
        <v/>
      </c>
      <c r="D315" s="93" t="str">
        <f t="shared" si="425"/>
        <v/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6"/>
      <c r="W315" s="31" t="e">
        <f>INDEX(TBL_LNG_IMPORTERS_CONNECTIONS[LNGImporterConnectionID],$A315)</f>
        <v>#REF!</v>
      </c>
      <c r="X315" s="31" t="e">
        <f>"LNGImporterCapMax_"&amp;RIGHT($W315,11)</f>
        <v>#REF!</v>
      </c>
    </row>
    <row r="316" spans="1:24" x14ac:dyDescent="0.25">
      <c r="A316" s="94">
        <f t="shared" si="424"/>
        <v>78</v>
      </c>
      <c r="B316" s="118"/>
      <c r="C316" s="93" t="str">
        <f t="shared" ref="C316:D316" si="426">IF($B314&lt;&gt;"",C312,"")</f>
        <v/>
      </c>
      <c r="D316" s="93" t="str">
        <f t="shared" si="426"/>
        <v/>
      </c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5"/>
      <c r="W316" s="31" t="e">
        <f>INDEX(TBL_LNG_IMPORTERS_CONNECTIONS[LNGImporterConnectionID],$A316)</f>
        <v>#REF!</v>
      </c>
      <c r="X316" s="31" t="e">
        <f>"LNGImporterTariffFixed_"&amp;RIGHT($W316,11)</f>
        <v>#REF!</v>
      </c>
    </row>
    <row r="317" spans="1:24" x14ac:dyDescent="0.25">
      <c r="A317" s="94">
        <f t="shared" si="424"/>
        <v>78</v>
      </c>
      <c r="B317" s="119"/>
      <c r="C317" s="93" t="str">
        <f t="shared" ref="C317:D317" si="427">IF($B314&lt;&gt;"",C313,"")</f>
        <v/>
      </c>
      <c r="D317" s="93" t="str">
        <f t="shared" si="427"/>
        <v/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6"/>
      <c r="W317" s="31" t="e">
        <f>INDEX(TBL_LNG_IMPORTERS_CONNECTIONS[LNGImporterConnectionID],$A317)</f>
        <v>#REF!</v>
      </c>
      <c r="X317" s="31" t="e">
        <f>"LNGImporterTariffVar_"&amp;RIGHT($W317,11)</f>
        <v>#REF!</v>
      </c>
    </row>
    <row r="318" spans="1:24" x14ac:dyDescent="0.25">
      <c r="A318" s="94">
        <f t="shared" ref="A318" si="428">$A314+1</f>
        <v>79</v>
      </c>
      <c r="B318" s="117" t="str">
        <f>IFERROR(INDEX(TBL_LNG_IMPORTERS_CONNECTIONS[Name],$A318),"")</f>
        <v/>
      </c>
      <c r="C318" s="93" t="str">
        <f t="shared" ref="C318:D318" si="429">IF($B318&lt;&gt;"",C314,"")</f>
        <v/>
      </c>
      <c r="D318" s="93" t="str">
        <f t="shared" si="429"/>
        <v/>
      </c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5"/>
      <c r="W318" s="31" t="e">
        <f>INDEX(TBL_LNG_IMPORTERS_CONNECTIONS[LNGImporterConnectionID],$A318)</f>
        <v>#REF!</v>
      </c>
      <c r="X318" s="31" t="e">
        <f>"LNGImporterCapMin_"&amp;RIGHT($W318,11)</f>
        <v>#REF!</v>
      </c>
    </row>
    <row r="319" spans="1:24" x14ac:dyDescent="0.25">
      <c r="A319" s="94">
        <f t="shared" ref="A319:A337" si="430">$A318</f>
        <v>79</v>
      </c>
      <c r="B319" s="118"/>
      <c r="C319" s="93" t="str">
        <f t="shared" ref="C319:D319" si="431">IF($B318&lt;&gt;"",C315,"")</f>
        <v/>
      </c>
      <c r="D319" s="93" t="str">
        <f t="shared" si="431"/>
        <v/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6"/>
      <c r="W319" s="31" t="e">
        <f>INDEX(TBL_LNG_IMPORTERS_CONNECTIONS[LNGImporterConnectionID],$A319)</f>
        <v>#REF!</v>
      </c>
      <c r="X319" s="31" t="e">
        <f>"LNGImporterCapMax_"&amp;RIGHT($W319,11)</f>
        <v>#REF!</v>
      </c>
    </row>
    <row r="320" spans="1:24" x14ac:dyDescent="0.25">
      <c r="A320" s="94">
        <f t="shared" si="430"/>
        <v>79</v>
      </c>
      <c r="B320" s="118"/>
      <c r="C320" s="93" t="str">
        <f t="shared" ref="C320:D320" si="432">IF($B318&lt;&gt;"",C316,"")</f>
        <v/>
      </c>
      <c r="D320" s="93" t="str">
        <f t="shared" si="432"/>
        <v/>
      </c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5"/>
      <c r="W320" s="31" t="e">
        <f>INDEX(TBL_LNG_IMPORTERS_CONNECTIONS[LNGImporterConnectionID],$A320)</f>
        <v>#REF!</v>
      </c>
      <c r="X320" s="31" t="e">
        <f>"LNGImporterTariffFixed_"&amp;RIGHT($W320,11)</f>
        <v>#REF!</v>
      </c>
    </row>
    <row r="321" spans="1:24" x14ac:dyDescent="0.25">
      <c r="A321" s="94">
        <f t="shared" si="430"/>
        <v>79</v>
      </c>
      <c r="B321" s="119"/>
      <c r="C321" s="93" t="str">
        <f t="shared" ref="C321:D321" si="433">IF($B318&lt;&gt;"",C317,"")</f>
        <v/>
      </c>
      <c r="D321" s="93" t="str">
        <f t="shared" si="433"/>
        <v/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6"/>
      <c r="W321" s="31" t="e">
        <f>INDEX(TBL_LNG_IMPORTERS_CONNECTIONS[LNGImporterConnectionID],$A321)</f>
        <v>#REF!</v>
      </c>
      <c r="X321" s="31" t="e">
        <f>"LNGImporterTariffVar_"&amp;RIGHT($W321,11)</f>
        <v>#REF!</v>
      </c>
    </row>
    <row r="322" spans="1:24" x14ac:dyDescent="0.25">
      <c r="A322" s="94">
        <f t="shared" ref="A322" si="434">$A318+1</f>
        <v>80</v>
      </c>
      <c r="B322" s="117" t="str">
        <f>IFERROR(INDEX(TBL_LNG_IMPORTERS_CONNECTIONS[Name],$A322),"")</f>
        <v/>
      </c>
      <c r="C322" s="93" t="str">
        <f t="shared" ref="C322:D322" si="435">IF($B322&lt;&gt;"",C318,"")</f>
        <v/>
      </c>
      <c r="D322" s="93" t="str">
        <f t="shared" si="435"/>
        <v/>
      </c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5"/>
      <c r="W322" s="31" t="e">
        <f>INDEX(TBL_LNG_IMPORTERS_CONNECTIONS[LNGImporterConnectionID],$A322)</f>
        <v>#REF!</v>
      </c>
      <c r="X322" s="31" t="e">
        <f>"LNGImporterCapMin_"&amp;RIGHT($W322,11)</f>
        <v>#REF!</v>
      </c>
    </row>
    <row r="323" spans="1:24" x14ac:dyDescent="0.25">
      <c r="A323" s="94">
        <f t="shared" si="430"/>
        <v>80</v>
      </c>
      <c r="B323" s="118"/>
      <c r="C323" s="93" t="str">
        <f t="shared" ref="C323:D323" si="436">IF($B322&lt;&gt;"",C319,"")</f>
        <v/>
      </c>
      <c r="D323" s="93" t="str">
        <f t="shared" si="436"/>
        <v/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6"/>
      <c r="W323" s="31" t="e">
        <f>INDEX(TBL_LNG_IMPORTERS_CONNECTIONS[LNGImporterConnectionID],$A323)</f>
        <v>#REF!</v>
      </c>
      <c r="X323" s="31" t="e">
        <f>"LNGImporterCapMax_"&amp;RIGHT($W323,11)</f>
        <v>#REF!</v>
      </c>
    </row>
    <row r="324" spans="1:24" x14ac:dyDescent="0.25">
      <c r="A324" s="94">
        <f t="shared" si="430"/>
        <v>80</v>
      </c>
      <c r="B324" s="118"/>
      <c r="C324" s="93" t="str">
        <f t="shared" ref="C324:D324" si="437">IF($B322&lt;&gt;"",C320,"")</f>
        <v/>
      </c>
      <c r="D324" s="93" t="str">
        <f t="shared" si="437"/>
        <v/>
      </c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5"/>
      <c r="W324" s="31" t="e">
        <f>INDEX(TBL_LNG_IMPORTERS_CONNECTIONS[LNGImporterConnectionID],$A324)</f>
        <v>#REF!</v>
      </c>
      <c r="X324" s="31" t="e">
        <f>"LNGImporterTariffFixed_"&amp;RIGHT($W324,11)</f>
        <v>#REF!</v>
      </c>
    </row>
    <row r="325" spans="1:24" x14ac:dyDescent="0.25">
      <c r="A325" s="94">
        <f t="shared" si="430"/>
        <v>80</v>
      </c>
      <c r="B325" s="119"/>
      <c r="C325" s="93" t="str">
        <f t="shared" ref="C325:D325" si="438">IF($B322&lt;&gt;"",C321,"")</f>
        <v/>
      </c>
      <c r="D325" s="93" t="str">
        <f t="shared" si="438"/>
        <v/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6"/>
      <c r="W325" s="31" t="e">
        <f>INDEX(TBL_LNG_IMPORTERS_CONNECTIONS[LNGImporterConnectionID],$A325)</f>
        <v>#REF!</v>
      </c>
      <c r="X325" s="31" t="e">
        <f>"LNGImporterTariffVar_"&amp;RIGHT($W325,11)</f>
        <v>#REF!</v>
      </c>
    </row>
    <row r="326" spans="1:24" x14ac:dyDescent="0.25">
      <c r="A326" s="94">
        <f t="shared" ref="A326" si="439">$A322+1</f>
        <v>81</v>
      </c>
      <c r="B326" s="117" t="str">
        <f>IFERROR(INDEX(TBL_LNG_IMPORTERS_CONNECTIONS[Name],$A326),"")</f>
        <v/>
      </c>
      <c r="C326" s="93" t="str">
        <f t="shared" ref="C326:D326" si="440">IF($B326&lt;&gt;"",C322,"")</f>
        <v/>
      </c>
      <c r="D326" s="93" t="str">
        <f t="shared" si="440"/>
        <v/>
      </c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5"/>
      <c r="W326" s="31" t="e">
        <f>INDEX(TBL_LNG_IMPORTERS_CONNECTIONS[LNGImporterConnectionID],$A326)</f>
        <v>#REF!</v>
      </c>
      <c r="X326" s="31" t="e">
        <f>"LNGImporterCapMin_"&amp;RIGHT($W326,11)</f>
        <v>#REF!</v>
      </c>
    </row>
    <row r="327" spans="1:24" x14ac:dyDescent="0.25">
      <c r="A327" s="94">
        <f t="shared" si="430"/>
        <v>81</v>
      </c>
      <c r="B327" s="118"/>
      <c r="C327" s="93" t="str">
        <f t="shared" ref="C327:D327" si="441">IF($B326&lt;&gt;"",C323,"")</f>
        <v/>
      </c>
      <c r="D327" s="93" t="str">
        <f t="shared" si="441"/>
        <v/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6"/>
      <c r="W327" s="31" t="e">
        <f>INDEX(TBL_LNG_IMPORTERS_CONNECTIONS[LNGImporterConnectionID],$A327)</f>
        <v>#REF!</v>
      </c>
      <c r="X327" s="31" t="e">
        <f>"LNGImporterCapMax_"&amp;RIGHT($W327,11)</f>
        <v>#REF!</v>
      </c>
    </row>
    <row r="328" spans="1:24" x14ac:dyDescent="0.25">
      <c r="A328" s="94">
        <f t="shared" si="430"/>
        <v>81</v>
      </c>
      <c r="B328" s="118"/>
      <c r="C328" s="93" t="str">
        <f t="shared" ref="C328:D328" si="442">IF($B326&lt;&gt;"",C324,"")</f>
        <v/>
      </c>
      <c r="D328" s="93" t="str">
        <f t="shared" si="442"/>
        <v/>
      </c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5"/>
      <c r="W328" s="31" t="e">
        <f>INDEX(TBL_LNG_IMPORTERS_CONNECTIONS[LNGImporterConnectionID],$A328)</f>
        <v>#REF!</v>
      </c>
      <c r="X328" s="31" t="e">
        <f>"LNGImporterTariffFixed_"&amp;RIGHT($W328,11)</f>
        <v>#REF!</v>
      </c>
    </row>
    <row r="329" spans="1:24" x14ac:dyDescent="0.25">
      <c r="A329" s="94">
        <f t="shared" si="430"/>
        <v>81</v>
      </c>
      <c r="B329" s="119"/>
      <c r="C329" s="93" t="str">
        <f t="shared" ref="C329:D329" si="443">IF($B326&lt;&gt;"",C325,"")</f>
        <v/>
      </c>
      <c r="D329" s="93" t="str">
        <f t="shared" si="443"/>
        <v/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6"/>
      <c r="W329" s="31" t="e">
        <f>INDEX(TBL_LNG_IMPORTERS_CONNECTIONS[LNGImporterConnectionID],$A329)</f>
        <v>#REF!</v>
      </c>
      <c r="X329" s="31" t="e">
        <f>"LNGImporterTariffVar_"&amp;RIGHT($W329,11)</f>
        <v>#REF!</v>
      </c>
    </row>
    <row r="330" spans="1:24" x14ac:dyDescent="0.25">
      <c r="A330" s="94">
        <f t="shared" ref="A330" si="444">$A326+1</f>
        <v>82</v>
      </c>
      <c r="B330" s="117" t="str">
        <f>IFERROR(INDEX(TBL_LNG_IMPORTERS_CONNECTIONS[Name],$A330),"")</f>
        <v/>
      </c>
      <c r="C330" s="93" t="str">
        <f t="shared" ref="C330:D330" si="445">IF($B330&lt;&gt;"",C326,"")</f>
        <v/>
      </c>
      <c r="D330" s="93" t="str">
        <f t="shared" si="445"/>
        <v/>
      </c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5"/>
      <c r="W330" s="31" t="e">
        <f>INDEX(TBL_LNG_IMPORTERS_CONNECTIONS[LNGImporterConnectionID],$A330)</f>
        <v>#REF!</v>
      </c>
      <c r="X330" s="31" t="e">
        <f>"LNGImporterCapMin_"&amp;RIGHT($W330,11)</f>
        <v>#REF!</v>
      </c>
    </row>
    <row r="331" spans="1:24" x14ac:dyDescent="0.25">
      <c r="A331" s="94">
        <f t="shared" si="430"/>
        <v>82</v>
      </c>
      <c r="B331" s="118"/>
      <c r="C331" s="93" t="str">
        <f t="shared" ref="C331:D331" si="446">IF($B330&lt;&gt;"",C327,"")</f>
        <v/>
      </c>
      <c r="D331" s="93" t="str">
        <f t="shared" si="446"/>
        <v/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6"/>
      <c r="W331" s="31" t="e">
        <f>INDEX(TBL_LNG_IMPORTERS_CONNECTIONS[LNGImporterConnectionID],$A331)</f>
        <v>#REF!</v>
      </c>
      <c r="X331" s="31" t="e">
        <f>"LNGImporterCapMax_"&amp;RIGHT($W331,11)</f>
        <v>#REF!</v>
      </c>
    </row>
    <row r="332" spans="1:24" x14ac:dyDescent="0.25">
      <c r="A332" s="94">
        <f t="shared" si="430"/>
        <v>82</v>
      </c>
      <c r="B332" s="118"/>
      <c r="C332" s="93" t="str">
        <f t="shared" ref="C332:D332" si="447">IF($B330&lt;&gt;"",C328,"")</f>
        <v/>
      </c>
      <c r="D332" s="93" t="str">
        <f t="shared" si="447"/>
        <v/>
      </c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5"/>
      <c r="W332" s="31" t="e">
        <f>INDEX(TBL_LNG_IMPORTERS_CONNECTIONS[LNGImporterConnectionID],$A332)</f>
        <v>#REF!</v>
      </c>
      <c r="X332" s="31" t="e">
        <f>"LNGImporterTariffFixed_"&amp;RIGHT($W332,11)</f>
        <v>#REF!</v>
      </c>
    </row>
    <row r="333" spans="1:24" x14ac:dyDescent="0.25">
      <c r="A333" s="94">
        <f t="shared" si="430"/>
        <v>82</v>
      </c>
      <c r="B333" s="119"/>
      <c r="C333" s="93" t="str">
        <f t="shared" ref="C333:D333" si="448">IF($B330&lt;&gt;"",C329,"")</f>
        <v/>
      </c>
      <c r="D333" s="93" t="str">
        <f t="shared" si="448"/>
        <v/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6"/>
      <c r="W333" s="31" t="e">
        <f>INDEX(TBL_LNG_IMPORTERS_CONNECTIONS[LNGImporterConnectionID],$A333)</f>
        <v>#REF!</v>
      </c>
      <c r="X333" s="31" t="e">
        <f>"LNGImporterTariffVar_"&amp;RIGHT($W333,11)</f>
        <v>#REF!</v>
      </c>
    </row>
    <row r="334" spans="1:24" x14ac:dyDescent="0.25">
      <c r="A334" s="94">
        <f t="shared" ref="A334" si="449">$A330+1</f>
        <v>83</v>
      </c>
      <c r="B334" s="117" t="str">
        <f>IFERROR(INDEX(TBL_LNG_IMPORTERS_CONNECTIONS[Name],$A334),"")</f>
        <v/>
      </c>
      <c r="C334" s="93" t="str">
        <f t="shared" ref="C334:D334" si="450">IF($B334&lt;&gt;"",C330,"")</f>
        <v/>
      </c>
      <c r="D334" s="93" t="str">
        <f t="shared" si="450"/>
        <v/>
      </c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5"/>
      <c r="W334" s="31" t="e">
        <f>INDEX(TBL_LNG_IMPORTERS_CONNECTIONS[LNGImporterConnectionID],$A334)</f>
        <v>#REF!</v>
      </c>
      <c r="X334" s="31" t="e">
        <f>"LNGImporterCapMin_"&amp;RIGHT($W334,11)</f>
        <v>#REF!</v>
      </c>
    </row>
    <row r="335" spans="1:24" x14ac:dyDescent="0.25">
      <c r="A335" s="94">
        <f t="shared" si="430"/>
        <v>83</v>
      </c>
      <c r="B335" s="118"/>
      <c r="C335" s="93" t="str">
        <f t="shared" ref="C335:D335" si="451">IF($B334&lt;&gt;"",C331,"")</f>
        <v/>
      </c>
      <c r="D335" s="93" t="str">
        <f t="shared" si="451"/>
        <v/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6"/>
      <c r="W335" s="31" t="e">
        <f>INDEX(TBL_LNG_IMPORTERS_CONNECTIONS[LNGImporterConnectionID],$A335)</f>
        <v>#REF!</v>
      </c>
      <c r="X335" s="31" t="e">
        <f>"LNGImporterCapMax_"&amp;RIGHT($W335,11)</f>
        <v>#REF!</v>
      </c>
    </row>
    <row r="336" spans="1:24" x14ac:dyDescent="0.25">
      <c r="A336" s="94">
        <f t="shared" si="430"/>
        <v>83</v>
      </c>
      <c r="B336" s="118"/>
      <c r="C336" s="93" t="str">
        <f t="shared" ref="C336:D336" si="452">IF($B334&lt;&gt;"",C332,"")</f>
        <v/>
      </c>
      <c r="D336" s="93" t="str">
        <f t="shared" si="452"/>
        <v/>
      </c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5"/>
      <c r="W336" s="31" t="e">
        <f>INDEX(TBL_LNG_IMPORTERS_CONNECTIONS[LNGImporterConnectionID],$A336)</f>
        <v>#REF!</v>
      </c>
      <c r="X336" s="31" t="e">
        <f>"LNGImporterTariffFixed_"&amp;RIGHT($W336,11)</f>
        <v>#REF!</v>
      </c>
    </row>
    <row r="337" spans="1:24" x14ac:dyDescent="0.25">
      <c r="A337" s="94">
        <f t="shared" si="430"/>
        <v>83</v>
      </c>
      <c r="B337" s="119"/>
      <c r="C337" s="93" t="str">
        <f t="shared" ref="C337:D337" si="453">IF($B334&lt;&gt;"",C333,"")</f>
        <v/>
      </c>
      <c r="D337" s="93" t="str">
        <f t="shared" si="453"/>
        <v/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6"/>
      <c r="W337" s="31" t="e">
        <f>INDEX(TBL_LNG_IMPORTERS_CONNECTIONS[LNGImporterConnectionID],$A337)</f>
        <v>#REF!</v>
      </c>
      <c r="X337" s="31" t="e">
        <f>"LNGImporterTariffVar_"&amp;RIGHT($W337,11)</f>
        <v>#REF!</v>
      </c>
    </row>
    <row r="338" spans="1:24" x14ac:dyDescent="0.25">
      <c r="A338" s="94">
        <f t="shared" ref="A338" si="454">$A334+1</f>
        <v>84</v>
      </c>
      <c r="B338" s="117" t="str">
        <f>IFERROR(INDEX(TBL_LNG_IMPORTERS_CONNECTIONS[Name],$A338),"")</f>
        <v/>
      </c>
      <c r="C338" s="93" t="str">
        <f t="shared" ref="C338:D338" si="455">IF($B338&lt;&gt;"",C334,"")</f>
        <v/>
      </c>
      <c r="D338" s="93" t="str">
        <f t="shared" si="455"/>
        <v/>
      </c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5"/>
      <c r="W338" s="31" t="e">
        <f>INDEX(TBL_LNG_IMPORTERS_CONNECTIONS[LNGImporterConnectionID],$A338)</f>
        <v>#REF!</v>
      </c>
      <c r="X338" s="31" t="e">
        <f>"LNGImporterCapMin_"&amp;RIGHT($W338,11)</f>
        <v>#REF!</v>
      </c>
    </row>
    <row r="339" spans="1:24" x14ac:dyDescent="0.25">
      <c r="A339" s="94">
        <f t="shared" ref="A339:A341" si="456">$A338</f>
        <v>84</v>
      </c>
      <c r="B339" s="118"/>
      <c r="C339" s="93" t="str">
        <f t="shared" ref="C339:D339" si="457">IF($B338&lt;&gt;"",C335,"")</f>
        <v/>
      </c>
      <c r="D339" s="93" t="str">
        <f t="shared" si="457"/>
        <v/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6"/>
      <c r="W339" s="31" t="e">
        <f>INDEX(TBL_LNG_IMPORTERS_CONNECTIONS[LNGImporterConnectionID],$A339)</f>
        <v>#REF!</v>
      </c>
      <c r="X339" s="31" t="e">
        <f>"LNGImporterCapMax_"&amp;RIGHT($W339,11)</f>
        <v>#REF!</v>
      </c>
    </row>
    <row r="340" spans="1:24" x14ac:dyDescent="0.25">
      <c r="A340" s="94">
        <f t="shared" si="456"/>
        <v>84</v>
      </c>
      <c r="B340" s="118"/>
      <c r="C340" s="93" t="str">
        <f t="shared" ref="C340:D340" si="458">IF($B338&lt;&gt;"",C336,"")</f>
        <v/>
      </c>
      <c r="D340" s="93" t="str">
        <f t="shared" si="458"/>
        <v/>
      </c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5"/>
      <c r="W340" s="31" t="e">
        <f>INDEX(TBL_LNG_IMPORTERS_CONNECTIONS[LNGImporterConnectionID],$A340)</f>
        <v>#REF!</v>
      </c>
      <c r="X340" s="31" t="e">
        <f>"LNGImporterTariffFixed_"&amp;RIGHT($W340,11)</f>
        <v>#REF!</v>
      </c>
    </row>
    <row r="341" spans="1:24" x14ac:dyDescent="0.25">
      <c r="A341" s="94">
        <f t="shared" si="456"/>
        <v>84</v>
      </c>
      <c r="B341" s="119"/>
      <c r="C341" s="93" t="str">
        <f t="shared" ref="C341:D341" si="459">IF($B338&lt;&gt;"",C337,"")</f>
        <v/>
      </c>
      <c r="D341" s="93" t="str">
        <f t="shared" si="459"/>
        <v/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6"/>
      <c r="W341" s="31" t="e">
        <f>INDEX(TBL_LNG_IMPORTERS_CONNECTIONS[LNGImporterConnectionID],$A341)</f>
        <v>#REF!</v>
      </c>
      <c r="X341" s="31" t="e">
        <f>"LNGImporterTariffVar_"&amp;RIGHT($W341,11)</f>
        <v>#REF!</v>
      </c>
    </row>
    <row r="342" spans="1:24" x14ac:dyDescent="0.25">
      <c r="A342" s="94">
        <f t="shared" ref="A342" si="460">$A338+1</f>
        <v>85</v>
      </c>
      <c r="B342" s="117" t="str">
        <f>IFERROR(INDEX(TBL_LNG_IMPORTERS_CONNECTIONS[Name],$A342),"")</f>
        <v/>
      </c>
      <c r="C342" s="93" t="str">
        <f t="shared" ref="C342:D342" si="461">IF($B342&lt;&gt;"",C338,"")</f>
        <v/>
      </c>
      <c r="D342" s="93" t="str">
        <f t="shared" si="461"/>
        <v/>
      </c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5"/>
      <c r="W342" s="31" t="e">
        <f>INDEX(TBL_LNG_IMPORTERS_CONNECTIONS[LNGImporterConnectionID],$A342)</f>
        <v>#REF!</v>
      </c>
      <c r="X342" s="31" t="e">
        <f>"LNGImporterCapMin_"&amp;RIGHT($W342,11)</f>
        <v>#REF!</v>
      </c>
    </row>
    <row r="343" spans="1:24" x14ac:dyDescent="0.25">
      <c r="A343" s="94">
        <f t="shared" ref="A343:A345" si="462">$A342</f>
        <v>85</v>
      </c>
      <c r="B343" s="118"/>
      <c r="C343" s="93" t="str">
        <f t="shared" ref="C343:D343" si="463">IF($B342&lt;&gt;"",C339,"")</f>
        <v/>
      </c>
      <c r="D343" s="93" t="str">
        <f t="shared" si="463"/>
        <v/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6"/>
      <c r="W343" s="31" t="e">
        <f>INDEX(TBL_LNG_IMPORTERS_CONNECTIONS[LNGImporterConnectionID],$A343)</f>
        <v>#REF!</v>
      </c>
      <c r="X343" s="31" t="e">
        <f>"LNGImporterCapMax_"&amp;RIGHT($W343,11)</f>
        <v>#REF!</v>
      </c>
    </row>
    <row r="344" spans="1:24" x14ac:dyDescent="0.25">
      <c r="A344" s="94">
        <f t="shared" si="462"/>
        <v>85</v>
      </c>
      <c r="B344" s="118"/>
      <c r="C344" s="93" t="str">
        <f t="shared" ref="C344:D344" si="464">IF($B342&lt;&gt;"",C340,"")</f>
        <v/>
      </c>
      <c r="D344" s="93" t="str">
        <f t="shared" si="464"/>
        <v/>
      </c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5"/>
      <c r="W344" s="31" t="e">
        <f>INDEX(TBL_LNG_IMPORTERS_CONNECTIONS[LNGImporterConnectionID],$A344)</f>
        <v>#REF!</v>
      </c>
      <c r="X344" s="31" t="e">
        <f>"LNGImporterTariffFixed_"&amp;RIGHT($W344,11)</f>
        <v>#REF!</v>
      </c>
    </row>
    <row r="345" spans="1:24" x14ac:dyDescent="0.25">
      <c r="A345" s="94">
        <f t="shared" si="462"/>
        <v>85</v>
      </c>
      <c r="B345" s="119"/>
      <c r="C345" s="93" t="str">
        <f t="shared" ref="C345:D345" si="465">IF($B342&lt;&gt;"",C341,"")</f>
        <v/>
      </c>
      <c r="D345" s="93" t="str">
        <f t="shared" si="465"/>
        <v/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6"/>
      <c r="W345" s="31" t="e">
        <f>INDEX(TBL_LNG_IMPORTERS_CONNECTIONS[LNGImporterConnectionID],$A345)</f>
        <v>#REF!</v>
      </c>
      <c r="X345" s="31" t="e">
        <f>"LNGImporterTariffVar_"&amp;RIGHT($W345,11)</f>
        <v>#REF!</v>
      </c>
    </row>
    <row r="346" spans="1:24" x14ac:dyDescent="0.25">
      <c r="A346" s="94">
        <f t="shared" ref="A346" si="466">$A342+1</f>
        <v>86</v>
      </c>
      <c r="B346" s="117" t="str">
        <f>IFERROR(INDEX(TBL_LNG_IMPORTERS_CONNECTIONS[Name],$A346),"")</f>
        <v/>
      </c>
      <c r="C346" s="93" t="str">
        <f t="shared" ref="C346:D346" si="467">IF($B346&lt;&gt;"",C342,"")</f>
        <v/>
      </c>
      <c r="D346" s="93" t="str">
        <f t="shared" si="467"/>
        <v/>
      </c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5"/>
      <c r="W346" s="31" t="e">
        <f>INDEX(TBL_LNG_IMPORTERS_CONNECTIONS[LNGImporterConnectionID],$A346)</f>
        <v>#REF!</v>
      </c>
      <c r="X346" s="31" t="e">
        <f>"LNGImporterCapMin_"&amp;RIGHT($W346,11)</f>
        <v>#REF!</v>
      </c>
    </row>
    <row r="347" spans="1:24" x14ac:dyDescent="0.25">
      <c r="A347" s="94">
        <f t="shared" ref="A347:A349" si="468">$A346</f>
        <v>86</v>
      </c>
      <c r="B347" s="118"/>
      <c r="C347" s="93" t="str">
        <f t="shared" ref="C347:D347" si="469">IF($B346&lt;&gt;"",C343,"")</f>
        <v/>
      </c>
      <c r="D347" s="93" t="str">
        <f t="shared" si="469"/>
        <v/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6"/>
      <c r="W347" s="31" t="e">
        <f>INDEX(TBL_LNG_IMPORTERS_CONNECTIONS[LNGImporterConnectionID],$A347)</f>
        <v>#REF!</v>
      </c>
      <c r="X347" s="31" t="e">
        <f>"LNGImporterCapMax_"&amp;RIGHT($W347,11)</f>
        <v>#REF!</v>
      </c>
    </row>
    <row r="348" spans="1:24" x14ac:dyDescent="0.25">
      <c r="A348" s="94">
        <f t="shared" si="468"/>
        <v>86</v>
      </c>
      <c r="B348" s="118"/>
      <c r="C348" s="93" t="str">
        <f t="shared" ref="C348:D348" si="470">IF($B346&lt;&gt;"",C344,"")</f>
        <v/>
      </c>
      <c r="D348" s="93" t="str">
        <f t="shared" si="470"/>
        <v/>
      </c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5"/>
      <c r="W348" s="31" t="e">
        <f>INDEX(TBL_LNG_IMPORTERS_CONNECTIONS[LNGImporterConnectionID],$A348)</f>
        <v>#REF!</v>
      </c>
      <c r="X348" s="31" t="e">
        <f>"LNGImporterTariffFixed_"&amp;RIGHT($W348,11)</f>
        <v>#REF!</v>
      </c>
    </row>
    <row r="349" spans="1:24" x14ac:dyDescent="0.25">
      <c r="A349" s="94">
        <f t="shared" si="468"/>
        <v>86</v>
      </c>
      <c r="B349" s="119"/>
      <c r="C349" s="93" t="str">
        <f t="shared" ref="C349:D349" si="471">IF($B346&lt;&gt;"",C345,"")</f>
        <v/>
      </c>
      <c r="D349" s="93" t="str">
        <f t="shared" si="471"/>
        <v/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6"/>
      <c r="W349" s="31" t="e">
        <f>INDEX(TBL_LNG_IMPORTERS_CONNECTIONS[LNGImporterConnectionID],$A349)</f>
        <v>#REF!</v>
      </c>
      <c r="X349" s="31" t="e">
        <f>"LNGImporterTariffVar_"&amp;RIGHT($W349,11)</f>
        <v>#REF!</v>
      </c>
    </row>
    <row r="350" spans="1:24" x14ac:dyDescent="0.25">
      <c r="A350" s="94">
        <f t="shared" ref="A350" si="472">$A346+1</f>
        <v>87</v>
      </c>
      <c r="B350" s="117" t="str">
        <f>IFERROR(INDEX(TBL_LNG_IMPORTERS_CONNECTIONS[Name],$A350),"")</f>
        <v/>
      </c>
      <c r="C350" s="93" t="str">
        <f t="shared" ref="C350:D350" si="473">IF($B350&lt;&gt;"",C346,"")</f>
        <v/>
      </c>
      <c r="D350" s="93" t="str">
        <f t="shared" si="473"/>
        <v/>
      </c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5"/>
      <c r="W350" s="31" t="e">
        <f>INDEX(TBL_LNG_IMPORTERS_CONNECTIONS[LNGImporterConnectionID],$A350)</f>
        <v>#REF!</v>
      </c>
      <c r="X350" s="31" t="e">
        <f>"LNGImporterCapMin_"&amp;RIGHT($W350,11)</f>
        <v>#REF!</v>
      </c>
    </row>
    <row r="351" spans="1:24" x14ac:dyDescent="0.25">
      <c r="A351" s="94">
        <f t="shared" ref="A351:A353" si="474">$A350</f>
        <v>87</v>
      </c>
      <c r="B351" s="118"/>
      <c r="C351" s="93" t="str">
        <f t="shared" ref="C351:D351" si="475">IF($B350&lt;&gt;"",C347,"")</f>
        <v/>
      </c>
      <c r="D351" s="93" t="str">
        <f t="shared" si="475"/>
        <v/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6"/>
      <c r="W351" s="31" t="e">
        <f>INDEX(TBL_LNG_IMPORTERS_CONNECTIONS[LNGImporterConnectionID],$A351)</f>
        <v>#REF!</v>
      </c>
      <c r="X351" s="31" t="e">
        <f>"LNGImporterCapMax_"&amp;RIGHT($W351,11)</f>
        <v>#REF!</v>
      </c>
    </row>
    <row r="352" spans="1:24" x14ac:dyDescent="0.25">
      <c r="A352" s="94">
        <f t="shared" si="474"/>
        <v>87</v>
      </c>
      <c r="B352" s="118"/>
      <c r="C352" s="93" t="str">
        <f t="shared" ref="C352:D352" si="476">IF($B350&lt;&gt;"",C348,"")</f>
        <v/>
      </c>
      <c r="D352" s="93" t="str">
        <f t="shared" si="476"/>
        <v/>
      </c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5"/>
      <c r="W352" s="31" t="e">
        <f>INDEX(TBL_LNG_IMPORTERS_CONNECTIONS[LNGImporterConnectionID],$A352)</f>
        <v>#REF!</v>
      </c>
      <c r="X352" s="31" t="e">
        <f>"LNGImporterTariffFixed_"&amp;RIGHT($W352,11)</f>
        <v>#REF!</v>
      </c>
    </row>
    <row r="353" spans="1:24" x14ac:dyDescent="0.25">
      <c r="A353" s="94">
        <f t="shared" si="474"/>
        <v>87</v>
      </c>
      <c r="B353" s="119"/>
      <c r="C353" s="93" t="str">
        <f t="shared" ref="C353:D353" si="477">IF($B350&lt;&gt;"",C349,"")</f>
        <v/>
      </c>
      <c r="D353" s="93" t="str">
        <f t="shared" si="477"/>
        <v/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6"/>
      <c r="W353" s="31" t="e">
        <f>INDEX(TBL_LNG_IMPORTERS_CONNECTIONS[LNGImporterConnectionID],$A353)</f>
        <v>#REF!</v>
      </c>
      <c r="X353" s="31" t="e">
        <f>"LNGImporterTariffVar_"&amp;RIGHT($W353,11)</f>
        <v>#REF!</v>
      </c>
    </row>
    <row r="354" spans="1:24" x14ac:dyDescent="0.25">
      <c r="A354" s="94">
        <f t="shared" ref="A354" si="478">$A350+1</f>
        <v>88</v>
      </c>
      <c r="B354" s="117" t="str">
        <f>IFERROR(INDEX(TBL_LNG_IMPORTERS_CONNECTIONS[Name],$A354),"")</f>
        <v/>
      </c>
      <c r="C354" s="93" t="str">
        <f t="shared" ref="C354:D354" si="479">IF($B354&lt;&gt;"",C350,"")</f>
        <v/>
      </c>
      <c r="D354" s="93" t="str">
        <f t="shared" si="479"/>
        <v/>
      </c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5"/>
      <c r="W354" s="31" t="e">
        <f>INDEX(TBL_LNG_IMPORTERS_CONNECTIONS[LNGImporterConnectionID],$A354)</f>
        <v>#REF!</v>
      </c>
      <c r="X354" s="31" t="e">
        <f>"LNGImporterCapMin_"&amp;RIGHT($W354,11)</f>
        <v>#REF!</v>
      </c>
    </row>
    <row r="355" spans="1:24" x14ac:dyDescent="0.25">
      <c r="A355" s="94">
        <f t="shared" ref="A355:A357" si="480">$A354</f>
        <v>88</v>
      </c>
      <c r="B355" s="118"/>
      <c r="C355" s="93" t="str">
        <f t="shared" ref="C355:D355" si="481">IF($B354&lt;&gt;"",C351,"")</f>
        <v/>
      </c>
      <c r="D355" s="93" t="str">
        <f t="shared" si="481"/>
        <v/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6"/>
      <c r="W355" s="31" t="e">
        <f>INDEX(TBL_LNG_IMPORTERS_CONNECTIONS[LNGImporterConnectionID],$A355)</f>
        <v>#REF!</v>
      </c>
      <c r="X355" s="31" t="e">
        <f>"LNGImporterCapMax_"&amp;RIGHT($W355,11)</f>
        <v>#REF!</v>
      </c>
    </row>
    <row r="356" spans="1:24" x14ac:dyDescent="0.25">
      <c r="A356" s="94">
        <f t="shared" si="480"/>
        <v>88</v>
      </c>
      <c r="B356" s="118"/>
      <c r="C356" s="93" t="str">
        <f t="shared" ref="C356:D356" si="482">IF($B354&lt;&gt;"",C352,"")</f>
        <v/>
      </c>
      <c r="D356" s="93" t="str">
        <f t="shared" si="482"/>
        <v/>
      </c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5"/>
      <c r="W356" s="31" t="e">
        <f>INDEX(TBL_LNG_IMPORTERS_CONNECTIONS[LNGImporterConnectionID],$A356)</f>
        <v>#REF!</v>
      </c>
      <c r="X356" s="31" t="e">
        <f>"LNGImporterTariffFixed_"&amp;RIGHT($W356,11)</f>
        <v>#REF!</v>
      </c>
    </row>
    <row r="357" spans="1:24" x14ac:dyDescent="0.25">
      <c r="A357" s="94">
        <f t="shared" si="480"/>
        <v>88</v>
      </c>
      <c r="B357" s="119"/>
      <c r="C357" s="93" t="str">
        <f t="shared" ref="C357:D357" si="483">IF($B354&lt;&gt;"",C353,"")</f>
        <v/>
      </c>
      <c r="D357" s="93" t="str">
        <f t="shared" si="483"/>
        <v/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6"/>
      <c r="W357" s="31" t="e">
        <f>INDEX(TBL_LNG_IMPORTERS_CONNECTIONS[LNGImporterConnectionID],$A357)</f>
        <v>#REF!</v>
      </c>
      <c r="X357" s="31" t="e">
        <f>"LNGImporterTariffVar_"&amp;RIGHT($W357,11)</f>
        <v>#REF!</v>
      </c>
    </row>
    <row r="358" spans="1:24" x14ac:dyDescent="0.25">
      <c r="A358" s="94">
        <f t="shared" ref="A358" si="484">$A354+1</f>
        <v>89</v>
      </c>
      <c r="B358" s="117" t="str">
        <f>IFERROR(INDEX(TBL_LNG_IMPORTERS_CONNECTIONS[Name],$A358),"")</f>
        <v/>
      </c>
      <c r="C358" s="93" t="str">
        <f t="shared" ref="C358:D358" si="485">IF($B358&lt;&gt;"",C354,"")</f>
        <v/>
      </c>
      <c r="D358" s="93" t="str">
        <f t="shared" si="485"/>
        <v/>
      </c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5"/>
      <c r="W358" s="31" t="e">
        <f>INDEX(TBL_LNG_IMPORTERS_CONNECTIONS[LNGImporterConnectionID],$A358)</f>
        <v>#REF!</v>
      </c>
      <c r="X358" s="31" t="e">
        <f>"LNGImporterCapMin_"&amp;RIGHT($W358,11)</f>
        <v>#REF!</v>
      </c>
    </row>
    <row r="359" spans="1:24" x14ac:dyDescent="0.25">
      <c r="A359" s="94">
        <f t="shared" ref="A359:A377" si="486">$A358</f>
        <v>89</v>
      </c>
      <c r="B359" s="118"/>
      <c r="C359" s="93" t="str">
        <f t="shared" ref="C359:D359" si="487">IF($B358&lt;&gt;"",C355,"")</f>
        <v/>
      </c>
      <c r="D359" s="93" t="str">
        <f t="shared" si="487"/>
        <v/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6"/>
      <c r="W359" s="31" t="e">
        <f>INDEX(TBL_LNG_IMPORTERS_CONNECTIONS[LNGImporterConnectionID],$A359)</f>
        <v>#REF!</v>
      </c>
      <c r="X359" s="31" t="e">
        <f>"LNGImporterCapMax_"&amp;RIGHT($W359,11)</f>
        <v>#REF!</v>
      </c>
    </row>
    <row r="360" spans="1:24" x14ac:dyDescent="0.25">
      <c r="A360" s="94">
        <f t="shared" si="486"/>
        <v>89</v>
      </c>
      <c r="B360" s="118"/>
      <c r="C360" s="93" t="str">
        <f t="shared" ref="C360:D360" si="488">IF($B358&lt;&gt;"",C356,"")</f>
        <v/>
      </c>
      <c r="D360" s="93" t="str">
        <f t="shared" si="488"/>
        <v/>
      </c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5"/>
      <c r="W360" s="31" t="e">
        <f>INDEX(TBL_LNG_IMPORTERS_CONNECTIONS[LNGImporterConnectionID],$A360)</f>
        <v>#REF!</v>
      </c>
      <c r="X360" s="31" t="e">
        <f>"LNGImporterTariffFixed_"&amp;RIGHT($W360,11)</f>
        <v>#REF!</v>
      </c>
    </row>
    <row r="361" spans="1:24" x14ac:dyDescent="0.25">
      <c r="A361" s="94">
        <f t="shared" si="486"/>
        <v>89</v>
      </c>
      <c r="B361" s="119"/>
      <c r="C361" s="93" t="str">
        <f t="shared" ref="C361:D361" si="489">IF($B358&lt;&gt;"",C357,"")</f>
        <v/>
      </c>
      <c r="D361" s="93" t="str">
        <f t="shared" si="489"/>
        <v/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6"/>
      <c r="W361" s="31" t="e">
        <f>INDEX(TBL_LNG_IMPORTERS_CONNECTIONS[LNGImporterConnectionID],$A361)</f>
        <v>#REF!</v>
      </c>
      <c r="X361" s="31" t="e">
        <f>"LNGImporterTariffVar_"&amp;RIGHT($W361,11)</f>
        <v>#REF!</v>
      </c>
    </row>
    <row r="362" spans="1:24" x14ac:dyDescent="0.25">
      <c r="A362" s="94">
        <f t="shared" ref="A362" si="490">$A358+1</f>
        <v>90</v>
      </c>
      <c r="B362" s="117" t="str">
        <f>IFERROR(INDEX(TBL_LNG_IMPORTERS_CONNECTIONS[Name],$A362),"")</f>
        <v/>
      </c>
      <c r="C362" s="93" t="str">
        <f t="shared" ref="C362:D362" si="491">IF($B362&lt;&gt;"",C358,"")</f>
        <v/>
      </c>
      <c r="D362" s="93" t="str">
        <f t="shared" si="491"/>
        <v/>
      </c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5"/>
      <c r="W362" s="31" t="e">
        <f>INDEX(TBL_LNG_IMPORTERS_CONNECTIONS[LNGImporterConnectionID],$A362)</f>
        <v>#REF!</v>
      </c>
      <c r="X362" s="31" t="e">
        <f>"LNGImporterCapMin_"&amp;RIGHT($W362,11)</f>
        <v>#REF!</v>
      </c>
    </row>
    <row r="363" spans="1:24" x14ac:dyDescent="0.25">
      <c r="A363" s="94">
        <f t="shared" si="486"/>
        <v>90</v>
      </c>
      <c r="B363" s="118"/>
      <c r="C363" s="93" t="str">
        <f t="shared" ref="C363:D363" si="492">IF($B362&lt;&gt;"",C359,"")</f>
        <v/>
      </c>
      <c r="D363" s="93" t="str">
        <f t="shared" si="492"/>
        <v/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6"/>
      <c r="W363" s="31" t="e">
        <f>INDEX(TBL_LNG_IMPORTERS_CONNECTIONS[LNGImporterConnectionID],$A363)</f>
        <v>#REF!</v>
      </c>
      <c r="X363" s="31" t="e">
        <f>"LNGImporterCapMax_"&amp;RIGHT($W363,11)</f>
        <v>#REF!</v>
      </c>
    </row>
    <row r="364" spans="1:24" x14ac:dyDescent="0.25">
      <c r="A364" s="94">
        <f t="shared" si="486"/>
        <v>90</v>
      </c>
      <c r="B364" s="118"/>
      <c r="C364" s="93" t="str">
        <f t="shared" ref="C364:D364" si="493">IF($B362&lt;&gt;"",C360,"")</f>
        <v/>
      </c>
      <c r="D364" s="93" t="str">
        <f t="shared" si="493"/>
        <v/>
      </c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5"/>
      <c r="W364" s="31" t="e">
        <f>INDEX(TBL_LNG_IMPORTERS_CONNECTIONS[LNGImporterConnectionID],$A364)</f>
        <v>#REF!</v>
      </c>
      <c r="X364" s="31" t="e">
        <f>"LNGImporterTariffFixed_"&amp;RIGHT($W364,11)</f>
        <v>#REF!</v>
      </c>
    </row>
    <row r="365" spans="1:24" x14ac:dyDescent="0.25">
      <c r="A365" s="94">
        <f t="shared" si="486"/>
        <v>90</v>
      </c>
      <c r="B365" s="119"/>
      <c r="C365" s="93" t="str">
        <f t="shared" ref="C365:D365" si="494">IF($B362&lt;&gt;"",C361,"")</f>
        <v/>
      </c>
      <c r="D365" s="93" t="str">
        <f t="shared" si="494"/>
        <v/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6"/>
      <c r="W365" s="31" t="e">
        <f>INDEX(TBL_LNG_IMPORTERS_CONNECTIONS[LNGImporterConnectionID],$A365)</f>
        <v>#REF!</v>
      </c>
      <c r="X365" s="31" t="e">
        <f>"LNGImporterTariffVar_"&amp;RIGHT($W365,11)</f>
        <v>#REF!</v>
      </c>
    </row>
    <row r="366" spans="1:24" x14ac:dyDescent="0.25">
      <c r="A366" s="94">
        <f t="shared" ref="A366" si="495">$A362+1</f>
        <v>91</v>
      </c>
      <c r="B366" s="117" t="str">
        <f>IFERROR(INDEX(TBL_LNG_IMPORTERS_CONNECTIONS[Name],$A366),"")</f>
        <v/>
      </c>
      <c r="C366" s="93" t="str">
        <f t="shared" ref="C366:D366" si="496">IF($B366&lt;&gt;"",C362,"")</f>
        <v/>
      </c>
      <c r="D366" s="93" t="str">
        <f t="shared" si="496"/>
        <v/>
      </c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5"/>
      <c r="W366" s="31" t="e">
        <f>INDEX(TBL_LNG_IMPORTERS_CONNECTIONS[LNGImporterConnectionID],$A366)</f>
        <v>#REF!</v>
      </c>
      <c r="X366" s="31" t="e">
        <f>"LNGImporterCapMin_"&amp;RIGHT($W366,11)</f>
        <v>#REF!</v>
      </c>
    </row>
    <row r="367" spans="1:24" x14ac:dyDescent="0.25">
      <c r="A367" s="94">
        <f t="shared" si="486"/>
        <v>91</v>
      </c>
      <c r="B367" s="118"/>
      <c r="C367" s="93" t="str">
        <f t="shared" ref="C367:D367" si="497">IF($B366&lt;&gt;"",C363,"")</f>
        <v/>
      </c>
      <c r="D367" s="93" t="str">
        <f t="shared" si="497"/>
        <v/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6"/>
      <c r="W367" s="31" t="e">
        <f>INDEX(TBL_LNG_IMPORTERS_CONNECTIONS[LNGImporterConnectionID],$A367)</f>
        <v>#REF!</v>
      </c>
      <c r="X367" s="31" t="e">
        <f>"LNGImporterCapMax_"&amp;RIGHT($W367,11)</f>
        <v>#REF!</v>
      </c>
    </row>
    <row r="368" spans="1:24" x14ac:dyDescent="0.25">
      <c r="A368" s="94">
        <f t="shared" si="486"/>
        <v>91</v>
      </c>
      <c r="B368" s="118"/>
      <c r="C368" s="93" t="str">
        <f t="shared" ref="C368:D368" si="498">IF($B366&lt;&gt;"",C364,"")</f>
        <v/>
      </c>
      <c r="D368" s="93" t="str">
        <f t="shared" si="498"/>
        <v/>
      </c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5"/>
      <c r="W368" s="31" t="e">
        <f>INDEX(TBL_LNG_IMPORTERS_CONNECTIONS[LNGImporterConnectionID],$A368)</f>
        <v>#REF!</v>
      </c>
      <c r="X368" s="31" t="e">
        <f>"LNGImporterTariffFixed_"&amp;RIGHT($W368,11)</f>
        <v>#REF!</v>
      </c>
    </row>
    <row r="369" spans="1:24" x14ac:dyDescent="0.25">
      <c r="A369" s="94">
        <f t="shared" si="486"/>
        <v>91</v>
      </c>
      <c r="B369" s="119"/>
      <c r="C369" s="93" t="str">
        <f t="shared" ref="C369:D369" si="499">IF($B366&lt;&gt;"",C365,"")</f>
        <v/>
      </c>
      <c r="D369" s="93" t="str">
        <f t="shared" si="499"/>
        <v/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6"/>
      <c r="W369" s="31" t="e">
        <f>INDEX(TBL_LNG_IMPORTERS_CONNECTIONS[LNGImporterConnectionID],$A369)</f>
        <v>#REF!</v>
      </c>
      <c r="X369" s="31" t="e">
        <f>"LNGImporterTariffVar_"&amp;RIGHT($W369,11)</f>
        <v>#REF!</v>
      </c>
    </row>
    <row r="370" spans="1:24" x14ac:dyDescent="0.25">
      <c r="A370" s="94">
        <f t="shared" ref="A370" si="500">$A366+1</f>
        <v>92</v>
      </c>
      <c r="B370" s="117" t="str">
        <f>IFERROR(INDEX(TBL_LNG_IMPORTERS_CONNECTIONS[Name],$A370),"")</f>
        <v/>
      </c>
      <c r="C370" s="93" t="str">
        <f t="shared" ref="C370:D370" si="501">IF($B370&lt;&gt;"",C366,"")</f>
        <v/>
      </c>
      <c r="D370" s="93" t="str">
        <f t="shared" si="501"/>
        <v/>
      </c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5"/>
      <c r="W370" s="31" t="e">
        <f>INDEX(TBL_LNG_IMPORTERS_CONNECTIONS[LNGImporterConnectionID],$A370)</f>
        <v>#REF!</v>
      </c>
      <c r="X370" s="31" t="e">
        <f>"LNGImporterCapMin_"&amp;RIGHT($W370,11)</f>
        <v>#REF!</v>
      </c>
    </row>
    <row r="371" spans="1:24" x14ac:dyDescent="0.25">
      <c r="A371" s="94">
        <f t="shared" si="486"/>
        <v>92</v>
      </c>
      <c r="B371" s="118"/>
      <c r="C371" s="93" t="str">
        <f t="shared" ref="C371:D371" si="502">IF($B370&lt;&gt;"",C367,"")</f>
        <v/>
      </c>
      <c r="D371" s="93" t="str">
        <f t="shared" si="502"/>
        <v/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6"/>
      <c r="W371" s="31" t="e">
        <f>INDEX(TBL_LNG_IMPORTERS_CONNECTIONS[LNGImporterConnectionID],$A371)</f>
        <v>#REF!</v>
      </c>
      <c r="X371" s="31" t="e">
        <f>"LNGImporterCapMax_"&amp;RIGHT($W371,11)</f>
        <v>#REF!</v>
      </c>
    </row>
    <row r="372" spans="1:24" x14ac:dyDescent="0.25">
      <c r="A372" s="94">
        <f t="shared" si="486"/>
        <v>92</v>
      </c>
      <c r="B372" s="118"/>
      <c r="C372" s="93" t="str">
        <f t="shared" ref="C372:D372" si="503">IF($B370&lt;&gt;"",C368,"")</f>
        <v/>
      </c>
      <c r="D372" s="93" t="str">
        <f t="shared" si="503"/>
        <v/>
      </c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5"/>
      <c r="W372" s="31" t="e">
        <f>INDEX(TBL_LNG_IMPORTERS_CONNECTIONS[LNGImporterConnectionID],$A372)</f>
        <v>#REF!</v>
      </c>
      <c r="X372" s="31" t="e">
        <f>"LNGImporterTariffFixed_"&amp;RIGHT($W372,11)</f>
        <v>#REF!</v>
      </c>
    </row>
    <row r="373" spans="1:24" x14ac:dyDescent="0.25">
      <c r="A373" s="94">
        <f t="shared" si="486"/>
        <v>92</v>
      </c>
      <c r="B373" s="119"/>
      <c r="C373" s="93" t="str">
        <f t="shared" ref="C373:D373" si="504">IF($B370&lt;&gt;"",C369,"")</f>
        <v/>
      </c>
      <c r="D373" s="93" t="str">
        <f t="shared" si="504"/>
        <v/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6"/>
      <c r="W373" s="31" t="e">
        <f>INDEX(TBL_LNG_IMPORTERS_CONNECTIONS[LNGImporterConnectionID],$A373)</f>
        <v>#REF!</v>
      </c>
      <c r="X373" s="31" t="e">
        <f>"LNGImporterTariffVar_"&amp;RIGHT($W373,11)</f>
        <v>#REF!</v>
      </c>
    </row>
    <row r="374" spans="1:24" x14ac:dyDescent="0.25">
      <c r="A374" s="94">
        <f t="shared" ref="A374" si="505">$A370+1</f>
        <v>93</v>
      </c>
      <c r="B374" s="117" t="str">
        <f>IFERROR(INDEX(TBL_LNG_IMPORTERS_CONNECTIONS[Name],$A374),"")</f>
        <v/>
      </c>
      <c r="C374" s="93" t="str">
        <f t="shared" ref="C374:D374" si="506">IF($B374&lt;&gt;"",C370,"")</f>
        <v/>
      </c>
      <c r="D374" s="93" t="str">
        <f t="shared" si="506"/>
        <v/>
      </c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5"/>
      <c r="W374" s="31" t="e">
        <f>INDEX(TBL_LNG_IMPORTERS_CONNECTIONS[LNGImporterConnectionID],$A374)</f>
        <v>#REF!</v>
      </c>
      <c r="X374" s="31" t="e">
        <f>"LNGImporterCapMin_"&amp;RIGHT($W374,11)</f>
        <v>#REF!</v>
      </c>
    </row>
    <row r="375" spans="1:24" x14ac:dyDescent="0.25">
      <c r="A375" s="94">
        <f t="shared" si="486"/>
        <v>93</v>
      </c>
      <c r="B375" s="118"/>
      <c r="C375" s="93" t="str">
        <f t="shared" ref="C375:D375" si="507">IF($B374&lt;&gt;"",C371,"")</f>
        <v/>
      </c>
      <c r="D375" s="93" t="str">
        <f t="shared" si="507"/>
        <v/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6"/>
      <c r="W375" s="31" t="e">
        <f>INDEX(TBL_LNG_IMPORTERS_CONNECTIONS[LNGImporterConnectionID],$A375)</f>
        <v>#REF!</v>
      </c>
      <c r="X375" s="31" t="e">
        <f>"LNGImporterCapMax_"&amp;RIGHT($W375,11)</f>
        <v>#REF!</v>
      </c>
    </row>
    <row r="376" spans="1:24" x14ac:dyDescent="0.25">
      <c r="A376" s="94">
        <f t="shared" si="486"/>
        <v>93</v>
      </c>
      <c r="B376" s="118"/>
      <c r="C376" s="93" t="str">
        <f t="shared" ref="C376:D376" si="508">IF($B374&lt;&gt;"",C372,"")</f>
        <v/>
      </c>
      <c r="D376" s="93" t="str">
        <f t="shared" si="508"/>
        <v/>
      </c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5"/>
      <c r="W376" s="31" t="e">
        <f>INDEX(TBL_LNG_IMPORTERS_CONNECTIONS[LNGImporterConnectionID],$A376)</f>
        <v>#REF!</v>
      </c>
      <c r="X376" s="31" t="e">
        <f>"LNGImporterTariffFixed_"&amp;RIGHT($W376,11)</f>
        <v>#REF!</v>
      </c>
    </row>
    <row r="377" spans="1:24" x14ac:dyDescent="0.25">
      <c r="A377" s="94">
        <f t="shared" si="486"/>
        <v>93</v>
      </c>
      <c r="B377" s="119"/>
      <c r="C377" s="93" t="str">
        <f t="shared" ref="C377:D377" si="509">IF($B374&lt;&gt;"",C373,"")</f>
        <v/>
      </c>
      <c r="D377" s="93" t="str">
        <f t="shared" si="509"/>
        <v/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6"/>
      <c r="W377" s="31" t="e">
        <f>INDEX(TBL_LNG_IMPORTERS_CONNECTIONS[LNGImporterConnectionID],$A377)</f>
        <v>#REF!</v>
      </c>
      <c r="X377" s="31" t="e">
        <f>"LNGImporterTariffVar_"&amp;RIGHT($W377,11)</f>
        <v>#REF!</v>
      </c>
    </row>
    <row r="378" spans="1:24" x14ac:dyDescent="0.25">
      <c r="A378" s="94">
        <f t="shared" ref="A378" si="510">$A374+1</f>
        <v>94</v>
      </c>
      <c r="B378" s="117" t="str">
        <f>IFERROR(INDEX(TBL_LNG_IMPORTERS_CONNECTIONS[Name],$A378),"")</f>
        <v/>
      </c>
      <c r="C378" s="93" t="str">
        <f t="shared" ref="C378:D378" si="511">IF($B378&lt;&gt;"",C374,"")</f>
        <v/>
      </c>
      <c r="D378" s="93" t="str">
        <f t="shared" si="511"/>
        <v/>
      </c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5"/>
      <c r="W378" s="31" t="e">
        <f>INDEX(TBL_LNG_IMPORTERS_CONNECTIONS[LNGImporterConnectionID],$A378)</f>
        <v>#REF!</v>
      </c>
      <c r="X378" s="31" t="e">
        <f>"LNGImporterCapMin_"&amp;RIGHT($W378,11)</f>
        <v>#REF!</v>
      </c>
    </row>
    <row r="379" spans="1:24" x14ac:dyDescent="0.25">
      <c r="A379" s="94">
        <f t="shared" ref="A379:A381" si="512">$A378</f>
        <v>94</v>
      </c>
      <c r="B379" s="118"/>
      <c r="C379" s="93" t="str">
        <f t="shared" ref="C379:D379" si="513">IF($B378&lt;&gt;"",C375,"")</f>
        <v/>
      </c>
      <c r="D379" s="93" t="str">
        <f t="shared" si="513"/>
        <v/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6"/>
      <c r="W379" s="31" t="e">
        <f>INDEX(TBL_LNG_IMPORTERS_CONNECTIONS[LNGImporterConnectionID],$A379)</f>
        <v>#REF!</v>
      </c>
      <c r="X379" s="31" t="e">
        <f>"LNGImporterCapMax_"&amp;RIGHT($W379,11)</f>
        <v>#REF!</v>
      </c>
    </row>
    <row r="380" spans="1:24" x14ac:dyDescent="0.25">
      <c r="A380" s="94">
        <f t="shared" si="512"/>
        <v>94</v>
      </c>
      <c r="B380" s="118"/>
      <c r="C380" s="93" t="str">
        <f t="shared" ref="C380:D380" si="514">IF($B378&lt;&gt;"",C376,"")</f>
        <v/>
      </c>
      <c r="D380" s="93" t="str">
        <f t="shared" si="514"/>
        <v/>
      </c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5"/>
      <c r="W380" s="31" t="e">
        <f>INDEX(TBL_LNG_IMPORTERS_CONNECTIONS[LNGImporterConnectionID],$A380)</f>
        <v>#REF!</v>
      </c>
      <c r="X380" s="31" t="e">
        <f>"LNGImporterTariffFixed_"&amp;RIGHT($W380,11)</f>
        <v>#REF!</v>
      </c>
    </row>
    <row r="381" spans="1:24" x14ac:dyDescent="0.25">
      <c r="A381" s="94">
        <f t="shared" si="512"/>
        <v>94</v>
      </c>
      <c r="B381" s="119"/>
      <c r="C381" s="93" t="str">
        <f t="shared" ref="C381:D381" si="515">IF($B378&lt;&gt;"",C377,"")</f>
        <v/>
      </c>
      <c r="D381" s="93" t="str">
        <f t="shared" si="515"/>
        <v/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6"/>
      <c r="W381" s="31" t="e">
        <f>INDEX(TBL_LNG_IMPORTERS_CONNECTIONS[LNGImporterConnectionID],$A381)</f>
        <v>#REF!</v>
      </c>
      <c r="X381" s="31" t="e">
        <f>"LNGImporterTariffVar_"&amp;RIGHT($W381,11)</f>
        <v>#REF!</v>
      </c>
    </row>
    <row r="382" spans="1:24" x14ac:dyDescent="0.25">
      <c r="A382" s="94">
        <f t="shared" ref="A382" si="516">$A378+1</f>
        <v>95</v>
      </c>
      <c r="B382" s="117" t="str">
        <f>IFERROR(INDEX(TBL_LNG_IMPORTERS_CONNECTIONS[Name],$A382),"")</f>
        <v/>
      </c>
      <c r="C382" s="93" t="str">
        <f t="shared" ref="C382:D382" si="517">IF($B382&lt;&gt;"",C378,"")</f>
        <v/>
      </c>
      <c r="D382" s="93" t="str">
        <f t="shared" si="517"/>
        <v/>
      </c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5"/>
      <c r="W382" s="31" t="e">
        <f>INDEX(TBL_LNG_IMPORTERS_CONNECTIONS[LNGImporterConnectionID],$A382)</f>
        <v>#REF!</v>
      </c>
      <c r="X382" s="31" t="e">
        <f>"LNGImporterCapMin_"&amp;RIGHT($W382,11)</f>
        <v>#REF!</v>
      </c>
    </row>
    <row r="383" spans="1:24" x14ac:dyDescent="0.25">
      <c r="A383" s="94">
        <f t="shared" ref="A383:A385" si="518">$A382</f>
        <v>95</v>
      </c>
      <c r="B383" s="118"/>
      <c r="C383" s="93" t="str">
        <f t="shared" ref="C383:D383" si="519">IF($B382&lt;&gt;"",C379,"")</f>
        <v/>
      </c>
      <c r="D383" s="93" t="str">
        <f t="shared" si="519"/>
        <v/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6"/>
      <c r="W383" s="31" t="e">
        <f>INDEX(TBL_LNG_IMPORTERS_CONNECTIONS[LNGImporterConnectionID],$A383)</f>
        <v>#REF!</v>
      </c>
      <c r="X383" s="31" t="e">
        <f>"LNGImporterCapMax_"&amp;RIGHT($W383,11)</f>
        <v>#REF!</v>
      </c>
    </row>
    <row r="384" spans="1:24" x14ac:dyDescent="0.25">
      <c r="A384" s="94">
        <f t="shared" si="518"/>
        <v>95</v>
      </c>
      <c r="B384" s="118"/>
      <c r="C384" s="93" t="str">
        <f t="shared" ref="C384:D384" si="520">IF($B382&lt;&gt;"",C380,"")</f>
        <v/>
      </c>
      <c r="D384" s="93" t="str">
        <f t="shared" si="520"/>
        <v/>
      </c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5"/>
      <c r="W384" s="31" t="e">
        <f>INDEX(TBL_LNG_IMPORTERS_CONNECTIONS[LNGImporterConnectionID],$A384)</f>
        <v>#REF!</v>
      </c>
      <c r="X384" s="31" t="e">
        <f>"LNGImporterTariffFixed_"&amp;RIGHT($W384,11)</f>
        <v>#REF!</v>
      </c>
    </row>
    <row r="385" spans="1:24" x14ac:dyDescent="0.25">
      <c r="A385" s="94">
        <f t="shared" si="518"/>
        <v>95</v>
      </c>
      <c r="B385" s="119"/>
      <c r="C385" s="93" t="str">
        <f t="shared" ref="C385:D385" si="521">IF($B382&lt;&gt;"",C381,"")</f>
        <v/>
      </c>
      <c r="D385" s="93" t="str">
        <f t="shared" si="521"/>
        <v/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6"/>
      <c r="W385" s="31" t="e">
        <f>INDEX(TBL_LNG_IMPORTERS_CONNECTIONS[LNGImporterConnectionID],$A385)</f>
        <v>#REF!</v>
      </c>
      <c r="X385" s="31" t="e">
        <f>"LNGImporterTariffVar_"&amp;RIGHT($W385,11)</f>
        <v>#REF!</v>
      </c>
    </row>
    <row r="386" spans="1:24" x14ac:dyDescent="0.25">
      <c r="A386" s="94">
        <f t="shared" ref="A386" si="522">$A382+1</f>
        <v>96</v>
      </c>
      <c r="B386" s="117" t="str">
        <f>IFERROR(INDEX(TBL_LNG_IMPORTERS_CONNECTIONS[Name],$A386),"")</f>
        <v/>
      </c>
      <c r="C386" s="93" t="str">
        <f t="shared" ref="C386:D386" si="523">IF($B386&lt;&gt;"",C382,"")</f>
        <v/>
      </c>
      <c r="D386" s="93" t="str">
        <f t="shared" si="523"/>
        <v/>
      </c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5"/>
      <c r="W386" s="31" t="e">
        <f>INDEX(TBL_LNG_IMPORTERS_CONNECTIONS[LNGImporterConnectionID],$A386)</f>
        <v>#REF!</v>
      </c>
      <c r="X386" s="31" t="e">
        <f>"LNGImporterCapMin_"&amp;RIGHT($W386,11)</f>
        <v>#REF!</v>
      </c>
    </row>
    <row r="387" spans="1:24" x14ac:dyDescent="0.25">
      <c r="A387" s="94">
        <f t="shared" ref="A387:A389" si="524">$A386</f>
        <v>96</v>
      </c>
      <c r="B387" s="118"/>
      <c r="C387" s="93" t="str">
        <f t="shared" ref="C387:D387" si="525">IF($B386&lt;&gt;"",C383,"")</f>
        <v/>
      </c>
      <c r="D387" s="93" t="str">
        <f t="shared" si="525"/>
        <v/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6"/>
      <c r="W387" s="31" t="e">
        <f>INDEX(TBL_LNG_IMPORTERS_CONNECTIONS[LNGImporterConnectionID],$A387)</f>
        <v>#REF!</v>
      </c>
      <c r="X387" s="31" t="e">
        <f>"LNGImporterCapMax_"&amp;RIGHT($W387,11)</f>
        <v>#REF!</v>
      </c>
    </row>
    <row r="388" spans="1:24" x14ac:dyDescent="0.25">
      <c r="A388" s="94">
        <f t="shared" si="524"/>
        <v>96</v>
      </c>
      <c r="B388" s="118"/>
      <c r="C388" s="93" t="str">
        <f t="shared" ref="C388:D388" si="526">IF($B386&lt;&gt;"",C384,"")</f>
        <v/>
      </c>
      <c r="D388" s="93" t="str">
        <f t="shared" si="526"/>
        <v/>
      </c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5"/>
      <c r="W388" s="31" t="e">
        <f>INDEX(TBL_LNG_IMPORTERS_CONNECTIONS[LNGImporterConnectionID],$A388)</f>
        <v>#REF!</v>
      </c>
      <c r="X388" s="31" t="e">
        <f>"LNGImporterTariffFixed_"&amp;RIGHT($W388,11)</f>
        <v>#REF!</v>
      </c>
    </row>
    <row r="389" spans="1:24" x14ac:dyDescent="0.25">
      <c r="A389" s="94">
        <f t="shared" si="524"/>
        <v>96</v>
      </c>
      <c r="B389" s="119"/>
      <c r="C389" s="93" t="str">
        <f t="shared" ref="C389:D389" si="527">IF($B386&lt;&gt;"",C385,"")</f>
        <v/>
      </c>
      <c r="D389" s="93" t="str">
        <f t="shared" si="527"/>
        <v/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6"/>
      <c r="W389" s="31" t="e">
        <f>INDEX(TBL_LNG_IMPORTERS_CONNECTIONS[LNGImporterConnectionID],$A389)</f>
        <v>#REF!</v>
      </c>
      <c r="X389" s="31" t="e">
        <f>"LNGImporterTariffVar_"&amp;RIGHT($W389,11)</f>
        <v>#REF!</v>
      </c>
    </row>
    <row r="390" spans="1:24" x14ac:dyDescent="0.25">
      <c r="A390" s="94">
        <f t="shared" ref="A390" si="528">$A386+1</f>
        <v>97</v>
      </c>
      <c r="B390" s="117" t="str">
        <f>IFERROR(INDEX(TBL_LNG_IMPORTERS_CONNECTIONS[Name],$A390),"")</f>
        <v/>
      </c>
      <c r="C390" s="93" t="str">
        <f t="shared" ref="C390:D390" si="529">IF($B390&lt;&gt;"",C386,"")</f>
        <v/>
      </c>
      <c r="D390" s="93" t="str">
        <f t="shared" si="529"/>
        <v/>
      </c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5"/>
      <c r="W390" s="31" t="e">
        <f>INDEX(TBL_LNG_IMPORTERS_CONNECTIONS[LNGImporterConnectionID],$A390)</f>
        <v>#REF!</v>
      </c>
      <c r="X390" s="31" t="e">
        <f>"LNGImporterCapMin_"&amp;RIGHT($W390,11)</f>
        <v>#REF!</v>
      </c>
    </row>
    <row r="391" spans="1:24" x14ac:dyDescent="0.25">
      <c r="A391" s="94">
        <f t="shared" ref="A391:A393" si="530">$A390</f>
        <v>97</v>
      </c>
      <c r="B391" s="118"/>
      <c r="C391" s="93" t="str">
        <f t="shared" ref="C391:D391" si="531">IF($B390&lt;&gt;"",C387,"")</f>
        <v/>
      </c>
      <c r="D391" s="93" t="str">
        <f t="shared" si="531"/>
        <v/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6"/>
      <c r="W391" s="31" t="e">
        <f>INDEX(TBL_LNG_IMPORTERS_CONNECTIONS[LNGImporterConnectionID],$A391)</f>
        <v>#REF!</v>
      </c>
      <c r="X391" s="31" t="e">
        <f>"LNGImporterCapMax_"&amp;RIGHT($W391,11)</f>
        <v>#REF!</v>
      </c>
    </row>
    <row r="392" spans="1:24" x14ac:dyDescent="0.25">
      <c r="A392" s="94">
        <f t="shared" si="530"/>
        <v>97</v>
      </c>
      <c r="B392" s="118"/>
      <c r="C392" s="93" t="str">
        <f t="shared" ref="C392:D392" si="532">IF($B390&lt;&gt;"",C388,"")</f>
        <v/>
      </c>
      <c r="D392" s="93" t="str">
        <f t="shared" si="532"/>
        <v/>
      </c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5"/>
      <c r="W392" s="31" t="e">
        <f>INDEX(TBL_LNG_IMPORTERS_CONNECTIONS[LNGImporterConnectionID],$A392)</f>
        <v>#REF!</v>
      </c>
      <c r="X392" s="31" t="e">
        <f>"LNGImporterTariffFixed_"&amp;RIGHT($W392,11)</f>
        <v>#REF!</v>
      </c>
    </row>
    <row r="393" spans="1:24" x14ac:dyDescent="0.25">
      <c r="A393" s="94">
        <f t="shared" si="530"/>
        <v>97</v>
      </c>
      <c r="B393" s="119"/>
      <c r="C393" s="93" t="str">
        <f t="shared" ref="C393:D393" si="533">IF($B390&lt;&gt;"",C389,"")</f>
        <v/>
      </c>
      <c r="D393" s="93" t="str">
        <f t="shared" si="533"/>
        <v/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6"/>
      <c r="W393" s="31" t="e">
        <f>INDEX(TBL_LNG_IMPORTERS_CONNECTIONS[LNGImporterConnectionID],$A393)</f>
        <v>#REF!</v>
      </c>
      <c r="X393" s="31" t="e">
        <f>"LNGImporterTariffVar_"&amp;RIGHT($W393,11)</f>
        <v>#REF!</v>
      </c>
    </row>
    <row r="394" spans="1:24" x14ac:dyDescent="0.25">
      <c r="A394" s="94">
        <f t="shared" ref="A394" si="534">$A390+1</f>
        <v>98</v>
      </c>
      <c r="B394" s="117" t="str">
        <f>IFERROR(INDEX(TBL_LNG_IMPORTERS_CONNECTIONS[Name],$A394),"")</f>
        <v/>
      </c>
      <c r="C394" s="93" t="str">
        <f t="shared" ref="C394:D394" si="535">IF($B394&lt;&gt;"",C390,"")</f>
        <v/>
      </c>
      <c r="D394" s="93" t="str">
        <f t="shared" si="535"/>
        <v/>
      </c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5"/>
      <c r="W394" s="31" t="e">
        <f>INDEX(TBL_LNG_IMPORTERS_CONNECTIONS[LNGImporterConnectionID],$A394)</f>
        <v>#REF!</v>
      </c>
      <c r="X394" s="31" t="e">
        <f>"LNGImporterCapMin_"&amp;RIGHT($W394,11)</f>
        <v>#REF!</v>
      </c>
    </row>
    <row r="395" spans="1:24" x14ac:dyDescent="0.25">
      <c r="A395" s="94">
        <f t="shared" ref="A395:A397" si="536">$A394</f>
        <v>98</v>
      </c>
      <c r="B395" s="118"/>
      <c r="C395" s="93" t="str">
        <f t="shared" ref="C395:D395" si="537">IF($B394&lt;&gt;"",C391,"")</f>
        <v/>
      </c>
      <c r="D395" s="93" t="str">
        <f t="shared" si="537"/>
        <v/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6"/>
      <c r="W395" s="31" t="e">
        <f>INDEX(TBL_LNG_IMPORTERS_CONNECTIONS[LNGImporterConnectionID],$A395)</f>
        <v>#REF!</v>
      </c>
      <c r="X395" s="31" t="e">
        <f>"LNGImporterCapMax_"&amp;RIGHT($W395,11)</f>
        <v>#REF!</v>
      </c>
    </row>
    <row r="396" spans="1:24" x14ac:dyDescent="0.25">
      <c r="A396" s="94">
        <f t="shared" si="536"/>
        <v>98</v>
      </c>
      <c r="B396" s="118"/>
      <c r="C396" s="93" t="str">
        <f t="shared" ref="C396:D396" si="538">IF($B394&lt;&gt;"",C392,"")</f>
        <v/>
      </c>
      <c r="D396" s="93" t="str">
        <f t="shared" si="538"/>
        <v/>
      </c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5"/>
      <c r="W396" s="31" t="e">
        <f>INDEX(TBL_LNG_IMPORTERS_CONNECTIONS[LNGImporterConnectionID],$A396)</f>
        <v>#REF!</v>
      </c>
      <c r="X396" s="31" t="e">
        <f>"LNGImporterTariffFixed_"&amp;RIGHT($W396,11)</f>
        <v>#REF!</v>
      </c>
    </row>
    <row r="397" spans="1:24" x14ac:dyDescent="0.25">
      <c r="A397" s="94">
        <f t="shared" si="536"/>
        <v>98</v>
      </c>
      <c r="B397" s="119"/>
      <c r="C397" s="93" t="str">
        <f t="shared" ref="C397:D397" si="539">IF($B394&lt;&gt;"",C393,"")</f>
        <v/>
      </c>
      <c r="D397" s="93" t="str">
        <f t="shared" si="539"/>
        <v/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6"/>
      <c r="W397" s="31" t="e">
        <f>INDEX(TBL_LNG_IMPORTERS_CONNECTIONS[LNGImporterConnectionID],$A397)</f>
        <v>#REF!</v>
      </c>
      <c r="X397" s="31" t="e">
        <f>"LNGImporterTariffVar_"&amp;RIGHT($W397,11)</f>
        <v>#REF!</v>
      </c>
    </row>
    <row r="398" spans="1:24" x14ac:dyDescent="0.25">
      <c r="A398" s="94">
        <f t="shared" ref="A398" si="540">$A394+1</f>
        <v>99</v>
      </c>
      <c r="B398" s="117" t="str">
        <f>IFERROR(INDEX(TBL_LNG_IMPORTERS_CONNECTIONS[Name],$A398),"")</f>
        <v/>
      </c>
      <c r="C398" s="93" t="str">
        <f t="shared" ref="C398:D398" si="541">IF($B398&lt;&gt;"",C394,"")</f>
        <v/>
      </c>
      <c r="D398" s="93" t="str">
        <f t="shared" si="541"/>
        <v/>
      </c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5"/>
      <c r="W398" s="31" t="e">
        <f>INDEX(TBL_LNG_IMPORTERS_CONNECTIONS[LNGImporterConnectionID],$A398)</f>
        <v>#REF!</v>
      </c>
      <c r="X398" s="31" t="e">
        <f>"LNGImporterCapMin_"&amp;RIGHT($W398,11)</f>
        <v>#REF!</v>
      </c>
    </row>
    <row r="399" spans="1:24" x14ac:dyDescent="0.25">
      <c r="A399" s="94">
        <f t="shared" ref="A399:A417" si="542">$A398</f>
        <v>99</v>
      </c>
      <c r="B399" s="118"/>
      <c r="C399" s="93" t="str">
        <f t="shared" ref="C399:D399" si="543">IF($B398&lt;&gt;"",C395,"")</f>
        <v/>
      </c>
      <c r="D399" s="93" t="str">
        <f t="shared" si="543"/>
        <v/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6"/>
      <c r="W399" s="31" t="e">
        <f>INDEX(TBL_LNG_IMPORTERS_CONNECTIONS[LNGImporterConnectionID],$A399)</f>
        <v>#REF!</v>
      </c>
      <c r="X399" s="31" t="e">
        <f>"LNGImporterCapMax_"&amp;RIGHT($W399,11)</f>
        <v>#REF!</v>
      </c>
    </row>
    <row r="400" spans="1:24" x14ac:dyDescent="0.25">
      <c r="A400" s="94">
        <f t="shared" si="542"/>
        <v>99</v>
      </c>
      <c r="B400" s="118"/>
      <c r="C400" s="93" t="str">
        <f t="shared" ref="C400:D400" si="544">IF($B398&lt;&gt;"",C396,"")</f>
        <v/>
      </c>
      <c r="D400" s="93" t="str">
        <f t="shared" si="544"/>
        <v/>
      </c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5"/>
      <c r="W400" s="31" t="e">
        <f>INDEX(TBL_LNG_IMPORTERS_CONNECTIONS[LNGImporterConnectionID],$A400)</f>
        <v>#REF!</v>
      </c>
      <c r="X400" s="31" t="e">
        <f>"LNGImporterTariffFixed_"&amp;RIGHT($W400,11)</f>
        <v>#REF!</v>
      </c>
    </row>
    <row r="401" spans="1:24" x14ac:dyDescent="0.25">
      <c r="A401" s="94">
        <f t="shared" si="542"/>
        <v>99</v>
      </c>
      <c r="B401" s="119"/>
      <c r="C401" s="93" t="str">
        <f t="shared" ref="C401:D401" si="545">IF($B398&lt;&gt;"",C397,"")</f>
        <v/>
      </c>
      <c r="D401" s="93" t="str">
        <f t="shared" si="545"/>
        <v/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6"/>
      <c r="W401" s="31" t="e">
        <f>INDEX(TBL_LNG_IMPORTERS_CONNECTIONS[LNGImporterConnectionID],$A401)</f>
        <v>#REF!</v>
      </c>
      <c r="X401" s="31" t="e">
        <f>"LNGImporterTariffVar_"&amp;RIGHT($W401,11)</f>
        <v>#REF!</v>
      </c>
    </row>
    <row r="402" spans="1:24" x14ac:dyDescent="0.25">
      <c r="A402" s="94">
        <f t="shared" ref="A402" si="546">$A398+1</f>
        <v>100</v>
      </c>
      <c r="B402" s="117" t="str">
        <f>IFERROR(INDEX(TBL_LNG_IMPORTERS_CONNECTIONS[Name],$A402),"")</f>
        <v/>
      </c>
      <c r="C402" s="93" t="str">
        <f t="shared" ref="C402:D402" si="547">IF($B402&lt;&gt;"",C398,"")</f>
        <v/>
      </c>
      <c r="D402" s="93" t="str">
        <f t="shared" si="547"/>
        <v/>
      </c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5"/>
      <c r="W402" s="31" t="e">
        <f>INDEX(TBL_LNG_IMPORTERS_CONNECTIONS[LNGImporterConnectionID],$A402)</f>
        <v>#REF!</v>
      </c>
      <c r="X402" s="31" t="e">
        <f>"LNGImporterCapMin_"&amp;RIGHT($W402,11)</f>
        <v>#REF!</v>
      </c>
    </row>
    <row r="403" spans="1:24" x14ac:dyDescent="0.25">
      <c r="A403" s="94">
        <f t="shared" si="542"/>
        <v>100</v>
      </c>
      <c r="B403" s="118"/>
      <c r="C403" s="93" t="str">
        <f t="shared" ref="C403:D403" si="548">IF($B402&lt;&gt;"",C399,"")</f>
        <v/>
      </c>
      <c r="D403" s="93" t="str">
        <f t="shared" si="548"/>
        <v/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6"/>
      <c r="W403" s="31" t="e">
        <f>INDEX(TBL_LNG_IMPORTERS_CONNECTIONS[LNGImporterConnectionID],$A403)</f>
        <v>#REF!</v>
      </c>
      <c r="X403" s="31" t="e">
        <f>"LNGImporterCapMax_"&amp;RIGHT($W403,11)</f>
        <v>#REF!</v>
      </c>
    </row>
    <row r="404" spans="1:24" x14ac:dyDescent="0.25">
      <c r="A404" s="94">
        <f t="shared" si="542"/>
        <v>100</v>
      </c>
      <c r="B404" s="118"/>
      <c r="C404" s="93" t="str">
        <f t="shared" ref="C404:D404" si="549">IF($B402&lt;&gt;"",C400,"")</f>
        <v/>
      </c>
      <c r="D404" s="93" t="str">
        <f t="shared" si="549"/>
        <v/>
      </c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5"/>
      <c r="W404" s="31" t="e">
        <f>INDEX(TBL_LNG_IMPORTERS_CONNECTIONS[LNGImporterConnectionID],$A404)</f>
        <v>#REF!</v>
      </c>
      <c r="X404" s="31" t="e">
        <f>"LNGImporterTariffFixed_"&amp;RIGHT($W404,11)</f>
        <v>#REF!</v>
      </c>
    </row>
    <row r="405" spans="1:24" x14ac:dyDescent="0.25">
      <c r="A405" s="94">
        <f t="shared" si="542"/>
        <v>100</v>
      </c>
      <c r="B405" s="119"/>
      <c r="C405" s="93" t="str">
        <f t="shared" ref="C405:D405" si="550">IF($B402&lt;&gt;"",C401,"")</f>
        <v/>
      </c>
      <c r="D405" s="93" t="str">
        <f t="shared" si="550"/>
        <v/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6"/>
      <c r="W405" s="31" t="e">
        <f>INDEX(TBL_LNG_IMPORTERS_CONNECTIONS[LNGImporterConnectionID],$A405)</f>
        <v>#REF!</v>
      </c>
      <c r="X405" s="31" t="e">
        <f>"LNGImporterTariffVar_"&amp;RIGHT($W405,11)</f>
        <v>#REF!</v>
      </c>
    </row>
    <row r="406" spans="1:24" x14ac:dyDescent="0.25">
      <c r="A406" s="94">
        <f t="shared" ref="A406" si="551">$A402+1</f>
        <v>101</v>
      </c>
      <c r="B406" s="117" t="str">
        <f>IFERROR(INDEX(TBL_LNG_IMPORTERS_CONNECTIONS[Name],$A406),"")</f>
        <v/>
      </c>
      <c r="C406" s="93" t="str">
        <f t="shared" ref="C406:D406" si="552">IF($B406&lt;&gt;"",C402,"")</f>
        <v/>
      </c>
      <c r="D406" s="93" t="str">
        <f t="shared" si="552"/>
        <v/>
      </c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5"/>
      <c r="W406" s="31" t="e">
        <f>INDEX(TBL_LNG_IMPORTERS_CONNECTIONS[LNGImporterConnectionID],$A406)</f>
        <v>#REF!</v>
      </c>
      <c r="X406" s="31" t="e">
        <f>"LNGImporterCapMin_"&amp;RIGHT($W406,11)</f>
        <v>#REF!</v>
      </c>
    </row>
    <row r="407" spans="1:24" x14ac:dyDescent="0.25">
      <c r="A407" s="94">
        <f t="shared" si="542"/>
        <v>101</v>
      </c>
      <c r="B407" s="118"/>
      <c r="C407" s="93" t="str">
        <f t="shared" ref="C407:D407" si="553">IF($B406&lt;&gt;"",C403,"")</f>
        <v/>
      </c>
      <c r="D407" s="93" t="str">
        <f t="shared" si="553"/>
        <v/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6"/>
      <c r="W407" s="31" t="e">
        <f>INDEX(TBL_LNG_IMPORTERS_CONNECTIONS[LNGImporterConnectionID],$A407)</f>
        <v>#REF!</v>
      </c>
      <c r="X407" s="31" t="e">
        <f>"LNGImporterCapMax_"&amp;RIGHT($W407,11)</f>
        <v>#REF!</v>
      </c>
    </row>
    <row r="408" spans="1:24" x14ac:dyDescent="0.25">
      <c r="A408" s="94">
        <f t="shared" si="542"/>
        <v>101</v>
      </c>
      <c r="B408" s="118"/>
      <c r="C408" s="93" t="str">
        <f t="shared" ref="C408:D408" si="554">IF($B406&lt;&gt;"",C404,"")</f>
        <v/>
      </c>
      <c r="D408" s="93" t="str">
        <f t="shared" si="554"/>
        <v/>
      </c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5"/>
      <c r="W408" s="31" t="e">
        <f>INDEX(TBL_LNG_IMPORTERS_CONNECTIONS[LNGImporterConnectionID],$A408)</f>
        <v>#REF!</v>
      </c>
      <c r="X408" s="31" t="e">
        <f>"LNGImporterTariffFixed_"&amp;RIGHT($W408,11)</f>
        <v>#REF!</v>
      </c>
    </row>
    <row r="409" spans="1:24" x14ac:dyDescent="0.25">
      <c r="A409" s="94">
        <f t="shared" si="542"/>
        <v>101</v>
      </c>
      <c r="B409" s="119"/>
      <c r="C409" s="93" t="str">
        <f t="shared" ref="C409:D409" si="555">IF($B406&lt;&gt;"",C405,"")</f>
        <v/>
      </c>
      <c r="D409" s="93" t="str">
        <f t="shared" si="555"/>
        <v/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6"/>
      <c r="W409" s="31" t="e">
        <f>INDEX(TBL_LNG_IMPORTERS_CONNECTIONS[LNGImporterConnectionID],$A409)</f>
        <v>#REF!</v>
      </c>
      <c r="X409" s="31" t="e">
        <f>"LNGImporterTariffVar_"&amp;RIGHT($W409,11)</f>
        <v>#REF!</v>
      </c>
    </row>
    <row r="410" spans="1:24" x14ac:dyDescent="0.25">
      <c r="A410" s="94">
        <f t="shared" ref="A410" si="556">$A406+1</f>
        <v>102</v>
      </c>
      <c r="B410" s="117" t="str">
        <f>IFERROR(INDEX(TBL_LNG_IMPORTERS_CONNECTIONS[Name],$A410),"")</f>
        <v/>
      </c>
      <c r="C410" s="93" t="str">
        <f t="shared" ref="C410:D410" si="557">IF($B410&lt;&gt;"",C406,"")</f>
        <v/>
      </c>
      <c r="D410" s="93" t="str">
        <f t="shared" si="557"/>
        <v/>
      </c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5"/>
      <c r="W410" s="31" t="e">
        <f>INDEX(TBL_LNG_IMPORTERS_CONNECTIONS[LNGImporterConnectionID],$A410)</f>
        <v>#REF!</v>
      </c>
      <c r="X410" s="31" t="e">
        <f>"LNGImporterCapMin_"&amp;RIGHT($W410,11)</f>
        <v>#REF!</v>
      </c>
    </row>
    <row r="411" spans="1:24" x14ac:dyDescent="0.25">
      <c r="A411" s="94">
        <f t="shared" si="542"/>
        <v>102</v>
      </c>
      <c r="B411" s="118"/>
      <c r="C411" s="93" t="str">
        <f t="shared" ref="C411:D411" si="558">IF($B410&lt;&gt;"",C407,"")</f>
        <v/>
      </c>
      <c r="D411" s="93" t="str">
        <f t="shared" si="558"/>
        <v/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6"/>
      <c r="W411" s="31" t="e">
        <f>INDEX(TBL_LNG_IMPORTERS_CONNECTIONS[LNGImporterConnectionID],$A411)</f>
        <v>#REF!</v>
      </c>
      <c r="X411" s="31" t="e">
        <f>"LNGImporterCapMax_"&amp;RIGHT($W411,11)</f>
        <v>#REF!</v>
      </c>
    </row>
    <row r="412" spans="1:24" x14ac:dyDescent="0.25">
      <c r="A412" s="94">
        <f t="shared" si="542"/>
        <v>102</v>
      </c>
      <c r="B412" s="118"/>
      <c r="C412" s="93" t="str">
        <f t="shared" ref="C412:D412" si="559">IF($B410&lt;&gt;"",C408,"")</f>
        <v/>
      </c>
      <c r="D412" s="93" t="str">
        <f t="shared" si="559"/>
        <v/>
      </c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5"/>
      <c r="W412" s="31" t="e">
        <f>INDEX(TBL_LNG_IMPORTERS_CONNECTIONS[LNGImporterConnectionID],$A412)</f>
        <v>#REF!</v>
      </c>
      <c r="X412" s="31" t="e">
        <f>"LNGImporterTariffFixed_"&amp;RIGHT($W412,11)</f>
        <v>#REF!</v>
      </c>
    </row>
    <row r="413" spans="1:24" x14ac:dyDescent="0.25">
      <c r="A413" s="94">
        <f t="shared" si="542"/>
        <v>102</v>
      </c>
      <c r="B413" s="119"/>
      <c r="C413" s="93" t="str">
        <f t="shared" ref="C413:D413" si="560">IF($B410&lt;&gt;"",C409,"")</f>
        <v/>
      </c>
      <c r="D413" s="93" t="str">
        <f t="shared" si="560"/>
        <v/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6"/>
      <c r="W413" s="31" t="e">
        <f>INDEX(TBL_LNG_IMPORTERS_CONNECTIONS[LNGImporterConnectionID],$A413)</f>
        <v>#REF!</v>
      </c>
      <c r="X413" s="31" t="e">
        <f>"LNGImporterTariffVar_"&amp;RIGHT($W413,11)</f>
        <v>#REF!</v>
      </c>
    </row>
    <row r="414" spans="1:24" x14ac:dyDescent="0.25">
      <c r="A414" s="94">
        <f t="shared" ref="A414" si="561">$A410+1</f>
        <v>103</v>
      </c>
      <c r="B414" s="117" t="str">
        <f>IFERROR(INDEX(TBL_LNG_IMPORTERS_CONNECTIONS[Name],$A414),"")</f>
        <v/>
      </c>
      <c r="C414" s="93" t="str">
        <f t="shared" ref="C414:D414" si="562">IF($B414&lt;&gt;"",C410,"")</f>
        <v/>
      </c>
      <c r="D414" s="93" t="str">
        <f t="shared" si="562"/>
        <v/>
      </c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5"/>
      <c r="W414" s="31" t="e">
        <f>INDEX(TBL_LNG_IMPORTERS_CONNECTIONS[LNGImporterConnectionID],$A414)</f>
        <v>#REF!</v>
      </c>
      <c r="X414" s="31" t="e">
        <f>"LNGImporterCapMin_"&amp;RIGHT($W414,11)</f>
        <v>#REF!</v>
      </c>
    </row>
    <row r="415" spans="1:24" x14ac:dyDescent="0.25">
      <c r="A415" s="94">
        <f t="shared" si="542"/>
        <v>103</v>
      </c>
      <c r="B415" s="118"/>
      <c r="C415" s="93" t="str">
        <f t="shared" ref="C415:D415" si="563">IF($B414&lt;&gt;"",C411,"")</f>
        <v/>
      </c>
      <c r="D415" s="93" t="str">
        <f t="shared" si="563"/>
        <v/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6"/>
      <c r="W415" s="31" t="e">
        <f>INDEX(TBL_LNG_IMPORTERS_CONNECTIONS[LNGImporterConnectionID],$A415)</f>
        <v>#REF!</v>
      </c>
      <c r="X415" s="31" t="e">
        <f>"LNGImporterCapMax_"&amp;RIGHT($W415,11)</f>
        <v>#REF!</v>
      </c>
    </row>
    <row r="416" spans="1:24" x14ac:dyDescent="0.25">
      <c r="A416" s="94">
        <f t="shared" si="542"/>
        <v>103</v>
      </c>
      <c r="B416" s="118"/>
      <c r="C416" s="93" t="str">
        <f t="shared" ref="C416:D416" si="564">IF($B414&lt;&gt;"",C412,"")</f>
        <v/>
      </c>
      <c r="D416" s="93" t="str">
        <f t="shared" si="564"/>
        <v/>
      </c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5"/>
      <c r="W416" s="31" t="e">
        <f>INDEX(TBL_LNG_IMPORTERS_CONNECTIONS[LNGImporterConnectionID],$A416)</f>
        <v>#REF!</v>
      </c>
      <c r="X416" s="31" t="e">
        <f>"LNGImporterTariffFixed_"&amp;RIGHT($W416,11)</f>
        <v>#REF!</v>
      </c>
    </row>
    <row r="417" spans="1:24" x14ac:dyDescent="0.25">
      <c r="A417" s="94">
        <f t="shared" si="542"/>
        <v>103</v>
      </c>
      <c r="B417" s="119"/>
      <c r="C417" s="93" t="str">
        <f t="shared" ref="C417:D417" si="565">IF($B414&lt;&gt;"",C413,"")</f>
        <v/>
      </c>
      <c r="D417" s="93" t="str">
        <f t="shared" si="565"/>
        <v/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6"/>
      <c r="W417" s="31" t="e">
        <f>INDEX(TBL_LNG_IMPORTERS_CONNECTIONS[LNGImporterConnectionID],$A417)</f>
        <v>#REF!</v>
      </c>
      <c r="X417" s="31" t="e">
        <f>"LNGImporterTariffVar_"&amp;RIGHT($W417,11)</f>
        <v>#REF!</v>
      </c>
    </row>
    <row r="418" spans="1:24" x14ac:dyDescent="0.25">
      <c r="A418" s="94">
        <f t="shared" ref="A418" si="566">$A414+1</f>
        <v>104</v>
      </c>
      <c r="B418" s="117" t="str">
        <f>IFERROR(INDEX(TBL_LNG_IMPORTERS_CONNECTIONS[Name],$A418),"")</f>
        <v/>
      </c>
      <c r="C418" s="93" t="str">
        <f t="shared" ref="C418:D418" si="567">IF($B418&lt;&gt;"",C414,"")</f>
        <v/>
      </c>
      <c r="D418" s="93" t="str">
        <f t="shared" si="567"/>
        <v/>
      </c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5"/>
      <c r="W418" s="31" t="e">
        <f>INDEX(TBL_LNG_IMPORTERS_CONNECTIONS[LNGImporterConnectionID],$A418)</f>
        <v>#REF!</v>
      </c>
      <c r="X418" s="31" t="e">
        <f>"LNGImporterCapMin_"&amp;RIGHT($W418,11)</f>
        <v>#REF!</v>
      </c>
    </row>
    <row r="419" spans="1:24" x14ac:dyDescent="0.25">
      <c r="A419" s="94">
        <f t="shared" ref="A419:A421" si="568">$A418</f>
        <v>104</v>
      </c>
      <c r="B419" s="118"/>
      <c r="C419" s="93" t="str">
        <f t="shared" ref="C419:D419" si="569">IF($B418&lt;&gt;"",C415,"")</f>
        <v/>
      </c>
      <c r="D419" s="93" t="str">
        <f t="shared" si="569"/>
        <v/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6"/>
      <c r="W419" s="31" t="e">
        <f>INDEX(TBL_LNG_IMPORTERS_CONNECTIONS[LNGImporterConnectionID],$A419)</f>
        <v>#REF!</v>
      </c>
      <c r="X419" s="31" t="e">
        <f>"LNGImporterCapMax_"&amp;RIGHT($W419,11)</f>
        <v>#REF!</v>
      </c>
    </row>
    <row r="420" spans="1:24" x14ac:dyDescent="0.25">
      <c r="A420" s="94">
        <f t="shared" si="568"/>
        <v>104</v>
      </c>
      <c r="B420" s="118"/>
      <c r="C420" s="93" t="str">
        <f t="shared" ref="C420:D420" si="570">IF($B418&lt;&gt;"",C416,"")</f>
        <v/>
      </c>
      <c r="D420" s="93" t="str">
        <f t="shared" si="570"/>
        <v/>
      </c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5"/>
      <c r="W420" s="31" t="e">
        <f>INDEX(TBL_LNG_IMPORTERS_CONNECTIONS[LNGImporterConnectionID],$A420)</f>
        <v>#REF!</v>
      </c>
      <c r="X420" s="31" t="e">
        <f>"LNGImporterTariffFixed_"&amp;RIGHT($W420,11)</f>
        <v>#REF!</v>
      </c>
    </row>
    <row r="421" spans="1:24" x14ac:dyDescent="0.25">
      <c r="A421" s="94">
        <f t="shared" si="568"/>
        <v>104</v>
      </c>
      <c r="B421" s="119"/>
      <c r="C421" s="93" t="str">
        <f t="shared" ref="C421:D421" si="571">IF($B418&lt;&gt;"",C417,"")</f>
        <v/>
      </c>
      <c r="D421" s="93" t="str">
        <f t="shared" si="571"/>
        <v/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6"/>
      <c r="W421" s="31" t="e">
        <f>INDEX(TBL_LNG_IMPORTERS_CONNECTIONS[LNGImporterConnectionID],$A421)</f>
        <v>#REF!</v>
      </c>
      <c r="X421" s="31" t="e">
        <f>"LNGImporterTariffVar_"&amp;RIGHT($W421,11)</f>
        <v>#REF!</v>
      </c>
    </row>
    <row r="422" spans="1:24" x14ac:dyDescent="0.25">
      <c r="A422" s="94">
        <f t="shared" ref="A422" si="572">$A418+1</f>
        <v>105</v>
      </c>
      <c r="B422" s="117" t="str">
        <f>IFERROR(INDEX(TBL_LNG_IMPORTERS_CONNECTIONS[Name],$A422),"")</f>
        <v/>
      </c>
      <c r="C422" s="93" t="str">
        <f t="shared" ref="C422:D422" si="573">IF($B422&lt;&gt;"",C418,"")</f>
        <v/>
      </c>
      <c r="D422" s="93" t="str">
        <f t="shared" si="573"/>
        <v/>
      </c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5"/>
      <c r="W422" s="31" t="e">
        <f>INDEX(TBL_LNG_IMPORTERS_CONNECTIONS[LNGImporterConnectionID],$A422)</f>
        <v>#REF!</v>
      </c>
      <c r="X422" s="31" t="e">
        <f>"LNGImporterCapMin_"&amp;RIGHT($W422,11)</f>
        <v>#REF!</v>
      </c>
    </row>
    <row r="423" spans="1:24" x14ac:dyDescent="0.25">
      <c r="A423" s="94">
        <f t="shared" ref="A423:A425" si="574">$A422</f>
        <v>105</v>
      </c>
      <c r="B423" s="118"/>
      <c r="C423" s="93" t="str">
        <f t="shared" ref="C423:D423" si="575">IF($B422&lt;&gt;"",C419,"")</f>
        <v/>
      </c>
      <c r="D423" s="93" t="str">
        <f t="shared" si="575"/>
        <v/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6"/>
      <c r="W423" s="31" t="e">
        <f>INDEX(TBL_LNG_IMPORTERS_CONNECTIONS[LNGImporterConnectionID],$A423)</f>
        <v>#REF!</v>
      </c>
      <c r="X423" s="31" t="e">
        <f>"LNGImporterCapMax_"&amp;RIGHT($W423,11)</f>
        <v>#REF!</v>
      </c>
    </row>
    <row r="424" spans="1:24" x14ac:dyDescent="0.25">
      <c r="A424" s="94">
        <f t="shared" si="574"/>
        <v>105</v>
      </c>
      <c r="B424" s="118"/>
      <c r="C424" s="93" t="str">
        <f t="shared" ref="C424:D424" si="576">IF($B422&lt;&gt;"",C420,"")</f>
        <v/>
      </c>
      <c r="D424" s="93" t="str">
        <f t="shared" si="576"/>
        <v/>
      </c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5"/>
      <c r="W424" s="31" t="e">
        <f>INDEX(TBL_LNG_IMPORTERS_CONNECTIONS[LNGImporterConnectionID],$A424)</f>
        <v>#REF!</v>
      </c>
      <c r="X424" s="31" t="e">
        <f>"LNGImporterTariffFixed_"&amp;RIGHT($W424,11)</f>
        <v>#REF!</v>
      </c>
    </row>
    <row r="425" spans="1:24" x14ac:dyDescent="0.25">
      <c r="A425" s="94">
        <f t="shared" si="574"/>
        <v>105</v>
      </c>
      <c r="B425" s="119"/>
      <c r="C425" s="93" t="str">
        <f t="shared" ref="C425:D425" si="577">IF($B422&lt;&gt;"",C421,"")</f>
        <v/>
      </c>
      <c r="D425" s="93" t="str">
        <f t="shared" si="577"/>
        <v/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6"/>
      <c r="W425" s="31" t="e">
        <f>INDEX(TBL_LNG_IMPORTERS_CONNECTIONS[LNGImporterConnectionID],$A425)</f>
        <v>#REF!</v>
      </c>
      <c r="X425" s="31" t="e">
        <f>"LNGImporterTariffVar_"&amp;RIGHT($W425,11)</f>
        <v>#REF!</v>
      </c>
    </row>
    <row r="426" spans="1:24" x14ac:dyDescent="0.25">
      <c r="A426" s="94">
        <f t="shared" ref="A426" si="578">$A422+1</f>
        <v>106</v>
      </c>
      <c r="B426" s="117" t="str">
        <f>IFERROR(INDEX(TBL_LNG_IMPORTERS_CONNECTIONS[Name],$A426),"")</f>
        <v/>
      </c>
      <c r="C426" s="93" t="str">
        <f t="shared" ref="C426:D426" si="579">IF($B426&lt;&gt;"",C422,"")</f>
        <v/>
      </c>
      <c r="D426" s="93" t="str">
        <f t="shared" si="579"/>
        <v/>
      </c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5"/>
      <c r="W426" s="31" t="e">
        <f>INDEX(TBL_LNG_IMPORTERS_CONNECTIONS[LNGImporterConnectionID],$A426)</f>
        <v>#REF!</v>
      </c>
      <c r="X426" s="31" t="e">
        <f>"LNGImporterCapMin_"&amp;RIGHT($W426,11)</f>
        <v>#REF!</v>
      </c>
    </row>
    <row r="427" spans="1:24" x14ac:dyDescent="0.25">
      <c r="A427" s="94">
        <f t="shared" ref="A427:A429" si="580">$A426</f>
        <v>106</v>
      </c>
      <c r="B427" s="118"/>
      <c r="C427" s="93" t="str">
        <f t="shared" ref="C427:D427" si="581">IF($B426&lt;&gt;"",C423,"")</f>
        <v/>
      </c>
      <c r="D427" s="93" t="str">
        <f t="shared" si="581"/>
        <v/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6"/>
      <c r="W427" s="31" t="e">
        <f>INDEX(TBL_LNG_IMPORTERS_CONNECTIONS[LNGImporterConnectionID],$A427)</f>
        <v>#REF!</v>
      </c>
      <c r="X427" s="31" t="e">
        <f>"LNGImporterCapMax_"&amp;RIGHT($W427,11)</f>
        <v>#REF!</v>
      </c>
    </row>
    <row r="428" spans="1:24" x14ac:dyDescent="0.25">
      <c r="A428" s="94">
        <f t="shared" si="580"/>
        <v>106</v>
      </c>
      <c r="B428" s="118"/>
      <c r="C428" s="93" t="str">
        <f t="shared" ref="C428:D428" si="582">IF($B426&lt;&gt;"",C424,"")</f>
        <v/>
      </c>
      <c r="D428" s="93" t="str">
        <f t="shared" si="582"/>
        <v/>
      </c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5"/>
      <c r="W428" s="31" t="e">
        <f>INDEX(TBL_LNG_IMPORTERS_CONNECTIONS[LNGImporterConnectionID],$A428)</f>
        <v>#REF!</v>
      </c>
      <c r="X428" s="31" t="e">
        <f>"LNGImporterTariffFixed_"&amp;RIGHT($W428,11)</f>
        <v>#REF!</v>
      </c>
    </row>
    <row r="429" spans="1:24" x14ac:dyDescent="0.25">
      <c r="A429" s="94">
        <f t="shared" si="580"/>
        <v>106</v>
      </c>
      <c r="B429" s="119"/>
      <c r="C429" s="93" t="str">
        <f t="shared" ref="C429:D429" si="583">IF($B426&lt;&gt;"",C425,"")</f>
        <v/>
      </c>
      <c r="D429" s="93" t="str">
        <f t="shared" si="583"/>
        <v/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6"/>
      <c r="W429" s="31" t="e">
        <f>INDEX(TBL_LNG_IMPORTERS_CONNECTIONS[LNGImporterConnectionID],$A429)</f>
        <v>#REF!</v>
      </c>
      <c r="X429" s="31" t="e">
        <f>"LNGImporterTariffVar_"&amp;RIGHT($W429,11)</f>
        <v>#REF!</v>
      </c>
    </row>
    <row r="430" spans="1:24" x14ac:dyDescent="0.25">
      <c r="A430" s="94">
        <f t="shared" ref="A430" si="584">$A426+1</f>
        <v>107</v>
      </c>
      <c r="B430" s="117" t="str">
        <f>IFERROR(INDEX(TBL_LNG_IMPORTERS_CONNECTIONS[Name],$A430),"")</f>
        <v/>
      </c>
      <c r="C430" s="93" t="str">
        <f t="shared" ref="C430:D430" si="585">IF($B430&lt;&gt;"",C426,"")</f>
        <v/>
      </c>
      <c r="D430" s="93" t="str">
        <f t="shared" si="585"/>
        <v/>
      </c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5"/>
      <c r="W430" s="31" t="e">
        <f>INDEX(TBL_LNG_IMPORTERS_CONNECTIONS[LNGImporterConnectionID],$A430)</f>
        <v>#REF!</v>
      </c>
      <c r="X430" s="31" t="e">
        <f>"LNGImporterCapMin_"&amp;RIGHT($W430,11)</f>
        <v>#REF!</v>
      </c>
    </row>
    <row r="431" spans="1:24" x14ac:dyDescent="0.25">
      <c r="A431" s="94">
        <f t="shared" ref="A431:A433" si="586">$A430</f>
        <v>107</v>
      </c>
      <c r="B431" s="118"/>
      <c r="C431" s="93" t="str">
        <f t="shared" ref="C431:D431" si="587">IF($B430&lt;&gt;"",C427,"")</f>
        <v/>
      </c>
      <c r="D431" s="93" t="str">
        <f t="shared" si="587"/>
        <v/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6"/>
      <c r="W431" s="31" t="e">
        <f>INDEX(TBL_LNG_IMPORTERS_CONNECTIONS[LNGImporterConnectionID],$A431)</f>
        <v>#REF!</v>
      </c>
      <c r="X431" s="31" t="e">
        <f>"LNGImporterCapMax_"&amp;RIGHT($W431,11)</f>
        <v>#REF!</v>
      </c>
    </row>
    <row r="432" spans="1:24" x14ac:dyDescent="0.25">
      <c r="A432" s="94">
        <f t="shared" si="586"/>
        <v>107</v>
      </c>
      <c r="B432" s="118"/>
      <c r="C432" s="93" t="str">
        <f t="shared" ref="C432:D432" si="588">IF($B430&lt;&gt;"",C428,"")</f>
        <v/>
      </c>
      <c r="D432" s="93" t="str">
        <f t="shared" si="588"/>
        <v/>
      </c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5"/>
      <c r="W432" s="31" t="e">
        <f>INDEX(TBL_LNG_IMPORTERS_CONNECTIONS[LNGImporterConnectionID],$A432)</f>
        <v>#REF!</v>
      </c>
      <c r="X432" s="31" t="e">
        <f>"LNGImporterTariffFixed_"&amp;RIGHT($W432,11)</f>
        <v>#REF!</v>
      </c>
    </row>
    <row r="433" spans="1:24" x14ac:dyDescent="0.25">
      <c r="A433" s="94">
        <f t="shared" si="586"/>
        <v>107</v>
      </c>
      <c r="B433" s="119"/>
      <c r="C433" s="93" t="str">
        <f t="shared" ref="C433:D433" si="589">IF($B430&lt;&gt;"",C429,"")</f>
        <v/>
      </c>
      <c r="D433" s="93" t="str">
        <f t="shared" si="589"/>
        <v/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6"/>
      <c r="W433" s="31" t="e">
        <f>INDEX(TBL_LNG_IMPORTERS_CONNECTIONS[LNGImporterConnectionID],$A433)</f>
        <v>#REF!</v>
      </c>
      <c r="X433" s="31" t="e">
        <f>"LNGImporterTariffVar_"&amp;RIGHT($W433,11)</f>
        <v>#REF!</v>
      </c>
    </row>
    <row r="434" spans="1:24" x14ac:dyDescent="0.25">
      <c r="A434" s="94">
        <f t="shared" ref="A434" si="590">$A430+1</f>
        <v>108</v>
      </c>
      <c r="B434" s="117" t="str">
        <f>IFERROR(INDEX(TBL_LNG_IMPORTERS_CONNECTIONS[Name],$A434),"")</f>
        <v/>
      </c>
      <c r="C434" s="93" t="str">
        <f t="shared" ref="C434:D434" si="591">IF($B434&lt;&gt;"",C430,"")</f>
        <v/>
      </c>
      <c r="D434" s="93" t="str">
        <f t="shared" si="591"/>
        <v/>
      </c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5"/>
      <c r="W434" s="31" t="e">
        <f>INDEX(TBL_LNG_IMPORTERS_CONNECTIONS[LNGImporterConnectionID],$A434)</f>
        <v>#REF!</v>
      </c>
      <c r="X434" s="31" t="e">
        <f>"LNGImporterCapMin_"&amp;RIGHT($W434,11)</f>
        <v>#REF!</v>
      </c>
    </row>
    <row r="435" spans="1:24" x14ac:dyDescent="0.25">
      <c r="A435" s="94">
        <f t="shared" ref="A435:A437" si="592">$A434</f>
        <v>108</v>
      </c>
      <c r="B435" s="118"/>
      <c r="C435" s="93" t="str">
        <f t="shared" ref="C435:D435" si="593">IF($B434&lt;&gt;"",C431,"")</f>
        <v/>
      </c>
      <c r="D435" s="93" t="str">
        <f t="shared" si="593"/>
        <v/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6"/>
      <c r="W435" s="31" t="e">
        <f>INDEX(TBL_LNG_IMPORTERS_CONNECTIONS[LNGImporterConnectionID],$A435)</f>
        <v>#REF!</v>
      </c>
      <c r="X435" s="31" t="e">
        <f>"LNGImporterCapMax_"&amp;RIGHT($W435,11)</f>
        <v>#REF!</v>
      </c>
    </row>
    <row r="436" spans="1:24" x14ac:dyDescent="0.25">
      <c r="A436" s="94">
        <f t="shared" si="592"/>
        <v>108</v>
      </c>
      <c r="B436" s="118"/>
      <c r="C436" s="93" t="str">
        <f t="shared" ref="C436:D436" si="594">IF($B434&lt;&gt;"",C432,"")</f>
        <v/>
      </c>
      <c r="D436" s="93" t="str">
        <f t="shared" si="594"/>
        <v/>
      </c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5"/>
      <c r="W436" s="31" t="e">
        <f>INDEX(TBL_LNG_IMPORTERS_CONNECTIONS[LNGImporterConnectionID],$A436)</f>
        <v>#REF!</v>
      </c>
      <c r="X436" s="31" t="e">
        <f>"LNGImporterTariffFixed_"&amp;RIGHT($W436,11)</f>
        <v>#REF!</v>
      </c>
    </row>
    <row r="437" spans="1:24" x14ac:dyDescent="0.25">
      <c r="A437" s="94">
        <f t="shared" si="592"/>
        <v>108</v>
      </c>
      <c r="B437" s="119"/>
      <c r="C437" s="93" t="str">
        <f t="shared" ref="C437:D437" si="595">IF($B434&lt;&gt;"",C433,"")</f>
        <v/>
      </c>
      <c r="D437" s="93" t="str">
        <f t="shared" si="595"/>
        <v/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6"/>
      <c r="W437" s="31" t="e">
        <f>INDEX(TBL_LNG_IMPORTERS_CONNECTIONS[LNGImporterConnectionID],$A437)</f>
        <v>#REF!</v>
      </c>
      <c r="X437" s="31" t="e">
        <f>"LNGImporterTariffVar_"&amp;RIGHT($W437,11)</f>
        <v>#REF!</v>
      </c>
    </row>
    <row r="438" spans="1:24" x14ac:dyDescent="0.25">
      <c r="A438" s="94">
        <f t="shared" ref="A438" si="596">$A434+1</f>
        <v>109</v>
      </c>
      <c r="B438" s="117" t="str">
        <f>IFERROR(INDEX(TBL_LNG_IMPORTERS_CONNECTIONS[Name],$A438),"")</f>
        <v/>
      </c>
      <c r="C438" s="93" t="str">
        <f t="shared" ref="C438:D438" si="597">IF($B438&lt;&gt;"",C434,"")</f>
        <v/>
      </c>
      <c r="D438" s="93" t="str">
        <f t="shared" si="597"/>
        <v/>
      </c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5"/>
      <c r="W438" s="31" t="e">
        <f>INDEX(TBL_LNG_IMPORTERS_CONNECTIONS[LNGImporterConnectionID],$A438)</f>
        <v>#REF!</v>
      </c>
      <c r="X438" s="31" t="e">
        <f>"LNGImporterCapMin_"&amp;RIGHT($W438,11)</f>
        <v>#REF!</v>
      </c>
    </row>
    <row r="439" spans="1:24" x14ac:dyDescent="0.25">
      <c r="A439" s="94">
        <f t="shared" ref="A439:A445" si="598">$A438</f>
        <v>109</v>
      </c>
      <c r="B439" s="118"/>
      <c r="C439" s="93" t="str">
        <f t="shared" ref="C439:D439" si="599">IF($B438&lt;&gt;"",C435,"")</f>
        <v/>
      </c>
      <c r="D439" s="93" t="str">
        <f t="shared" si="599"/>
        <v/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6"/>
      <c r="W439" s="31" t="e">
        <f>INDEX(TBL_LNG_IMPORTERS_CONNECTIONS[LNGImporterConnectionID],$A439)</f>
        <v>#REF!</v>
      </c>
      <c r="X439" s="31" t="e">
        <f>"LNGImporterCapMax_"&amp;RIGHT($W439,11)</f>
        <v>#REF!</v>
      </c>
    </row>
    <row r="440" spans="1:24" x14ac:dyDescent="0.25">
      <c r="A440" s="94">
        <f t="shared" si="598"/>
        <v>109</v>
      </c>
      <c r="B440" s="118"/>
      <c r="C440" s="93" t="str">
        <f t="shared" ref="C440:D440" si="600">IF($B438&lt;&gt;"",C436,"")</f>
        <v/>
      </c>
      <c r="D440" s="93" t="str">
        <f t="shared" si="600"/>
        <v/>
      </c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5"/>
      <c r="W440" s="31" t="e">
        <f>INDEX(TBL_LNG_IMPORTERS_CONNECTIONS[LNGImporterConnectionID],$A440)</f>
        <v>#REF!</v>
      </c>
      <c r="X440" s="31" t="e">
        <f>"LNGImporterTariffFixed_"&amp;RIGHT($W440,11)</f>
        <v>#REF!</v>
      </c>
    </row>
    <row r="441" spans="1:24" x14ac:dyDescent="0.25">
      <c r="A441" s="94">
        <f t="shared" si="598"/>
        <v>109</v>
      </c>
      <c r="B441" s="119"/>
      <c r="C441" s="93" t="str">
        <f t="shared" ref="C441:D441" si="601">IF($B438&lt;&gt;"",C437,"")</f>
        <v/>
      </c>
      <c r="D441" s="93" t="str">
        <f t="shared" si="601"/>
        <v/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6"/>
      <c r="W441" s="31" t="e">
        <f>INDEX(TBL_LNG_IMPORTERS_CONNECTIONS[LNGImporterConnectionID],$A441)</f>
        <v>#REF!</v>
      </c>
      <c r="X441" s="31" t="e">
        <f>"LNGImporterTariffVar_"&amp;RIGHT($W441,11)</f>
        <v>#REF!</v>
      </c>
    </row>
    <row r="442" spans="1:24" x14ac:dyDescent="0.25">
      <c r="A442" s="94">
        <f t="shared" ref="A442" si="602">$A438+1</f>
        <v>110</v>
      </c>
      <c r="B442" s="117" t="str">
        <f>IFERROR(INDEX(TBL_LNG_IMPORTERS_CONNECTIONS[Name],$A442),"")</f>
        <v/>
      </c>
      <c r="C442" s="93" t="str">
        <f t="shared" ref="C442:D442" si="603">IF($B442&lt;&gt;"",C438,"")</f>
        <v/>
      </c>
      <c r="D442" s="93" t="str">
        <f t="shared" si="603"/>
        <v/>
      </c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5"/>
      <c r="W442" s="31" t="e">
        <f>INDEX(TBL_LNG_IMPORTERS_CONNECTIONS[LNGImporterConnectionID],$A442)</f>
        <v>#REF!</v>
      </c>
      <c r="X442" s="31" t="e">
        <f>"LNGImporterCapMin_"&amp;RIGHT($W442,11)</f>
        <v>#REF!</v>
      </c>
    </row>
    <row r="443" spans="1:24" x14ac:dyDescent="0.25">
      <c r="A443" s="94">
        <f t="shared" si="598"/>
        <v>110</v>
      </c>
      <c r="B443" s="118"/>
      <c r="C443" s="93" t="str">
        <f t="shared" ref="C443:D443" si="604">IF($B442&lt;&gt;"",C439,"")</f>
        <v/>
      </c>
      <c r="D443" s="93" t="str">
        <f t="shared" si="604"/>
        <v/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6"/>
      <c r="W443" s="31" t="e">
        <f>INDEX(TBL_LNG_IMPORTERS_CONNECTIONS[LNGImporterConnectionID],$A443)</f>
        <v>#REF!</v>
      </c>
      <c r="X443" s="31" t="e">
        <f>"LNGImporterCapMax_"&amp;RIGHT($W443,11)</f>
        <v>#REF!</v>
      </c>
    </row>
    <row r="444" spans="1:24" x14ac:dyDescent="0.25">
      <c r="A444" s="94">
        <f t="shared" si="598"/>
        <v>110</v>
      </c>
      <c r="B444" s="118"/>
      <c r="C444" s="93" t="str">
        <f t="shared" ref="C444:D444" si="605">IF($B442&lt;&gt;"",C440,"")</f>
        <v/>
      </c>
      <c r="D444" s="93" t="str">
        <f t="shared" si="605"/>
        <v/>
      </c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5"/>
      <c r="W444" s="31" t="e">
        <f>INDEX(TBL_LNG_IMPORTERS_CONNECTIONS[LNGImporterConnectionID],$A444)</f>
        <v>#REF!</v>
      </c>
      <c r="X444" s="31" t="e">
        <f>"LNGImporterTariffFixed_"&amp;RIGHT($W444,11)</f>
        <v>#REF!</v>
      </c>
    </row>
    <row r="445" spans="1:24" x14ac:dyDescent="0.25">
      <c r="A445" s="94">
        <f t="shared" si="598"/>
        <v>110</v>
      </c>
      <c r="B445" s="119"/>
      <c r="C445" s="93" t="str">
        <f t="shared" ref="C445:D445" si="606">IF($B442&lt;&gt;"",C441,"")</f>
        <v/>
      </c>
      <c r="D445" s="93" t="str">
        <f t="shared" si="606"/>
        <v/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6"/>
      <c r="W445" s="31" t="e">
        <f>INDEX(TBL_LNG_IMPORTERS_CONNECTIONS[LNGImporterConnectionID],$A445)</f>
        <v>#REF!</v>
      </c>
      <c r="X445" s="31" t="e">
        <f>"LNGImporterTariffVar_"&amp;RIGHT($W445,11)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38" priority="2" operator="equal">
      <formula>#REF!</formula>
    </cfRule>
  </conditionalFormatting>
  <conditionalFormatting sqref="D8:D9">
    <cfRule type="cellIs" dxfId="37" priority="1" operator="equal">
      <formula>#REF!</formula>
    </cfRule>
  </conditionalFormatting>
  <dataValidations count="2">
    <dataValidation operator="greaterThanOrEqual" allowBlank="1" showInputMessage="1" showErrorMessage="1" sqref="V6:V445" xr:uid="{1F9C7557-6418-4614-B23B-4CA23B6ED3E1}"/>
    <dataValidation type="decimal" operator="greaterThanOrEqual" allowBlank="1" showInputMessage="1" showErrorMessage="1" sqref="E6:U445" xr:uid="{991BFF4C-C25A-40B4-A618-AA14FCC232C5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62CB3-23F2-499A-BFB3-750214C5F9AA}">
  <sheetPr codeName="Sheet10">
    <tabColor theme="7"/>
  </sheetPr>
  <dimension ref="A1:AA15"/>
  <sheetViews>
    <sheetView workbookViewId="0">
      <selection activeCell="I7" sqref="I7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19.14062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hidden="1" customWidth="1" outlineLevel="1"/>
    <col min="27" max="27" width="9.140625" collapsed="1"/>
  </cols>
  <sheetData>
    <row r="1" spans="1:9" x14ac:dyDescent="0.25">
      <c r="A1" s="1" t="s">
        <v>50</v>
      </c>
    </row>
    <row r="2" spans="1:9" x14ac:dyDescent="0.25">
      <c r="A2" s="1" t="s">
        <v>68</v>
      </c>
    </row>
    <row r="5" spans="1:9" x14ac:dyDescent="0.25">
      <c r="A5" t="s">
        <v>51</v>
      </c>
      <c r="B5" t="s">
        <v>52</v>
      </c>
      <c r="C5" t="s">
        <v>53</v>
      </c>
      <c r="D5" t="s">
        <v>54</v>
      </c>
      <c r="E5" t="s">
        <v>39</v>
      </c>
      <c r="F5" t="s">
        <v>159</v>
      </c>
      <c r="G5" t="s">
        <v>158</v>
      </c>
      <c r="H5" s="2" t="s">
        <v>3</v>
      </c>
      <c r="I5" s="2" t="s">
        <v>55</v>
      </c>
    </row>
    <row r="6" spans="1:9" x14ac:dyDescent="0.25">
      <c r="A6" s="82" t="s">
        <v>56</v>
      </c>
      <c r="B6" s="4">
        <f>INDEX(TBL_REGIONS_INDEX[Index],MATCH(TBL_TRANSIT[[#This Row],[Origin]],TBL_REGIONS_INDEX[Region],0))</f>
        <v>1</v>
      </c>
      <c r="C6" s="95" t="s">
        <v>57</v>
      </c>
      <c r="D6" s="4">
        <f>INDEX(TBL_REGIONS_INDEX[Index],MATCH(TBL_TRANSIT[[#This Row],[Destination]],TBL_REGIONS_INDEX[Region],0))</f>
        <v>2</v>
      </c>
      <c r="E6" s="88" t="s">
        <v>165</v>
      </c>
      <c r="F6" s="4" t="str">
        <f>TEXT(TBL_TRANSIT[[#This Row],[Origin Index]],"000")&amp;TEXT(TBL_TRANSIT[[#This Row],[Destination Index]],"000")</f>
        <v>001002</v>
      </c>
      <c r="G6" s="4">
        <f>COUNTIF($F$6:$F6,$F6)</f>
        <v>1</v>
      </c>
      <c r="H6" s="17"/>
      <c r="I6" s="21" t="str">
        <f>"Transit_"&amp;TEXT(TBL_TRANSIT[[#This Row],[Origin Index]],"000")&amp;"_"&amp;TEXT(TBL_TRANSIT[[#This Row],[Destination Index]],"000")&amp;"_"&amp;TEXT(TBL_TRANSIT[[#This Row],[Connection Index]],"000")</f>
        <v>Transit_001_002_001</v>
      </c>
    </row>
    <row r="7" spans="1:9" x14ac:dyDescent="0.25">
      <c r="A7" s="82" t="s">
        <v>57</v>
      </c>
      <c r="B7" s="4">
        <f>INDEX(TBL_REGIONS_INDEX[Index],MATCH(TBL_TRANSIT[[#This Row],[Origin]],TBL_REGIONS_INDEX[Region],0))</f>
        <v>2</v>
      </c>
      <c r="C7" s="95" t="s">
        <v>56</v>
      </c>
      <c r="D7" s="4">
        <f>INDEX(TBL_REGIONS_INDEX[Index],MATCH(TBL_TRANSIT[[#This Row],[Destination]],TBL_REGIONS_INDEX[Region],0))</f>
        <v>1</v>
      </c>
      <c r="E7" s="88" t="s">
        <v>60</v>
      </c>
      <c r="F7" s="4" t="str">
        <f>TEXT(TBL_TRANSIT[[#This Row],[Origin Index]],"000")&amp;TEXT(TBL_TRANSIT[[#This Row],[Destination Index]],"000")</f>
        <v>002001</v>
      </c>
      <c r="G7" s="4">
        <f>COUNTIF($F$6:$F7,$F7)</f>
        <v>1</v>
      </c>
      <c r="H7" s="17"/>
      <c r="I7" s="21" t="str">
        <f>"Transit_"&amp;TEXT(TBL_TRANSIT[[#This Row],[Origin Index]],"000")&amp;"_"&amp;TEXT(TBL_TRANSIT[[#This Row],[Destination Index]],"000")&amp;"_"&amp;TEXT(TBL_TRANSIT[[#This Row],[Connection Index]],"000")</f>
        <v>Transit_002_001_001</v>
      </c>
    </row>
    <row r="8" spans="1:9" x14ac:dyDescent="0.25">
      <c r="A8" s="82" t="s">
        <v>56</v>
      </c>
      <c r="B8" s="4">
        <f>INDEX(TBL_REGIONS_INDEX[Index],MATCH(TBL_TRANSIT[[#This Row],[Origin]],TBL_REGIONS_INDEX[Region],0))</f>
        <v>1</v>
      </c>
      <c r="C8" s="95" t="s">
        <v>58</v>
      </c>
      <c r="D8" s="4">
        <f>INDEX(TBL_REGIONS_INDEX[Index],MATCH(TBL_TRANSIT[[#This Row],[Destination]],TBL_REGIONS_INDEX[Region],0))</f>
        <v>3</v>
      </c>
      <c r="E8" s="88" t="s">
        <v>61</v>
      </c>
      <c r="F8" s="4" t="str">
        <f>TEXT(TBL_TRANSIT[[#This Row],[Origin Index]],"000")&amp;TEXT(TBL_TRANSIT[[#This Row],[Destination Index]],"000")</f>
        <v>001003</v>
      </c>
      <c r="G8" s="4">
        <f>COUNTIF($F$6:$F8,$F8)</f>
        <v>1</v>
      </c>
      <c r="H8" s="17"/>
      <c r="I8" s="21" t="str">
        <f>"Transit_"&amp;TEXT(TBL_TRANSIT[[#This Row],[Origin Index]],"000")&amp;"_"&amp;TEXT(TBL_TRANSIT[[#This Row],[Destination Index]],"000")&amp;"_"&amp;TEXT(TBL_TRANSIT[[#This Row],[Connection Index]],"000")</f>
        <v>Transit_001_003_001</v>
      </c>
    </row>
    <row r="9" spans="1:9" x14ac:dyDescent="0.25">
      <c r="A9" s="82" t="s">
        <v>58</v>
      </c>
      <c r="B9" s="4">
        <f>INDEX(TBL_REGIONS_INDEX[Index],MATCH(TBL_TRANSIT[[#This Row],[Origin]],TBL_REGIONS_INDEX[Region],0))</f>
        <v>3</v>
      </c>
      <c r="C9" s="95" t="s">
        <v>56</v>
      </c>
      <c r="D9" s="4">
        <f>INDEX(TBL_REGIONS_INDEX[Index],MATCH(TBL_TRANSIT[[#This Row],[Destination]],TBL_REGIONS_INDEX[Region],0))</f>
        <v>1</v>
      </c>
      <c r="E9" s="88" t="s">
        <v>62</v>
      </c>
      <c r="F9" s="4" t="str">
        <f>TEXT(TBL_TRANSIT[[#This Row],[Origin Index]],"000")&amp;TEXT(TBL_TRANSIT[[#This Row],[Destination Index]],"000")</f>
        <v>003001</v>
      </c>
      <c r="G9" s="4">
        <f>COUNTIF($F$6:$F9,$F9)</f>
        <v>1</v>
      </c>
      <c r="H9" s="17"/>
      <c r="I9" s="21" t="str">
        <f>"Transit_"&amp;TEXT(TBL_TRANSIT[[#This Row],[Origin Index]],"000")&amp;"_"&amp;TEXT(TBL_TRANSIT[[#This Row],[Destination Index]],"000")&amp;"_"&amp;TEXT(TBL_TRANSIT[[#This Row],[Connection Index]],"000")</f>
        <v>Transit_003_001_001</v>
      </c>
    </row>
    <row r="10" spans="1:9" x14ac:dyDescent="0.25">
      <c r="A10" s="82" t="s">
        <v>56</v>
      </c>
      <c r="B10" s="4">
        <f>INDEX(TBL_REGIONS_INDEX[Index],MATCH(TBL_TRANSIT[[#This Row],[Origin]],TBL_REGIONS_INDEX[Region],0))</f>
        <v>1</v>
      </c>
      <c r="C10" s="95" t="s">
        <v>59</v>
      </c>
      <c r="D10" s="4">
        <f>INDEX(TBL_REGIONS_INDEX[Index],MATCH(TBL_TRANSIT[[#This Row],[Destination]],TBL_REGIONS_INDEX[Region],0))</f>
        <v>4</v>
      </c>
      <c r="E10" s="88" t="s">
        <v>63</v>
      </c>
      <c r="F10" s="4" t="str">
        <f>TEXT(TBL_TRANSIT[[#This Row],[Origin Index]],"000")&amp;TEXT(TBL_TRANSIT[[#This Row],[Destination Index]],"000")</f>
        <v>001004</v>
      </c>
      <c r="G10" s="4">
        <f>COUNTIF($F$6:$F10,$F10)</f>
        <v>1</v>
      </c>
      <c r="H10" s="17"/>
      <c r="I10" s="21" t="str">
        <f>"Transit_"&amp;TEXT(TBL_TRANSIT[[#This Row],[Origin Index]],"000")&amp;"_"&amp;TEXT(TBL_TRANSIT[[#This Row],[Destination Index]],"000")&amp;"_"&amp;TEXT(TBL_TRANSIT[[#This Row],[Connection Index]],"000")</f>
        <v>Transit_001_004_001</v>
      </c>
    </row>
    <row r="11" spans="1:9" x14ac:dyDescent="0.25">
      <c r="A11" s="82" t="s">
        <v>57</v>
      </c>
      <c r="B11" s="4">
        <f>INDEX(TBL_REGIONS_INDEX[Index],MATCH(TBL_TRANSIT[[#This Row],[Origin]],TBL_REGIONS_INDEX[Region],0))</f>
        <v>2</v>
      </c>
      <c r="C11" s="95" t="s">
        <v>58</v>
      </c>
      <c r="D11" s="4">
        <f>INDEX(TBL_REGIONS_INDEX[Index],MATCH(TBL_TRANSIT[[#This Row],[Destination]],TBL_REGIONS_INDEX[Region],0))</f>
        <v>3</v>
      </c>
      <c r="E11" s="88" t="s">
        <v>64</v>
      </c>
      <c r="F11" s="4" t="str">
        <f>TEXT(TBL_TRANSIT[[#This Row],[Origin Index]],"000")&amp;TEXT(TBL_TRANSIT[[#This Row],[Destination Index]],"000")</f>
        <v>002003</v>
      </c>
      <c r="G11" s="4">
        <f>COUNTIF($F$6:$F11,$F11)</f>
        <v>1</v>
      </c>
      <c r="H11" s="17"/>
      <c r="I11" s="21" t="str">
        <f>"Transit_"&amp;TEXT(TBL_TRANSIT[[#This Row],[Origin Index]],"000")&amp;"_"&amp;TEXT(TBL_TRANSIT[[#This Row],[Destination Index]],"000")&amp;"_"&amp;TEXT(TBL_TRANSIT[[#This Row],[Connection Index]],"000")</f>
        <v>Transit_002_003_001</v>
      </c>
    </row>
    <row r="12" spans="1:9" x14ac:dyDescent="0.25">
      <c r="A12" s="82" t="s">
        <v>58</v>
      </c>
      <c r="B12" s="4">
        <f>INDEX(TBL_REGIONS_INDEX[Index],MATCH(TBL_TRANSIT[[#This Row],[Origin]],TBL_REGIONS_INDEX[Region],0))</f>
        <v>3</v>
      </c>
      <c r="C12" s="95" t="s">
        <v>57</v>
      </c>
      <c r="D12" s="4">
        <f>INDEX(TBL_REGIONS_INDEX[Index],MATCH(TBL_TRANSIT[[#This Row],[Destination]],TBL_REGIONS_INDEX[Region],0))</f>
        <v>2</v>
      </c>
      <c r="E12" s="88" t="s">
        <v>65</v>
      </c>
      <c r="F12" s="4" t="str">
        <f>TEXT(TBL_TRANSIT[[#This Row],[Origin Index]],"000")&amp;TEXT(TBL_TRANSIT[[#This Row],[Destination Index]],"000")</f>
        <v>003002</v>
      </c>
      <c r="G12" s="4">
        <f>COUNTIF($F$6:$F12,$F12)</f>
        <v>1</v>
      </c>
      <c r="H12" s="17"/>
      <c r="I12" s="21" t="str">
        <f>"Transit_"&amp;TEXT(TBL_TRANSIT[[#This Row],[Origin Index]],"000")&amp;"_"&amp;TEXT(TBL_TRANSIT[[#This Row],[Destination Index]],"000")&amp;"_"&amp;TEXT(TBL_TRANSIT[[#This Row],[Connection Index]],"000")</f>
        <v>Transit_003_002_001</v>
      </c>
    </row>
    <row r="13" spans="1:9" x14ac:dyDescent="0.25">
      <c r="A13" s="82" t="s">
        <v>57</v>
      </c>
      <c r="B13" s="4">
        <f>INDEX(TBL_REGIONS_INDEX[Index],MATCH(TBL_TRANSIT[[#This Row],[Origin]],TBL_REGIONS_INDEX[Region],0))</f>
        <v>2</v>
      </c>
      <c r="C13" s="95" t="s">
        <v>59</v>
      </c>
      <c r="D13" s="4">
        <f>INDEX(TBL_REGIONS_INDEX[Index],MATCH(TBL_TRANSIT[[#This Row],[Destination]],TBL_REGIONS_INDEX[Region],0))</f>
        <v>4</v>
      </c>
      <c r="E13" s="88" t="s">
        <v>66</v>
      </c>
      <c r="F13" s="4" t="str">
        <f>TEXT(TBL_TRANSIT[[#This Row],[Origin Index]],"000")&amp;TEXT(TBL_TRANSIT[[#This Row],[Destination Index]],"000")</f>
        <v>002004</v>
      </c>
      <c r="G13" s="4">
        <f>COUNTIF($F$6:$F13,$F13)</f>
        <v>1</v>
      </c>
      <c r="H13" s="17"/>
      <c r="I13" s="21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14" spans="1:9" x14ac:dyDescent="0.25">
      <c r="A14" s="82" t="s">
        <v>59</v>
      </c>
      <c r="B14" s="4">
        <f>INDEX(TBL_REGIONS_INDEX[Index],MATCH(TBL_TRANSIT[[#This Row],[Origin]],TBL_REGIONS_INDEX[Region],0))</f>
        <v>4</v>
      </c>
      <c r="C14" s="95" t="s">
        <v>57</v>
      </c>
      <c r="D14" s="4">
        <f>INDEX(TBL_REGIONS_INDEX[Index],MATCH(TBL_TRANSIT[[#This Row],[Destination]],TBL_REGIONS_INDEX[Region],0))</f>
        <v>2</v>
      </c>
      <c r="E14" s="88" t="s">
        <v>67</v>
      </c>
      <c r="F14" s="4" t="str">
        <f>TEXT(TBL_TRANSIT[[#This Row],[Origin Index]],"000")&amp;TEXT(TBL_TRANSIT[[#This Row],[Destination Index]],"000")</f>
        <v>004002</v>
      </c>
      <c r="G14" s="4">
        <f>COUNTIF($F$6:$F14,$F14)</f>
        <v>1</v>
      </c>
      <c r="H14" s="17"/>
      <c r="I14" s="21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5" spans="1:9" x14ac:dyDescent="0.25">
      <c r="A15" s="82" t="s">
        <v>56</v>
      </c>
      <c r="B15" s="4">
        <f>INDEX(TBL_REGIONS_INDEX[Index],MATCH(TBL_TRANSIT[[#This Row],[Origin]],TBL_REGIONS_INDEX[Region],0))</f>
        <v>1</v>
      </c>
      <c r="C15" s="95" t="s">
        <v>57</v>
      </c>
      <c r="D15" s="4">
        <f>INDEX(TBL_REGIONS_INDEX[Index],MATCH(TBL_TRANSIT[[#This Row],[Destination]],TBL_REGIONS_INDEX[Region],0))</f>
        <v>2</v>
      </c>
      <c r="E15" s="88" t="s">
        <v>166</v>
      </c>
      <c r="F15" s="4" t="str">
        <f>TEXT(TBL_TRANSIT[[#This Row],[Origin Index]],"000")&amp;TEXT(TBL_TRANSIT[[#This Row],[Destination Index]],"000")</f>
        <v>001002</v>
      </c>
      <c r="G15" s="4">
        <f>COUNTIF($F$6:$F15,$F15)</f>
        <v>2</v>
      </c>
      <c r="H15" s="17"/>
      <c r="I15" s="21" t="str">
        <f>"Transit_"&amp;TEXT(TBL_TRANSIT[[#This Row],[Origin Index]],"000")&amp;"_"&amp;TEXT(TBL_TRANSIT[[#This Row],[Destination Index]],"000")&amp;"_"&amp;TEXT(TBL_TRANSIT[[#This Row],[Connection Index]],"000")</f>
        <v>Transit_001_002_002</v>
      </c>
    </row>
  </sheetData>
  <dataValidations count="2">
    <dataValidation type="list" allowBlank="1" showInputMessage="1" showErrorMessage="1" sqref="A6:A15 C6:C15" xr:uid="{BC2A5AD7-3172-4C5B-B0D7-71BE25CD4DDD}">
      <formula1>INDIRECT("TBL_REGIONS_INDEX[Region]")</formula1>
    </dataValidation>
    <dataValidation type="custom" allowBlank="1" showInputMessage="1" showErrorMessage="1" sqref="E6:E15" xr:uid="{3B61694A-5E2A-4428-8154-6993440ED0EE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15607-2728-4574-8FE1-CFF683F9BFF3}">
  <sheetPr>
    <tabColor theme="7"/>
  </sheetPr>
  <dimension ref="A1:Y445"/>
  <sheetViews>
    <sheetView topLeftCell="V1" workbookViewId="0">
      <selection activeCell="E29" sqref="E29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83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75</v>
      </c>
    </row>
    <row r="2" spans="1:24" x14ac:dyDescent="0.25">
      <c r="B2" s="1" t="s">
        <v>161</v>
      </c>
    </row>
    <row r="3" spans="1:24" x14ac:dyDescent="0.25">
      <c r="B3" s="1" t="s">
        <v>97</v>
      </c>
    </row>
    <row r="5" spans="1:24" x14ac:dyDescent="0.25">
      <c r="B5" s="8" t="s">
        <v>107</v>
      </c>
      <c r="C5" s="8" t="s">
        <v>41</v>
      </c>
      <c r="D5" s="8" t="s">
        <v>42</v>
      </c>
      <c r="E5" s="22" t="s">
        <v>5</v>
      </c>
      <c r="F5" s="22" t="s">
        <v>6</v>
      </c>
      <c r="G5" s="22" t="s">
        <v>7</v>
      </c>
      <c r="H5" s="22" t="s">
        <v>8</v>
      </c>
      <c r="I5" s="22" t="s">
        <v>9</v>
      </c>
      <c r="J5" s="22" t="s">
        <v>10</v>
      </c>
      <c r="K5" s="22" t="s">
        <v>11</v>
      </c>
      <c r="L5" s="22" t="s">
        <v>12</v>
      </c>
      <c r="M5" s="22" t="s">
        <v>13</v>
      </c>
      <c r="N5" s="22" t="s">
        <v>14</v>
      </c>
      <c r="O5" s="22" t="s">
        <v>15</v>
      </c>
      <c r="P5" s="22" t="s">
        <v>16</v>
      </c>
      <c r="Q5" s="22" t="s">
        <v>17</v>
      </c>
      <c r="R5" s="22" t="s">
        <v>18</v>
      </c>
      <c r="S5" s="22" t="s">
        <v>19</v>
      </c>
      <c r="T5" s="22" t="s">
        <v>20</v>
      </c>
      <c r="U5" s="22" t="s">
        <v>21</v>
      </c>
      <c r="V5" s="8" t="s">
        <v>28</v>
      </c>
      <c r="W5" s="23" t="s">
        <v>55</v>
      </c>
      <c r="X5" s="30" t="s">
        <v>76</v>
      </c>
    </row>
    <row r="6" spans="1:24" x14ac:dyDescent="0.25">
      <c r="A6" s="94">
        <v>1</v>
      </c>
      <c r="B6" s="117" t="str">
        <f>IFERROR(INDEX(TBL_TRANSIT[Name],$A6),"")</f>
        <v>DE-FR I</v>
      </c>
      <c r="C6" s="89" t="s">
        <v>43</v>
      </c>
      <c r="D6" s="90" t="s">
        <v>119</v>
      </c>
      <c r="E6" s="27">
        <v>0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5"/>
      <c r="W6" s="31" t="str">
        <f>INDEX(TBL_TRANSIT[TransitID],$A6)</f>
        <v>Transit_001_002_001</v>
      </c>
      <c r="X6" s="31" t="str">
        <f>"TransitCapMin_"&amp;RIGHT($W6,11)</f>
        <v>TransitCapMin_001_002_001</v>
      </c>
    </row>
    <row r="7" spans="1:24" x14ac:dyDescent="0.25">
      <c r="A7" s="94">
        <f>$A6</f>
        <v>1</v>
      </c>
      <c r="B7" s="118"/>
      <c r="C7" s="91" t="s">
        <v>44</v>
      </c>
      <c r="D7" s="92" t="s">
        <v>119</v>
      </c>
      <c r="E7" s="32">
        <v>0.5</v>
      </c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26"/>
      <c r="W7" s="31" t="str">
        <f>INDEX(TBL_TRANSIT[TransitID],$A7)</f>
        <v>Transit_001_002_001</v>
      </c>
      <c r="X7" s="31" t="str">
        <f>"TransitCapMax_"&amp;RIGHT($W7,11)</f>
        <v>TransitCapMax_001_002_001</v>
      </c>
    </row>
    <row r="8" spans="1:24" x14ac:dyDescent="0.25">
      <c r="A8" s="94">
        <f>$A7</f>
        <v>1</v>
      </c>
      <c r="B8" s="118"/>
      <c r="C8" s="89" t="s">
        <v>45</v>
      </c>
      <c r="D8" s="90" t="s">
        <v>46</v>
      </c>
      <c r="E8" s="27">
        <v>0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5"/>
      <c r="W8" s="31" t="str">
        <f>INDEX(TBL_TRANSIT[TransitID],$A8)</f>
        <v>Transit_001_002_001</v>
      </c>
      <c r="X8" s="31" t="str">
        <f>"TransitTariffFixed_"&amp;RIGHT($W8,11)</f>
        <v>TransitTariffFixed_001_002_001</v>
      </c>
    </row>
    <row r="9" spans="1:24" x14ac:dyDescent="0.25">
      <c r="A9" s="94">
        <f>$A8</f>
        <v>1</v>
      </c>
      <c r="B9" s="119"/>
      <c r="C9" s="91" t="s">
        <v>47</v>
      </c>
      <c r="D9" s="92" t="s">
        <v>48</v>
      </c>
      <c r="E9" s="32">
        <v>0.12</v>
      </c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26"/>
      <c r="W9" s="31" t="str">
        <f>INDEX(TBL_TRANSIT[TransitID],$A9)</f>
        <v>Transit_001_002_001</v>
      </c>
      <c r="X9" s="31" t="str">
        <f>"TransitTariffVar_"&amp;RIGHT($W9,11)</f>
        <v>TransitTariffVar_001_002_001</v>
      </c>
    </row>
    <row r="10" spans="1:24" x14ac:dyDescent="0.25">
      <c r="A10" s="94">
        <f>$A6+1</f>
        <v>2</v>
      </c>
      <c r="B10" s="117" t="str">
        <f>IFERROR(INDEX(TBL_TRANSIT[Name],$A10),"")</f>
        <v>FR-DE</v>
      </c>
      <c r="C10" s="93" t="str">
        <f>IF($B10&lt;&gt;"",C6,"")</f>
        <v>Capacity - Min</v>
      </c>
      <c r="D10" s="93" t="str">
        <f>IF($B10&lt;&gt;"",D6,"")</f>
        <v>mcm/day</v>
      </c>
      <c r="E10" s="27">
        <v>0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5"/>
      <c r="W10" s="31" t="str">
        <f>INDEX(TBL_TRANSIT[TransitID],$A10)</f>
        <v>Transit_002_001_001</v>
      </c>
      <c r="X10" s="31" t="str">
        <f>"TransitCapMin_"&amp;RIGHT($W10,11)</f>
        <v>TransitCapMin_002_001_001</v>
      </c>
    </row>
    <row r="11" spans="1:24" x14ac:dyDescent="0.25">
      <c r="A11" s="94">
        <f>$A10</f>
        <v>2</v>
      </c>
      <c r="B11" s="118"/>
      <c r="C11" s="93" t="str">
        <f>IF($B10&lt;&gt;"",C7,"")</f>
        <v>Capacity - Max</v>
      </c>
      <c r="D11" s="93" t="str">
        <f>IF($B10&lt;&gt;"",D7,"")</f>
        <v>mcm/day</v>
      </c>
      <c r="E11" s="32">
        <v>10</v>
      </c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26"/>
      <c r="W11" s="31" t="str">
        <f>INDEX(TBL_TRANSIT[TransitID],$A11)</f>
        <v>Transit_002_001_001</v>
      </c>
      <c r="X11" s="31" t="str">
        <f>"TransitCapMax_"&amp;RIGHT($W11,11)</f>
        <v>TransitCapMax_002_001_001</v>
      </c>
    </row>
    <row r="12" spans="1:24" x14ac:dyDescent="0.25">
      <c r="A12" s="94">
        <f>$A11</f>
        <v>2</v>
      </c>
      <c r="B12" s="118"/>
      <c r="C12" s="93" t="str">
        <f>IF($B10&lt;&gt;"",C8,"")</f>
        <v>Tariff - fixed</v>
      </c>
      <c r="D12" s="93" t="str">
        <f>IF($B10&lt;&gt;"",D8,"")</f>
        <v>EUR/month</v>
      </c>
      <c r="E12" s="27">
        <v>0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5"/>
      <c r="W12" s="31" t="str">
        <f>INDEX(TBL_TRANSIT[TransitID],$A12)</f>
        <v>Transit_002_001_001</v>
      </c>
      <c r="X12" s="31" t="str">
        <f>"TransitTariffFixed_"&amp;RIGHT($W12,11)</f>
        <v>TransitTariffFixed_002_001_001</v>
      </c>
    </row>
    <row r="13" spans="1:24" x14ac:dyDescent="0.25">
      <c r="A13" s="94">
        <f>$A12</f>
        <v>2</v>
      </c>
      <c r="B13" s="119"/>
      <c r="C13" s="93" t="str">
        <f>IF($B10&lt;&gt;"",C9,"")</f>
        <v>Tariff - variable</v>
      </c>
      <c r="D13" s="93" t="str">
        <f>IF($B10&lt;&gt;"",D9,"")</f>
        <v>EUR/MWh</v>
      </c>
      <c r="E13" s="32">
        <v>0.1</v>
      </c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26"/>
      <c r="W13" s="31" t="str">
        <f>INDEX(TBL_TRANSIT[TransitID],$A13)</f>
        <v>Transit_002_001_001</v>
      </c>
      <c r="X13" s="31" t="str">
        <f>"TransitTariffVar_"&amp;RIGHT($W13,11)</f>
        <v>TransitTariffVar_002_001_001</v>
      </c>
    </row>
    <row r="14" spans="1:24" x14ac:dyDescent="0.25">
      <c r="A14" s="94">
        <f t="shared" ref="A14" si="0">$A10+1</f>
        <v>3</v>
      </c>
      <c r="B14" s="117" t="str">
        <f>IFERROR(INDEX(TBL_TRANSIT[Name],$A14),"")</f>
        <v>DE-NL</v>
      </c>
      <c r="C14" s="93" t="str">
        <f t="shared" ref="C14:D14" si="1">IF($B14&lt;&gt;"",C10,"")</f>
        <v>Capacity - Min</v>
      </c>
      <c r="D14" s="93" t="str">
        <f t="shared" si="1"/>
        <v>mcm/day</v>
      </c>
      <c r="E14" s="27">
        <v>0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5"/>
      <c r="W14" s="31" t="str">
        <f>INDEX(TBL_TRANSIT[TransitID],$A14)</f>
        <v>Transit_001_003_001</v>
      </c>
      <c r="X14" s="31" t="str">
        <f>"TransitCapMin_"&amp;RIGHT($W14,11)</f>
        <v>TransitCapMin_001_003_001</v>
      </c>
    </row>
    <row r="15" spans="1:24" x14ac:dyDescent="0.25">
      <c r="A15" s="94">
        <f t="shared" ref="A15:A17" si="2">$A14</f>
        <v>3</v>
      </c>
      <c r="B15" s="118"/>
      <c r="C15" s="93" t="str">
        <f t="shared" ref="C15:D15" si="3">IF($B14&lt;&gt;"",C11,"")</f>
        <v>Capacity - Max</v>
      </c>
      <c r="D15" s="93" t="str">
        <f t="shared" si="3"/>
        <v>mcm/day</v>
      </c>
      <c r="E15" s="32">
        <v>10</v>
      </c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26"/>
      <c r="W15" s="31" t="str">
        <f>INDEX(TBL_TRANSIT[TransitID],$A15)</f>
        <v>Transit_001_003_001</v>
      </c>
      <c r="X15" s="31" t="str">
        <f>"TransitCapMax_"&amp;RIGHT($W15,11)</f>
        <v>TransitCapMax_001_003_001</v>
      </c>
    </row>
    <row r="16" spans="1:24" x14ac:dyDescent="0.25">
      <c r="A16" s="94">
        <f t="shared" si="2"/>
        <v>3</v>
      </c>
      <c r="B16" s="118"/>
      <c r="C16" s="93" t="str">
        <f t="shared" ref="C16:D16" si="4">IF($B14&lt;&gt;"",C12,"")</f>
        <v>Tariff - fixed</v>
      </c>
      <c r="D16" s="93" t="str">
        <f t="shared" si="4"/>
        <v>EUR/month</v>
      </c>
      <c r="E16" s="27">
        <v>0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5"/>
      <c r="W16" s="31" t="str">
        <f>INDEX(TBL_TRANSIT[TransitID],$A16)</f>
        <v>Transit_001_003_001</v>
      </c>
      <c r="X16" s="31" t="str">
        <f>"TransitTariffFixed_"&amp;RIGHT($W16,11)</f>
        <v>TransitTariffFixed_001_003_001</v>
      </c>
    </row>
    <row r="17" spans="1:24" x14ac:dyDescent="0.25">
      <c r="A17" s="94">
        <f t="shared" si="2"/>
        <v>3</v>
      </c>
      <c r="B17" s="119"/>
      <c r="C17" s="93" t="str">
        <f t="shared" ref="C17:D17" si="5">IF($B14&lt;&gt;"",C13,"")</f>
        <v>Tariff - variable</v>
      </c>
      <c r="D17" s="93" t="str">
        <f t="shared" si="5"/>
        <v>EUR/MWh</v>
      </c>
      <c r="E17" s="32">
        <v>0.2</v>
      </c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26"/>
      <c r="W17" s="31" t="str">
        <f>INDEX(TBL_TRANSIT[TransitID],$A17)</f>
        <v>Transit_001_003_001</v>
      </c>
      <c r="X17" s="31" t="str">
        <f>"TransitTariffVar_"&amp;RIGHT($W17,11)</f>
        <v>TransitTariffVar_001_003_001</v>
      </c>
    </row>
    <row r="18" spans="1:24" x14ac:dyDescent="0.25">
      <c r="A18" s="94">
        <f t="shared" ref="A18" si="6">$A14+1</f>
        <v>4</v>
      </c>
      <c r="B18" s="117" t="str">
        <f>IFERROR(INDEX(TBL_TRANSIT[Name],$A18),"")</f>
        <v>NL-DE</v>
      </c>
      <c r="C18" s="93" t="str">
        <f t="shared" ref="C18:D18" si="7">IF($B18&lt;&gt;"",C14,"")</f>
        <v>Capacity - Min</v>
      </c>
      <c r="D18" s="93" t="str">
        <f t="shared" si="7"/>
        <v>mcm/day</v>
      </c>
      <c r="E18" s="27">
        <v>0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5"/>
      <c r="W18" s="31" t="str">
        <f>INDEX(TBL_TRANSIT[TransitID],$A18)</f>
        <v>Transit_003_001_001</v>
      </c>
      <c r="X18" s="31" t="str">
        <f>"TransitCapMin_"&amp;RIGHT($W18,11)</f>
        <v>TransitCapMin_003_001_001</v>
      </c>
    </row>
    <row r="19" spans="1:24" x14ac:dyDescent="0.25">
      <c r="A19" s="94">
        <f t="shared" ref="A19:A21" si="8">$A18</f>
        <v>4</v>
      </c>
      <c r="B19" s="118"/>
      <c r="C19" s="93" t="str">
        <f t="shared" ref="C19:D19" si="9">IF($B18&lt;&gt;"",C15,"")</f>
        <v>Capacity - Max</v>
      </c>
      <c r="D19" s="93" t="str">
        <f t="shared" si="9"/>
        <v>mcm/day</v>
      </c>
      <c r="E19" s="32">
        <v>10</v>
      </c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26"/>
      <c r="W19" s="31" t="str">
        <f>INDEX(TBL_TRANSIT[TransitID],$A19)</f>
        <v>Transit_003_001_001</v>
      </c>
      <c r="X19" s="31" t="str">
        <f>"TransitCapMax_"&amp;RIGHT($W19,11)</f>
        <v>TransitCapMax_003_001_001</v>
      </c>
    </row>
    <row r="20" spans="1:24" x14ac:dyDescent="0.25">
      <c r="A20" s="94">
        <f t="shared" si="8"/>
        <v>4</v>
      </c>
      <c r="B20" s="118"/>
      <c r="C20" s="93" t="str">
        <f t="shared" ref="C20:D20" si="10">IF($B18&lt;&gt;"",C16,"")</f>
        <v>Tariff - fixed</v>
      </c>
      <c r="D20" s="93" t="str">
        <f t="shared" si="10"/>
        <v>EUR/month</v>
      </c>
      <c r="E20" s="27">
        <v>0</v>
      </c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5"/>
      <c r="W20" s="31" t="str">
        <f>INDEX(TBL_TRANSIT[TransitID],$A20)</f>
        <v>Transit_003_001_001</v>
      </c>
      <c r="X20" s="31" t="str">
        <f>"TransitTariffFixed_"&amp;RIGHT($W20,11)</f>
        <v>TransitTariffFixed_003_001_001</v>
      </c>
    </row>
    <row r="21" spans="1:24" x14ac:dyDescent="0.25">
      <c r="A21" s="94">
        <f t="shared" si="8"/>
        <v>4</v>
      </c>
      <c r="B21" s="119"/>
      <c r="C21" s="93" t="str">
        <f t="shared" ref="C21:D21" si="11">IF($B18&lt;&gt;"",C17,"")</f>
        <v>Tariff - variable</v>
      </c>
      <c r="D21" s="93" t="str">
        <f t="shared" si="11"/>
        <v>EUR/MWh</v>
      </c>
      <c r="E21" s="32">
        <v>0.3</v>
      </c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26"/>
      <c r="W21" s="31" t="str">
        <f>INDEX(TBL_TRANSIT[TransitID],$A21)</f>
        <v>Transit_003_001_001</v>
      </c>
      <c r="X21" s="31" t="str">
        <f>"TransitTariffVar_"&amp;RIGHT($W21,11)</f>
        <v>TransitTariffVar_003_001_001</v>
      </c>
    </row>
    <row r="22" spans="1:24" x14ac:dyDescent="0.25">
      <c r="A22" s="94">
        <f t="shared" ref="A22" si="12">$A18+1</f>
        <v>5</v>
      </c>
      <c r="B22" s="117" t="str">
        <f>IFERROR(INDEX(TBL_TRANSIT[Name],$A22),"")</f>
        <v>DE-CH</v>
      </c>
      <c r="C22" s="93" t="str">
        <f t="shared" ref="C22:D22" si="13">IF($B22&lt;&gt;"",C18,"")</f>
        <v>Capacity - Min</v>
      </c>
      <c r="D22" s="93" t="str">
        <f t="shared" si="13"/>
        <v>mcm/day</v>
      </c>
      <c r="E22" s="27">
        <v>0</v>
      </c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5"/>
      <c r="W22" s="31" t="str">
        <f>INDEX(TBL_TRANSIT[TransitID],$A22)</f>
        <v>Transit_001_004_001</v>
      </c>
      <c r="X22" s="31" t="str">
        <f>"TransitCapMin_"&amp;RIGHT($W22,11)</f>
        <v>TransitCapMin_001_004_001</v>
      </c>
    </row>
    <row r="23" spans="1:24" x14ac:dyDescent="0.25">
      <c r="A23" s="94">
        <f t="shared" ref="A23:A25" si="14">$A22</f>
        <v>5</v>
      </c>
      <c r="B23" s="118"/>
      <c r="C23" s="93" t="str">
        <f t="shared" ref="C23:D23" si="15">IF($B22&lt;&gt;"",C19,"")</f>
        <v>Capacity - Max</v>
      </c>
      <c r="D23" s="93" t="str">
        <f t="shared" si="15"/>
        <v>mcm/day</v>
      </c>
      <c r="E23" s="32">
        <v>20</v>
      </c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26"/>
      <c r="W23" s="31" t="str">
        <f>INDEX(TBL_TRANSIT[TransitID],$A23)</f>
        <v>Transit_001_004_001</v>
      </c>
      <c r="X23" s="31" t="str">
        <f>"TransitCapMax_"&amp;RIGHT($W23,11)</f>
        <v>TransitCapMax_001_004_001</v>
      </c>
    </row>
    <row r="24" spans="1:24" x14ac:dyDescent="0.25">
      <c r="A24" s="94">
        <f t="shared" si="14"/>
        <v>5</v>
      </c>
      <c r="B24" s="118"/>
      <c r="C24" s="93" t="str">
        <f t="shared" ref="C24:D24" si="16">IF($B22&lt;&gt;"",C20,"")</f>
        <v>Tariff - fixed</v>
      </c>
      <c r="D24" s="93" t="str">
        <f t="shared" si="16"/>
        <v>EUR/month</v>
      </c>
      <c r="E24" s="27">
        <v>0</v>
      </c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5"/>
      <c r="W24" s="31" t="str">
        <f>INDEX(TBL_TRANSIT[TransitID],$A24)</f>
        <v>Transit_001_004_001</v>
      </c>
      <c r="X24" s="31" t="str">
        <f>"TransitTariffFixed_"&amp;RIGHT($W24,11)</f>
        <v>TransitTariffFixed_001_004_001</v>
      </c>
    </row>
    <row r="25" spans="1:24" x14ac:dyDescent="0.25">
      <c r="A25" s="94">
        <f t="shared" si="14"/>
        <v>5</v>
      </c>
      <c r="B25" s="119"/>
      <c r="C25" s="93" t="str">
        <f t="shared" ref="C25:D25" si="17">IF($B22&lt;&gt;"",C21,"")</f>
        <v>Tariff - variable</v>
      </c>
      <c r="D25" s="93" t="str">
        <f t="shared" si="17"/>
        <v>EUR/MWh</v>
      </c>
      <c r="E25" s="32">
        <v>0.5</v>
      </c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26"/>
      <c r="W25" s="31" t="str">
        <f>INDEX(TBL_TRANSIT[TransitID],$A25)</f>
        <v>Transit_001_004_001</v>
      </c>
      <c r="X25" s="31" t="str">
        <f>"TransitTariffVar_"&amp;RIGHT($W25,11)</f>
        <v>TransitTariffVar_001_004_001</v>
      </c>
    </row>
    <row r="26" spans="1:24" x14ac:dyDescent="0.25">
      <c r="A26" s="94">
        <f t="shared" ref="A26" si="18">$A22+1</f>
        <v>6</v>
      </c>
      <c r="B26" s="117" t="str">
        <f>IFERROR(INDEX(TBL_TRANSIT[Name],$A26),"")</f>
        <v>FR-NL</v>
      </c>
      <c r="C26" s="93" t="str">
        <f t="shared" ref="C26:D26" si="19">IF($B26&lt;&gt;"",C22,"")</f>
        <v>Capacity - Min</v>
      </c>
      <c r="D26" s="93" t="str">
        <f t="shared" si="19"/>
        <v>mcm/day</v>
      </c>
      <c r="E26" s="27">
        <v>0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5"/>
      <c r="W26" s="31" t="str">
        <f>INDEX(TBL_TRANSIT[TransitID],$A26)</f>
        <v>Transit_002_003_001</v>
      </c>
      <c r="X26" s="31" t="str">
        <f>"TransitCapMin_"&amp;RIGHT($W26,11)</f>
        <v>TransitCapMin_002_003_001</v>
      </c>
    </row>
    <row r="27" spans="1:24" x14ac:dyDescent="0.25">
      <c r="A27" s="94">
        <f t="shared" ref="A27:A29" si="20">$A26</f>
        <v>6</v>
      </c>
      <c r="B27" s="118"/>
      <c r="C27" s="93" t="str">
        <f t="shared" ref="C27:D27" si="21">IF($B26&lt;&gt;"",C23,"")</f>
        <v>Capacity - Max</v>
      </c>
      <c r="D27" s="93" t="str">
        <f t="shared" si="21"/>
        <v>mcm/day</v>
      </c>
      <c r="E27" s="32">
        <v>2</v>
      </c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26"/>
      <c r="W27" s="31" t="str">
        <f>INDEX(TBL_TRANSIT[TransitID],$A27)</f>
        <v>Transit_002_003_001</v>
      </c>
      <c r="X27" s="31" t="str">
        <f>"TransitCapMax_"&amp;RIGHT($W27,11)</f>
        <v>TransitCapMax_002_003_001</v>
      </c>
    </row>
    <row r="28" spans="1:24" x14ac:dyDescent="0.25">
      <c r="A28" s="94">
        <f t="shared" si="20"/>
        <v>6</v>
      </c>
      <c r="B28" s="118"/>
      <c r="C28" s="93" t="str">
        <f t="shared" ref="C28:D28" si="22">IF($B26&lt;&gt;"",C24,"")</f>
        <v>Tariff - fixed</v>
      </c>
      <c r="D28" s="93" t="str">
        <f t="shared" si="22"/>
        <v>EUR/month</v>
      </c>
      <c r="E28" s="27">
        <v>20</v>
      </c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5"/>
      <c r="W28" s="31" t="str">
        <f>INDEX(TBL_TRANSIT[TransitID],$A28)</f>
        <v>Transit_002_003_001</v>
      </c>
      <c r="X28" s="31" t="str">
        <f>"TransitTariffFixed_"&amp;RIGHT($W28,11)</f>
        <v>TransitTariffFixed_002_003_001</v>
      </c>
    </row>
    <row r="29" spans="1:24" x14ac:dyDescent="0.25">
      <c r="A29" s="94">
        <f t="shared" si="20"/>
        <v>6</v>
      </c>
      <c r="B29" s="119"/>
      <c r="C29" s="93" t="str">
        <f t="shared" ref="C29:D29" si="23">IF($B26&lt;&gt;"",C25,"")</f>
        <v>Tariff - variable</v>
      </c>
      <c r="D29" s="93" t="str">
        <f t="shared" si="23"/>
        <v>EUR/MWh</v>
      </c>
      <c r="E29" s="32">
        <v>0.1</v>
      </c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26"/>
      <c r="W29" s="31" t="str">
        <f>INDEX(TBL_TRANSIT[TransitID],$A29)</f>
        <v>Transit_002_003_001</v>
      </c>
      <c r="X29" s="31" t="str">
        <f>"TransitTariffVar_"&amp;RIGHT($W29,11)</f>
        <v>TransitTariffVar_002_003_001</v>
      </c>
    </row>
    <row r="30" spans="1:24" x14ac:dyDescent="0.25">
      <c r="A30" s="94">
        <f t="shared" ref="A30" si="24">$A26+1</f>
        <v>7</v>
      </c>
      <c r="B30" s="117" t="str">
        <f>IFERROR(INDEX(TBL_TRANSIT[Name],$A30),"")</f>
        <v>NL-FR</v>
      </c>
      <c r="C30" s="93" t="str">
        <f t="shared" ref="C30:D30" si="25">IF($B30&lt;&gt;"",C26,"")</f>
        <v>Capacity - Min</v>
      </c>
      <c r="D30" s="93" t="str">
        <f t="shared" si="25"/>
        <v>mcm/day</v>
      </c>
      <c r="E30" s="27">
        <v>0</v>
      </c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5"/>
      <c r="W30" s="31" t="str">
        <f>INDEX(TBL_TRANSIT[TransitID],$A30)</f>
        <v>Transit_003_002_001</v>
      </c>
      <c r="X30" s="31" t="str">
        <f>"TransitCapMin_"&amp;RIGHT($W30,11)</f>
        <v>TransitCapMin_003_002_001</v>
      </c>
    </row>
    <row r="31" spans="1:24" x14ac:dyDescent="0.25">
      <c r="A31" s="94">
        <f t="shared" ref="A31:A33" si="26">$A30</f>
        <v>7</v>
      </c>
      <c r="B31" s="118"/>
      <c r="C31" s="93" t="str">
        <f t="shared" ref="C31:D31" si="27">IF($B30&lt;&gt;"",C27,"")</f>
        <v>Capacity - Max</v>
      </c>
      <c r="D31" s="93" t="str">
        <f t="shared" si="27"/>
        <v>mcm/day</v>
      </c>
      <c r="E31" s="32">
        <v>20</v>
      </c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26"/>
      <c r="W31" s="31" t="str">
        <f>INDEX(TBL_TRANSIT[TransitID],$A31)</f>
        <v>Transit_003_002_001</v>
      </c>
      <c r="X31" s="31" t="str">
        <f>"TransitCapMax_"&amp;RIGHT($W31,11)</f>
        <v>TransitCapMax_003_002_001</v>
      </c>
    </row>
    <row r="32" spans="1:24" x14ac:dyDescent="0.25">
      <c r="A32" s="94">
        <f t="shared" si="26"/>
        <v>7</v>
      </c>
      <c r="B32" s="118"/>
      <c r="C32" s="93" t="str">
        <f t="shared" ref="C32:D32" si="28">IF($B30&lt;&gt;"",C28,"")</f>
        <v>Tariff - fixed</v>
      </c>
      <c r="D32" s="93" t="str">
        <f t="shared" si="28"/>
        <v>EUR/month</v>
      </c>
      <c r="E32" s="27">
        <v>0</v>
      </c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5"/>
      <c r="W32" s="31" t="str">
        <f>INDEX(TBL_TRANSIT[TransitID],$A32)</f>
        <v>Transit_003_002_001</v>
      </c>
      <c r="X32" s="31" t="str">
        <f>"TransitTariffFixed_"&amp;RIGHT($W32,11)</f>
        <v>TransitTariffFixed_003_002_001</v>
      </c>
    </row>
    <row r="33" spans="1:24" x14ac:dyDescent="0.25">
      <c r="A33" s="94">
        <f t="shared" si="26"/>
        <v>7</v>
      </c>
      <c r="B33" s="119"/>
      <c r="C33" s="93" t="str">
        <f t="shared" ref="C33:D33" si="29">IF($B30&lt;&gt;"",C29,"")</f>
        <v>Tariff - variable</v>
      </c>
      <c r="D33" s="93" t="str">
        <f t="shared" si="29"/>
        <v>EUR/MWh</v>
      </c>
      <c r="E33" s="32">
        <v>0.2</v>
      </c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26"/>
      <c r="W33" s="31" t="str">
        <f>INDEX(TBL_TRANSIT[TransitID],$A33)</f>
        <v>Transit_003_002_001</v>
      </c>
      <c r="X33" s="31" t="str">
        <f>"TransitTariffVar_"&amp;RIGHT($W33,11)</f>
        <v>TransitTariffVar_003_002_001</v>
      </c>
    </row>
    <row r="34" spans="1:24" x14ac:dyDescent="0.25">
      <c r="A34" s="94">
        <f t="shared" ref="A34" si="30">$A30+1</f>
        <v>8</v>
      </c>
      <c r="B34" s="117" t="str">
        <f>IFERROR(INDEX(TBL_TRANSIT[Name],$A34),"")</f>
        <v>FR-CH</v>
      </c>
      <c r="C34" s="93" t="str">
        <f t="shared" ref="C34:D34" si="31">IF($B34&lt;&gt;"",C30,"")</f>
        <v>Capacity - Min</v>
      </c>
      <c r="D34" s="93" t="str">
        <f t="shared" si="31"/>
        <v>mcm/day</v>
      </c>
      <c r="E34" s="27">
        <v>0</v>
      </c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5"/>
      <c r="W34" s="31" t="str">
        <f>INDEX(TBL_TRANSIT[TransitID],$A34)</f>
        <v>Transit_002_004_001</v>
      </c>
      <c r="X34" s="31" t="str">
        <f>"TransitCapMin_"&amp;RIGHT($W34,11)</f>
        <v>TransitCapMin_002_004_001</v>
      </c>
    </row>
    <row r="35" spans="1:24" x14ac:dyDescent="0.25">
      <c r="A35" s="94">
        <f t="shared" ref="A35:A37" si="32">$A34</f>
        <v>8</v>
      </c>
      <c r="B35" s="118"/>
      <c r="C35" s="93" t="str">
        <f t="shared" ref="C35:D35" si="33">IF($B34&lt;&gt;"",C31,"")</f>
        <v>Capacity - Max</v>
      </c>
      <c r="D35" s="93" t="str">
        <f t="shared" si="33"/>
        <v>mcm/day</v>
      </c>
      <c r="E35" s="32">
        <v>2</v>
      </c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26"/>
      <c r="W35" s="31" t="str">
        <f>INDEX(TBL_TRANSIT[TransitID],$A35)</f>
        <v>Transit_002_004_001</v>
      </c>
      <c r="X35" s="31" t="str">
        <f>"TransitCapMax_"&amp;RIGHT($W35,11)</f>
        <v>TransitCapMax_002_004_001</v>
      </c>
    </row>
    <row r="36" spans="1:24" x14ac:dyDescent="0.25">
      <c r="A36" s="94">
        <f t="shared" si="32"/>
        <v>8</v>
      </c>
      <c r="B36" s="118"/>
      <c r="C36" s="93" t="str">
        <f t="shared" ref="C36:D36" si="34">IF($B34&lt;&gt;"",C32,"")</f>
        <v>Tariff - fixed</v>
      </c>
      <c r="D36" s="93" t="str">
        <f t="shared" si="34"/>
        <v>EUR/month</v>
      </c>
      <c r="E36" s="27">
        <v>0</v>
      </c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5"/>
      <c r="W36" s="31" t="str">
        <f>INDEX(TBL_TRANSIT[TransitID],$A36)</f>
        <v>Transit_002_004_001</v>
      </c>
      <c r="X36" s="31" t="str">
        <f>"TransitTariffFixed_"&amp;RIGHT($W36,11)</f>
        <v>TransitTariffFixed_002_004_001</v>
      </c>
    </row>
    <row r="37" spans="1:24" x14ac:dyDescent="0.25">
      <c r="A37" s="94">
        <f t="shared" si="32"/>
        <v>8</v>
      </c>
      <c r="B37" s="119"/>
      <c r="C37" s="93" t="str">
        <f t="shared" ref="C37:D37" si="35">IF($B34&lt;&gt;"",C33,"")</f>
        <v>Tariff - variable</v>
      </c>
      <c r="D37" s="93" t="str">
        <f t="shared" si="35"/>
        <v>EUR/MWh</v>
      </c>
      <c r="E37" s="32">
        <v>0.2</v>
      </c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26"/>
      <c r="W37" s="31" t="str">
        <f>INDEX(TBL_TRANSIT[TransitID],$A37)</f>
        <v>Transit_002_004_001</v>
      </c>
      <c r="X37" s="31" t="str">
        <f>"TransitTariffVar_"&amp;RIGHT($W37,11)</f>
        <v>TransitTariffVar_002_004_001</v>
      </c>
    </row>
    <row r="38" spans="1:24" x14ac:dyDescent="0.25">
      <c r="A38" s="94">
        <f t="shared" ref="A38" si="36">$A34+1</f>
        <v>9</v>
      </c>
      <c r="B38" s="117" t="str">
        <f>IFERROR(INDEX(TBL_TRANSIT[Name],$A38),"")</f>
        <v>CH-FR</v>
      </c>
      <c r="C38" s="93" t="str">
        <f t="shared" ref="C38:D38" si="37">IF($B38&lt;&gt;"",C34,"")</f>
        <v>Capacity - Min</v>
      </c>
      <c r="D38" s="93" t="str">
        <f t="shared" si="37"/>
        <v>mcm/day</v>
      </c>
      <c r="E38" s="27">
        <v>0</v>
      </c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5"/>
      <c r="W38" s="31" t="str">
        <f>INDEX(TBL_TRANSIT[TransitID],$A38)</f>
        <v>Transit_004_002_001</v>
      </c>
      <c r="X38" s="31" t="str">
        <f>"TransitCapMin_"&amp;RIGHT($W38,11)</f>
        <v>TransitCapMin_004_002_001</v>
      </c>
    </row>
    <row r="39" spans="1:24" x14ac:dyDescent="0.25">
      <c r="A39" s="94">
        <f t="shared" ref="A39:A101" si="38">$A38</f>
        <v>9</v>
      </c>
      <c r="B39" s="118"/>
      <c r="C39" s="93" t="str">
        <f t="shared" ref="C39:D39" si="39">IF($B38&lt;&gt;"",C35,"")</f>
        <v>Capacity - Max</v>
      </c>
      <c r="D39" s="93" t="str">
        <f t="shared" si="39"/>
        <v>mcm/day</v>
      </c>
      <c r="E39" s="32">
        <v>30</v>
      </c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26"/>
      <c r="W39" s="31" t="str">
        <f>INDEX(TBL_TRANSIT[TransitID],$A39)</f>
        <v>Transit_004_002_001</v>
      </c>
      <c r="X39" s="31" t="str">
        <f>"TransitCapMax_"&amp;RIGHT($W39,11)</f>
        <v>TransitCapMax_004_002_001</v>
      </c>
    </row>
    <row r="40" spans="1:24" x14ac:dyDescent="0.25">
      <c r="A40" s="94">
        <f t="shared" si="38"/>
        <v>9</v>
      </c>
      <c r="B40" s="118"/>
      <c r="C40" s="93" t="str">
        <f t="shared" ref="C40:D40" si="40">IF($B38&lt;&gt;"",C36,"")</f>
        <v>Tariff - fixed</v>
      </c>
      <c r="D40" s="93" t="str">
        <f t="shared" si="40"/>
        <v>EUR/month</v>
      </c>
      <c r="E40" s="27">
        <v>0</v>
      </c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5"/>
      <c r="W40" s="31" t="str">
        <f>INDEX(TBL_TRANSIT[TransitID],$A40)</f>
        <v>Transit_004_002_001</v>
      </c>
      <c r="X40" s="31" t="str">
        <f>"TransitTariffFixed_"&amp;RIGHT($W40,11)</f>
        <v>TransitTariffFixed_004_002_001</v>
      </c>
    </row>
    <row r="41" spans="1:24" x14ac:dyDescent="0.25">
      <c r="A41" s="94">
        <f t="shared" si="38"/>
        <v>9</v>
      </c>
      <c r="B41" s="119"/>
      <c r="C41" s="93" t="str">
        <f t="shared" ref="C41:D41" si="41">IF($B38&lt;&gt;"",C37,"")</f>
        <v>Tariff - variable</v>
      </c>
      <c r="D41" s="93" t="str">
        <f t="shared" si="41"/>
        <v>EUR/MWh</v>
      </c>
      <c r="E41" s="32">
        <v>0.2</v>
      </c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26"/>
      <c r="W41" s="31" t="str">
        <f>INDEX(TBL_TRANSIT[TransitID],$A41)</f>
        <v>Transit_004_002_001</v>
      </c>
      <c r="X41" s="31" t="str">
        <f>"TransitTariffVar_"&amp;RIGHT($W41,11)</f>
        <v>TransitTariffVar_004_002_001</v>
      </c>
    </row>
    <row r="42" spans="1:24" x14ac:dyDescent="0.25">
      <c r="A42" s="94">
        <f t="shared" ref="A42" si="42">$A38+1</f>
        <v>10</v>
      </c>
      <c r="B42" s="117" t="str">
        <f>IFERROR(INDEX(TBL_TRANSIT[Name],$A42),"")</f>
        <v>DE-FR II</v>
      </c>
      <c r="C42" s="93" t="str">
        <f t="shared" ref="C42:D42" si="43">IF($B42&lt;&gt;"",C38,"")</f>
        <v>Capacity - Min</v>
      </c>
      <c r="D42" s="93" t="str">
        <f t="shared" si="43"/>
        <v>mcm/day</v>
      </c>
      <c r="E42" s="27">
        <v>0</v>
      </c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5"/>
      <c r="W42" s="31" t="str">
        <f>INDEX(TBL_TRANSIT[TransitID],$A42)</f>
        <v>Transit_001_002_002</v>
      </c>
      <c r="X42" s="31" t="str">
        <f>"TransitCapMin_"&amp;RIGHT($W42,11)</f>
        <v>TransitCapMin_001_002_002</v>
      </c>
    </row>
    <row r="43" spans="1:24" x14ac:dyDescent="0.25">
      <c r="A43" s="94">
        <f t="shared" si="38"/>
        <v>10</v>
      </c>
      <c r="B43" s="118"/>
      <c r="C43" s="93" t="str">
        <f t="shared" ref="C43:D43" si="44">IF($B42&lt;&gt;"",C39,"")</f>
        <v>Capacity - Max</v>
      </c>
      <c r="D43" s="93" t="str">
        <f t="shared" si="44"/>
        <v>mcm/day</v>
      </c>
      <c r="E43" s="32">
        <v>40</v>
      </c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26"/>
      <c r="W43" s="31" t="str">
        <f>INDEX(TBL_TRANSIT[TransitID],$A43)</f>
        <v>Transit_001_002_002</v>
      </c>
      <c r="X43" s="31" t="str">
        <f>"TransitCapMax_"&amp;RIGHT($W43,11)</f>
        <v>TransitCapMax_001_002_002</v>
      </c>
    </row>
    <row r="44" spans="1:24" x14ac:dyDescent="0.25">
      <c r="A44" s="94">
        <f t="shared" si="38"/>
        <v>10</v>
      </c>
      <c r="B44" s="118"/>
      <c r="C44" s="93" t="str">
        <f t="shared" ref="C44:D44" si="45">IF($B42&lt;&gt;"",C40,"")</f>
        <v>Tariff - fixed</v>
      </c>
      <c r="D44" s="93" t="str">
        <f t="shared" si="45"/>
        <v>EUR/month</v>
      </c>
      <c r="E44" s="27">
        <v>0</v>
      </c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5"/>
      <c r="W44" s="31" t="str">
        <f>INDEX(TBL_TRANSIT[TransitID],$A44)</f>
        <v>Transit_001_002_002</v>
      </c>
      <c r="X44" s="31" t="str">
        <f>"TransitTariffFixed_"&amp;RIGHT($W44,11)</f>
        <v>TransitTariffFixed_001_002_002</v>
      </c>
    </row>
    <row r="45" spans="1:24" x14ac:dyDescent="0.25">
      <c r="A45" s="94">
        <f t="shared" si="38"/>
        <v>10</v>
      </c>
      <c r="B45" s="119"/>
      <c r="C45" s="93" t="str">
        <f t="shared" ref="C45:D45" si="46">IF($B42&lt;&gt;"",C41,"")</f>
        <v>Tariff - variable</v>
      </c>
      <c r="D45" s="93" t="str">
        <f t="shared" si="46"/>
        <v>EUR/MWh</v>
      </c>
      <c r="E45" s="32">
        <v>0.15</v>
      </c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26"/>
      <c r="W45" s="31" t="str">
        <f>INDEX(TBL_TRANSIT[TransitID],$A45)</f>
        <v>Transit_001_002_002</v>
      </c>
      <c r="X45" s="31" t="str">
        <f>"TransitTariffVar_"&amp;RIGHT($W45,11)</f>
        <v>TransitTariffVar_001_002_002</v>
      </c>
    </row>
    <row r="46" spans="1:24" x14ac:dyDescent="0.25">
      <c r="A46" s="94">
        <f t="shared" ref="A46" si="47">$A42+1</f>
        <v>11</v>
      </c>
      <c r="B46" s="117" t="str">
        <f>IFERROR(INDEX(TBL_TRANSIT[Name],$A46),"")</f>
        <v/>
      </c>
      <c r="C46" s="93" t="str">
        <f t="shared" ref="C46:D46" si="48">IF($B46&lt;&gt;"",C42,"")</f>
        <v/>
      </c>
      <c r="D46" s="93" t="str">
        <f t="shared" si="48"/>
        <v/>
      </c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5"/>
      <c r="W46" s="31" t="e">
        <f>INDEX(TBL_TRANSIT[TransitID],$A46)</f>
        <v>#REF!</v>
      </c>
      <c r="X46" s="31" t="e">
        <f>"TransitCapMin_"&amp;RIGHT($W46,11)</f>
        <v>#REF!</v>
      </c>
    </row>
    <row r="47" spans="1:24" x14ac:dyDescent="0.25">
      <c r="A47" s="94">
        <f t="shared" si="38"/>
        <v>11</v>
      </c>
      <c r="B47" s="118"/>
      <c r="C47" s="93" t="str">
        <f t="shared" ref="C47:D47" si="49">IF($B46&lt;&gt;"",C43,"")</f>
        <v/>
      </c>
      <c r="D47" s="93" t="str">
        <f t="shared" si="49"/>
        <v/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26"/>
      <c r="W47" s="31" t="e">
        <f>INDEX(TBL_TRANSIT[TransitID],$A47)</f>
        <v>#REF!</v>
      </c>
      <c r="X47" s="31" t="e">
        <f>"TransitCapMax_"&amp;RIGHT($W47,11)</f>
        <v>#REF!</v>
      </c>
    </row>
    <row r="48" spans="1:24" x14ac:dyDescent="0.25">
      <c r="A48" s="94">
        <f t="shared" si="38"/>
        <v>11</v>
      </c>
      <c r="B48" s="118"/>
      <c r="C48" s="93" t="str">
        <f t="shared" ref="C48:D48" si="50">IF($B46&lt;&gt;"",C44,"")</f>
        <v/>
      </c>
      <c r="D48" s="93" t="str">
        <f t="shared" si="50"/>
        <v/>
      </c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5"/>
      <c r="W48" s="31" t="e">
        <f>INDEX(TBL_TRANSIT[TransitID],$A48)</f>
        <v>#REF!</v>
      </c>
      <c r="X48" s="31" t="e">
        <f>"TransitTariffFixed_"&amp;RIGHT($W48,11)</f>
        <v>#REF!</v>
      </c>
    </row>
    <row r="49" spans="1:24" x14ac:dyDescent="0.25">
      <c r="A49" s="94">
        <f t="shared" si="38"/>
        <v>11</v>
      </c>
      <c r="B49" s="119"/>
      <c r="C49" s="93" t="str">
        <f t="shared" ref="C49:D49" si="51">IF($B46&lt;&gt;"",C45,"")</f>
        <v/>
      </c>
      <c r="D49" s="93" t="str">
        <f t="shared" si="51"/>
        <v/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26"/>
      <c r="W49" s="31" t="e">
        <f>INDEX(TBL_TRANSIT[TransitID],$A49)</f>
        <v>#REF!</v>
      </c>
      <c r="X49" s="31" t="e">
        <f>"TransitTariffVar_"&amp;RIGHT($W49,11)</f>
        <v>#REF!</v>
      </c>
    </row>
    <row r="50" spans="1:24" x14ac:dyDescent="0.25">
      <c r="A50" s="94">
        <f t="shared" ref="A50" si="52">$A46+1</f>
        <v>12</v>
      </c>
      <c r="B50" s="117" t="str">
        <f>IFERROR(INDEX(TBL_TRANSIT[Name],$A50),"")</f>
        <v/>
      </c>
      <c r="C50" s="93" t="str">
        <f t="shared" ref="C50:D50" si="53">IF($B50&lt;&gt;"",C46,"")</f>
        <v/>
      </c>
      <c r="D50" s="93" t="str">
        <f t="shared" si="53"/>
        <v/>
      </c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5"/>
      <c r="W50" s="31" t="e">
        <f>INDEX(TBL_TRANSIT[TransitID],$A50)</f>
        <v>#REF!</v>
      </c>
      <c r="X50" s="31" t="e">
        <f>"TransitCapMin_"&amp;RIGHT($W50,11)</f>
        <v>#REF!</v>
      </c>
    </row>
    <row r="51" spans="1:24" x14ac:dyDescent="0.25">
      <c r="A51" s="94">
        <f t="shared" si="38"/>
        <v>12</v>
      </c>
      <c r="B51" s="118"/>
      <c r="C51" s="93" t="str">
        <f t="shared" ref="C51:D51" si="54">IF($B50&lt;&gt;"",C47,"")</f>
        <v/>
      </c>
      <c r="D51" s="93" t="str">
        <f t="shared" si="54"/>
        <v/>
      </c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26"/>
      <c r="W51" s="31" t="e">
        <f>INDEX(TBL_TRANSIT[TransitID],$A51)</f>
        <v>#REF!</v>
      </c>
      <c r="X51" s="31" t="e">
        <f>"TransitCapMax_"&amp;RIGHT($W51,11)</f>
        <v>#REF!</v>
      </c>
    </row>
    <row r="52" spans="1:24" x14ac:dyDescent="0.25">
      <c r="A52" s="94">
        <f t="shared" si="38"/>
        <v>12</v>
      </c>
      <c r="B52" s="118"/>
      <c r="C52" s="93" t="str">
        <f t="shared" ref="C52:D52" si="55">IF($B50&lt;&gt;"",C48,"")</f>
        <v/>
      </c>
      <c r="D52" s="93" t="str">
        <f t="shared" si="55"/>
        <v/>
      </c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5"/>
      <c r="W52" s="31" t="e">
        <f>INDEX(TBL_TRANSIT[TransitID],$A52)</f>
        <v>#REF!</v>
      </c>
      <c r="X52" s="31" t="e">
        <f>"TransitTariffFixed_"&amp;RIGHT($W52,11)</f>
        <v>#REF!</v>
      </c>
    </row>
    <row r="53" spans="1:24" x14ac:dyDescent="0.25">
      <c r="A53" s="94">
        <f t="shared" si="38"/>
        <v>12</v>
      </c>
      <c r="B53" s="119"/>
      <c r="C53" s="93" t="str">
        <f t="shared" ref="C53:D53" si="56">IF($B50&lt;&gt;"",C49,"")</f>
        <v/>
      </c>
      <c r="D53" s="93" t="str">
        <f t="shared" si="56"/>
        <v/>
      </c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26"/>
      <c r="W53" s="31" t="e">
        <f>INDEX(TBL_TRANSIT[TransitID],$A53)</f>
        <v>#REF!</v>
      </c>
      <c r="X53" s="31" t="e">
        <f>"TransitTariffVar_"&amp;RIGHT($W53,11)</f>
        <v>#REF!</v>
      </c>
    </row>
    <row r="54" spans="1:24" x14ac:dyDescent="0.25">
      <c r="A54" s="94">
        <f t="shared" ref="A54" si="57">$A50+1</f>
        <v>13</v>
      </c>
      <c r="B54" s="117" t="str">
        <f>IFERROR(INDEX(TBL_TRANSIT[Name],$A54),"")</f>
        <v/>
      </c>
      <c r="C54" s="93" t="str">
        <f t="shared" ref="C54:D54" si="58">IF($B54&lt;&gt;"",C50,"")</f>
        <v/>
      </c>
      <c r="D54" s="93" t="str">
        <f t="shared" si="58"/>
        <v/>
      </c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5"/>
      <c r="W54" s="31" t="e">
        <f>INDEX(TBL_TRANSIT[TransitID],$A54)</f>
        <v>#REF!</v>
      </c>
      <c r="X54" s="31" t="e">
        <f>"TransitCapMin_"&amp;RIGHT($W54,11)</f>
        <v>#REF!</v>
      </c>
    </row>
    <row r="55" spans="1:24" x14ac:dyDescent="0.25">
      <c r="A55" s="94">
        <f t="shared" si="38"/>
        <v>13</v>
      </c>
      <c r="B55" s="118"/>
      <c r="C55" s="93" t="str">
        <f t="shared" ref="C55:D55" si="59">IF($B54&lt;&gt;"",C51,"")</f>
        <v/>
      </c>
      <c r="D55" s="93" t="str">
        <f t="shared" si="59"/>
        <v/>
      </c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26"/>
      <c r="W55" s="31" t="e">
        <f>INDEX(TBL_TRANSIT[TransitID],$A55)</f>
        <v>#REF!</v>
      </c>
      <c r="X55" s="31" t="e">
        <f>"TransitCapMax_"&amp;RIGHT($W55,11)</f>
        <v>#REF!</v>
      </c>
    </row>
    <row r="56" spans="1:24" x14ac:dyDescent="0.25">
      <c r="A56" s="94">
        <f t="shared" si="38"/>
        <v>13</v>
      </c>
      <c r="B56" s="118"/>
      <c r="C56" s="93" t="str">
        <f t="shared" ref="C56:D56" si="60">IF($B54&lt;&gt;"",C52,"")</f>
        <v/>
      </c>
      <c r="D56" s="93" t="str">
        <f t="shared" si="60"/>
        <v/>
      </c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5"/>
      <c r="W56" s="31" t="e">
        <f>INDEX(TBL_TRANSIT[TransitID],$A56)</f>
        <v>#REF!</v>
      </c>
      <c r="X56" s="31" t="e">
        <f>"TransitTariffFixed_"&amp;RIGHT($W56,11)</f>
        <v>#REF!</v>
      </c>
    </row>
    <row r="57" spans="1:24" x14ac:dyDescent="0.25">
      <c r="A57" s="94">
        <f t="shared" si="38"/>
        <v>13</v>
      </c>
      <c r="B57" s="119"/>
      <c r="C57" s="93" t="str">
        <f t="shared" ref="C57:D57" si="61">IF($B54&lt;&gt;"",C53,"")</f>
        <v/>
      </c>
      <c r="D57" s="93" t="str">
        <f t="shared" si="61"/>
        <v/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26"/>
      <c r="W57" s="31" t="e">
        <f>INDEX(TBL_TRANSIT[TransitID],$A57)</f>
        <v>#REF!</v>
      </c>
      <c r="X57" s="31" t="e">
        <f>"TransitTariffVar_"&amp;RIGHT($W57,11)</f>
        <v>#REF!</v>
      </c>
    </row>
    <row r="58" spans="1:24" x14ac:dyDescent="0.25">
      <c r="A58" s="94">
        <f t="shared" ref="A58" si="62">$A54+1</f>
        <v>14</v>
      </c>
      <c r="B58" s="117" t="str">
        <f>IFERROR(INDEX(TBL_TRANSIT[Name],$A58),"")</f>
        <v/>
      </c>
      <c r="C58" s="93" t="str">
        <f t="shared" ref="C58:D58" si="63">IF($B58&lt;&gt;"",C54,"")</f>
        <v/>
      </c>
      <c r="D58" s="93" t="str">
        <f t="shared" si="63"/>
        <v/>
      </c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5"/>
      <c r="W58" s="31" t="e">
        <f>INDEX(TBL_TRANSIT[TransitID],$A58)</f>
        <v>#REF!</v>
      </c>
      <c r="X58" s="31" t="e">
        <f>"TransitCapMin_"&amp;RIGHT($W58,11)</f>
        <v>#REF!</v>
      </c>
    </row>
    <row r="59" spans="1:24" x14ac:dyDescent="0.25">
      <c r="A59" s="94">
        <f t="shared" si="38"/>
        <v>14</v>
      </c>
      <c r="B59" s="118"/>
      <c r="C59" s="93" t="str">
        <f t="shared" ref="C59:D59" si="64">IF($B58&lt;&gt;"",C55,"")</f>
        <v/>
      </c>
      <c r="D59" s="93" t="str">
        <f t="shared" si="64"/>
        <v/>
      </c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26"/>
      <c r="W59" s="31" t="e">
        <f>INDEX(TBL_TRANSIT[TransitID],$A59)</f>
        <v>#REF!</v>
      </c>
      <c r="X59" s="31" t="e">
        <f>"TransitCapMax_"&amp;RIGHT($W59,11)</f>
        <v>#REF!</v>
      </c>
    </row>
    <row r="60" spans="1:24" x14ac:dyDescent="0.25">
      <c r="A60" s="94">
        <f t="shared" si="38"/>
        <v>14</v>
      </c>
      <c r="B60" s="118"/>
      <c r="C60" s="93" t="str">
        <f t="shared" ref="C60:D60" si="65">IF($B58&lt;&gt;"",C56,"")</f>
        <v/>
      </c>
      <c r="D60" s="93" t="str">
        <f t="shared" si="65"/>
        <v/>
      </c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5"/>
      <c r="W60" s="31" t="e">
        <f>INDEX(TBL_TRANSIT[TransitID],$A60)</f>
        <v>#REF!</v>
      </c>
      <c r="X60" s="31" t="e">
        <f>"TransitTariffFixed_"&amp;RIGHT($W60,11)</f>
        <v>#REF!</v>
      </c>
    </row>
    <row r="61" spans="1:24" x14ac:dyDescent="0.25">
      <c r="A61" s="94">
        <f t="shared" si="38"/>
        <v>14</v>
      </c>
      <c r="B61" s="119"/>
      <c r="C61" s="93" t="str">
        <f t="shared" ref="C61:D61" si="66">IF($B58&lt;&gt;"",C57,"")</f>
        <v/>
      </c>
      <c r="D61" s="93" t="str">
        <f t="shared" si="66"/>
        <v/>
      </c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26"/>
      <c r="W61" s="31" t="e">
        <f>INDEX(TBL_TRANSIT[TransitID],$A61)</f>
        <v>#REF!</v>
      </c>
      <c r="X61" s="31" t="e">
        <f>"TransitTariffVar_"&amp;RIGHT($W61,11)</f>
        <v>#REF!</v>
      </c>
    </row>
    <row r="62" spans="1:24" x14ac:dyDescent="0.25">
      <c r="A62" s="94">
        <f t="shared" ref="A62" si="67">$A58+1</f>
        <v>15</v>
      </c>
      <c r="B62" s="117" t="str">
        <f>IFERROR(INDEX(TBL_TRANSIT[Name],$A62),"")</f>
        <v/>
      </c>
      <c r="C62" s="93" t="str">
        <f t="shared" ref="C62:D62" si="68">IF($B62&lt;&gt;"",C58,"")</f>
        <v/>
      </c>
      <c r="D62" s="93" t="str">
        <f t="shared" si="68"/>
        <v/>
      </c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5"/>
      <c r="W62" s="31" t="e">
        <f>INDEX(TBL_TRANSIT[TransitID],$A62)</f>
        <v>#REF!</v>
      </c>
      <c r="X62" s="31" t="e">
        <f>"TransitCapMin_"&amp;RIGHT($W62,11)</f>
        <v>#REF!</v>
      </c>
    </row>
    <row r="63" spans="1:24" x14ac:dyDescent="0.25">
      <c r="A63" s="94">
        <f t="shared" si="38"/>
        <v>15</v>
      </c>
      <c r="B63" s="118"/>
      <c r="C63" s="93" t="str">
        <f t="shared" ref="C63:D63" si="69">IF($B62&lt;&gt;"",C59,"")</f>
        <v/>
      </c>
      <c r="D63" s="93" t="str">
        <f t="shared" si="69"/>
        <v/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26"/>
      <c r="W63" s="31" t="e">
        <f>INDEX(TBL_TRANSIT[TransitID],$A63)</f>
        <v>#REF!</v>
      </c>
      <c r="X63" s="31" t="e">
        <f>"TransitCapMax_"&amp;RIGHT($W63,11)</f>
        <v>#REF!</v>
      </c>
    </row>
    <row r="64" spans="1:24" x14ac:dyDescent="0.25">
      <c r="A64" s="94">
        <f t="shared" si="38"/>
        <v>15</v>
      </c>
      <c r="B64" s="118"/>
      <c r="C64" s="93" t="str">
        <f t="shared" ref="C64:D64" si="70">IF($B62&lt;&gt;"",C60,"")</f>
        <v/>
      </c>
      <c r="D64" s="93" t="str">
        <f t="shared" si="70"/>
        <v/>
      </c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5"/>
      <c r="W64" s="31" t="e">
        <f>INDEX(TBL_TRANSIT[TransitID],$A64)</f>
        <v>#REF!</v>
      </c>
      <c r="X64" s="31" t="e">
        <f>"TransitTariffFixed_"&amp;RIGHT($W64,11)</f>
        <v>#REF!</v>
      </c>
    </row>
    <row r="65" spans="1:24" x14ac:dyDescent="0.25">
      <c r="A65" s="94">
        <f t="shared" si="38"/>
        <v>15</v>
      </c>
      <c r="B65" s="119"/>
      <c r="C65" s="93" t="str">
        <f t="shared" ref="C65:D65" si="71">IF($B62&lt;&gt;"",C61,"")</f>
        <v/>
      </c>
      <c r="D65" s="93" t="str">
        <f t="shared" si="71"/>
        <v/>
      </c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26"/>
      <c r="W65" s="31" t="e">
        <f>INDEX(TBL_TRANSIT[TransitID],$A65)</f>
        <v>#REF!</v>
      </c>
      <c r="X65" s="31" t="e">
        <f>"TransitTariffVar_"&amp;RIGHT($W65,11)</f>
        <v>#REF!</v>
      </c>
    </row>
    <row r="66" spans="1:24" x14ac:dyDescent="0.25">
      <c r="A66" s="94">
        <f t="shared" ref="A66" si="72">$A62+1</f>
        <v>16</v>
      </c>
      <c r="B66" s="117" t="str">
        <f>IFERROR(INDEX(TBL_TRANSIT[Name],$A66),"")</f>
        <v/>
      </c>
      <c r="C66" s="93" t="str">
        <f t="shared" ref="C66:D66" si="73">IF($B66&lt;&gt;"",C62,"")</f>
        <v/>
      </c>
      <c r="D66" s="93" t="str">
        <f t="shared" si="73"/>
        <v/>
      </c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5"/>
      <c r="W66" s="31" t="e">
        <f>INDEX(TBL_TRANSIT[TransitID],$A66)</f>
        <v>#REF!</v>
      </c>
      <c r="X66" s="31" t="e">
        <f>"TransitCapMin_"&amp;RIGHT($W66,11)</f>
        <v>#REF!</v>
      </c>
    </row>
    <row r="67" spans="1:24" x14ac:dyDescent="0.25">
      <c r="A67" s="94">
        <f t="shared" si="38"/>
        <v>16</v>
      </c>
      <c r="B67" s="118"/>
      <c r="C67" s="93" t="str">
        <f t="shared" ref="C67:D67" si="74">IF($B66&lt;&gt;"",C63,"")</f>
        <v/>
      </c>
      <c r="D67" s="93" t="str">
        <f t="shared" si="74"/>
        <v/>
      </c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26"/>
      <c r="W67" s="31" t="e">
        <f>INDEX(TBL_TRANSIT[TransitID],$A67)</f>
        <v>#REF!</v>
      </c>
      <c r="X67" s="31" t="e">
        <f>"TransitCapMax_"&amp;RIGHT($W67,11)</f>
        <v>#REF!</v>
      </c>
    </row>
    <row r="68" spans="1:24" x14ac:dyDescent="0.25">
      <c r="A68" s="94">
        <f t="shared" si="38"/>
        <v>16</v>
      </c>
      <c r="B68" s="118"/>
      <c r="C68" s="93" t="str">
        <f t="shared" ref="C68:D68" si="75">IF($B66&lt;&gt;"",C64,"")</f>
        <v/>
      </c>
      <c r="D68" s="93" t="str">
        <f t="shared" si="75"/>
        <v/>
      </c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5"/>
      <c r="W68" s="31" t="e">
        <f>INDEX(TBL_TRANSIT[TransitID],$A68)</f>
        <v>#REF!</v>
      </c>
      <c r="X68" s="31" t="e">
        <f>"TransitTariffFixed_"&amp;RIGHT($W68,11)</f>
        <v>#REF!</v>
      </c>
    </row>
    <row r="69" spans="1:24" x14ac:dyDescent="0.25">
      <c r="A69" s="94">
        <f t="shared" si="38"/>
        <v>16</v>
      </c>
      <c r="B69" s="119"/>
      <c r="C69" s="93" t="str">
        <f t="shared" ref="C69:D69" si="76">IF($B66&lt;&gt;"",C65,"")</f>
        <v/>
      </c>
      <c r="D69" s="93" t="str">
        <f t="shared" si="76"/>
        <v/>
      </c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26"/>
      <c r="W69" s="31" t="e">
        <f>INDEX(TBL_TRANSIT[TransitID],$A69)</f>
        <v>#REF!</v>
      </c>
      <c r="X69" s="31" t="e">
        <f>"TransitTariffVar_"&amp;RIGHT($W69,11)</f>
        <v>#REF!</v>
      </c>
    </row>
    <row r="70" spans="1:24" x14ac:dyDescent="0.25">
      <c r="A70" s="94">
        <f t="shared" ref="A70" si="77">$A66+1</f>
        <v>17</v>
      </c>
      <c r="B70" s="117" t="str">
        <f>IFERROR(INDEX(TBL_TRANSIT[Name],$A70),"")</f>
        <v/>
      </c>
      <c r="C70" s="93" t="str">
        <f t="shared" ref="C70:D70" si="78">IF($B70&lt;&gt;"",C66,"")</f>
        <v/>
      </c>
      <c r="D70" s="93" t="str">
        <f t="shared" si="78"/>
        <v/>
      </c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5"/>
      <c r="W70" s="31" t="e">
        <f>INDEX(TBL_TRANSIT[TransitID],$A70)</f>
        <v>#REF!</v>
      </c>
      <c r="X70" s="31" t="e">
        <f>"TransitCapMin_"&amp;RIGHT($W70,11)</f>
        <v>#REF!</v>
      </c>
    </row>
    <row r="71" spans="1:24" x14ac:dyDescent="0.25">
      <c r="A71" s="94">
        <f t="shared" si="38"/>
        <v>17</v>
      </c>
      <c r="B71" s="118"/>
      <c r="C71" s="93" t="str">
        <f t="shared" ref="C71:D71" si="79">IF($B70&lt;&gt;"",C67,"")</f>
        <v/>
      </c>
      <c r="D71" s="93" t="str">
        <f t="shared" si="79"/>
        <v/>
      </c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26"/>
      <c r="W71" s="31" t="e">
        <f>INDEX(TBL_TRANSIT[TransitID],$A71)</f>
        <v>#REF!</v>
      </c>
      <c r="X71" s="31" t="e">
        <f>"TransitCapMax_"&amp;RIGHT($W71,11)</f>
        <v>#REF!</v>
      </c>
    </row>
    <row r="72" spans="1:24" x14ac:dyDescent="0.25">
      <c r="A72" s="94">
        <f t="shared" si="38"/>
        <v>17</v>
      </c>
      <c r="B72" s="118"/>
      <c r="C72" s="93" t="str">
        <f t="shared" ref="C72:D72" si="80">IF($B70&lt;&gt;"",C68,"")</f>
        <v/>
      </c>
      <c r="D72" s="93" t="str">
        <f t="shared" si="80"/>
        <v/>
      </c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5"/>
      <c r="W72" s="31" t="e">
        <f>INDEX(TBL_TRANSIT[TransitID],$A72)</f>
        <v>#REF!</v>
      </c>
      <c r="X72" s="31" t="e">
        <f>"TransitTariffFixed_"&amp;RIGHT($W72,11)</f>
        <v>#REF!</v>
      </c>
    </row>
    <row r="73" spans="1:24" x14ac:dyDescent="0.25">
      <c r="A73" s="94">
        <f t="shared" si="38"/>
        <v>17</v>
      </c>
      <c r="B73" s="119"/>
      <c r="C73" s="93" t="str">
        <f t="shared" ref="C73:D73" si="81">IF($B70&lt;&gt;"",C69,"")</f>
        <v/>
      </c>
      <c r="D73" s="93" t="str">
        <f t="shared" si="81"/>
        <v/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26"/>
      <c r="W73" s="31" t="e">
        <f>INDEX(TBL_TRANSIT[TransitID],$A73)</f>
        <v>#REF!</v>
      </c>
      <c r="X73" s="31" t="e">
        <f>"TransitTariffVar_"&amp;RIGHT($W73,11)</f>
        <v>#REF!</v>
      </c>
    </row>
    <row r="74" spans="1:24" x14ac:dyDescent="0.25">
      <c r="A74" s="94">
        <f t="shared" ref="A74" si="82">$A70+1</f>
        <v>18</v>
      </c>
      <c r="B74" s="117" t="str">
        <f>IFERROR(INDEX(TBL_TRANSIT[Name],$A74),"")</f>
        <v/>
      </c>
      <c r="C74" s="93" t="str">
        <f t="shared" ref="C74:D74" si="83">IF($B74&lt;&gt;"",C70,"")</f>
        <v/>
      </c>
      <c r="D74" s="93" t="str">
        <f t="shared" si="83"/>
        <v/>
      </c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5"/>
      <c r="W74" s="31" t="e">
        <f>INDEX(TBL_TRANSIT[TransitID],$A74)</f>
        <v>#REF!</v>
      </c>
      <c r="X74" s="31" t="e">
        <f>"TransitCapMin_"&amp;RIGHT($W74,11)</f>
        <v>#REF!</v>
      </c>
    </row>
    <row r="75" spans="1:24" x14ac:dyDescent="0.25">
      <c r="A75" s="94">
        <f t="shared" si="38"/>
        <v>18</v>
      </c>
      <c r="B75" s="118"/>
      <c r="C75" s="93" t="str">
        <f t="shared" ref="C75:D75" si="84">IF($B74&lt;&gt;"",C71,"")</f>
        <v/>
      </c>
      <c r="D75" s="93" t="str">
        <f t="shared" si="84"/>
        <v/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26"/>
      <c r="W75" s="31" t="e">
        <f>INDEX(TBL_TRANSIT[TransitID],$A75)</f>
        <v>#REF!</v>
      </c>
      <c r="X75" s="31" t="e">
        <f>"TransitCapMax_"&amp;RIGHT($W75,11)</f>
        <v>#REF!</v>
      </c>
    </row>
    <row r="76" spans="1:24" x14ac:dyDescent="0.25">
      <c r="A76" s="94">
        <f t="shared" si="38"/>
        <v>18</v>
      </c>
      <c r="B76" s="118"/>
      <c r="C76" s="93" t="str">
        <f t="shared" ref="C76:D76" si="85">IF($B74&lt;&gt;"",C72,"")</f>
        <v/>
      </c>
      <c r="D76" s="93" t="str">
        <f t="shared" si="85"/>
        <v/>
      </c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5"/>
      <c r="W76" s="31" t="e">
        <f>INDEX(TBL_TRANSIT[TransitID],$A76)</f>
        <v>#REF!</v>
      </c>
      <c r="X76" s="31" t="e">
        <f>"TransitTariffFixed_"&amp;RIGHT($W76,11)</f>
        <v>#REF!</v>
      </c>
    </row>
    <row r="77" spans="1:24" x14ac:dyDescent="0.25">
      <c r="A77" s="94">
        <f t="shared" si="38"/>
        <v>18</v>
      </c>
      <c r="B77" s="119"/>
      <c r="C77" s="93" t="str">
        <f t="shared" ref="C77:D77" si="86">IF($B74&lt;&gt;"",C73,"")</f>
        <v/>
      </c>
      <c r="D77" s="93" t="str">
        <f t="shared" si="86"/>
        <v/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26"/>
      <c r="W77" s="31" t="e">
        <f>INDEX(TBL_TRANSIT[TransitID],$A77)</f>
        <v>#REF!</v>
      </c>
      <c r="X77" s="31" t="e">
        <f>"TransitTariffVar_"&amp;RIGHT($W77,11)</f>
        <v>#REF!</v>
      </c>
    </row>
    <row r="78" spans="1:24" x14ac:dyDescent="0.25">
      <c r="A78" s="94">
        <f t="shared" ref="A78" si="87">$A74+1</f>
        <v>19</v>
      </c>
      <c r="B78" s="117" t="str">
        <f>IFERROR(INDEX(TBL_TRANSIT[Name],$A78),"")</f>
        <v/>
      </c>
      <c r="C78" s="93" t="str">
        <f t="shared" ref="C78:D78" si="88">IF($B78&lt;&gt;"",C74,"")</f>
        <v/>
      </c>
      <c r="D78" s="93" t="str">
        <f t="shared" si="88"/>
        <v/>
      </c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5"/>
      <c r="W78" s="31" t="e">
        <f>INDEX(TBL_TRANSIT[TransitID],$A78)</f>
        <v>#REF!</v>
      </c>
      <c r="X78" s="31" t="e">
        <f>"TransitCapMin_"&amp;RIGHT($W78,11)</f>
        <v>#REF!</v>
      </c>
    </row>
    <row r="79" spans="1:24" x14ac:dyDescent="0.25">
      <c r="A79" s="94">
        <f t="shared" si="38"/>
        <v>19</v>
      </c>
      <c r="B79" s="118"/>
      <c r="C79" s="93" t="str">
        <f t="shared" ref="C79:D79" si="89">IF($B78&lt;&gt;"",C75,"")</f>
        <v/>
      </c>
      <c r="D79" s="93" t="str">
        <f t="shared" si="89"/>
        <v/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26"/>
      <c r="W79" s="31" t="e">
        <f>INDEX(TBL_TRANSIT[TransitID],$A79)</f>
        <v>#REF!</v>
      </c>
      <c r="X79" s="31" t="e">
        <f>"TransitCapMax_"&amp;RIGHT($W79,11)</f>
        <v>#REF!</v>
      </c>
    </row>
    <row r="80" spans="1:24" x14ac:dyDescent="0.25">
      <c r="A80" s="94">
        <f t="shared" si="38"/>
        <v>19</v>
      </c>
      <c r="B80" s="118"/>
      <c r="C80" s="93" t="str">
        <f t="shared" ref="C80:D80" si="90">IF($B78&lt;&gt;"",C76,"")</f>
        <v/>
      </c>
      <c r="D80" s="93" t="str">
        <f t="shared" si="90"/>
        <v/>
      </c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5"/>
      <c r="W80" s="31" t="e">
        <f>INDEX(TBL_TRANSIT[TransitID],$A80)</f>
        <v>#REF!</v>
      </c>
      <c r="X80" s="31" t="e">
        <f>"TransitTariffFixed_"&amp;RIGHT($W80,11)</f>
        <v>#REF!</v>
      </c>
    </row>
    <row r="81" spans="1:24" x14ac:dyDescent="0.25">
      <c r="A81" s="94">
        <f t="shared" si="38"/>
        <v>19</v>
      </c>
      <c r="B81" s="119"/>
      <c r="C81" s="93" t="str">
        <f t="shared" ref="C81:D81" si="91">IF($B78&lt;&gt;"",C77,"")</f>
        <v/>
      </c>
      <c r="D81" s="93" t="str">
        <f t="shared" si="91"/>
        <v/>
      </c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26"/>
      <c r="W81" s="31" t="e">
        <f>INDEX(TBL_TRANSIT[TransitID],$A81)</f>
        <v>#REF!</v>
      </c>
      <c r="X81" s="31" t="e">
        <f>"TransitTariffVar_"&amp;RIGHT($W81,11)</f>
        <v>#REF!</v>
      </c>
    </row>
    <row r="82" spans="1:24" x14ac:dyDescent="0.25">
      <c r="A82" s="94">
        <f t="shared" ref="A82" si="92">$A78+1</f>
        <v>20</v>
      </c>
      <c r="B82" s="117" t="str">
        <f>IFERROR(INDEX(TBL_TRANSIT[Name],$A82),"")</f>
        <v/>
      </c>
      <c r="C82" s="93" t="str">
        <f t="shared" ref="C82:D82" si="93">IF($B82&lt;&gt;"",C78,"")</f>
        <v/>
      </c>
      <c r="D82" s="93" t="str">
        <f t="shared" si="93"/>
        <v/>
      </c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5"/>
      <c r="W82" s="31" t="e">
        <f>INDEX(TBL_TRANSIT[TransitID],$A82)</f>
        <v>#REF!</v>
      </c>
      <c r="X82" s="31" t="e">
        <f>"TransitCapMin_"&amp;RIGHT($W82,11)</f>
        <v>#REF!</v>
      </c>
    </row>
    <row r="83" spans="1:24" x14ac:dyDescent="0.25">
      <c r="A83" s="94">
        <f t="shared" si="38"/>
        <v>20</v>
      </c>
      <c r="B83" s="118"/>
      <c r="C83" s="93" t="str">
        <f t="shared" ref="C83:D83" si="94">IF($B82&lt;&gt;"",C79,"")</f>
        <v/>
      </c>
      <c r="D83" s="93" t="str">
        <f t="shared" si="94"/>
        <v/>
      </c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26"/>
      <c r="W83" s="31" t="e">
        <f>INDEX(TBL_TRANSIT[TransitID],$A83)</f>
        <v>#REF!</v>
      </c>
      <c r="X83" s="31" t="e">
        <f>"TransitCapMax_"&amp;RIGHT($W83,11)</f>
        <v>#REF!</v>
      </c>
    </row>
    <row r="84" spans="1:24" x14ac:dyDescent="0.25">
      <c r="A84" s="94">
        <f t="shared" si="38"/>
        <v>20</v>
      </c>
      <c r="B84" s="118"/>
      <c r="C84" s="93" t="str">
        <f t="shared" ref="C84:D84" si="95">IF($B82&lt;&gt;"",C80,"")</f>
        <v/>
      </c>
      <c r="D84" s="93" t="str">
        <f t="shared" si="95"/>
        <v/>
      </c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5"/>
      <c r="W84" s="31" t="e">
        <f>INDEX(TBL_TRANSIT[TransitID],$A84)</f>
        <v>#REF!</v>
      </c>
      <c r="X84" s="31" t="e">
        <f>"TransitTariffFixed_"&amp;RIGHT($W84,11)</f>
        <v>#REF!</v>
      </c>
    </row>
    <row r="85" spans="1:24" x14ac:dyDescent="0.25">
      <c r="A85" s="94">
        <f t="shared" si="38"/>
        <v>20</v>
      </c>
      <c r="B85" s="119"/>
      <c r="C85" s="93" t="str">
        <f t="shared" ref="C85:D85" si="96">IF($B82&lt;&gt;"",C81,"")</f>
        <v/>
      </c>
      <c r="D85" s="93" t="str">
        <f t="shared" si="96"/>
        <v/>
      </c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26"/>
      <c r="W85" s="31" t="e">
        <f>INDEX(TBL_TRANSIT[TransitID],$A85)</f>
        <v>#REF!</v>
      </c>
      <c r="X85" s="31" t="e">
        <f>"TransitTariffVar_"&amp;RIGHT($W85,11)</f>
        <v>#REF!</v>
      </c>
    </row>
    <row r="86" spans="1:24" x14ac:dyDescent="0.25">
      <c r="A86" s="94">
        <f t="shared" ref="A86" si="97">$A82+1</f>
        <v>21</v>
      </c>
      <c r="B86" s="117" t="str">
        <f>IFERROR(INDEX(TBL_TRANSIT[Name],$A86),"")</f>
        <v/>
      </c>
      <c r="C86" s="93" t="str">
        <f t="shared" ref="C86:D86" si="98">IF($B86&lt;&gt;"",C82,"")</f>
        <v/>
      </c>
      <c r="D86" s="93" t="str">
        <f t="shared" si="98"/>
        <v/>
      </c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5"/>
      <c r="W86" s="31" t="e">
        <f>INDEX(TBL_TRANSIT[TransitID],$A86)</f>
        <v>#REF!</v>
      </c>
      <c r="X86" s="31" t="e">
        <f>"TransitCapMin_"&amp;RIGHT($W86,11)</f>
        <v>#REF!</v>
      </c>
    </row>
    <row r="87" spans="1:24" x14ac:dyDescent="0.25">
      <c r="A87" s="94">
        <f t="shared" si="38"/>
        <v>21</v>
      </c>
      <c r="B87" s="118"/>
      <c r="C87" s="93" t="str">
        <f t="shared" ref="C87:D87" si="99">IF($B86&lt;&gt;"",C83,"")</f>
        <v/>
      </c>
      <c r="D87" s="93" t="str">
        <f t="shared" si="99"/>
        <v/>
      </c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26"/>
      <c r="W87" s="31" t="e">
        <f>INDEX(TBL_TRANSIT[TransitID],$A87)</f>
        <v>#REF!</v>
      </c>
      <c r="X87" s="31" t="e">
        <f>"TransitCapMax_"&amp;RIGHT($W87,11)</f>
        <v>#REF!</v>
      </c>
    </row>
    <row r="88" spans="1:24" x14ac:dyDescent="0.25">
      <c r="A88" s="94">
        <f t="shared" si="38"/>
        <v>21</v>
      </c>
      <c r="B88" s="118"/>
      <c r="C88" s="93" t="str">
        <f t="shared" ref="C88:D88" si="100">IF($B86&lt;&gt;"",C84,"")</f>
        <v/>
      </c>
      <c r="D88" s="93" t="str">
        <f t="shared" si="100"/>
        <v/>
      </c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5"/>
      <c r="W88" s="31" t="e">
        <f>INDEX(TBL_TRANSIT[TransitID],$A88)</f>
        <v>#REF!</v>
      </c>
      <c r="X88" s="31" t="e">
        <f>"TransitTariffFixed_"&amp;RIGHT($W88,11)</f>
        <v>#REF!</v>
      </c>
    </row>
    <row r="89" spans="1:24" x14ac:dyDescent="0.25">
      <c r="A89" s="94">
        <f t="shared" si="38"/>
        <v>21</v>
      </c>
      <c r="B89" s="119"/>
      <c r="C89" s="93" t="str">
        <f t="shared" ref="C89:D89" si="101">IF($B86&lt;&gt;"",C85,"")</f>
        <v/>
      </c>
      <c r="D89" s="93" t="str">
        <f t="shared" si="101"/>
        <v/>
      </c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26"/>
      <c r="W89" s="31" t="e">
        <f>INDEX(TBL_TRANSIT[TransitID],$A89)</f>
        <v>#REF!</v>
      </c>
      <c r="X89" s="31" t="e">
        <f>"TransitTariffVar_"&amp;RIGHT($W89,11)</f>
        <v>#REF!</v>
      </c>
    </row>
    <row r="90" spans="1:24" x14ac:dyDescent="0.25">
      <c r="A90" s="94">
        <f t="shared" ref="A90" si="102">$A86+1</f>
        <v>22</v>
      </c>
      <c r="B90" s="117" t="str">
        <f>IFERROR(INDEX(TBL_TRANSIT[Name],$A90),"")</f>
        <v/>
      </c>
      <c r="C90" s="93" t="str">
        <f t="shared" ref="C90:D90" si="103">IF($B90&lt;&gt;"",C86,"")</f>
        <v/>
      </c>
      <c r="D90" s="93" t="str">
        <f t="shared" si="103"/>
        <v/>
      </c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5"/>
      <c r="W90" s="31" t="e">
        <f>INDEX(TBL_TRANSIT[TransitID],$A90)</f>
        <v>#REF!</v>
      </c>
      <c r="X90" s="31" t="e">
        <f>"TransitCapMin_"&amp;RIGHT($W90,11)</f>
        <v>#REF!</v>
      </c>
    </row>
    <row r="91" spans="1:24" x14ac:dyDescent="0.25">
      <c r="A91" s="94">
        <f t="shared" si="38"/>
        <v>22</v>
      </c>
      <c r="B91" s="118"/>
      <c r="C91" s="93" t="str">
        <f t="shared" ref="C91:D91" si="104">IF($B90&lt;&gt;"",C87,"")</f>
        <v/>
      </c>
      <c r="D91" s="93" t="str">
        <f t="shared" si="104"/>
        <v/>
      </c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26"/>
      <c r="W91" s="31" t="e">
        <f>INDEX(TBL_TRANSIT[TransitID],$A91)</f>
        <v>#REF!</v>
      </c>
      <c r="X91" s="31" t="e">
        <f>"TransitCapMax_"&amp;RIGHT($W91,11)</f>
        <v>#REF!</v>
      </c>
    </row>
    <row r="92" spans="1:24" x14ac:dyDescent="0.25">
      <c r="A92" s="94">
        <f t="shared" si="38"/>
        <v>22</v>
      </c>
      <c r="B92" s="118"/>
      <c r="C92" s="93" t="str">
        <f t="shared" ref="C92:D92" si="105">IF($B90&lt;&gt;"",C88,"")</f>
        <v/>
      </c>
      <c r="D92" s="93" t="str">
        <f t="shared" si="105"/>
        <v/>
      </c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5"/>
      <c r="W92" s="31" t="e">
        <f>INDEX(TBL_TRANSIT[TransitID],$A92)</f>
        <v>#REF!</v>
      </c>
      <c r="X92" s="31" t="e">
        <f>"TransitTariffFixed_"&amp;RIGHT($W92,11)</f>
        <v>#REF!</v>
      </c>
    </row>
    <row r="93" spans="1:24" x14ac:dyDescent="0.25">
      <c r="A93" s="94">
        <f t="shared" si="38"/>
        <v>22</v>
      </c>
      <c r="B93" s="119"/>
      <c r="C93" s="93" t="str">
        <f t="shared" ref="C93:D93" si="106">IF($B90&lt;&gt;"",C89,"")</f>
        <v/>
      </c>
      <c r="D93" s="93" t="str">
        <f t="shared" si="106"/>
        <v/>
      </c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26"/>
      <c r="W93" s="31" t="e">
        <f>INDEX(TBL_TRANSIT[TransitID],$A93)</f>
        <v>#REF!</v>
      </c>
      <c r="X93" s="31" t="e">
        <f>"TransitTariffVar_"&amp;RIGHT($W93,11)</f>
        <v>#REF!</v>
      </c>
    </row>
    <row r="94" spans="1:24" x14ac:dyDescent="0.25">
      <c r="A94" s="94">
        <f t="shared" ref="A94" si="107">$A90+1</f>
        <v>23</v>
      </c>
      <c r="B94" s="117" t="str">
        <f>IFERROR(INDEX(TBL_TRANSIT[Name],$A94),"")</f>
        <v/>
      </c>
      <c r="C94" s="93" t="str">
        <f t="shared" ref="C94:D94" si="108">IF($B94&lt;&gt;"",C90,"")</f>
        <v/>
      </c>
      <c r="D94" s="93" t="str">
        <f t="shared" si="108"/>
        <v/>
      </c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5"/>
      <c r="W94" s="31" t="e">
        <f>INDEX(TBL_TRANSIT[TransitID],$A94)</f>
        <v>#REF!</v>
      </c>
      <c r="X94" s="31" t="e">
        <f>"TransitCapMin_"&amp;RIGHT($W94,11)</f>
        <v>#REF!</v>
      </c>
    </row>
    <row r="95" spans="1:24" x14ac:dyDescent="0.25">
      <c r="A95" s="94">
        <f t="shared" si="38"/>
        <v>23</v>
      </c>
      <c r="B95" s="118"/>
      <c r="C95" s="93" t="str">
        <f t="shared" ref="C95:D95" si="109">IF($B94&lt;&gt;"",C91,"")</f>
        <v/>
      </c>
      <c r="D95" s="93" t="str">
        <f t="shared" si="109"/>
        <v/>
      </c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26"/>
      <c r="W95" s="31" t="e">
        <f>INDEX(TBL_TRANSIT[TransitID],$A95)</f>
        <v>#REF!</v>
      </c>
      <c r="X95" s="31" t="e">
        <f>"TransitCapMax_"&amp;RIGHT($W95,11)</f>
        <v>#REF!</v>
      </c>
    </row>
    <row r="96" spans="1:24" x14ac:dyDescent="0.25">
      <c r="A96" s="94">
        <f t="shared" si="38"/>
        <v>23</v>
      </c>
      <c r="B96" s="118"/>
      <c r="C96" s="93" t="str">
        <f t="shared" ref="C96:D96" si="110">IF($B94&lt;&gt;"",C92,"")</f>
        <v/>
      </c>
      <c r="D96" s="93" t="str">
        <f t="shared" si="110"/>
        <v/>
      </c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5"/>
      <c r="W96" s="31" t="e">
        <f>INDEX(TBL_TRANSIT[TransitID],$A96)</f>
        <v>#REF!</v>
      </c>
      <c r="X96" s="31" t="e">
        <f>"TransitTariffFixed_"&amp;RIGHT($W96,11)</f>
        <v>#REF!</v>
      </c>
    </row>
    <row r="97" spans="1:24" x14ac:dyDescent="0.25">
      <c r="A97" s="94">
        <f t="shared" si="38"/>
        <v>23</v>
      </c>
      <c r="B97" s="119"/>
      <c r="C97" s="93" t="str">
        <f t="shared" ref="C97:D97" si="111">IF($B94&lt;&gt;"",C93,"")</f>
        <v/>
      </c>
      <c r="D97" s="93" t="str">
        <f t="shared" si="111"/>
        <v/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26"/>
      <c r="W97" s="31" t="e">
        <f>INDEX(TBL_TRANSIT[TransitID],$A97)</f>
        <v>#REF!</v>
      </c>
      <c r="X97" s="31" t="e">
        <f>"TransitTariffVar_"&amp;RIGHT($W97,11)</f>
        <v>#REF!</v>
      </c>
    </row>
    <row r="98" spans="1:24" x14ac:dyDescent="0.25">
      <c r="A98" s="94">
        <f t="shared" ref="A98" si="112">$A94+1</f>
        <v>24</v>
      </c>
      <c r="B98" s="117" t="str">
        <f>IFERROR(INDEX(TBL_TRANSIT[Name],$A98),"")</f>
        <v/>
      </c>
      <c r="C98" s="93" t="str">
        <f t="shared" ref="C98:D98" si="113">IF($B98&lt;&gt;"",C94,"")</f>
        <v/>
      </c>
      <c r="D98" s="93" t="str">
        <f t="shared" si="113"/>
        <v/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5"/>
      <c r="W98" s="31" t="e">
        <f>INDEX(TBL_TRANSIT[TransitID],$A98)</f>
        <v>#REF!</v>
      </c>
      <c r="X98" s="31" t="e">
        <f>"TransitCapMin_"&amp;RIGHT($W98,11)</f>
        <v>#REF!</v>
      </c>
    </row>
    <row r="99" spans="1:24" x14ac:dyDescent="0.25">
      <c r="A99" s="94">
        <f t="shared" si="38"/>
        <v>24</v>
      </c>
      <c r="B99" s="118"/>
      <c r="C99" s="93" t="str">
        <f t="shared" ref="C99:D99" si="114">IF($B98&lt;&gt;"",C95,"")</f>
        <v/>
      </c>
      <c r="D99" s="93" t="str">
        <f t="shared" si="114"/>
        <v/>
      </c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26"/>
      <c r="W99" s="31" t="e">
        <f>INDEX(TBL_TRANSIT[TransitID],$A99)</f>
        <v>#REF!</v>
      </c>
      <c r="X99" s="31" t="e">
        <f>"TransitCapMax_"&amp;RIGHT($W99,11)</f>
        <v>#REF!</v>
      </c>
    </row>
    <row r="100" spans="1:24" x14ac:dyDescent="0.25">
      <c r="A100" s="94">
        <f t="shared" si="38"/>
        <v>24</v>
      </c>
      <c r="B100" s="118"/>
      <c r="C100" s="93" t="str">
        <f t="shared" ref="C100:D100" si="115">IF($B98&lt;&gt;"",C96,"")</f>
        <v/>
      </c>
      <c r="D100" s="93" t="str">
        <f t="shared" si="115"/>
        <v/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5"/>
      <c r="W100" s="31" t="e">
        <f>INDEX(TBL_TRANSIT[TransitID],$A100)</f>
        <v>#REF!</v>
      </c>
      <c r="X100" s="31" t="e">
        <f>"TransitTariffFixed_"&amp;RIGHT($W100,11)</f>
        <v>#REF!</v>
      </c>
    </row>
    <row r="101" spans="1:24" x14ac:dyDescent="0.25">
      <c r="A101" s="94">
        <f t="shared" si="38"/>
        <v>24</v>
      </c>
      <c r="B101" s="119"/>
      <c r="C101" s="93" t="str">
        <f t="shared" ref="C101:D101" si="116">IF($B98&lt;&gt;"",C97,"")</f>
        <v/>
      </c>
      <c r="D101" s="93" t="str">
        <f t="shared" si="116"/>
        <v/>
      </c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26"/>
      <c r="W101" s="31" t="e">
        <f>INDEX(TBL_TRANSIT[TransitID],$A101)</f>
        <v>#REF!</v>
      </c>
      <c r="X101" s="31" t="e">
        <f>"TransitTariffVar_"&amp;RIGHT($W101,11)</f>
        <v>#REF!</v>
      </c>
    </row>
    <row r="102" spans="1:24" x14ac:dyDescent="0.25">
      <c r="A102" s="94">
        <f t="shared" ref="A102" si="117">$A98+1</f>
        <v>25</v>
      </c>
      <c r="B102" s="117" t="str">
        <f>IFERROR(INDEX(TBL_TRANSIT[Name],$A102),"")</f>
        <v/>
      </c>
      <c r="C102" s="93" t="str">
        <f t="shared" ref="C102:D102" si="118">IF($B102&lt;&gt;"",C98,"")</f>
        <v/>
      </c>
      <c r="D102" s="93" t="str">
        <f t="shared" si="118"/>
        <v/>
      </c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5"/>
      <c r="W102" s="31" t="e">
        <f>INDEX(TBL_TRANSIT[TransitID],$A102)</f>
        <v>#REF!</v>
      </c>
      <c r="X102" s="31" t="e">
        <f>"TransitCapMin_"&amp;RIGHT($W102,11)</f>
        <v>#REF!</v>
      </c>
    </row>
    <row r="103" spans="1:24" x14ac:dyDescent="0.25">
      <c r="A103" s="94">
        <f t="shared" ref="A103:A141" si="119">$A102</f>
        <v>25</v>
      </c>
      <c r="B103" s="118"/>
      <c r="C103" s="93" t="str">
        <f t="shared" ref="C103:D103" si="120">IF($B102&lt;&gt;"",C99,"")</f>
        <v/>
      </c>
      <c r="D103" s="93" t="str">
        <f t="shared" si="120"/>
        <v/>
      </c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26"/>
      <c r="W103" s="31" t="e">
        <f>INDEX(TBL_TRANSIT[TransitID],$A103)</f>
        <v>#REF!</v>
      </c>
      <c r="X103" s="31" t="e">
        <f>"TransitCapMax_"&amp;RIGHT($W103,11)</f>
        <v>#REF!</v>
      </c>
    </row>
    <row r="104" spans="1:24" x14ac:dyDescent="0.25">
      <c r="A104" s="94">
        <f t="shared" si="119"/>
        <v>25</v>
      </c>
      <c r="B104" s="118"/>
      <c r="C104" s="93" t="str">
        <f t="shared" ref="C104:D104" si="121">IF($B102&lt;&gt;"",C100,"")</f>
        <v/>
      </c>
      <c r="D104" s="93" t="str">
        <f t="shared" si="121"/>
        <v/>
      </c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5"/>
      <c r="W104" s="31" t="e">
        <f>INDEX(TBL_TRANSIT[TransitID],$A104)</f>
        <v>#REF!</v>
      </c>
      <c r="X104" s="31" t="e">
        <f>"TransitTariffFixed_"&amp;RIGHT($W104,11)</f>
        <v>#REF!</v>
      </c>
    </row>
    <row r="105" spans="1:24" x14ac:dyDescent="0.25">
      <c r="A105" s="94">
        <f t="shared" si="119"/>
        <v>25</v>
      </c>
      <c r="B105" s="119"/>
      <c r="C105" s="93" t="str">
        <f t="shared" ref="C105:D105" si="122">IF($B102&lt;&gt;"",C101,"")</f>
        <v/>
      </c>
      <c r="D105" s="93" t="str">
        <f t="shared" si="122"/>
        <v/>
      </c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26"/>
      <c r="W105" s="31" t="e">
        <f>INDEX(TBL_TRANSIT[TransitID],$A105)</f>
        <v>#REF!</v>
      </c>
      <c r="X105" s="31" t="e">
        <f>"TransitTariffVar_"&amp;RIGHT($W105,11)</f>
        <v>#REF!</v>
      </c>
    </row>
    <row r="106" spans="1:24" x14ac:dyDescent="0.25">
      <c r="A106" s="94">
        <f t="shared" ref="A106" si="123">$A102+1</f>
        <v>26</v>
      </c>
      <c r="B106" s="117" t="str">
        <f>IFERROR(INDEX(TBL_TRANSIT[Name],$A106),"")</f>
        <v/>
      </c>
      <c r="C106" s="93" t="str">
        <f t="shared" ref="C106:D106" si="124">IF($B106&lt;&gt;"",C102,"")</f>
        <v/>
      </c>
      <c r="D106" s="93" t="str">
        <f t="shared" si="124"/>
        <v/>
      </c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5"/>
      <c r="W106" s="31" t="e">
        <f>INDEX(TBL_TRANSIT[TransitID],$A106)</f>
        <v>#REF!</v>
      </c>
      <c r="X106" s="31" t="e">
        <f>"TransitCapMin_"&amp;RIGHT($W106,11)</f>
        <v>#REF!</v>
      </c>
    </row>
    <row r="107" spans="1:24" x14ac:dyDescent="0.25">
      <c r="A107" s="94">
        <f t="shared" si="119"/>
        <v>26</v>
      </c>
      <c r="B107" s="118"/>
      <c r="C107" s="93" t="str">
        <f t="shared" ref="C107:D107" si="125">IF($B106&lt;&gt;"",C103,"")</f>
        <v/>
      </c>
      <c r="D107" s="93" t="str">
        <f t="shared" si="125"/>
        <v/>
      </c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26"/>
      <c r="W107" s="31" t="e">
        <f>INDEX(TBL_TRANSIT[TransitID],$A107)</f>
        <v>#REF!</v>
      </c>
      <c r="X107" s="31" t="e">
        <f>"TransitCapMax_"&amp;RIGHT($W107,11)</f>
        <v>#REF!</v>
      </c>
    </row>
    <row r="108" spans="1:24" x14ac:dyDescent="0.25">
      <c r="A108" s="94">
        <f t="shared" si="119"/>
        <v>26</v>
      </c>
      <c r="B108" s="118"/>
      <c r="C108" s="93" t="str">
        <f t="shared" ref="C108:D108" si="126">IF($B106&lt;&gt;"",C104,"")</f>
        <v/>
      </c>
      <c r="D108" s="93" t="str">
        <f t="shared" si="126"/>
        <v/>
      </c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5"/>
      <c r="W108" s="31" t="e">
        <f>INDEX(TBL_TRANSIT[TransitID],$A108)</f>
        <v>#REF!</v>
      </c>
      <c r="X108" s="31" t="e">
        <f>"TransitTariffFixed_"&amp;RIGHT($W108,11)</f>
        <v>#REF!</v>
      </c>
    </row>
    <row r="109" spans="1:24" x14ac:dyDescent="0.25">
      <c r="A109" s="94">
        <f t="shared" si="119"/>
        <v>26</v>
      </c>
      <c r="B109" s="119"/>
      <c r="C109" s="93" t="str">
        <f t="shared" ref="C109:D109" si="127">IF($B106&lt;&gt;"",C105,"")</f>
        <v/>
      </c>
      <c r="D109" s="93" t="str">
        <f t="shared" si="127"/>
        <v/>
      </c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26"/>
      <c r="W109" s="31" t="e">
        <f>INDEX(TBL_TRANSIT[TransitID],$A109)</f>
        <v>#REF!</v>
      </c>
      <c r="X109" s="31" t="e">
        <f>"TransitTariffVar_"&amp;RIGHT($W109,11)</f>
        <v>#REF!</v>
      </c>
    </row>
    <row r="110" spans="1:24" x14ac:dyDescent="0.25">
      <c r="A110" s="94">
        <f t="shared" ref="A110" si="128">$A106+1</f>
        <v>27</v>
      </c>
      <c r="B110" s="117" t="str">
        <f>IFERROR(INDEX(TBL_TRANSIT[Name],$A110),"")</f>
        <v/>
      </c>
      <c r="C110" s="93" t="str">
        <f t="shared" ref="C110:D110" si="129">IF($B110&lt;&gt;"",C106,"")</f>
        <v/>
      </c>
      <c r="D110" s="93" t="str">
        <f t="shared" si="129"/>
        <v/>
      </c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5"/>
      <c r="W110" s="31" t="e">
        <f>INDEX(TBL_TRANSIT[TransitID],$A110)</f>
        <v>#REF!</v>
      </c>
      <c r="X110" s="31" t="e">
        <f>"TransitCapMin_"&amp;RIGHT($W110,11)</f>
        <v>#REF!</v>
      </c>
    </row>
    <row r="111" spans="1:24" x14ac:dyDescent="0.25">
      <c r="A111" s="94">
        <f t="shared" si="119"/>
        <v>27</v>
      </c>
      <c r="B111" s="118"/>
      <c r="C111" s="93" t="str">
        <f t="shared" ref="C111:D111" si="130">IF($B110&lt;&gt;"",C107,"")</f>
        <v/>
      </c>
      <c r="D111" s="93" t="str">
        <f t="shared" si="130"/>
        <v/>
      </c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26"/>
      <c r="W111" s="31" t="e">
        <f>INDEX(TBL_TRANSIT[TransitID],$A111)</f>
        <v>#REF!</v>
      </c>
      <c r="X111" s="31" t="e">
        <f>"TransitCapMax_"&amp;RIGHT($W111,11)</f>
        <v>#REF!</v>
      </c>
    </row>
    <row r="112" spans="1:24" x14ac:dyDescent="0.25">
      <c r="A112" s="94">
        <f t="shared" si="119"/>
        <v>27</v>
      </c>
      <c r="B112" s="118"/>
      <c r="C112" s="93" t="str">
        <f t="shared" ref="C112:D112" si="131">IF($B110&lt;&gt;"",C108,"")</f>
        <v/>
      </c>
      <c r="D112" s="93" t="str">
        <f t="shared" si="131"/>
        <v/>
      </c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5"/>
      <c r="W112" s="31" t="e">
        <f>INDEX(TBL_TRANSIT[TransitID],$A112)</f>
        <v>#REF!</v>
      </c>
      <c r="X112" s="31" t="e">
        <f>"TransitTariffFixed_"&amp;RIGHT($W112,11)</f>
        <v>#REF!</v>
      </c>
    </row>
    <row r="113" spans="1:24" x14ac:dyDescent="0.25">
      <c r="A113" s="94">
        <f t="shared" si="119"/>
        <v>27</v>
      </c>
      <c r="B113" s="119"/>
      <c r="C113" s="93" t="str">
        <f t="shared" ref="C113:D113" si="132">IF($B110&lt;&gt;"",C109,"")</f>
        <v/>
      </c>
      <c r="D113" s="93" t="str">
        <f t="shared" si="132"/>
        <v/>
      </c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26"/>
      <c r="W113" s="31" t="e">
        <f>INDEX(TBL_TRANSIT[TransitID],$A113)</f>
        <v>#REF!</v>
      </c>
      <c r="X113" s="31" t="e">
        <f>"TransitTariffVar_"&amp;RIGHT($W113,11)</f>
        <v>#REF!</v>
      </c>
    </row>
    <row r="114" spans="1:24" x14ac:dyDescent="0.25">
      <c r="A114" s="94">
        <f t="shared" ref="A114" si="133">$A110+1</f>
        <v>28</v>
      </c>
      <c r="B114" s="117" t="str">
        <f>IFERROR(INDEX(TBL_TRANSIT[Name],$A114),"")</f>
        <v/>
      </c>
      <c r="C114" s="93" t="str">
        <f t="shared" ref="C114:D114" si="134">IF($B114&lt;&gt;"",C110,"")</f>
        <v/>
      </c>
      <c r="D114" s="93" t="str">
        <f t="shared" si="134"/>
        <v/>
      </c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5"/>
      <c r="W114" s="31" t="e">
        <f>INDEX(TBL_TRANSIT[TransitID],$A114)</f>
        <v>#REF!</v>
      </c>
      <c r="X114" s="31" t="e">
        <f>"TransitCapMin_"&amp;RIGHT($W114,11)</f>
        <v>#REF!</v>
      </c>
    </row>
    <row r="115" spans="1:24" x14ac:dyDescent="0.25">
      <c r="A115" s="94">
        <f t="shared" si="119"/>
        <v>28</v>
      </c>
      <c r="B115" s="118"/>
      <c r="C115" s="93" t="str">
        <f t="shared" ref="C115:D115" si="135">IF($B114&lt;&gt;"",C111,"")</f>
        <v/>
      </c>
      <c r="D115" s="93" t="str">
        <f t="shared" si="135"/>
        <v/>
      </c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26"/>
      <c r="W115" s="31" t="e">
        <f>INDEX(TBL_TRANSIT[TransitID],$A115)</f>
        <v>#REF!</v>
      </c>
      <c r="X115" s="31" t="e">
        <f>"TransitCapMax_"&amp;RIGHT($W115,11)</f>
        <v>#REF!</v>
      </c>
    </row>
    <row r="116" spans="1:24" x14ac:dyDescent="0.25">
      <c r="A116" s="94">
        <f t="shared" si="119"/>
        <v>28</v>
      </c>
      <c r="B116" s="118"/>
      <c r="C116" s="93" t="str">
        <f t="shared" ref="C116:D116" si="136">IF($B114&lt;&gt;"",C112,"")</f>
        <v/>
      </c>
      <c r="D116" s="93" t="str">
        <f t="shared" si="136"/>
        <v/>
      </c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5"/>
      <c r="W116" s="31" t="e">
        <f>INDEX(TBL_TRANSIT[TransitID],$A116)</f>
        <v>#REF!</v>
      </c>
      <c r="X116" s="31" t="e">
        <f>"TransitTariffFixed_"&amp;RIGHT($W116,11)</f>
        <v>#REF!</v>
      </c>
    </row>
    <row r="117" spans="1:24" x14ac:dyDescent="0.25">
      <c r="A117" s="94">
        <f t="shared" si="119"/>
        <v>28</v>
      </c>
      <c r="B117" s="119"/>
      <c r="C117" s="93" t="str">
        <f t="shared" ref="C117:D117" si="137">IF($B114&lt;&gt;"",C113,"")</f>
        <v/>
      </c>
      <c r="D117" s="93" t="str">
        <f t="shared" si="137"/>
        <v/>
      </c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26"/>
      <c r="W117" s="31" t="e">
        <f>INDEX(TBL_TRANSIT[TransitID],$A117)</f>
        <v>#REF!</v>
      </c>
      <c r="X117" s="31" t="e">
        <f>"TransitTariffVar_"&amp;RIGHT($W117,11)</f>
        <v>#REF!</v>
      </c>
    </row>
    <row r="118" spans="1:24" x14ac:dyDescent="0.25">
      <c r="A118" s="94">
        <f t="shared" ref="A118" si="138">$A114+1</f>
        <v>29</v>
      </c>
      <c r="B118" s="117" t="str">
        <f>IFERROR(INDEX(TBL_TRANSIT[Name],$A118),"")</f>
        <v/>
      </c>
      <c r="C118" s="93" t="str">
        <f t="shared" ref="C118:D118" si="139">IF($B118&lt;&gt;"",C114,"")</f>
        <v/>
      </c>
      <c r="D118" s="93" t="str">
        <f t="shared" si="139"/>
        <v/>
      </c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5"/>
      <c r="W118" s="31" t="e">
        <f>INDEX(TBL_TRANSIT[TransitID],$A118)</f>
        <v>#REF!</v>
      </c>
      <c r="X118" s="31" t="e">
        <f>"TransitCapMin_"&amp;RIGHT($W118,11)</f>
        <v>#REF!</v>
      </c>
    </row>
    <row r="119" spans="1:24" x14ac:dyDescent="0.25">
      <c r="A119" s="94">
        <f t="shared" si="119"/>
        <v>29</v>
      </c>
      <c r="B119" s="118"/>
      <c r="C119" s="93" t="str">
        <f t="shared" ref="C119:D119" si="140">IF($B118&lt;&gt;"",C115,"")</f>
        <v/>
      </c>
      <c r="D119" s="93" t="str">
        <f t="shared" si="140"/>
        <v/>
      </c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26"/>
      <c r="W119" s="31" t="e">
        <f>INDEX(TBL_TRANSIT[TransitID],$A119)</f>
        <v>#REF!</v>
      </c>
      <c r="X119" s="31" t="e">
        <f>"TransitCapMax_"&amp;RIGHT($W119,11)</f>
        <v>#REF!</v>
      </c>
    </row>
    <row r="120" spans="1:24" x14ac:dyDescent="0.25">
      <c r="A120" s="94">
        <f t="shared" si="119"/>
        <v>29</v>
      </c>
      <c r="B120" s="118"/>
      <c r="C120" s="93" t="str">
        <f t="shared" ref="C120:D120" si="141">IF($B118&lt;&gt;"",C116,"")</f>
        <v/>
      </c>
      <c r="D120" s="93" t="str">
        <f t="shared" si="141"/>
        <v/>
      </c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5"/>
      <c r="W120" s="31" t="e">
        <f>INDEX(TBL_TRANSIT[TransitID],$A120)</f>
        <v>#REF!</v>
      </c>
      <c r="X120" s="31" t="e">
        <f>"TransitTariffFixed_"&amp;RIGHT($W120,11)</f>
        <v>#REF!</v>
      </c>
    </row>
    <row r="121" spans="1:24" x14ac:dyDescent="0.25">
      <c r="A121" s="94">
        <f t="shared" si="119"/>
        <v>29</v>
      </c>
      <c r="B121" s="119"/>
      <c r="C121" s="93" t="str">
        <f t="shared" ref="C121:D121" si="142">IF($B118&lt;&gt;"",C117,"")</f>
        <v/>
      </c>
      <c r="D121" s="93" t="str">
        <f t="shared" si="142"/>
        <v/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26"/>
      <c r="W121" s="31" t="e">
        <f>INDEX(TBL_TRANSIT[TransitID],$A121)</f>
        <v>#REF!</v>
      </c>
      <c r="X121" s="31" t="e">
        <f>"TransitTariffVar_"&amp;RIGHT($W121,11)</f>
        <v>#REF!</v>
      </c>
    </row>
    <row r="122" spans="1:24" x14ac:dyDescent="0.25">
      <c r="A122" s="94">
        <f t="shared" ref="A122" si="143">$A118+1</f>
        <v>30</v>
      </c>
      <c r="B122" s="117" t="str">
        <f>IFERROR(INDEX(TBL_TRANSIT[Name],$A122),"")</f>
        <v/>
      </c>
      <c r="C122" s="93" t="str">
        <f t="shared" ref="C122:D122" si="144">IF($B122&lt;&gt;"",C118,"")</f>
        <v/>
      </c>
      <c r="D122" s="93" t="str">
        <f t="shared" si="144"/>
        <v/>
      </c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5"/>
      <c r="W122" s="31" t="e">
        <f>INDEX(TBL_TRANSIT[TransitID],$A122)</f>
        <v>#REF!</v>
      </c>
      <c r="X122" s="31" t="e">
        <f>"TransitCapMin_"&amp;RIGHT($W122,11)</f>
        <v>#REF!</v>
      </c>
    </row>
    <row r="123" spans="1:24" x14ac:dyDescent="0.25">
      <c r="A123" s="94">
        <f t="shared" si="119"/>
        <v>30</v>
      </c>
      <c r="B123" s="118"/>
      <c r="C123" s="93" t="str">
        <f t="shared" ref="C123:D123" si="145">IF($B122&lt;&gt;"",C119,"")</f>
        <v/>
      </c>
      <c r="D123" s="93" t="str">
        <f t="shared" si="145"/>
        <v/>
      </c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26"/>
      <c r="W123" s="31" t="e">
        <f>INDEX(TBL_TRANSIT[TransitID],$A123)</f>
        <v>#REF!</v>
      </c>
      <c r="X123" s="31" t="e">
        <f>"TransitCapMax_"&amp;RIGHT($W123,11)</f>
        <v>#REF!</v>
      </c>
    </row>
    <row r="124" spans="1:24" x14ac:dyDescent="0.25">
      <c r="A124" s="94">
        <f t="shared" si="119"/>
        <v>30</v>
      </c>
      <c r="B124" s="118"/>
      <c r="C124" s="93" t="str">
        <f t="shared" ref="C124:D124" si="146">IF($B122&lt;&gt;"",C120,"")</f>
        <v/>
      </c>
      <c r="D124" s="93" t="str">
        <f t="shared" si="146"/>
        <v/>
      </c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5"/>
      <c r="W124" s="31" t="e">
        <f>INDEX(TBL_TRANSIT[TransitID],$A124)</f>
        <v>#REF!</v>
      </c>
      <c r="X124" s="31" t="e">
        <f>"TransitTariffFixed_"&amp;RIGHT($W124,11)</f>
        <v>#REF!</v>
      </c>
    </row>
    <row r="125" spans="1:24" x14ac:dyDescent="0.25">
      <c r="A125" s="94">
        <f t="shared" si="119"/>
        <v>30</v>
      </c>
      <c r="B125" s="119"/>
      <c r="C125" s="93" t="str">
        <f t="shared" ref="C125:D125" si="147">IF($B122&lt;&gt;"",C121,"")</f>
        <v/>
      </c>
      <c r="D125" s="93" t="str">
        <f t="shared" si="147"/>
        <v/>
      </c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26"/>
      <c r="W125" s="31" t="e">
        <f>INDEX(TBL_TRANSIT[TransitID],$A125)</f>
        <v>#REF!</v>
      </c>
      <c r="X125" s="31" t="e">
        <f>"TransitTariffVar_"&amp;RIGHT($W125,11)</f>
        <v>#REF!</v>
      </c>
    </row>
    <row r="126" spans="1:24" x14ac:dyDescent="0.25">
      <c r="A126" s="94">
        <f t="shared" ref="A126" si="148">$A122+1</f>
        <v>31</v>
      </c>
      <c r="B126" s="117" t="str">
        <f>IFERROR(INDEX(TBL_TRANSIT[Name],$A126),"")</f>
        <v/>
      </c>
      <c r="C126" s="93" t="str">
        <f t="shared" ref="C126:D126" si="149">IF($B126&lt;&gt;"",C122,"")</f>
        <v/>
      </c>
      <c r="D126" s="93" t="str">
        <f t="shared" si="149"/>
        <v/>
      </c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5"/>
      <c r="W126" s="31" t="e">
        <f>INDEX(TBL_TRANSIT[TransitID],$A126)</f>
        <v>#REF!</v>
      </c>
      <c r="X126" s="31" t="e">
        <f>"TransitCapMin_"&amp;RIGHT($W126,11)</f>
        <v>#REF!</v>
      </c>
    </row>
    <row r="127" spans="1:24" x14ac:dyDescent="0.25">
      <c r="A127" s="94">
        <f t="shared" si="119"/>
        <v>31</v>
      </c>
      <c r="B127" s="118"/>
      <c r="C127" s="93" t="str">
        <f t="shared" ref="C127:D127" si="150">IF($B126&lt;&gt;"",C123,"")</f>
        <v/>
      </c>
      <c r="D127" s="93" t="str">
        <f t="shared" si="150"/>
        <v/>
      </c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26"/>
      <c r="W127" s="31" t="e">
        <f>INDEX(TBL_TRANSIT[TransitID],$A127)</f>
        <v>#REF!</v>
      </c>
      <c r="X127" s="31" t="e">
        <f>"TransitCapMax_"&amp;RIGHT($W127,11)</f>
        <v>#REF!</v>
      </c>
    </row>
    <row r="128" spans="1:24" x14ac:dyDescent="0.25">
      <c r="A128" s="94">
        <f t="shared" si="119"/>
        <v>31</v>
      </c>
      <c r="B128" s="118"/>
      <c r="C128" s="93" t="str">
        <f t="shared" ref="C128:D128" si="151">IF($B126&lt;&gt;"",C124,"")</f>
        <v/>
      </c>
      <c r="D128" s="93" t="str">
        <f t="shared" si="151"/>
        <v/>
      </c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5"/>
      <c r="W128" s="31" t="e">
        <f>INDEX(TBL_TRANSIT[TransitID],$A128)</f>
        <v>#REF!</v>
      </c>
      <c r="X128" s="31" t="e">
        <f>"TransitTariffFixed_"&amp;RIGHT($W128,11)</f>
        <v>#REF!</v>
      </c>
    </row>
    <row r="129" spans="1:24" x14ac:dyDescent="0.25">
      <c r="A129" s="94">
        <f t="shared" si="119"/>
        <v>31</v>
      </c>
      <c r="B129" s="119"/>
      <c r="C129" s="93" t="str">
        <f t="shared" ref="C129:D129" si="152">IF($B126&lt;&gt;"",C125,"")</f>
        <v/>
      </c>
      <c r="D129" s="93" t="str">
        <f t="shared" si="152"/>
        <v/>
      </c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26"/>
      <c r="W129" s="31" t="e">
        <f>INDEX(TBL_TRANSIT[TransitID],$A129)</f>
        <v>#REF!</v>
      </c>
      <c r="X129" s="31" t="e">
        <f>"TransitTariffVar_"&amp;RIGHT($W129,11)</f>
        <v>#REF!</v>
      </c>
    </row>
    <row r="130" spans="1:24" x14ac:dyDescent="0.25">
      <c r="A130" s="94">
        <f t="shared" ref="A130" si="153">$A126+1</f>
        <v>32</v>
      </c>
      <c r="B130" s="117" t="str">
        <f>IFERROR(INDEX(TBL_TRANSIT[Name],$A130),"")</f>
        <v/>
      </c>
      <c r="C130" s="93" t="str">
        <f t="shared" ref="C130:D130" si="154">IF($B130&lt;&gt;"",C126,"")</f>
        <v/>
      </c>
      <c r="D130" s="93" t="str">
        <f t="shared" si="154"/>
        <v/>
      </c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5"/>
      <c r="W130" s="31" t="e">
        <f>INDEX(TBL_TRANSIT[TransitID],$A130)</f>
        <v>#REF!</v>
      </c>
      <c r="X130" s="31" t="e">
        <f>"TransitCapMin_"&amp;RIGHT($W130,11)</f>
        <v>#REF!</v>
      </c>
    </row>
    <row r="131" spans="1:24" x14ac:dyDescent="0.25">
      <c r="A131" s="94">
        <f t="shared" si="119"/>
        <v>32</v>
      </c>
      <c r="B131" s="118"/>
      <c r="C131" s="93" t="str">
        <f t="shared" ref="C131:D131" si="155">IF($B130&lt;&gt;"",C127,"")</f>
        <v/>
      </c>
      <c r="D131" s="93" t="str">
        <f t="shared" si="155"/>
        <v/>
      </c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26"/>
      <c r="W131" s="31" t="e">
        <f>INDEX(TBL_TRANSIT[TransitID],$A131)</f>
        <v>#REF!</v>
      </c>
      <c r="X131" s="31" t="e">
        <f>"TransitCapMax_"&amp;RIGHT($W131,11)</f>
        <v>#REF!</v>
      </c>
    </row>
    <row r="132" spans="1:24" x14ac:dyDescent="0.25">
      <c r="A132" s="94">
        <f t="shared" si="119"/>
        <v>32</v>
      </c>
      <c r="B132" s="118"/>
      <c r="C132" s="93" t="str">
        <f t="shared" ref="C132:D132" si="156">IF($B130&lt;&gt;"",C128,"")</f>
        <v/>
      </c>
      <c r="D132" s="93" t="str">
        <f t="shared" si="156"/>
        <v/>
      </c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5"/>
      <c r="W132" s="31" t="e">
        <f>INDEX(TBL_TRANSIT[TransitID],$A132)</f>
        <v>#REF!</v>
      </c>
      <c r="X132" s="31" t="e">
        <f>"TransitTariffFixed_"&amp;RIGHT($W132,11)</f>
        <v>#REF!</v>
      </c>
    </row>
    <row r="133" spans="1:24" x14ac:dyDescent="0.25">
      <c r="A133" s="94">
        <f t="shared" si="119"/>
        <v>32</v>
      </c>
      <c r="B133" s="119"/>
      <c r="C133" s="93" t="str">
        <f t="shared" ref="C133:D133" si="157">IF($B130&lt;&gt;"",C129,"")</f>
        <v/>
      </c>
      <c r="D133" s="93" t="str">
        <f t="shared" si="157"/>
        <v/>
      </c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26"/>
      <c r="W133" s="31" t="e">
        <f>INDEX(TBL_TRANSIT[TransitID],$A133)</f>
        <v>#REF!</v>
      </c>
      <c r="X133" s="31" t="e">
        <f>"TransitTariffVar_"&amp;RIGHT($W133,11)</f>
        <v>#REF!</v>
      </c>
    </row>
    <row r="134" spans="1:24" x14ac:dyDescent="0.25">
      <c r="A134" s="94">
        <f t="shared" ref="A134" si="158">$A130+1</f>
        <v>33</v>
      </c>
      <c r="B134" s="117" t="str">
        <f>IFERROR(INDEX(TBL_TRANSIT[Name],$A134),"")</f>
        <v/>
      </c>
      <c r="C134" s="93" t="str">
        <f t="shared" ref="C134:D134" si="159">IF($B134&lt;&gt;"",C130,"")</f>
        <v/>
      </c>
      <c r="D134" s="93" t="str">
        <f t="shared" si="159"/>
        <v/>
      </c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5"/>
      <c r="W134" s="31" t="e">
        <f>INDEX(TBL_TRANSIT[TransitID],$A134)</f>
        <v>#REF!</v>
      </c>
      <c r="X134" s="31" t="e">
        <f>"TransitCapMin_"&amp;RIGHT($W134,11)</f>
        <v>#REF!</v>
      </c>
    </row>
    <row r="135" spans="1:24" x14ac:dyDescent="0.25">
      <c r="A135" s="94">
        <f t="shared" si="119"/>
        <v>33</v>
      </c>
      <c r="B135" s="118"/>
      <c r="C135" s="93" t="str">
        <f t="shared" ref="C135:D135" si="160">IF($B134&lt;&gt;"",C131,"")</f>
        <v/>
      </c>
      <c r="D135" s="93" t="str">
        <f t="shared" si="160"/>
        <v/>
      </c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26"/>
      <c r="W135" s="31" t="e">
        <f>INDEX(TBL_TRANSIT[TransitID],$A135)</f>
        <v>#REF!</v>
      </c>
      <c r="X135" s="31" t="e">
        <f>"TransitCapMax_"&amp;RIGHT($W135,11)</f>
        <v>#REF!</v>
      </c>
    </row>
    <row r="136" spans="1:24" x14ac:dyDescent="0.25">
      <c r="A136" s="94">
        <f t="shared" si="119"/>
        <v>33</v>
      </c>
      <c r="B136" s="118"/>
      <c r="C136" s="93" t="str">
        <f t="shared" ref="C136:D136" si="161">IF($B134&lt;&gt;"",C132,"")</f>
        <v/>
      </c>
      <c r="D136" s="93" t="str">
        <f t="shared" si="161"/>
        <v/>
      </c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5"/>
      <c r="W136" s="31" t="e">
        <f>INDEX(TBL_TRANSIT[TransitID],$A136)</f>
        <v>#REF!</v>
      </c>
      <c r="X136" s="31" t="e">
        <f>"TransitTariffFixed_"&amp;RIGHT($W136,11)</f>
        <v>#REF!</v>
      </c>
    </row>
    <row r="137" spans="1:24" x14ac:dyDescent="0.25">
      <c r="A137" s="94">
        <f t="shared" si="119"/>
        <v>33</v>
      </c>
      <c r="B137" s="119"/>
      <c r="C137" s="93" t="str">
        <f t="shared" ref="C137:D137" si="162">IF($B134&lt;&gt;"",C133,"")</f>
        <v/>
      </c>
      <c r="D137" s="93" t="str">
        <f t="shared" si="162"/>
        <v/>
      </c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26"/>
      <c r="W137" s="31" t="e">
        <f>INDEX(TBL_TRANSIT[TransitID],$A137)</f>
        <v>#REF!</v>
      </c>
      <c r="X137" s="31" t="e">
        <f>"TransitTariffVar_"&amp;RIGHT($W137,11)</f>
        <v>#REF!</v>
      </c>
    </row>
    <row r="138" spans="1:24" x14ac:dyDescent="0.25">
      <c r="A138" s="94">
        <f t="shared" ref="A138" si="163">$A134+1</f>
        <v>34</v>
      </c>
      <c r="B138" s="117" t="str">
        <f>IFERROR(INDEX(TBL_TRANSIT[Name],$A138),"")</f>
        <v/>
      </c>
      <c r="C138" s="93" t="str">
        <f t="shared" ref="C138:D138" si="164">IF($B138&lt;&gt;"",C134,"")</f>
        <v/>
      </c>
      <c r="D138" s="93" t="str">
        <f t="shared" si="164"/>
        <v/>
      </c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5"/>
      <c r="W138" s="31" t="e">
        <f>INDEX(TBL_TRANSIT[TransitID],$A138)</f>
        <v>#REF!</v>
      </c>
      <c r="X138" s="31" t="e">
        <f>"TransitCapMin_"&amp;RIGHT($W138,11)</f>
        <v>#REF!</v>
      </c>
    </row>
    <row r="139" spans="1:24" x14ac:dyDescent="0.25">
      <c r="A139" s="94">
        <f t="shared" si="119"/>
        <v>34</v>
      </c>
      <c r="B139" s="118"/>
      <c r="C139" s="93" t="str">
        <f t="shared" ref="C139:D139" si="165">IF($B138&lt;&gt;"",C135,"")</f>
        <v/>
      </c>
      <c r="D139" s="93" t="str">
        <f t="shared" si="165"/>
        <v/>
      </c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26"/>
      <c r="W139" s="31" t="e">
        <f>INDEX(TBL_TRANSIT[TransitID],$A139)</f>
        <v>#REF!</v>
      </c>
      <c r="X139" s="31" t="e">
        <f>"TransitCapMax_"&amp;RIGHT($W139,11)</f>
        <v>#REF!</v>
      </c>
    </row>
    <row r="140" spans="1:24" x14ac:dyDescent="0.25">
      <c r="A140" s="94">
        <f t="shared" si="119"/>
        <v>34</v>
      </c>
      <c r="B140" s="118"/>
      <c r="C140" s="93" t="str">
        <f t="shared" ref="C140:D140" si="166">IF($B138&lt;&gt;"",C136,"")</f>
        <v/>
      </c>
      <c r="D140" s="93" t="str">
        <f t="shared" si="166"/>
        <v/>
      </c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5"/>
      <c r="W140" s="31" t="e">
        <f>INDEX(TBL_TRANSIT[TransitID],$A140)</f>
        <v>#REF!</v>
      </c>
      <c r="X140" s="31" t="e">
        <f>"TransitTariffFixed_"&amp;RIGHT($W140,11)</f>
        <v>#REF!</v>
      </c>
    </row>
    <row r="141" spans="1:24" x14ac:dyDescent="0.25">
      <c r="A141" s="94">
        <f t="shared" si="119"/>
        <v>34</v>
      </c>
      <c r="B141" s="119"/>
      <c r="C141" s="93" t="str">
        <f t="shared" ref="C141:D141" si="167">IF($B138&lt;&gt;"",C137,"")</f>
        <v/>
      </c>
      <c r="D141" s="93" t="str">
        <f t="shared" si="167"/>
        <v/>
      </c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26"/>
      <c r="W141" s="31" t="e">
        <f>INDEX(TBL_TRANSIT[TransitID],$A141)</f>
        <v>#REF!</v>
      </c>
      <c r="X141" s="31" t="e">
        <f>"TransitTariffVar_"&amp;RIGHT($W141,11)</f>
        <v>#REF!</v>
      </c>
    </row>
    <row r="142" spans="1:24" x14ac:dyDescent="0.25">
      <c r="A142" s="94">
        <f t="shared" ref="A142" si="168">$A138+1</f>
        <v>35</v>
      </c>
      <c r="B142" s="117" t="str">
        <f>IFERROR(INDEX(TBL_TRANSIT[Name],$A142),"")</f>
        <v/>
      </c>
      <c r="C142" s="93" t="str">
        <f t="shared" ref="C142:D142" si="169">IF($B142&lt;&gt;"",C138,"")</f>
        <v/>
      </c>
      <c r="D142" s="93" t="str">
        <f t="shared" si="169"/>
        <v/>
      </c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5"/>
      <c r="W142" s="31" t="e">
        <f>INDEX(TBL_TRANSIT[TransitID],$A142)</f>
        <v>#REF!</v>
      </c>
      <c r="X142" s="31" t="e">
        <f>"TransitCapMin_"&amp;RIGHT($W142,11)</f>
        <v>#REF!</v>
      </c>
    </row>
    <row r="143" spans="1:24" x14ac:dyDescent="0.25">
      <c r="A143" s="94">
        <f t="shared" ref="A143:A197" si="170">$A142</f>
        <v>35</v>
      </c>
      <c r="B143" s="118"/>
      <c r="C143" s="93" t="str">
        <f t="shared" ref="C143:D143" si="171">IF($B142&lt;&gt;"",C139,"")</f>
        <v/>
      </c>
      <c r="D143" s="93" t="str">
        <f t="shared" si="171"/>
        <v/>
      </c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26"/>
      <c r="W143" s="31" t="e">
        <f>INDEX(TBL_TRANSIT[TransitID],$A143)</f>
        <v>#REF!</v>
      </c>
      <c r="X143" s="31" t="e">
        <f>"TransitCapMax_"&amp;RIGHT($W143,11)</f>
        <v>#REF!</v>
      </c>
    </row>
    <row r="144" spans="1:24" x14ac:dyDescent="0.25">
      <c r="A144" s="94">
        <f t="shared" si="170"/>
        <v>35</v>
      </c>
      <c r="B144" s="118"/>
      <c r="C144" s="93" t="str">
        <f t="shared" ref="C144:D144" si="172">IF($B142&lt;&gt;"",C140,"")</f>
        <v/>
      </c>
      <c r="D144" s="93" t="str">
        <f t="shared" si="172"/>
        <v/>
      </c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5"/>
      <c r="W144" s="31" t="e">
        <f>INDEX(TBL_TRANSIT[TransitID],$A144)</f>
        <v>#REF!</v>
      </c>
      <c r="X144" s="31" t="e">
        <f>"TransitTariffFixed_"&amp;RIGHT($W144,11)</f>
        <v>#REF!</v>
      </c>
    </row>
    <row r="145" spans="1:24" x14ac:dyDescent="0.25">
      <c r="A145" s="94">
        <f t="shared" si="170"/>
        <v>35</v>
      </c>
      <c r="B145" s="119"/>
      <c r="C145" s="93" t="str">
        <f t="shared" ref="C145:D145" si="173">IF($B142&lt;&gt;"",C141,"")</f>
        <v/>
      </c>
      <c r="D145" s="93" t="str">
        <f t="shared" si="173"/>
        <v/>
      </c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26"/>
      <c r="W145" s="31" t="e">
        <f>INDEX(TBL_TRANSIT[TransitID],$A145)</f>
        <v>#REF!</v>
      </c>
      <c r="X145" s="31" t="e">
        <f>"TransitTariffVar_"&amp;RIGHT($W145,11)</f>
        <v>#REF!</v>
      </c>
    </row>
    <row r="146" spans="1:24" x14ac:dyDescent="0.25">
      <c r="A146" s="94">
        <f t="shared" ref="A146" si="174">$A142+1</f>
        <v>36</v>
      </c>
      <c r="B146" s="117" t="str">
        <f>IFERROR(INDEX(TBL_TRANSIT[Name],$A146),"")</f>
        <v/>
      </c>
      <c r="C146" s="93" t="str">
        <f t="shared" ref="C146:D146" si="175">IF($B146&lt;&gt;"",C142,"")</f>
        <v/>
      </c>
      <c r="D146" s="93" t="str">
        <f t="shared" si="175"/>
        <v/>
      </c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5"/>
      <c r="W146" s="31" t="e">
        <f>INDEX(TBL_TRANSIT[TransitID],$A146)</f>
        <v>#REF!</v>
      </c>
      <c r="X146" s="31" t="e">
        <f>"TransitCapMin_"&amp;RIGHT($W146,11)</f>
        <v>#REF!</v>
      </c>
    </row>
    <row r="147" spans="1:24" x14ac:dyDescent="0.25">
      <c r="A147" s="94">
        <f t="shared" si="170"/>
        <v>36</v>
      </c>
      <c r="B147" s="118"/>
      <c r="C147" s="93" t="str">
        <f t="shared" ref="C147:D147" si="176">IF($B146&lt;&gt;"",C143,"")</f>
        <v/>
      </c>
      <c r="D147" s="93" t="str">
        <f t="shared" si="176"/>
        <v/>
      </c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26"/>
      <c r="W147" s="31" t="e">
        <f>INDEX(TBL_TRANSIT[TransitID],$A147)</f>
        <v>#REF!</v>
      </c>
      <c r="X147" s="31" t="e">
        <f>"TransitCapMax_"&amp;RIGHT($W147,11)</f>
        <v>#REF!</v>
      </c>
    </row>
    <row r="148" spans="1:24" x14ac:dyDescent="0.25">
      <c r="A148" s="94">
        <f t="shared" si="170"/>
        <v>36</v>
      </c>
      <c r="B148" s="118"/>
      <c r="C148" s="93" t="str">
        <f t="shared" ref="C148:D148" si="177">IF($B146&lt;&gt;"",C144,"")</f>
        <v/>
      </c>
      <c r="D148" s="93" t="str">
        <f t="shared" si="177"/>
        <v/>
      </c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5"/>
      <c r="W148" s="31" t="e">
        <f>INDEX(TBL_TRANSIT[TransitID],$A148)</f>
        <v>#REF!</v>
      </c>
      <c r="X148" s="31" t="e">
        <f>"TransitTariffFixed_"&amp;RIGHT($W148,11)</f>
        <v>#REF!</v>
      </c>
    </row>
    <row r="149" spans="1:24" x14ac:dyDescent="0.25">
      <c r="A149" s="94">
        <f t="shared" si="170"/>
        <v>36</v>
      </c>
      <c r="B149" s="119"/>
      <c r="C149" s="93" t="str">
        <f t="shared" ref="C149:D149" si="178">IF($B146&lt;&gt;"",C145,"")</f>
        <v/>
      </c>
      <c r="D149" s="93" t="str">
        <f t="shared" si="178"/>
        <v/>
      </c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26"/>
      <c r="W149" s="31" t="e">
        <f>INDEX(TBL_TRANSIT[TransitID],$A149)</f>
        <v>#REF!</v>
      </c>
      <c r="X149" s="31" t="e">
        <f>"TransitTariffVar_"&amp;RIGHT($W149,11)</f>
        <v>#REF!</v>
      </c>
    </row>
    <row r="150" spans="1:24" x14ac:dyDescent="0.25">
      <c r="A150" s="94">
        <f t="shared" ref="A150" si="179">$A146+1</f>
        <v>37</v>
      </c>
      <c r="B150" s="117" t="str">
        <f>IFERROR(INDEX(TBL_TRANSIT[Name],$A150),"")</f>
        <v/>
      </c>
      <c r="C150" s="93" t="str">
        <f t="shared" ref="C150:D150" si="180">IF($B150&lt;&gt;"",C146,"")</f>
        <v/>
      </c>
      <c r="D150" s="93" t="str">
        <f t="shared" si="180"/>
        <v/>
      </c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5"/>
      <c r="W150" s="31" t="e">
        <f>INDEX(TBL_TRANSIT[TransitID],$A150)</f>
        <v>#REF!</v>
      </c>
      <c r="X150" s="31" t="e">
        <f>"TransitCapMin_"&amp;RIGHT($W150,11)</f>
        <v>#REF!</v>
      </c>
    </row>
    <row r="151" spans="1:24" x14ac:dyDescent="0.25">
      <c r="A151" s="94">
        <f t="shared" si="170"/>
        <v>37</v>
      </c>
      <c r="B151" s="118"/>
      <c r="C151" s="93" t="str">
        <f t="shared" ref="C151:D151" si="181">IF($B150&lt;&gt;"",C147,"")</f>
        <v/>
      </c>
      <c r="D151" s="93" t="str">
        <f t="shared" si="181"/>
        <v/>
      </c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26"/>
      <c r="W151" s="31" t="e">
        <f>INDEX(TBL_TRANSIT[TransitID],$A151)</f>
        <v>#REF!</v>
      </c>
      <c r="X151" s="31" t="e">
        <f>"TransitCapMax_"&amp;RIGHT($W151,11)</f>
        <v>#REF!</v>
      </c>
    </row>
    <row r="152" spans="1:24" x14ac:dyDescent="0.25">
      <c r="A152" s="94">
        <f t="shared" si="170"/>
        <v>37</v>
      </c>
      <c r="B152" s="118"/>
      <c r="C152" s="93" t="str">
        <f t="shared" ref="C152:D152" si="182">IF($B150&lt;&gt;"",C148,"")</f>
        <v/>
      </c>
      <c r="D152" s="93" t="str">
        <f t="shared" si="182"/>
        <v/>
      </c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5"/>
      <c r="W152" s="31" t="e">
        <f>INDEX(TBL_TRANSIT[TransitID],$A152)</f>
        <v>#REF!</v>
      </c>
      <c r="X152" s="31" t="e">
        <f>"TransitTariffFixed_"&amp;RIGHT($W152,11)</f>
        <v>#REF!</v>
      </c>
    </row>
    <row r="153" spans="1:24" x14ac:dyDescent="0.25">
      <c r="A153" s="94">
        <f t="shared" si="170"/>
        <v>37</v>
      </c>
      <c r="B153" s="119"/>
      <c r="C153" s="93" t="str">
        <f t="shared" ref="C153:D153" si="183">IF($B150&lt;&gt;"",C149,"")</f>
        <v/>
      </c>
      <c r="D153" s="93" t="str">
        <f t="shared" si="183"/>
        <v/>
      </c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26"/>
      <c r="W153" s="31" t="e">
        <f>INDEX(TBL_TRANSIT[TransitID],$A153)</f>
        <v>#REF!</v>
      </c>
      <c r="X153" s="31" t="e">
        <f>"TransitTariffVar_"&amp;RIGHT($W153,11)</f>
        <v>#REF!</v>
      </c>
    </row>
    <row r="154" spans="1:24" x14ac:dyDescent="0.25">
      <c r="A154" s="94">
        <f t="shared" ref="A154" si="184">$A150+1</f>
        <v>38</v>
      </c>
      <c r="B154" s="117" t="str">
        <f>IFERROR(INDEX(TBL_TRANSIT[Name],$A154),"")</f>
        <v/>
      </c>
      <c r="C154" s="93" t="str">
        <f t="shared" ref="C154:D154" si="185">IF($B154&lt;&gt;"",C150,"")</f>
        <v/>
      </c>
      <c r="D154" s="93" t="str">
        <f t="shared" si="185"/>
        <v/>
      </c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5"/>
      <c r="W154" s="31" t="e">
        <f>INDEX(TBL_TRANSIT[TransitID],$A154)</f>
        <v>#REF!</v>
      </c>
      <c r="X154" s="31" t="e">
        <f>"TransitCapMin_"&amp;RIGHT($W154,11)</f>
        <v>#REF!</v>
      </c>
    </row>
    <row r="155" spans="1:24" x14ac:dyDescent="0.25">
      <c r="A155" s="94">
        <f t="shared" si="170"/>
        <v>38</v>
      </c>
      <c r="B155" s="118"/>
      <c r="C155" s="93" t="str">
        <f t="shared" ref="C155:D155" si="186">IF($B154&lt;&gt;"",C151,"")</f>
        <v/>
      </c>
      <c r="D155" s="93" t="str">
        <f t="shared" si="186"/>
        <v/>
      </c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26"/>
      <c r="W155" s="31" t="e">
        <f>INDEX(TBL_TRANSIT[TransitID],$A155)</f>
        <v>#REF!</v>
      </c>
      <c r="X155" s="31" t="e">
        <f>"TransitCapMax_"&amp;RIGHT($W155,11)</f>
        <v>#REF!</v>
      </c>
    </row>
    <row r="156" spans="1:24" x14ac:dyDescent="0.25">
      <c r="A156" s="94">
        <f t="shared" si="170"/>
        <v>38</v>
      </c>
      <c r="B156" s="118"/>
      <c r="C156" s="93" t="str">
        <f t="shared" ref="C156:D156" si="187">IF($B154&lt;&gt;"",C152,"")</f>
        <v/>
      </c>
      <c r="D156" s="93" t="str">
        <f t="shared" si="187"/>
        <v/>
      </c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5"/>
      <c r="W156" s="31" t="e">
        <f>INDEX(TBL_TRANSIT[TransitID],$A156)</f>
        <v>#REF!</v>
      </c>
      <c r="X156" s="31" t="e">
        <f>"TransitTariffFixed_"&amp;RIGHT($W156,11)</f>
        <v>#REF!</v>
      </c>
    </row>
    <row r="157" spans="1:24" x14ac:dyDescent="0.25">
      <c r="A157" s="94">
        <f t="shared" si="170"/>
        <v>38</v>
      </c>
      <c r="B157" s="119"/>
      <c r="C157" s="93" t="str">
        <f t="shared" ref="C157:D157" si="188">IF($B154&lt;&gt;"",C153,"")</f>
        <v/>
      </c>
      <c r="D157" s="93" t="str">
        <f t="shared" si="188"/>
        <v/>
      </c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26"/>
      <c r="W157" s="31" t="e">
        <f>INDEX(TBL_TRANSIT[TransitID],$A157)</f>
        <v>#REF!</v>
      </c>
      <c r="X157" s="31" t="e">
        <f>"TransitTariffVar_"&amp;RIGHT($W157,11)</f>
        <v>#REF!</v>
      </c>
    </row>
    <row r="158" spans="1:24" x14ac:dyDescent="0.25">
      <c r="A158" s="94">
        <f t="shared" ref="A158" si="189">$A154+1</f>
        <v>39</v>
      </c>
      <c r="B158" s="117" t="str">
        <f>IFERROR(INDEX(TBL_TRANSIT[Name],$A158),"")</f>
        <v/>
      </c>
      <c r="C158" s="93" t="str">
        <f t="shared" ref="C158:D158" si="190">IF($B158&lt;&gt;"",C154,"")</f>
        <v/>
      </c>
      <c r="D158" s="93" t="str">
        <f t="shared" si="190"/>
        <v/>
      </c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5"/>
      <c r="W158" s="31" t="e">
        <f>INDEX(TBL_TRANSIT[TransitID],$A158)</f>
        <v>#REF!</v>
      </c>
      <c r="X158" s="31" t="e">
        <f>"TransitCapMin_"&amp;RIGHT($W158,11)</f>
        <v>#REF!</v>
      </c>
    </row>
    <row r="159" spans="1:24" x14ac:dyDescent="0.25">
      <c r="A159" s="94">
        <f t="shared" si="170"/>
        <v>39</v>
      </c>
      <c r="B159" s="118"/>
      <c r="C159" s="93" t="str">
        <f t="shared" ref="C159:D159" si="191">IF($B158&lt;&gt;"",C155,"")</f>
        <v/>
      </c>
      <c r="D159" s="93" t="str">
        <f t="shared" si="191"/>
        <v/>
      </c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26"/>
      <c r="W159" s="31" t="e">
        <f>INDEX(TBL_TRANSIT[TransitID],$A159)</f>
        <v>#REF!</v>
      </c>
      <c r="X159" s="31" t="e">
        <f>"TransitCapMax_"&amp;RIGHT($W159,11)</f>
        <v>#REF!</v>
      </c>
    </row>
    <row r="160" spans="1:24" x14ac:dyDescent="0.25">
      <c r="A160" s="94">
        <f t="shared" si="170"/>
        <v>39</v>
      </c>
      <c r="B160" s="118"/>
      <c r="C160" s="93" t="str">
        <f t="shared" ref="C160:D160" si="192">IF($B158&lt;&gt;"",C156,"")</f>
        <v/>
      </c>
      <c r="D160" s="93" t="str">
        <f t="shared" si="192"/>
        <v/>
      </c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5"/>
      <c r="W160" s="31" t="e">
        <f>INDEX(TBL_TRANSIT[TransitID],$A160)</f>
        <v>#REF!</v>
      </c>
      <c r="X160" s="31" t="e">
        <f>"TransitTariffFixed_"&amp;RIGHT($W160,11)</f>
        <v>#REF!</v>
      </c>
    </row>
    <row r="161" spans="1:24" x14ac:dyDescent="0.25">
      <c r="A161" s="94">
        <f t="shared" si="170"/>
        <v>39</v>
      </c>
      <c r="B161" s="119"/>
      <c r="C161" s="93" t="str">
        <f t="shared" ref="C161:D161" si="193">IF($B158&lt;&gt;"",C157,"")</f>
        <v/>
      </c>
      <c r="D161" s="93" t="str">
        <f t="shared" si="193"/>
        <v/>
      </c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26"/>
      <c r="W161" s="31" t="e">
        <f>INDEX(TBL_TRANSIT[TransitID],$A161)</f>
        <v>#REF!</v>
      </c>
      <c r="X161" s="31" t="e">
        <f>"TransitTariffVar_"&amp;RIGHT($W161,11)</f>
        <v>#REF!</v>
      </c>
    </row>
    <row r="162" spans="1:24" x14ac:dyDescent="0.25">
      <c r="A162" s="94">
        <f t="shared" ref="A162" si="194">$A158+1</f>
        <v>40</v>
      </c>
      <c r="B162" s="117" t="str">
        <f>IFERROR(INDEX(TBL_TRANSIT[Name],$A162),"")</f>
        <v/>
      </c>
      <c r="C162" s="93" t="str">
        <f t="shared" ref="C162:D162" si="195">IF($B162&lt;&gt;"",C158,"")</f>
        <v/>
      </c>
      <c r="D162" s="93" t="str">
        <f t="shared" si="195"/>
        <v/>
      </c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5"/>
      <c r="W162" s="31" t="e">
        <f>INDEX(TBL_TRANSIT[TransitID],$A162)</f>
        <v>#REF!</v>
      </c>
      <c r="X162" s="31" t="e">
        <f>"TransitCapMin_"&amp;RIGHT($W162,11)</f>
        <v>#REF!</v>
      </c>
    </row>
    <row r="163" spans="1:24" x14ac:dyDescent="0.25">
      <c r="A163" s="94">
        <f t="shared" si="170"/>
        <v>40</v>
      </c>
      <c r="B163" s="118"/>
      <c r="C163" s="93" t="str">
        <f t="shared" ref="C163:D163" si="196">IF($B162&lt;&gt;"",C159,"")</f>
        <v/>
      </c>
      <c r="D163" s="93" t="str">
        <f t="shared" si="196"/>
        <v/>
      </c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26"/>
      <c r="W163" s="31" t="e">
        <f>INDEX(TBL_TRANSIT[TransitID],$A163)</f>
        <v>#REF!</v>
      </c>
      <c r="X163" s="31" t="e">
        <f>"TransitCapMax_"&amp;RIGHT($W163,11)</f>
        <v>#REF!</v>
      </c>
    </row>
    <row r="164" spans="1:24" x14ac:dyDescent="0.25">
      <c r="A164" s="94">
        <f t="shared" si="170"/>
        <v>40</v>
      </c>
      <c r="B164" s="118"/>
      <c r="C164" s="93" t="str">
        <f t="shared" ref="C164:D164" si="197">IF($B162&lt;&gt;"",C160,"")</f>
        <v/>
      </c>
      <c r="D164" s="93" t="str">
        <f t="shared" si="197"/>
        <v/>
      </c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5"/>
      <c r="W164" s="31" t="e">
        <f>INDEX(TBL_TRANSIT[TransitID],$A164)</f>
        <v>#REF!</v>
      </c>
      <c r="X164" s="31" t="e">
        <f>"TransitTariffFixed_"&amp;RIGHT($W164,11)</f>
        <v>#REF!</v>
      </c>
    </row>
    <row r="165" spans="1:24" x14ac:dyDescent="0.25">
      <c r="A165" s="94">
        <f t="shared" si="170"/>
        <v>40</v>
      </c>
      <c r="B165" s="119"/>
      <c r="C165" s="93" t="str">
        <f t="shared" ref="C165:D165" si="198">IF($B162&lt;&gt;"",C161,"")</f>
        <v/>
      </c>
      <c r="D165" s="93" t="str">
        <f t="shared" si="198"/>
        <v/>
      </c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26"/>
      <c r="W165" s="31" t="e">
        <f>INDEX(TBL_TRANSIT[TransitID],$A165)</f>
        <v>#REF!</v>
      </c>
      <c r="X165" s="31" t="e">
        <f>"TransitTariffVar_"&amp;RIGHT($W165,11)</f>
        <v>#REF!</v>
      </c>
    </row>
    <row r="166" spans="1:24" x14ac:dyDescent="0.25">
      <c r="A166" s="94">
        <f t="shared" ref="A166" si="199">$A162+1</f>
        <v>41</v>
      </c>
      <c r="B166" s="117" t="str">
        <f>IFERROR(INDEX(TBL_TRANSIT[Name],$A166),"")</f>
        <v/>
      </c>
      <c r="C166" s="93" t="str">
        <f t="shared" ref="C166:D166" si="200">IF($B166&lt;&gt;"",C162,"")</f>
        <v/>
      </c>
      <c r="D166" s="93" t="str">
        <f t="shared" si="200"/>
        <v/>
      </c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5"/>
      <c r="W166" s="31" t="e">
        <f>INDEX(TBL_TRANSIT[TransitID],$A166)</f>
        <v>#REF!</v>
      </c>
      <c r="X166" s="31" t="e">
        <f>"TransitCapMin_"&amp;RIGHT($W166,11)</f>
        <v>#REF!</v>
      </c>
    </row>
    <row r="167" spans="1:24" x14ac:dyDescent="0.25">
      <c r="A167" s="94">
        <f t="shared" si="170"/>
        <v>41</v>
      </c>
      <c r="B167" s="118"/>
      <c r="C167" s="93" t="str">
        <f t="shared" ref="C167:D167" si="201">IF($B166&lt;&gt;"",C163,"")</f>
        <v/>
      </c>
      <c r="D167" s="93" t="str">
        <f t="shared" si="201"/>
        <v/>
      </c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26"/>
      <c r="W167" s="31" t="e">
        <f>INDEX(TBL_TRANSIT[TransitID],$A167)</f>
        <v>#REF!</v>
      </c>
      <c r="X167" s="31" t="e">
        <f>"TransitCapMax_"&amp;RIGHT($W167,11)</f>
        <v>#REF!</v>
      </c>
    </row>
    <row r="168" spans="1:24" x14ac:dyDescent="0.25">
      <c r="A168" s="94">
        <f t="shared" si="170"/>
        <v>41</v>
      </c>
      <c r="B168" s="118"/>
      <c r="C168" s="93" t="str">
        <f t="shared" ref="C168:D168" si="202">IF($B166&lt;&gt;"",C164,"")</f>
        <v/>
      </c>
      <c r="D168" s="93" t="str">
        <f t="shared" si="202"/>
        <v/>
      </c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5"/>
      <c r="W168" s="31" t="e">
        <f>INDEX(TBL_TRANSIT[TransitID],$A168)</f>
        <v>#REF!</v>
      </c>
      <c r="X168" s="31" t="e">
        <f>"TransitTariffFixed_"&amp;RIGHT($W168,11)</f>
        <v>#REF!</v>
      </c>
    </row>
    <row r="169" spans="1:24" x14ac:dyDescent="0.25">
      <c r="A169" s="94">
        <f t="shared" si="170"/>
        <v>41</v>
      </c>
      <c r="B169" s="119"/>
      <c r="C169" s="93" t="str">
        <f t="shared" ref="C169:D169" si="203">IF($B166&lt;&gt;"",C165,"")</f>
        <v/>
      </c>
      <c r="D169" s="93" t="str">
        <f t="shared" si="203"/>
        <v/>
      </c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26"/>
      <c r="W169" s="31" t="e">
        <f>INDEX(TBL_TRANSIT[TransitID],$A169)</f>
        <v>#REF!</v>
      </c>
      <c r="X169" s="31" t="e">
        <f>"TransitTariffVar_"&amp;RIGHT($W169,11)</f>
        <v>#REF!</v>
      </c>
    </row>
    <row r="170" spans="1:24" x14ac:dyDescent="0.25">
      <c r="A170" s="94">
        <f t="shared" ref="A170" si="204">$A166+1</f>
        <v>42</v>
      </c>
      <c r="B170" s="117" t="str">
        <f>IFERROR(INDEX(TBL_TRANSIT[Name],$A170),"")</f>
        <v/>
      </c>
      <c r="C170" s="93" t="str">
        <f t="shared" ref="C170:D170" si="205">IF($B170&lt;&gt;"",C166,"")</f>
        <v/>
      </c>
      <c r="D170" s="93" t="str">
        <f t="shared" si="205"/>
        <v/>
      </c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5"/>
      <c r="W170" s="31" t="e">
        <f>INDEX(TBL_TRANSIT[TransitID],$A170)</f>
        <v>#REF!</v>
      </c>
      <c r="X170" s="31" t="e">
        <f>"TransitCapMin_"&amp;RIGHT($W170,11)</f>
        <v>#REF!</v>
      </c>
    </row>
    <row r="171" spans="1:24" x14ac:dyDescent="0.25">
      <c r="A171" s="94">
        <f t="shared" si="170"/>
        <v>42</v>
      </c>
      <c r="B171" s="118"/>
      <c r="C171" s="93" t="str">
        <f t="shared" ref="C171:D171" si="206">IF($B170&lt;&gt;"",C167,"")</f>
        <v/>
      </c>
      <c r="D171" s="93" t="str">
        <f t="shared" si="206"/>
        <v/>
      </c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26"/>
      <c r="W171" s="31" t="e">
        <f>INDEX(TBL_TRANSIT[TransitID],$A171)</f>
        <v>#REF!</v>
      </c>
      <c r="X171" s="31" t="e">
        <f>"TransitCapMax_"&amp;RIGHT($W171,11)</f>
        <v>#REF!</v>
      </c>
    </row>
    <row r="172" spans="1:24" x14ac:dyDescent="0.25">
      <c r="A172" s="94">
        <f t="shared" si="170"/>
        <v>42</v>
      </c>
      <c r="B172" s="118"/>
      <c r="C172" s="93" t="str">
        <f t="shared" ref="C172:D172" si="207">IF($B170&lt;&gt;"",C168,"")</f>
        <v/>
      </c>
      <c r="D172" s="93" t="str">
        <f t="shared" si="207"/>
        <v/>
      </c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5"/>
      <c r="W172" s="31" t="e">
        <f>INDEX(TBL_TRANSIT[TransitID],$A172)</f>
        <v>#REF!</v>
      </c>
      <c r="X172" s="31" t="e">
        <f>"TransitTariffFixed_"&amp;RIGHT($W172,11)</f>
        <v>#REF!</v>
      </c>
    </row>
    <row r="173" spans="1:24" x14ac:dyDescent="0.25">
      <c r="A173" s="94">
        <f t="shared" si="170"/>
        <v>42</v>
      </c>
      <c r="B173" s="119"/>
      <c r="C173" s="93" t="str">
        <f t="shared" ref="C173:D173" si="208">IF($B170&lt;&gt;"",C169,"")</f>
        <v/>
      </c>
      <c r="D173" s="93" t="str">
        <f t="shared" si="208"/>
        <v/>
      </c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26"/>
      <c r="W173" s="31" t="e">
        <f>INDEX(TBL_TRANSIT[TransitID],$A173)</f>
        <v>#REF!</v>
      </c>
      <c r="X173" s="31" t="e">
        <f>"TransitTariffVar_"&amp;RIGHT($W173,11)</f>
        <v>#REF!</v>
      </c>
    </row>
    <row r="174" spans="1:24" x14ac:dyDescent="0.25">
      <c r="A174" s="94">
        <f t="shared" ref="A174" si="209">$A170+1</f>
        <v>43</v>
      </c>
      <c r="B174" s="117" t="str">
        <f>IFERROR(INDEX(TBL_TRANSIT[Name],$A174),"")</f>
        <v/>
      </c>
      <c r="C174" s="93" t="str">
        <f t="shared" ref="C174:D174" si="210">IF($B174&lt;&gt;"",C170,"")</f>
        <v/>
      </c>
      <c r="D174" s="93" t="str">
        <f t="shared" si="210"/>
        <v/>
      </c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5"/>
      <c r="W174" s="31" t="e">
        <f>INDEX(TBL_TRANSIT[TransitID],$A174)</f>
        <v>#REF!</v>
      </c>
      <c r="X174" s="31" t="e">
        <f>"TransitCapMin_"&amp;RIGHT($W174,11)</f>
        <v>#REF!</v>
      </c>
    </row>
    <row r="175" spans="1:24" x14ac:dyDescent="0.25">
      <c r="A175" s="94">
        <f t="shared" si="170"/>
        <v>43</v>
      </c>
      <c r="B175" s="118"/>
      <c r="C175" s="93" t="str">
        <f t="shared" ref="C175:D175" si="211">IF($B174&lt;&gt;"",C171,"")</f>
        <v/>
      </c>
      <c r="D175" s="93" t="str">
        <f t="shared" si="211"/>
        <v/>
      </c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26"/>
      <c r="W175" s="31" t="e">
        <f>INDEX(TBL_TRANSIT[TransitID],$A175)</f>
        <v>#REF!</v>
      </c>
      <c r="X175" s="31" t="e">
        <f>"TransitCapMax_"&amp;RIGHT($W175,11)</f>
        <v>#REF!</v>
      </c>
    </row>
    <row r="176" spans="1:24" x14ac:dyDescent="0.25">
      <c r="A176" s="94">
        <f t="shared" si="170"/>
        <v>43</v>
      </c>
      <c r="B176" s="118"/>
      <c r="C176" s="93" t="str">
        <f t="shared" ref="C176:D176" si="212">IF($B174&lt;&gt;"",C172,"")</f>
        <v/>
      </c>
      <c r="D176" s="93" t="str">
        <f t="shared" si="212"/>
        <v/>
      </c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5"/>
      <c r="W176" s="31" t="e">
        <f>INDEX(TBL_TRANSIT[TransitID],$A176)</f>
        <v>#REF!</v>
      </c>
      <c r="X176" s="31" t="e">
        <f>"TransitTariffFixed_"&amp;RIGHT($W176,11)</f>
        <v>#REF!</v>
      </c>
    </row>
    <row r="177" spans="1:24" x14ac:dyDescent="0.25">
      <c r="A177" s="94">
        <f t="shared" si="170"/>
        <v>43</v>
      </c>
      <c r="B177" s="119"/>
      <c r="C177" s="93" t="str">
        <f t="shared" ref="C177:D177" si="213">IF($B174&lt;&gt;"",C173,"")</f>
        <v/>
      </c>
      <c r="D177" s="93" t="str">
        <f t="shared" si="213"/>
        <v/>
      </c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26"/>
      <c r="W177" s="31" t="e">
        <f>INDEX(TBL_TRANSIT[TransitID],$A177)</f>
        <v>#REF!</v>
      </c>
      <c r="X177" s="31" t="e">
        <f>"TransitTariffVar_"&amp;RIGHT($W177,11)</f>
        <v>#REF!</v>
      </c>
    </row>
    <row r="178" spans="1:24" x14ac:dyDescent="0.25">
      <c r="A178" s="94">
        <f t="shared" ref="A178" si="214">$A174+1</f>
        <v>44</v>
      </c>
      <c r="B178" s="117" t="str">
        <f>IFERROR(INDEX(TBL_TRANSIT[Name],$A178),"")</f>
        <v/>
      </c>
      <c r="C178" s="93" t="str">
        <f t="shared" ref="C178:D178" si="215">IF($B178&lt;&gt;"",C174,"")</f>
        <v/>
      </c>
      <c r="D178" s="93" t="str">
        <f t="shared" si="215"/>
        <v/>
      </c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5"/>
      <c r="W178" s="31" t="e">
        <f>INDEX(TBL_TRANSIT[TransitID],$A178)</f>
        <v>#REF!</v>
      </c>
      <c r="X178" s="31" t="e">
        <f>"TransitCapMin_"&amp;RIGHT($W178,11)</f>
        <v>#REF!</v>
      </c>
    </row>
    <row r="179" spans="1:24" x14ac:dyDescent="0.25">
      <c r="A179" s="94">
        <f t="shared" si="170"/>
        <v>44</v>
      </c>
      <c r="B179" s="118"/>
      <c r="C179" s="93" t="str">
        <f t="shared" ref="C179:D179" si="216">IF($B178&lt;&gt;"",C175,"")</f>
        <v/>
      </c>
      <c r="D179" s="93" t="str">
        <f t="shared" si="216"/>
        <v/>
      </c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26"/>
      <c r="W179" s="31" t="e">
        <f>INDEX(TBL_TRANSIT[TransitID],$A179)</f>
        <v>#REF!</v>
      </c>
      <c r="X179" s="31" t="e">
        <f>"TransitCapMax_"&amp;RIGHT($W179,11)</f>
        <v>#REF!</v>
      </c>
    </row>
    <row r="180" spans="1:24" x14ac:dyDescent="0.25">
      <c r="A180" s="94">
        <f t="shared" si="170"/>
        <v>44</v>
      </c>
      <c r="B180" s="118"/>
      <c r="C180" s="93" t="str">
        <f t="shared" ref="C180:D180" si="217">IF($B178&lt;&gt;"",C176,"")</f>
        <v/>
      </c>
      <c r="D180" s="93" t="str">
        <f t="shared" si="217"/>
        <v/>
      </c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5"/>
      <c r="W180" s="31" t="e">
        <f>INDEX(TBL_TRANSIT[TransitID],$A180)</f>
        <v>#REF!</v>
      </c>
      <c r="X180" s="31" t="e">
        <f>"TransitTariffFixed_"&amp;RIGHT($W180,11)</f>
        <v>#REF!</v>
      </c>
    </row>
    <row r="181" spans="1:24" x14ac:dyDescent="0.25">
      <c r="A181" s="94">
        <f t="shared" si="170"/>
        <v>44</v>
      </c>
      <c r="B181" s="119"/>
      <c r="C181" s="93" t="str">
        <f t="shared" ref="C181:D181" si="218">IF($B178&lt;&gt;"",C177,"")</f>
        <v/>
      </c>
      <c r="D181" s="93" t="str">
        <f t="shared" si="218"/>
        <v/>
      </c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26"/>
      <c r="W181" s="31" t="e">
        <f>INDEX(TBL_TRANSIT[TransitID],$A181)</f>
        <v>#REF!</v>
      </c>
      <c r="X181" s="31" t="e">
        <f>"TransitTariffVar_"&amp;RIGHT($W181,11)</f>
        <v>#REF!</v>
      </c>
    </row>
    <row r="182" spans="1:24" x14ac:dyDescent="0.25">
      <c r="A182" s="94">
        <f t="shared" ref="A182" si="219">$A178+1</f>
        <v>45</v>
      </c>
      <c r="B182" s="117" t="str">
        <f>IFERROR(INDEX(TBL_TRANSIT[Name],$A182),"")</f>
        <v/>
      </c>
      <c r="C182" s="93" t="str">
        <f t="shared" ref="C182:D182" si="220">IF($B182&lt;&gt;"",C178,"")</f>
        <v/>
      </c>
      <c r="D182" s="93" t="str">
        <f t="shared" si="220"/>
        <v/>
      </c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5"/>
      <c r="W182" s="31" t="e">
        <f>INDEX(TBL_TRANSIT[TransitID],$A182)</f>
        <v>#REF!</v>
      </c>
      <c r="X182" s="31" t="e">
        <f>"TransitCapMin_"&amp;RIGHT($W182,11)</f>
        <v>#REF!</v>
      </c>
    </row>
    <row r="183" spans="1:24" x14ac:dyDescent="0.25">
      <c r="A183" s="94">
        <f t="shared" si="170"/>
        <v>45</v>
      </c>
      <c r="B183" s="118"/>
      <c r="C183" s="93" t="str">
        <f t="shared" ref="C183:D183" si="221">IF($B182&lt;&gt;"",C179,"")</f>
        <v/>
      </c>
      <c r="D183" s="93" t="str">
        <f t="shared" si="221"/>
        <v/>
      </c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26"/>
      <c r="W183" s="31" t="e">
        <f>INDEX(TBL_TRANSIT[TransitID],$A183)</f>
        <v>#REF!</v>
      </c>
      <c r="X183" s="31" t="e">
        <f>"TransitCapMax_"&amp;RIGHT($W183,11)</f>
        <v>#REF!</v>
      </c>
    </row>
    <row r="184" spans="1:24" x14ac:dyDescent="0.25">
      <c r="A184" s="94">
        <f t="shared" si="170"/>
        <v>45</v>
      </c>
      <c r="B184" s="118"/>
      <c r="C184" s="93" t="str">
        <f t="shared" ref="C184:D184" si="222">IF($B182&lt;&gt;"",C180,"")</f>
        <v/>
      </c>
      <c r="D184" s="93" t="str">
        <f t="shared" si="222"/>
        <v/>
      </c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5"/>
      <c r="W184" s="31" t="e">
        <f>INDEX(TBL_TRANSIT[TransitID],$A184)</f>
        <v>#REF!</v>
      </c>
      <c r="X184" s="31" t="e">
        <f>"TransitTariffFixed_"&amp;RIGHT($W184,11)</f>
        <v>#REF!</v>
      </c>
    </row>
    <row r="185" spans="1:24" x14ac:dyDescent="0.25">
      <c r="A185" s="94">
        <f t="shared" si="170"/>
        <v>45</v>
      </c>
      <c r="B185" s="119"/>
      <c r="C185" s="93" t="str">
        <f t="shared" ref="C185:D185" si="223">IF($B182&lt;&gt;"",C181,"")</f>
        <v/>
      </c>
      <c r="D185" s="93" t="str">
        <f t="shared" si="223"/>
        <v/>
      </c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26"/>
      <c r="W185" s="31" t="e">
        <f>INDEX(TBL_TRANSIT[TransitID],$A185)</f>
        <v>#REF!</v>
      </c>
      <c r="X185" s="31" t="e">
        <f>"TransitTariffVar_"&amp;RIGHT($W185,11)</f>
        <v>#REF!</v>
      </c>
    </row>
    <row r="186" spans="1:24" x14ac:dyDescent="0.25">
      <c r="A186" s="94">
        <f t="shared" ref="A186" si="224">$A182+1</f>
        <v>46</v>
      </c>
      <c r="B186" s="117" t="str">
        <f>IFERROR(INDEX(TBL_TRANSIT[Name],$A186),"")</f>
        <v/>
      </c>
      <c r="C186" s="93" t="str">
        <f t="shared" ref="C186:D186" si="225">IF($B186&lt;&gt;"",C182,"")</f>
        <v/>
      </c>
      <c r="D186" s="93" t="str">
        <f t="shared" si="225"/>
        <v/>
      </c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5"/>
      <c r="W186" s="31" t="e">
        <f>INDEX(TBL_TRANSIT[TransitID],$A186)</f>
        <v>#REF!</v>
      </c>
      <c r="X186" s="31" t="e">
        <f>"TransitCapMin_"&amp;RIGHT($W186,11)</f>
        <v>#REF!</v>
      </c>
    </row>
    <row r="187" spans="1:24" x14ac:dyDescent="0.25">
      <c r="A187" s="94">
        <f t="shared" si="170"/>
        <v>46</v>
      </c>
      <c r="B187" s="118"/>
      <c r="C187" s="93" t="str">
        <f t="shared" ref="C187:D187" si="226">IF($B186&lt;&gt;"",C183,"")</f>
        <v/>
      </c>
      <c r="D187" s="93" t="str">
        <f t="shared" si="226"/>
        <v/>
      </c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26"/>
      <c r="W187" s="31" t="e">
        <f>INDEX(TBL_TRANSIT[TransitID],$A187)</f>
        <v>#REF!</v>
      </c>
      <c r="X187" s="31" t="e">
        <f>"TransitCapMax_"&amp;RIGHT($W187,11)</f>
        <v>#REF!</v>
      </c>
    </row>
    <row r="188" spans="1:24" x14ac:dyDescent="0.25">
      <c r="A188" s="94">
        <f t="shared" si="170"/>
        <v>46</v>
      </c>
      <c r="B188" s="118"/>
      <c r="C188" s="93" t="str">
        <f t="shared" ref="C188:D188" si="227">IF($B186&lt;&gt;"",C184,"")</f>
        <v/>
      </c>
      <c r="D188" s="93" t="str">
        <f t="shared" si="227"/>
        <v/>
      </c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5"/>
      <c r="W188" s="31" t="e">
        <f>INDEX(TBL_TRANSIT[TransitID],$A188)</f>
        <v>#REF!</v>
      </c>
      <c r="X188" s="31" t="e">
        <f>"TransitTariffFixed_"&amp;RIGHT($W188,11)</f>
        <v>#REF!</v>
      </c>
    </row>
    <row r="189" spans="1:24" x14ac:dyDescent="0.25">
      <c r="A189" s="94">
        <f t="shared" si="170"/>
        <v>46</v>
      </c>
      <c r="B189" s="119"/>
      <c r="C189" s="93" t="str">
        <f t="shared" ref="C189:D189" si="228">IF($B186&lt;&gt;"",C185,"")</f>
        <v/>
      </c>
      <c r="D189" s="93" t="str">
        <f t="shared" si="228"/>
        <v/>
      </c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26"/>
      <c r="W189" s="31" t="e">
        <f>INDEX(TBL_TRANSIT[TransitID],$A189)</f>
        <v>#REF!</v>
      </c>
      <c r="X189" s="31" t="e">
        <f>"TransitTariffVar_"&amp;RIGHT($W189,11)</f>
        <v>#REF!</v>
      </c>
    </row>
    <row r="190" spans="1:24" x14ac:dyDescent="0.25">
      <c r="A190" s="94">
        <f t="shared" ref="A190" si="229">$A186+1</f>
        <v>47</v>
      </c>
      <c r="B190" s="117" t="str">
        <f>IFERROR(INDEX(TBL_TRANSIT[Name],$A190),"")</f>
        <v/>
      </c>
      <c r="C190" s="93" t="str">
        <f t="shared" ref="C190:D190" si="230">IF($B190&lt;&gt;"",C186,"")</f>
        <v/>
      </c>
      <c r="D190" s="93" t="str">
        <f t="shared" si="230"/>
        <v/>
      </c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5"/>
      <c r="W190" s="31" t="e">
        <f>INDEX(TBL_TRANSIT[TransitID],$A190)</f>
        <v>#REF!</v>
      </c>
      <c r="X190" s="31" t="e">
        <f>"TransitCapMin_"&amp;RIGHT($W190,11)</f>
        <v>#REF!</v>
      </c>
    </row>
    <row r="191" spans="1:24" x14ac:dyDescent="0.25">
      <c r="A191" s="94">
        <f t="shared" si="170"/>
        <v>47</v>
      </c>
      <c r="B191" s="118"/>
      <c r="C191" s="93" t="str">
        <f t="shared" ref="C191:D191" si="231">IF($B190&lt;&gt;"",C187,"")</f>
        <v/>
      </c>
      <c r="D191" s="93" t="str">
        <f t="shared" si="231"/>
        <v/>
      </c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26"/>
      <c r="W191" s="31" t="e">
        <f>INDEX(TBL_TRANSIT[TransitID],$A191)</f>
        <v>#REF!</v>
      </c>
      <c r="X191" s="31" t="e">
        <f>"TransitCapMax_"&amp;RIGHT($W191,11)</f>
        <v>#REF!</v>
      </c>
    </row>
    <row r="192" spans="1:24" x14ac:dyDescent="0.25">
      <c r="A192" s="94">
        <f t="shared" si="170"/>
        <v>47</v>
      </c>
      <c r="B192" s="118"/>
      <c r="C192" s="93" t="str">
        <f t="shared" ref="C192:D192" si="232">IF($B190&lt;&gt;"",C188,"")</f>
        <v/>
      </c>
      <c r="D192" s="93" t="str">
        <f t="shared" si="232"/>
        <v/>
      </c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5"/>
      <c r="W192" s="31" t="e">
        <f>INDEX(TBL_TRANSIT[TransitID],$A192)</f>
        <v>#REF!</v>
      </c>
      <c r="X192" s="31" t="e">
        <f>"TransitTariffFixed_"&amp;RIGHT($W192,11)</f>
        <v>#REF!</v>
      </c>
    </row>
    <row r="193" spans="1:24" x14ac:dyDescent="0.25">
      <c r="A193" s="94">
        <f t="shared" si="170"/>
        <v>47</v>
      </c>
      <c r="B193" s="119"/>
      <c r="C193" s="93" t="str">
        <f t="shared" ref="C193:D193" si="233">IF($B190&lt;&gt;"",C189,"")</f>
        <v/>
      </c>
      <c r="D193" s="93" t="str">
        <f t="shared" si="233"/>
        <v/>
      </c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26"/>
      <c r="W193" s="31" t="e">
        <f>INDEX(TBL_TRANSIT[TransitID],$A193)</f>
        <v>#REF!</v>
      </c>
      <c r="X193" s="31" t="e">
        <f>"TransitTariffVar_"&amp;RIGHT($W193,11)</f>
        <v>#REF!</v>
      </c>
    </row>
    <row r="194" spans="1:24" x14ac:dyDescent="0.25">
      <c r="A194" s="94">
        <f t="shared" ref="A194" si="234">$A190+1</f>
        <v>48</v>
      </c>
      <c r="B194" s="117" t="str">
        <f>IFERROR(INDEX(TBL_TRANSIT[Name],$A194),"")</f>
        <v/>
      </c>
      <c r="C194" s="93" t="str">
        <f t="shared" ref="C194:D194" si="235">IF($B194&lt;&gt;"",C190,"")</f>
        <v/>
      </c>
      <c r="D194" s="93" t="str">
        <f t="shared" si="235"/>
        <v/>
      </c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5"/>
      <c r="W194" s="31" t="e">
        <f>INDEX(TBL_TRANSIT[TransitID],$A194)</f>
        <v>#REF!</v>
      </c>
      <c r="X194" s="31" t="e">
        <f>"TransitCapMin_"&amp;RIGHT($W194,11)</f>
        <v>#REF!</v>
      </c>
    </row>
    <row r="195" spans="1:24" x14ac:dyDescent="0.25">
      <c r="A195" s="94">
        <f t="shared" si="170"/>
        <v>48</v>
      </c>
      <c r="B195" s="118"/>
      <c r="C195" s="93" t="str">
        <f t="shared" ref="C195:D195" si="236">IF($B194&lt;&gt;"",C191,"")</f>
        <v/>
      </c>
      <c r="D195" s="93" t="str">
        <f t="shared" si="236"/>
        <v/>
      </c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26"/>
      <c r="W195" s="31" t="e">
        <f>INDEX(TBL_TRANSIT[TransitID],$A195)</f>
        <v>#REF!</v>
      </c>
      <c r="X195" s="31" t="e">
        <f>"TransitCapMax_"&amp;RIGHT($W195,11)</f>
        <v>#REF!</v>
      </c>
    </row>
    <row r="196" spans="1:24" x14ac:dyDescent="0.25">
      <c r="A196" s="94">
        <f t="shared" si="170"/>
        <v>48</v>
      </c>
      <c r="B196" s="118"/>
      <c r="C196" s="93" t="str">
        <f t="shared" ref="C196:D196" si="237">IF($B194&lt;&gt;"",C192,"")</f>
        <v/>
      </c>
      <c r="D196" s="93" t="str">
        <f t="shared" si="237"/>
        <v/>
      </c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5"/>
      <c r="W196" s="31" t="e">
        <f>INDEX(TBL_TRANSIT[TransitID],$A196)</f>
        <v>#REF!</v>
      </c>
      <c r="X196" s="31" t="e">
        <f>"TransitTariffFixed_"&amp;RIGHT($W196,11)</f>
        <v>#REF!</v>
      </c>
    </row>
    <row r="197" spans="1:24" x14ac:dyDescent="0.25">
      <c r="A197" s="94">
        <f t="shared" si="170"/>
        <v>48</v>
      </c>
      <c r="B197" s="119"/>
      <c r="C197" s="93" t="str">
        <f t="shared" ref="C197:D197" si="238">IF($B194&lt;&gt;"",C193,"")</f>
        <v/>
      </c>
      <c r="D197" s="93" t="str">
        <f t="shared" si="238"/>
        <v/>
      </c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26"/>
      <c r="W197" s="31" t="e">
        <f>INDEX(TBL_TRANSIT[TransitID],$A197)</f>
        <v>#REF!</v>
      </c>
      <c r="X197" s="31" t="e">
        <f>"TransitTariffVar_"&amp;RIGHT($W197,11)</f>
        <v>#REF!</v>
      </c>
    </row>
    <row r="198" spans="1:24" x14ac:dyDescent="0.25">
      <c r="A198" s="94">
        <f t="shared" ref="A198" si="239">$A194+1</f>
        <v>49</v>
      </c>
      <c r="B198" s="117" t="str">
        <f>IFERROR(INDEX(TBL_TRANSIT[Name],$A198),"")</f>
        <v/>
      </c>
      <c r="C198" s="93" t="str">
        <f t="shared" ref="C198:D198" si="240">IF($B198&lt;&gt;"",C194,"")</f>
        <v/>
      </c>
      <c r="D198" s="93" t="str">
        <f t="shared" si="240"/>
        <v/>
      </c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5"/>
      <c r="W198" s="31" t="e">
        <f>INDEX(TBL_TRANSIT[TransitID],$A198)</f>
        <v>#REF!</v>
      </c>
      <c r="X198" s="31" t="e">
        <f>"TransitCapMin_"&amp;RIGHT($W198,11)</f>
        <v>#REF!</v>
      </c>
    </row>
    <row r="199" spans="1:24" x14ac:dyDescent="0.25">
      <c r="A199" s="94">
        <f t="shared" ref="A199:A237" si="241">$A198</f>
        <v>49</v>
      </c>
      <c r="B199" s="118"/>
      <c r="C199" s="93" t="str">
        <f t="shared" ref="C199:D199" si="242">IF($B198&lt;&gt;"",C195,"")</f>
        <v/>
      </c>
      <c r="D199" s="93" t="str">
        <f t="shared" si="242"/>
        <v/>
      </c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26"/>
      <c r="W199" s="31" t="e">
        <f>INDEX(TBL_TRANSIT[TransitID],$A199)</f>
        <v>#REF!</v>
      </c>
      <c r="X199" s="31" t="e">
        <f>"TransitCapMax_"&amp;RIGHT($W199,11)</f>
        <v>#REF!</v>
      </c>
    </row>
    <row r="200" spans="1:24" x14ac:dyDescent="0.25">
      <c r="A200" s="94">
        <f t="shared" si="241"/>
        <v>49</v>
      </c>
      <c r="B200" s="118"/>
      <c r="C200" s="93" t="str">
        <f t="shared" ref="C200:D200" si="243">IF($B198&lt;&gt;"",C196,"")</f>
        <v/>
      </c>
      <c r="D200" s="93" t="str">
        <f t="shared" si="243"/>
        <v/>
      </c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5"/>
      <c r="W200" s="31" t="e">
        <f>INDEX(TBL_TRANSIT[TransitID],$A200)</f>
        <v>#REF!</v>
      </c>
      <c r="X200" s="31" t="e">
        <f>"TransitTariffFixed_"&amp;RIGHT($W200,11)</f>
        <v>#REF!</v>
      </c>
    </row>
    <row r="201" spans="1:24" x14ac:dyDescent="0.25">
      <c r="A201" s="94">
        <f t="shared" si="241"/>
        <v>49</v>
      </c>
      <c r="B201" s="119"/>
      <c r="C201" s="93" t="str">
        <f t="shared" ref="C201:D201" si="244">IF($B198&lt;&gt;"",C197,"")</f>
        <v/>
      </c>
      <c r="D201" s="93" t="str">
        <f t="shared" si="244"/>
        <v/>
      </c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26"/>
      <c r="W201" s="31" t="e">
        <f>INDEX(TBL_TRANSIT[TransitID],$A201)</f>
        <v>#REF!</v>
      </c>
      <c r="X201" s="31" t="e">
        <f>"TransitTariffVar_"&amp;RIGHT($W201,11)</f>
        <v>#REF!</v>
      </c>
    </row>
    <row r="202" spans="1:24" x14ac:dyDescent="0.25">
      <c r="A202" s="94">
        <f t="shared" ref="A202" si="245">$A198+1</f>
        <v>50</v>
      </c>
      <c r="B202" s="117" t="str">
        <f>IFERROR(INDEX(TBL_TRANSIT[Name],$A202),"")</f>
        <v/>
      </c>
      <c r="C202" s="93" t="str">
        <f t="shared" ref="C202:D202" si="246">IF($B202&lt;&gt;"",C198,"")</f>
        <v/>
      </c>
      <c r="D202" s="93" t="str">
        <f t="shared" si="246"/>
        <v/>
      </c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5"/>
      <c r="W202" s="31" t="e">
        <f>INDEX(TBL_TRANSIT[TransitID],$A202)</f>
        <v>#REF!</v>
      </c>
      <c r="X202" s="31" t="e">
        <f>"TransitCapMin_"&amp;RIGHT($W202,11)</f>
        <v>#REF!</v>
      </c>
    </row>
    <row r="203" spans="1:24" x14ac:dyDescent="0.25">
      <c r="A203" s="94">
        <f t="shared" si="241"/>
        <v>50</v>
      </c>
      <c r="B203" s="118"/>
      <c r="C203" s="93" t="str">
        <f t="shared" ref="C203:D203" si="247">IF($B202&lt;&gt;"",C199,"")</f>
        <v/>
      </c>
      <c r="D203" s="93" t="str">
        <f t="shared" si="247"/>
        <v/>
      </c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26"/>
      <c r="W203" s="31" t="e">
        <f>INDEX(TBL_TRANSIT[TransitID],$A203)</f>
        <v>#REF!</v>
      </c>
      <c r="X203" s="31" t="e">
        <f>"TransitCapMax_"&amp;RIGHT($W203,11)</f>
        <v>#REF!</v>
      </c>
    </row>
    <row r="204" spans="1:24" x14ac:dyDescent="0.25">
      <c r="A204" s="94">
        <f t="shared" si="241"/>
        <v>50</v>
      </c>
      <c r="B204" s="118"/>
      <c r="C204" s="93" t="str">
        <f t="shared" ref="C204:D204" si="248">IF($B202&lt;&gt;"",C200,"")</f>
        <v/>
      </c>
      <c r="D204" s="93" t="str">
        <f t="shared" si="248"/>
        <v/>
      </c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5"/>
      <c r="W204" s="31" t="e">
        <f>INDEX(TBL_TRANSIT[TransitID],$A204)</f>
        <v>#REF!</v>
      </c>
      <c r="X204" s="31" t="e">
        <f>"TransitTariffFixed_"&amp;RIGHT($W204,11)</f>
        <v>#REF!</v>
      </c>
    </row>
    <row r="205" spans="1:24" x14ac:dyDescent="0.25">
      <c r="A205" s="94">
        <f t="shared" si="241"/>
        <v>50</v>
      </c>
      <c r="B205" s="119"/>
      <c r="C205" s="93" t="str">
        <f t="shared" ref="C205:D205" si="249">IF($B202&lt;&gt;"",C201,"")</f>
        <v/>
      </c>
      <c r="D205" s="93" t="str">
        <f t="shared" si="249"/>
        <v/>
      </c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26"/>
      <c r="W205" s="31" t="e">
        <f>INDEX(TBL_TRANSIT[TransitID],$A205)</f>
        <v>#REF!</v>
      </c>
      <c r="X205" s="31" t="e">
        <f>"TransitTariffVar_"&amp;RIGHT($W205,11)</f>
        <v>#REF!</v>
      </c>
    </row>
    <row r="206" spans="1:24" x14ac:dyDescent="0.25">
      <c r="A206" s="94">
        <f t="shared" ref="A206" si="250">$A202+1</f>
        <v>51</v>
      </c>
      <c r="B206" s="117" t="str">
        <f>IFERROR(INDEX(TBL_TRANSIT[Name],$A206),"")</f>
        <v/>
      </c>
      <c r="C206" s="93" t="str">
        <f t="shared" ref="C206:D206" si="251">IF($B206&lt;&gt;"",C202,"")</f>
        <v/>
      </c>
      <c r="D206" s="93" t="str">
        <f t="shared" si="251"/>
        <v/>
      </c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5"/>
      <c r="W206" s="31" t="e">
        <f>INDEX(TBL_TRANSIT[TransitID],$A206)</f>
        <v>#REF!</v>
      </c>
      <c r="X206" s="31" t="e">
        <f>"TransitCapMin_"&amp;RIGHT($W206,11)</f>
        <v>#REF!</v>
      </c>
    </row>
    <row r="207" spans="1:24" x14ac:dyDescent="0.25">
      <c r="A207" s="94">
        <f t="shared" si="241"/>
        <v>51</v>
      </c>
      <c r="B207" s="118"/>
      <c r="C207" s="93" t="str">
        <f t="shared" ref="C207:D207" si="252">IF($B206&lt;&gt;"",C203,"")</f>
        <v/>
      </c>
      <c r="D207" s="93" t="str">
        <f t="shared" si="252"/>
        <v/>
      </c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26"/>
      <c r="W207" s="31" t="e">
        <f>INDEX(TBL_TRANSIT[TransitID],$A207)</f>
        <v>#REF!</v>
      </c>
      <c r="X207" s="31" t="e">
        <f>"TransitCapMax_"&amp;RIGHT($W207,11)</f>
        <v>#REF!</v>
      </c>
    </row>
    <row r="208" spans="1:24" x14ac:dyDescent="0.25">
      <c r="A208" s="94">
        <f t="shared" si="241"/>
        <v>51</v>
      </c>
      <c r="B208" s="118"/>
      <c r="C208" s="93" t="str">
        <f t="shared" ref="C208:D208" si="253">IF($B206&lt;&gt;"",C204,"")</f>
        <v/>
      </c>
      <c r="D208" s="93" t="str">
        <f t="shared" si="253"/>
        <v/>
      </c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5"/>
      <c r="W208" s="31" t="e">
        <f>INDEX(TBL_TRANSIT[TransitID],$A208)</f>
        <v>#REF!</v>
      </c>
      <c r="X208" s="31" t="e">
        <f>"TransitTariffFixed_"&amp;RIGHT($W208,11)</f>
        <v>#REF!</v>
      </c>
    </row>
    <row r="209" spans="1:24" x14ac:dyDescent="0.25">
      <c r="A209" s="94">
        <f t="shared" si="241"/>
        <v>51</v>
      </c>
      <c r="B209" s="119"/>
      <c r="C209" s="93" t="str">
        <f t="shared" ref="C209:D209" si="254">IF($B206&lt;&gt;"",C205,"")</f>
        <v/>
      </c>
      <c r="D209" s="93" t="str">
        <f t="shared" si="254"/>
        <v/>
      </c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26"/>
      <c r="W209" s="31" t="e">
        <f>INDEX(TBL_TRANSIT[TransitID],$A209)</f>
        <v>#REF!</v>
      </c>
      <c r="X209" s="31" t="e">
        <f>"TransitTariffVar_"&amp;RIGHT($W209,11)</f>
        <v>#REF!</v>
      </c>
    </row>
    <row r="210" spans="1:24" x14ac:dyDescent="0.25">
      <c r="A210" s="94">
        <f t="shared" ref="A210" si="255">$A206+1</f>
        <v>52</v>
      </c>
      <c r="B210" s="117" t="str">
        <f>IFERROR(INDEX(TBL_TRANSIT[Name],$A210),"")</f>
        <v/>
      </c>
      <c r="C210" s="93" t="str">
        <f t="shared" ref="C210:D210" si="256">IF($B210&lt;&gt;"",C206,"")</f>
        <v/>
      </c>
      <c r="D210" s="93" t="str">
        <f t="shared" si="256"/>
        <v/>
      </c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5"/>
      <c r="W210" s="31" t="e">
        <f>INDEX(TBL_TRANSIT[TransitID],$A210)</f>
        <v>#REF!</v>
      </c>
      <c r="X210" s="31" t="e">
        <f>"TransitCapMin_"&amp;RIGHT($W210,11)</f>
        <v>#REF!</v>
      </c>
    </row>
    <row r="211" spans="1:24" x14ac:dyDescent="0.25">
      <c r="A211" s="94">
        <f t="shared" si="241"/>
        <v>52</v>
      </c>
      <c r="B211" s="118"/>
      <c r="C211" s="93" t="str">
        <f t="shared" ref="C211:D211" si="257">IF($B210&lt;&gt;"",C207,"")</f>
        <v/>
      </c>
      <c r="D211" s="93" t="str">
        <f t="shared" si="257"/>
        <v/>
      </c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26"/>
      <c r="W211" s="31" t="e">
        <f>INDEX(TBL_TRANSIT[TransitID],$A211)</f>
        <v>#REF!</v>
      </c>
      <c r="X211" s="31" t="e">
        <f>"TransitCapMax_"&amp;RIGHT($W211,11)</f>
        <v>#REF!</v>
      </c>
    </row>
    <row r="212" spans="1:24" x14ac:dyDescent="0.25">
      <c r="A212" s="94">
        <f t="shared" si="241"/>
        <v>52</v>
      </c>
      <c r="B212" s="118"/>
      <c r="C212" s="93" t="str">
        <f t="shared" ref="C212:D212" si="258">IF($B210&lt;&gt;"",C208,"")</f>
        <v/>
      </c>
      <c r="D212" s="93" t="str">
        <f t="shared" si="258"/>
        <v/>
      </c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5"/>
      <c r="W212" s="31" t="e">
        <f>INDEX(TBL_TRANSIT[TransitID],$A212)</f>
        <v>#REF!</v>
      </c>
      <c r="X212" s="31" t="e">
        <f>"TransitTariffFixed_"&amp;RIGHT($W212,11)</f>
        <v>#REF!</v>
      </c>
    </row>
    <row r="213" spans="1:24" x14ac:dyDescent="0.25">
      <c r="A213" s="94">
        <f t="shared" si="241"/>
        <v>52</v>
      </c>
      <c r="B213" s="119"/>
      <c r="C213" s="93" t="str">
        <f t="shared" ref="C213:D213" si="259">IF($B210&lt;&gt;"",C209,"")</f>
        <v/>
      </c>
      <c r="D213" s="93" t="str">
        <f t="shared" si="259"/>
        <v/>
      </c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26"/>
      <c r="W213" s="31" t="e">
        <f>INDEX(TBL_TRANSIT[TransitID],$A213)</f>
        <v>#REF!</v>
      </c>
      <c r="X213" s="31" t="e">
        <f>"TransitTariffVar_"&amp;RIGHT($W213,11)</f>
        <v>#REF!</v>
      </c>
    </row>
    <row r="214" spans="1:24" x14ac:dyDescent="0.25">
      <c r="A214" s="94">
        <f t="shared" ref="A214" si="260">$A210+1</f>
        <v>53</v>
      </c>
      <c r="B214" s="117" t="str">
        <f>IFERROR(INDEX(TBL_TRANSIT[Name],$A214),"")</f>
        <v/>
      </c>
      <c r="C214" s="93" t="str">
        <f t="shared" ref="C214:D214" si="261">IF($B214&lt;&gt;"",C210,"")</f>
        <v/>
      </c>
      <c r="D214" s="93" t="str">
        <f t="shared" si="261"/>
        <v/>
      </c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5"/>
      <c r="W214" s="31" t="e">
        <f>INDEX(TBL_TRANSIT[TransitID],$A214)</f>
        <v>#REF!</v>
      </c>
      <c r="X214" s="31" t="e">
        <f>"TransitCapMin_"&amp;RIGHT($W214,11)</f>
        <v>#REF!</v>
      </c>
    </row>
    <row r="215" spans="1:24" x14ac:dyDescent="0.25">
      <c r="A215" s="94">
        <f t="shared" si="241"/>
        <v>53</v>
      </c>
      <c r="B215" s="118"/>
      <c r="C215" s="93" t="str">
        <f t="shared" ref="C215:D215" si="262">IF($B214&lt;&gt;"",C211,"")</f>
        <v/>
      </c>
      <c r="D215" s="93" t="str">
        <f t="shared" si="262"/>
        <v/>
      </c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26"/>
      <c r="W215" s="31" t="e">
        <f>INDEX(TBL_TRANSIT[TransitID],$A215)</f>
        <v>#REF!</v>
      </c>
      <c r="X215" s="31" t="e">
        <f>"TransitCapMax_"&amp;RIGHT($W215,11)</f>
        <v>#REF!</v>
      </c>
    </row>
    <row r="216" spans="1:24" x14ac:dyDescent="0.25">
      <c r="A216" s="94">
        <f t="shared" si="241"/>
        <v>53</v>
      </c>
      <c r="B216" s="118"/>
      <c r="C216" s="93" t="str">
        <f t="shared" ref="C216:D216" si="263">IF($B214&lt;&gt;"",C212,"")</f>
        <v/>
      </c>
      <c r="D216" s="93" t="str">
        <f t="shared" si="263"/>
        <v/>
      </c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5"/>
      <c r="W216" s="31" t="e">
        <f>INDEX(TBL_TRANSIT[TransitID],$A216)</f>
        <v>#REF!</v>
      </c>
      <c r="X216" s="31" t="e">
        <f>"TransitTariffFixed_"&amp;RIGHT($W216,11)</f>
        <v>#REF!</v>
      </c>
    </row>
    <row r="217" spans="1:24" x14ac:dyDescent="0.25">
      <c r="A217" s="94">
        <f t="shared" si="241"/>
        <v>53</v>
      </c>
      <c r="B217" s="119"/>
      <c r="C217" s="93" t="str">
        <f t="shared" ref="C217:D217" si="264">IF($B214&lt;&gt;"",C213,"")</f>
        <v/>
      </c>
      <c r="D217" s="93" t="str">
        <f t="shared" si="264"/>
        <v/>
      </c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26"/>
      <c r="W217" s="31" t="e">
        <f>INDEX(TBL_TRANSIT[TransitID],$A217)</f>
        <v>#REF!</v>
      </c>
      <c r="X217" s="31" t="e">
        <f>"TransitTariffVar_"&amp;RIGHT($W217,11)</f>
        <v>#REF!</v>
      </c>
    </row>
    <row r="218" spans="1:24" x14ac:dyDescent="0.25">
      <c r="A218" s="94">
        <f t="shared" ref="A218" si="265">$A214+1</f>
        <v>54</v>
      </c>
      <c r="B218" s="117" t="str">
        <f>IFERROR(INDEX(TBL_TRANSIT[Name],$A218),"")</f>
        <v/>
      </c>
      <c r="C218" s="93" t="str">
        <f t="shared" ref="C218:D218" si="266">IF($B218&lt;&gt;"",C214,"")</f>
        <v/>
      </c>
      <c r="D218" s="93" t="str">
        <f t="shared" si="266"/>
        <v/>
      </c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5"/>
      <c r="W218" s="31" t="e">
        <f>INDEX(TBL_TRANSIT[TransitID],$A218)</f>
        <v>#REF!</v>
      </c>
      <c r="X218" s="31" t="e">
        <f>"TransitCapMin_"&amp;RIGHT($W218,11)</f>
        <v>#REF!</v>
      </c>
    </row>
    <row r="219" spans="1:24" x14ac:dyDescent="0.25">
      <c r="A219" s="94">
        <f t="shared" si="241"/>
        <v>54</v>
      </c>
      <c r="B219" s="118"/>
      <c r="C219" s="93" t="str">
        <f t="shared" ref="C219:D219" si="267">IF($B218&lt;&gt;"",C215,"")</f>
        <v/>
      </c>
      <c r="D219" s="93" t="str">
        <f t="shared" si="267"/>
        <v/>
      </c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26"/>
      <c r="W219" s="31" t="e">
        <f>INDEX(TBL_TRANSIT[TransitID],$A219)</f>
        <v>#REF!</v>
      </c>
      <c r="X219" s="31" t="e">
        <f>"TransitCapMax_"&amp;RIGHT($W219,11)</f>
        <v>#REF!</v>
      </c>
    </row>
    <row r="220" spans="1:24" x14ac:dyDescent="0.25">
      <c r="A220" s="94">
        <f t="shared" si="241"/>
        <v>54</v>
      </c>
      <c r="B220" s="118"/>
      <c r="C220" s="93" t="str">
        <f t="shared" ref="C220:D220" si="268">IF($B218&lt;&gt;"",C216,"")</f>
        <v/>
      </c>
      <c r="D220" s="93" t="str">
        <f t="shared" si="268"/>
        <v/>
      </c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5"/>
      <c r="W220" s="31" t="e">
        <f>INDEX(TBL_TRANSIT[TransitID],$A220)</f>
        <v>#REF!</v>
      </c>
      <c r="X220" s="31" t="e">
        <f>"TransitTariffFixed_"&amp;RIGHT($W220,11)</f>
        <v>#REF!</v>
      </c>
    </row>
    <row r="221" spans="1:24" x14ac:dyDescent="0.25">
      <c r="A221" s="94">
        <f t="shared" si="241"/>
        <v>54</v>
      </c>
      <c r="B221" s="119"/>
      <c r="C221" s="93" t="str">
        <f t="shared" ref="C221:D221" si="269">IF($B218&lt;&gt;"",C217,"")</f>
        <v/>
      </c>
      <c r="D221" s="93" t="str">
        <f t="shared" si="269"/>
        <v/>
      </c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26"/>
      <c r="W221" s="31" t="e">
        <f>INDEX(TBL_TRANSIT[TransitID],$A221)</f>
        <v>#REF!</v>
      </c>
      <c r="X221" s="31" t="e">
        <f>"TransitTariffVar_"&amp;RIGHT($W221,11)</f>
        <v>#REF!</v>
      </c>
    </row>
    <row r="222" spans="1:24" x14ac:dyDescent="0.25">
      <c r="A222" s="94">
        <f t="shared" ref="A222" si="270">$A218+1</f>
        <v>55</v>
      </c>
      <c r="B222" s="117" t="str">
        <f>IFERROR(INDEX(TBL_TRANSIT[Name],$A222),"")</f>
        <v/>
      </c>
      <c r="C222" s="93" t="str">
        <f t="shared" ref="C222:D222" si="271">IF($B222&lt;&gt;"",C218,"")</f>
        <v/>
      </c>
      <c r="D222" s="93" t="str">
        <f t="shared" si="271"/>
        <v/>
      </c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5"/>
      <c r="W222" s="31" t="e">
        <f>INDEX(TBL_TRANSIT[TransitID],$A222)</f>
        <v>#REF!</v>
      </c>
      <c r="X222" s="31" t="e">
        <f>"TransitCapMin_"&amp;RIGHT($W222,11)</f>
        <v>#REF!</v>
      </c>
    </row>
    <row r="223" spans="1:24" x14ac:dyDescent="0.25">
      <c r="A223" s="94">
        <f t="shared" si="241"/>
        <v>55</v>
      </c>
      <c r="B223" s="118"/>
      <c r="C223" s="93" t="str">
        <f t="shared" ref="C223:D223" si="272">IF($B222&lt;&gt;"",C219,"")</f>
        <v/>
      </c>
      <c r="D223" s="93" t="str">
        <f t="shared" si="272"/>
        <v/>
      </c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26"/>
      <c r="W223" s="31" t="e">
        <f>INDEX(TBL_TRANSIT[TransitID],$A223)</f>
        <v>#REF!</v>
      </c>
      <c r="X223" s="31" t="e">
        <f>"TransitCapMax_"&amp;RIGHT($W223,11)</f>
        <v>#REF!</v>
      </c>
    </row>
    <row r="224" spans="1:24" x14ac:dyDescent="0.25">
      <c r="A224" s="94">
        <f t="shared" si="241"/>
        <v>55</v>
      </c>
      <c r="B224" s="118"/>
      <c r="C224" s="93" t="str">
        <f t="shared" ref="C224:D224" si="273">IF($B222&lt;&gt;"",C220,"")</f>
        <v/>
      </c>
      <c r="D224" s="93" t="str">
        <f t="shared" si="273"/>
        <v/>
      </c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5"/>
      <c r="W224" s="31" t="e">
        <f>INDEX(TBL_TRANSIT[TransitID],$A224)</f>
        <v>#REF!</v>
      </c>
      <c r="X224" s="31" t="e">
        <f>"TransitTariffFixed_"&amp;RIGHT($W224,11)</f>
        <v>#REF!</v>
      </c>
    </row>
    <row r="225" spans="1:24" x14ac:dyDescent="0.25">
      <c r="A225" s="94">
        <f t="shared" si="241"/>
        <v>55</v>
      </c>
      <c r="B225" s="119"/>
      <c r="C225" s="93" t="str">
        <f t="shared" ref="C225:D225" si="274">IF($B222&lt;&gt;"",C221,"")</f>
        <v/>
      </c>
      <c r="D225" s="93" t="str">
        <f t="shared" si="274"/>
        <v/>
      </c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26"/>
      <c r="W225" s="31" t="e">
        <f>INDEX(TBL_TRANSIT[TransitID],$A225)</f>
        <v>#REF!</v>
      </c>
      <c r="X225" s="31" t="e">
        <f>"TransitTariffVar_"&amp;RIGHT($W225,11)</f>
        <v>#REF!</v>
      </c>
    </row>
    <row r="226" spans="1:24" x14ac:dyDescent="0.25">
      <c r="A226" s="94">
        <f t="shared" ref="A226" si="275">$A222+1</f>
        <v>56</v>
      </c>
      <c r="B226" s="117" t="str">
        <f>IFERROR(INDEX(TBL_TRANSIT[Name],$A226),"")</f>
        <v/>
      </c>
      <c r="C226" s="93" t="str">
        <f t="shared" ref="C226:D226" si="276">IF($B226&lt;&gt;"",C222,"")</f>
        <v/>
      </c>
      <c r="D226" s="93" t="str">
        <f t="shared" si="276"/>
        <v/>
      </c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5"/>
      <c r="W226" s="31" t="e">
        <f>INDEX(TBL_TRANSIT[TransitID],$A226)</f>
        <v>#REF!</v>
      </c>
      <c r="X226" s="31" t="e">
        <f>"TransitCapMin_"&amp;RIGHT($W226,11)</f>
        <v>#REF!</v>
      </c>
    </row>
    <row r="227" spans="1:24" x14ac:dyDescent="0.25">
      <c r="A227" s="94">
        <f t="shared" si="241"/>
        <v>56</v>
      </c>
      <c r="B227" s="118"/>
      <c r="C227" s="93" t="str">
        <f t="shared" ref="C227:D227" si="277">IF($B226&lt;&gt;"",C223,"")</f>
        <v/>
      </c>
      <c r="D227" s="93" t="str">
        <f t="shared" si="277"/>
        <v/>
      </c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26"/>
      <c r="W227" s="31" t="e">
        <f>INDEX(TBL_TRANSIT[TransitID],$A227)</f>
        <v>#REF!</v>
      </c>
      <c r="X227" s="31" t="e">
        <f>"TransitCapMax_"&amp;RIGHT($W227,11)</f>
        <v>#REF!</v>
      </c>
    </row>
    <row r="228" spans="1:24" x14ac:dyDescent="0.25">
      <c r="A228" s="94">
        <f t="shared" si="241"/>
        <v>56</v>
      </c>
      <c r="B228" s="118"/>
      <c r="C228" s="93" t="str">
        <f t="shared" ref="C228:D228" si="278">IF($B226&lt;&gt;"",C224,"")</f>
        <v/>
      </c>
      <c r="D228" s="93" t="str">
        <f t="shared" si="278"/>
        <v/>
      </c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5"/>
      <c r="W228" s="31" t="e">
        <f>INDEX(TBL_TRANSIT[TransitID],$A228)</f>
        <v>#REF!</v>
      </c>
      <c r="X228" s="31" t="e">
        <f>"TransitTariffFixed_"&amp;RIGHT($W228,11)</f>
        <v>#REF!</v>
      </c>
    </row>
    <row r="229" spans="1:24" x14ac:dyDescent="0.25">
      <c r="A229" s="94">
        <f t="shared" si="241"/>
        <v>56</v>
      </c>
      <c r="B229" s="119"/>
      <c r="C229" s="93" t="str">
        <f t="shared" ref="C229:D229" si="279">IF($B226&lt;&gt;"",C225,"")</f>
        <v/>
      </c>
      <c r="D229" s="93" t="str">
        <f t="shared" si="279"/>
        <v/>
      </c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26"/>
      <c r="W229" s="31" t="e">
        <f>INDEX(TBL_TRANSIT[TransitID],$A229)</f>
        <v>#REF!</v>
      </c>
      <c r="X229" s="31" t="e">
        <f>"TransitTariffVar_"&amp;RIGHT($W229,11)</f>
        <v>#REF!</v>
      </c>
    </row>
    <row r="230" spans="1:24" x14ac:dyDescent="0.25">
      <c r="A230" s="94">
        <f t="shared" ref="A230" si="280">$A226+1</f>
        <v>57</v>
      </c>
      <c r="B230" s="117" t="str">
        <f>IFERROR(INDEX(TBL_TRANSIT[Name],$A230),"")</f>
        <v/>
      </c>
      <c r="C230" s="93" t="str">
        <f t="shared" ref="C230:D230" si="281">IF($B230&lt;&gt;"",C226,"")</f>
        <v/>
      </c>
      <c r="D230" s="93" t="str">
        <f t="shared" si="281"/>
        <v/>
      </c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5"/>
      <c r="W230" s="31" t="e">
        <f>INDEX(TBL_TRANSIT[TransitID],$A230)</f>
        <v>#REF!</v>
      </c>
      <c r="X230" s="31" t="e">
        <f>"TransitCapMin_"&amp;RIGHT($W230,11)</f>
        <v>#REF!</v>
      </c>
    </row>
    <row r="231" spans="1:24" x14ac:dyDescent="0.25">
      <c r="A231" s="94">
        <f t="shared" si="241"/>
        <v>57</v>
      </c>
      <c r="B231" s="118"/>
      <c r="C231" s="93" t="str">
        <f t="shared" ref="C231:D231" si="282">IF($B230&lt;&gt;"",C227,"")</f>
        <v/>
      </c>
      <c r="D231" s="93" t="str">
        <f t="shared" si="282"/>
        <v/>
      </c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26"/>
      <c r="W231" s="31" t="e">
        <f>INDEX(TBL_TRANSIT[TransitID],$A231)</f>
        <v>#REF!</v>
      </c>
      <c r="X231" s="31" t="e">
        <f>"TransitCapMax_"&amp;RIGHT($W231,11)</f>
        <v>#REF!</v>
      </c>
    </row>
    <row r="232" spans="1:24" x14ac:dyDescent="0.25">
      <c r="A232" s="94">
        <f t="shared" si="241"/>
        <v>57</v>
      </c>
      <c r="B232" s="118"/>
      <c r="C232" s="93" t="str">
        <f t="shared" ref="C232:D232" si="283">IF($B230&lt;&gt;"",C228,"")</f>
        <v/>
      </c>
      <c r="D232" s="93" t="str">
        <f t="shared" si="283"/>
        <v/>
      </c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5"/>
      <c r="W232" s="31" t="e">
        <f>INDEX(TBL_TRANSIT[TransitID],$A232)</f>
        <v>#REF!</v>
      </c>
      <c r="X232" s="31" t="e">
        <f>"TransitTariffFixed_"&amp;RIGHT($W232,11)</f>
        <v>#REF!</v>
      </c>
    </row>
    <row r="233" spans="1:24" x14ac:dyDescent="0.25">
      <c r="A233" s="94">
        <f t="shared" si="241"/>
        <v>57</v>
      </c>
      <c r="B233" s="119"/>
      <c r="C233" s="93" t="str">
        <f t="shared" ref="C233:D233" si="284">IF($B230&lt;&gt;"",C229,"")</f>
        <v/>
      </c>
      <c r="D233" s="93" t="str">
        <f t="shared" si="284"/>
        <v/>
      </c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26"/>
      <c r="W233" s="31" t="e">
        <f>INDEX(TBL_TRANSIT[TransitID],$A233)</f>
        <v>#REF!</v>
      </c>
      <c r="X233" s="31" t="e">
        <f>"TransitTariffVar_"&amp;RIGHT($W233,11)</f>
        <v>#REF!</v>
      </c>
    </row>
    <row r="234" spans="1:24" x14ac:dyDescent="0.25">
      <c r="A234" s="94">
        <f t="shared" ref="A234" si="285">$A230+1</f>
        <v>58</v>
      </c>
      <c r="B234" s="117" t="str">
        <f>IFERROR(INDEX(TBL_TRANSIT[Name],$A234),"")</f>
        <v/>
      </c>
      <c r="C234" s="93" t="str">
        <f t="shared" ref="C234:D234" si="286">IF($B234&lt;&gt;"",C230,"")</f>
        <v/>
      </c>
      <c r="D234" s="93" t="str">
        <f t="shared" si="286"/>
        <v/>
      </c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5"/>
      <c r="W234" s="31" t="e">
        <f>INDEX(TBL_TRANSIT[TransitID],$A234)</f>
        <v>#REF!</v>
      </c>
      <c r="X234" s="31" t="e">
        <f>"TransitCapMin_"&amp;RIGHT($W234,11)</f>
        <v>#REF!</v>
      </c>
    </row>
    <row r="235" spans="1:24" x14ac:dyDescent="0.25">
      <c r="A235" s="94">
        <f t="shared" si="241"/>
        <v>58</v>
      </c>
      <c r="B235" s="118"/>
      <c r="C235" s="93" t="str">
        <f t="shared" ref="C235:D235" si="287">IF($B234&lt;&gt;"",C231,"")</f>
        <v/>
      </c>
      <c r="D235" s="93" t="str">
        <f t="shared" si="287"/>
        <v/>
      </c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26"/>
      <c r="W235" s="31" t="e">
        <f>INDEX(TBL_TRANSIT[TransitID],$A235)</f>
        <v>#REF!</v>
      </c>
      <c r="X235" s="31" t="e">
        <f>"TransitCapMax_"&amp;RIGHT($W235,11)</f>
        <v>#REF!</v>
      </c>
    </row>
    <row r="236" spans="1:24" x14ac:dyDescent="0.25">
      <c r="A236" s="94">
        <f t="shared" si="241"/>
        <v>58</v>
      </c>
      <c r="B236" s="118"/>
      <c r="C236" s="93" t="str">
        <f t="shared" ref="C236:D236" si="288">IF($B234&lt;&gt;"",C232,"")</f>
        <v/>
      </c>
      <c r="D236" s="93" t="str">
        <f t="shared" si="288"/>
        <v/>
      </c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5"/>
      <c r="W236" s="31" t="e">
        <f>INDEX(TBL_TRANSIT[TransitID],$A236)</f>
        <v>#REF!</v>
      </c>
      <c r="X236" s="31" t="e">
        <f>"TransitTariffFixed_"&amp;RIGHT($W236,11)</f>
        <v>#REF!</v>
      </c>
    </row>
    <row r="237" spans="1:24" x14ac:dyDescent="0.25">
      <c r="A237" s="94">
        <f t="shared" si="241"/>
        <v>58</v>
      </c>
      <c r="B237" s="119"/>
      <c r="C237" s="93" t="str">
        <f t="shared" ref="C237:D237" si="289">IF($B234&lt;&gt;"",C233,"")</f>
        <v/>
      </c>
      <c r="D237" s="93" t="str">
        <f t="shared" si="289"/>
        <v/>
      </c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26"/>
      <c r="W237" s="31" t="e">
        <f>INDEX(TBL_TRANSIT[TransitID],$A237)</f>
        <v>#REF!</v>
      </c>
      <c r="X237" s="31" t="e">
        <f>"TransitTariffVar_"&amp;RIGHT($W237,11)</f>
        <v>#REF!</v>
      </c>
    </row>
    <row r="238" spans="1:24" x14ac:dyDescent="0.25">
      <c r="A238" s="94">
        <f t="shared" ref="A238" si="290">$A234+1</f>
        <v>59</v>
      </c>
      <c r="B238" s="117" t="str">
        <f>IFERROR(INDEX(TBL_TRANSIT[Name],$A238),"")</f>
        <v/>
      </c>
      <c r="C238" s="93" t="str">
        <f t="shared" ref="C238:D238" si="291">IF($B238&lt;&gt;"",C234,"")</f>
        <v/>
      </c>
      <c r="D238" s="93" t="str">
        <f t="shared" si="291"/>
        <v/>
      </c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5"/>
      <c r="W238" s="31" t="e">
        <f>INDEX(TBL_TRANSIT[TransitID],$A238)</f>
        <v>#REF!</v>
      </c>
      <c r="X238" s="31" t="e">
        <f>"TransitCapMin_"&amp;RIGHT($W238,11)</f>
        <v>#REF!</v>
      </c>
    </row>
    <row r="239" spans="1:24" x14ac:dyDescent="0.25">
      <c r="A239" s="94">
        <f t="shared" ref="A239:A293" si="292">$A238</f>
        <v>59</v>
      </c>
      <c r="B239" s="118"/>
      <c r="C239" s="93" t="str">
        <f t="shared" ref="C239:D239" si="293">IF($B238&lt;&gt;"",C235,"")</f>
        <v/>
      </c>
      <c r="D239" s="93" t="str">
        <f t="shared" si="293"/>
        <v/>
      </c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26"/>
      <c r="W239" s="31" t="e">
        <f>INDEX(TBL_TRANSIT[TransitID],$A239)</f>
        <v>#REF!</v>
      </c>
      <c r="X239" s="31" t="e">
        <f>"TransitCapMax_"&amp;RIGHT($W239,11)</f>
        <v>#REF!</v>
      </c>
    </row>
    <row r="240" spans="1:24" x14ac:dyDescent="0.25">
      <c r="A240" s="94">
        <f t="shared" si="292"/>
        <v>59</v>
      </c>
      <c r="B240" s="118"/>
      <c r="C240" s="93" t="str">
        <f t="shared" ref="C240:D240" si="294">IF($B238&lt;&gt;"",C236,"")</f>
        <v/>
      </c>
      <c r="D240" s="93" t="str">
        <f t="shared" si="294"/>
        <v/>
      </c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5"/>
      <c r="W240" s="31" t="e">
        <f>INDEX(TBL_TRANSIT[TransitID],$A240)</f>
        <v>#REF!</v>
      </c>
      <c r="X240" s="31" t="e">
        <f>"TransitTariffFixed_"&amp;RIGHT($W240,11)</f>
        <v>#REF!</v>
      </c>
    </row>
    <row r="241" spans="1:24" x14ac:dyDescent="0.25">
      <c r="A241" s="94">
        <f t="shared" si="292"/>
        <v>59</v>
      </c>
      <c r="B241" s="119"/>
      <c r="C241" s="93" t="str">
        <f t="shared" ref="C241:D241" si="295">IF($B238&lt;&gt;"",C237,"")</f>
        <v/>
      </c>
      <c r="D241" s="93" t="str">
        <f t="shared" si="295"/>
        <v/>
      </c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26"/>
      <c r="W241" s="31" t="e">
        <f>INDEX(TBL_TRANSIT[TransitID],$A241)</f>
        <v>#REF!</v>
      </c>
      <c r="X241" s="31" t="e">
        <f>"TransitTariffVar_"&amp;RIGHT($W241,11)</f>
        <v>#REF!</v>
      </c>
    </row>
    <row r="242" spans="1:24" x14ac:dyDescent="0.25">
      <c r="A242" s="94">
        <f t="shared" ref="A242" si="296">$A238+1</f>
        <v>60</v>
      </c>
      <c r="B242" s="117" t="str">
        <f>IFERROR(INDEX(TBL_TRANSIT[Name],$A242),"")</f>
        <v/>
      </c>
      <c r="C242" s="93" t="str">
        <f t="shared" ref="C242:D242" si="297">IF($B242&lt;&gt;"",C238,"")</f>
        <v/>
      </c>
      <c r="D242" s="93" t="str">
        <f t="shared" si="297"/>
        <v/>
      </c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5"/>
      <c r="W242" s="31" t="e">
        <f>INDEX(TBL_TRANSIT[TransitID],$A242)</f>
        <v>#REF!</v>
      </c>
      <c r="X242" s="31" t="e">
        <f>"TransitCapMin_"&amp;RIGHT($W242,11)</f>
        <v>#REF!</v>
      </c>
    </row>
    <row r="243" spans="1:24" x14ac:dyDescent="0.25">
      <c r="A243" s="94">
        <f t="shared" si="292"/>
        <v>60</v>
      </c>
      <c r="B243" s="118"/>
      <c r="C243" s="93" t="str">
        <f t="shared" ref="C243:D243" si="298">IF($B242&lt;&gt;"",C239,"")</f>
        <v/>
      </c>
      <c r="D243" s="93" t="str">
        <f t="shared" si="298"/>
        <v/>
      </c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26"/>
      <c r="W243" s="31" t="e">
        <f>INDEX(TBL_TRANSIT[TransitID],$A243)</f>
        <v>#REF!</v>
      </c>
      <c r="X243" s="31" t="e">
        <f>"TransitCapMax_"&amp;RIGHT($W243,11)</f>
        <v>#REF!</v>
      </c>
    </row>
    <row r="244" spans="1:24" x14ac:dyDescent="0.25">
      <c r="A244" s="94">
        <f t="shared" si="292"/>
        <v>60</v>
      </c>
      <c r="B244" s="118"/>
      <c r="C244" s="93" t="str">
        <f t="shared" ref="C244:D244" si="299">IF($B242&lt;&gt;"",C240,"")</f>
        <v/>
      </c>
      <c r="D244" s="93" t="str">
        <f t="shared" si="299"/>
        <v/>
      </c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5"/>
      <c r="W244" s="31" t="e">
        <f>INDEX(TBL_TRANSIT[TransitID],$A244)</f>
        <v>#REF!</v>
      </c>
      <c r="X244" s="31" t="e">
        <f>"TransitTariffFixed_"&amp;RIGHT($W244,11)</f>
        <v>#REF!</v>
      </c>
    </row>
    <row r="245" spans="1:24" x14ac:dyDescent="0.25">
      <c r="A245" s="94">
        <f t="shared" si="292"/>
        <v>60</v>
      </c>
      <c r="B245" s="119"/>
      <c r="C245" s="93" t="str">
        <f t="shared" ref="C245:D245" si="300">IF($B242&lt;&gt;"",C241,"")</f>
        <v/>
      </c>
      <c r="D245" s="93" t="str">
        <f t="shared" si="300"/>
        <v/>
      </c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26"/>
      <c r="W245" s="31" t="e">
        <f>INDEX(TBL_TRANSIT[TransitID],$A245)</f>
        <v>#REF!</v>
      </c>
      <c r="X245" s="31" t="e">
        <f>"TransitTariffVar_"&amp;RIGHT($W245,11)</f>
        <v>#REF!</v>
      </c>
    </row>
    <row r="246" spans="1:24" x14ac:dyDescent="0.25">
      <c r="A246" s="94">
        <f t="shared" ref="A246" si="301">$A242+1</f>
        <v>61</v>
      </c>
      <c r="B246" s="117" t="str">
        <f>IFERROR(INDEX(TBL_TRANSIT[Name],$A246),"")</f>
        <v/>
      </c>
      <c r="C246" s="93" t="str">
        <f t="shared" ref="C246:D246" si="302">IF($B246&lt;&gt;"",C242,"")</f>
        <v/>
      </c>
      <c r="D246" s="93" t="str">
        <f t="shared" si="302"/>
        <v/>
      </c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5"/>
      <c r="W246" s="31" t="e">
        <f>INDEX(TBL_TRANSIT[TransitID],$A246)</f>
        <v>#REF!</v>
      </c>
      <c r="X246" s="31" t="e">
        <f>"TransitCapMin_"&amp;RIGHT($W246,11)</f>
        <v>#REF!</v>
      </c>
    </row>
    <row r="247" spans="1:24" x14ac:dyDescent="0.25">
      <c r="A247" s="94">
        <f t="shared" si="292"/>
        <v>61</v>
      </c>
      <c r="B247" s="118"/>
      <c r="C247" s="93" t="str">
        <f t="shared" ref="C247:D247" si="303">IF($B246&lt;&gt;"",C243,"")</f>
        <v/>
      </c>
      <c r="D247" s="93" t="str">
        <f t="shared" si="303"/>
        <v/>
      </c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26"/>
      <c r="W247" s="31" t="e">
        <f>INDEX(TBL_TRANSIT[TransitID],$A247)</f>
        <v>#REF!</v>
      </c>
      <c r="X247" s="31" t="e">
        <f>"TransitCapMax_"&amp;RIGHT($W247,11)</f>
        <v>#REF!</v>
      </c>
    </row>
    <row r="248" spans="1:24" x14ac:dyDescent="0.25">
      <c r="A248" s="94">
        <f t="shared" si="292"/>
        <v>61</v>
      </c>
      <c r="B248" s="118"/>
      <c r="C248" s="93" t="str">
        <f t="shared" ref="C248:D248" si="304">IF($B246&lt;&gt;"",C244,"")</f>
        <v/>
      </c>
      <c r="D248" s="93" t="str">
        <f t="shared" si="304"/>
        <v/>
      </c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5"/>
      <c r="W248" s="31" t="e">
        <f>INDEX(TBL_TRANSIT[TransitID],$A248)</f>
        <v>#REF!</v>
      </c>
      <c r="X248" s="31" t="e">
        <f>"TransitTariffFixed_"&amp;RIGHT($W248,11)</f>
        <v>#REF!</v>
      </c>
    </row>
    <row r="249" spans="1:24" x14ac:dyDescent="0.25">
      <c r="A249" s="94">
        <f t="shared" si="292"/>
        <v>61</v>
      </c>
      <c r="B249" s="119"/>
      <c r="C249" s="93" t="str">
        <f t="shared" ref="C249:D249" si="305">IF($B246&lt;&gt;"",C245,"")</f>
        <v/>
      </c>
      <c r="D249" s="93" t="str">
        <f t="shared" si="305"/>
        <v/>
      </c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26"/>
      <c r="W249" s="31" t="e">
        <f>INDEX(TBL_TRANSIT[TransitID],$A249)</f>
        <v>#REF!</v>
      </c>
      <c r="X249" s="31" t="e">
        <f>"TransitTariffVar_"&amp;RIGHT($W249,11)</f>
        <v>#REF!</v>
      </c>
    </row>
    <row r="250" spans="1:24" x14ac:dyDescent="0.25">
      <c r="A250" s="94">
        <f t="shared" ref="A250" si="306">$A246+1</f>
        <v>62</v>
      </c>
      <c r="B250" s="117" t="str">
        <f>IFERROR(INDEX(TBL_TRANSIT[Name],$A250),"")</f>
        <v/>
      </c>
      <c r="C250" s="93" t="str">
        <f t="shared" ref="C250:D250" si="307">IF($B250&lt;&gt;"",C246,"")</f>
        <v/>
      </c>
      <c r="D250" s="93" t="str">
        <f t="shared" si="307"/>
        <v/>
      </c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5"/>
      <c r="W250" s="31" t="e">
        <f>INDEX(TBL_TRANSIT[TransitID],$A250)</f>
        <v>#REF!</v>
      </c>
      <c r="X250" s="31" t="e">
        <f>"TransitCapMin_"&amp;RIGHT($W250,11)</f>
        <v>#REF!</v>
      </c>
    </row>
    <row r="251" spans="1:24" x14ac:dyDescent="0.25">
      <c r="A251" s="94">
        <f t="shared" si="292"/>
        <v>62</v>
      </c>
      <c r="B251" s="118"/>
      <c r="C251" s="93" t="str">
        <f t="shared" ref="C251:D251" si="308">IF($B250&lt;&gt;"",C247,"")</f>
        <v/>
      </c>
      <c r="D251" s="93" t="str">
        <f t="shared" si="308"/>
        <v/>
      </c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26"/>
      <c r="W251" s="31" t="e">
        <f>INDEX(TBL_TRANSIT[TransitID],$A251)</f>
        <v>#REF!</v>
      </c>
      <c r="X251" s="31" t="e">
        <f>"TransitCapMax_"&amp;RIGHT($W251,11)</f>
        <v>#REF!</v>
      </c>
    </row>
    <row r="252" spans="1:24" x14ac:dyDescent="0.25">
      <c r="A252" s="94">
        <f t="shared" si="292"/>
        <v>62</v>
      </c>
      <c r="B252" s="118"/>
      <c r="C252" s="93" t="str">
        <f t="shared" ref="C252:D252" si="309">IF($B250&lt;&gt;"",C248,"")</f>
        <v/>
      </c>
      <c r="D252" s="93" t="str">
        <f t="shared" si="309"/>
        <v/>
      </c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5"/>
      <c r="W252" s="31" t="e">
        <f>INDEX(TBL_TRANSIT[TransitID],$A252)</f>
        <v>#REF!</v>
      </c>
      <c r="X252" s="31" t="e">
        <f>"TransitTariffFixed_"&amp;RIGHT($W252,11)</f>
        <v>#REF!</v>
      </c>
    </row>
    <row r="253" spans="1:24" x14ac:dyDescent="0.25">
      <c r="A253" s="94">
        <f t="shared" si="292"/>
        <v>62</v>
      </c>
      <c r="B253" s="119"/>
      <c r="C253" s="93" t="str">
        <f t="shared" ref="C253:D253" si="310">IF($B250&lt;&gt;"",C249,"")</f>
        <v/>
      </c>
      <c r="D253" s="93" t="str">
        <f t="shared" si="310"/>
        <v/>
      </c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26"/>
      <c r="W253" s="31" t="e">
        <f>INDEX(TBL_TRANSIT[TransitID],$A253)</f>
        <v>#REF!</v>
      </c>
      <c r="X253" s="31" t="e">
        <f>"TransitTariffVar_"&amp;RIGHT($W253,11)</f>
        <v>#REF!</v>
      </c>
    </row>
    <row r="254" spans="1:24" x14ac:dyDescent="0.25">
      <c r="A254" s="94">
        <f t="shared" ref="A254" si="311">$A250+1</f>
        <v>63</v>
      </c>
      <c r="B254" s="117" t="str">
        <f>IFERROR(INDEX(TBL_TRANSIT[Name],$A254),"")</f>
        <v/>
      </c>
      <c r="C254" s="93" t="str">
        <f t="shared" ref="C254:D254" si="312">IF($B254&lt;&gt;"",C250,"")</f>
        <v/>
      </c>
      <c r="D254" s="93" t="str">
        <f t="shared" si="312"/>
        <v/>
      </c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5"/>
      <c r="W254" s="31" t="e">
        <f>INDEX(TBL_TRANSIT[TransitID],$A254)</f>
        <v>#REF!</v>
      </c>
      <c r="X254" s="31" t="e">
        <f>"TransitCapMin_"&amp;RIGHT($W254,11)</f>
        <v>#REF!</v>
      </c>
    </row>
    <row r="255" spans="1:24" x14ac:dyDescent="0.25">
      <c r="A255" s="94">
        <f t="shared" si="292"/>
        <v>63</v>
      </c>
      <c r="B255" s="118"/>
      <c r="C255" s="93" t="str">
        <f t="shared" ref="C255:D255" si="313">IF($B254&lt;&gt;"",C251,"")</f>
        <v/>
      </c>
      <c r="D255" s="93" t="str">
        <f t="shared" si="313"/>
        <v/>
      </c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26"/>
      <c r="W255" s="31" t="e">
        <f>INDEX(TBL_TRANSIT[TransitID],$A255)</f>
        <v>#REF!</v>
      </c>
      <c r="X255" s="31" t="e">
        <f>"TransitCapMax_"&amp;RIGHT($W255,11)</f>
        <v>#REF!</v>
      </c>
    </row>
    <row r="256" spans="1:24" x14ac:dyDescent="0.25">
      <c r="A256" s="94">
        <f t="shared" si="292"/>
        <v>63</v>
      </c>
      <c r="B256" s="118"/>
      <c r="C256" s="93" t="str">
        <f t="shared" ref="C256:D256" si="314">IF($B254&lt;&gt;"",C252,"")</f>
        <v/>
      </c>
      <c r="D256" s="93" t="str">
        <f t="shared" si="314"/>
        <v/>
      </c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5"/>
      <c r="W256" s="31" t="e">
        <f>INDEX(TBL_TRANSIT[TransitID],$A256)</f>
        <v>#REF!</v>
      </c>
      <c r="X256" s="31" t="e">
        <f>"TransitTariffFixed_"&amp;RIGHT($W256,11)</f>
        <v>#REF!</v>
      </c>
    </row>
    <row r="257" spans="1:24" x14ac:dyDescent="0.25">
      <c r="A257" s="94">
        <f t="shared" si="292"/>
        <v>63</v>
      </c>
      <c r="B257" s="119"/>
      <c r="C257" s="93" t="str">
        <f t="shared" ref="C257:D257" si="315">IF($B254&lt;&gt;"",C253,"")</f>
        <v/>
      </c>
      <c r="D257" s="93" t="str">
        <f t="shared" si="315"/>
        <v/>
      </c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26"/>
      <c r="W257" s="31" t="e">
        <f>INDEX(TBL_TRANSIT[TransitID],$A257)</f>
        <v>#REF!</v>
      </c>
      <c r="X257" s="31" t="e">
        <f>"TransitTariffVar_"&amp;RIGHT($W257,11)</f>
        <v>#REF!</v>
      </c>
    </row>
    <row r="258" spans="1:24" x14ac:dyDescent="0.25">
      <c r="A258" s="94">
        <f t="shared" ref="A258" si="316">$A254+1</f>
        <v>64</v>
      </c>
      <c r="B258" s="117" t="str">
        <f>IFERROR(INDEX(TBL_TRANSIT[Name],$A258),"")</f>
        <v/>
      </c>
      <c r="C258" s="93" t="str">
        <f t="shared" ref="C258:D258" si="317">IF($B258&lt;&gt;"",C254,"")</f>
        <v/>
      </c>
      <c r="D258" s="93" t="str">
        <f t="shared" si="317"/>
        <v/>
      </c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5"/>
      <c r="W258" s="31" t="e">
        <f>INDEX(TBL_TRANSIT[TransitID],$A258)</f>
        <v>#REF!</v>
      </c>
      <c r="X258" s="31" t="e">
        <f>"TransitCapMin_"&amp;RIGHT($W258,11)</f>
        <v>#REF!</v>
      </c>
    </row>
    <row r="259" spans="1:24" x14ac:dyDescent="0.25">
      <c r="A259" s="94">
        <f t="shared" si="292"/>
        <v>64</v>
      </c>
      <c r="B259" s="118"/>
      <c r="C259" s="93" t="str">
        <f t="shared" ref="C259:D259" si="318">IF($B258&lt;&gt;"",C255,"")</f>
        <v/>
      </c>
      <c r="D259" s="93" t="str">
        <f t="shared" si="318"/>
        <v/>
      </c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26"/>
      <c r="W259" s="31" t="e">
        <f>INDEX(TBL_TRANSIT[TransitID],$A259)</f>
        <v>#REF!</v>
      </c>
      <c r="X259" s="31" t="e">
        <f>"TransitCapMax_"&amp;RIGHT($W259,11)</f>
        <v>#REF!</v>
      </c>
    </row>
    <row r="260" spans="1:24" x14ac:dyDescent="0.25">
      <c r="A260" s="94">
        <f t="shared" si="292"/>
        <v>64</v>
      </c>
      <c r="B260" s="118"/>
      <c r="C260" s="93" t="str">
        <f t="shared" ref="C260:D260" si="319">IF($B258&lt;&gt;"",C256,"")</f>
        <v/>
      </c>
      <c r="D260" s="93" t="str">
        <f t="shared" si="319"/>
        <v/>
      </c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5"/>
      <c r="W260" s="31" t="e">
        <f>INDEX(TBL_TRANSIT[TransitID],$A260)</f>
        <v>#REF!</v>
      </c>
      <c r="X260" s="31" t="e">
        <f>"TransitTariffFixed_"&amp;RIGHT($W260,11)</f>
        <v>#REF!</v>
      </c>
    </row>
    <row r="261" spans="1:24" x14ac:dyDescent="0.25">
      <c r="A261" s="94">
        <f t="shared" si="292"/>
        <v>64</v>
      </c>
      <c r="B261" s="119"/>
      <c r="C261" s="93" t="str">
        <f t="shared" ref="C261:D261" si="320">IF($B258&lt;&gt;"",C257,"")</f>
        <v/>
      </c>
      <c r="D261" s="93" t="str">
        <f t="shared" si="320"/>
        <v/>
      </c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26"/>
      <c r="W261" s="31" t="e">
        <f>INDEX(TBL_TRANSIT[TransitID],$A261)</f>
        <v>#REF!</v>
      </c>
      <c r="X261" s="31" t="e">
        <f>"TransitTariffVar_"&amp;RIGHT($W261,11)</f>
        <v>#REF!</v>
      </c>
    </row>
    <row r="262" spans="1:24" x14ac:dyDescent="0.25">
      <c r="A262" s="94">
        <f t="shared" ref="A262" si="321">$A258+1</f>
        <v>65</v>
      </c>
      <c r="B262" s="117" t="str">
        <f>IFERROR(INDEX(TBL_TRANSIT[Name],$A262),"")</f>
        <v/>
      </c>
      <c r="C262" s="93" t="str">
        <f t="shared" ref="C262:D262" si="322">IF($B262&lt;&gt;"",C258,"")</f>
        <v/>
      </c>
      <c r="D262" s="93" t="str">
        <f t="shared" si="322"/>
        <v/>
      </c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5"/>
      <c r="W262" s="31" t="e">
        <f>INDEX(TBL_TRANSIT[TransitID],$A262)</f>
        <v>#REF!</v>
      </c>
      <c r="X262" s="31" t="e">
        <f>"TransitCapMin_"&amp;RIGHT($W262,11)</f>
        <v>#REF!</v>
      </c>
    </row>
    <row r="263" spans="1:24" x14ac:dyDescent="0.25">
      <c r="A263" s="94">
        <f t="shared" si="292"/>
        <v>65</v>
      </c>
      <c r="B263" s="118"/>
      <c r="C263" s="93" t="str">
        <f t="shared" ref="C263:D263" si="323">IF($B262&lt;&gt;"",C259,"")</f>
        <v/>
      </c>
      <c r="D263" s="93" t="str">
        <f t="shared" si="323"/>
        <v/>
      </c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26"/>
      <c r="W263" s="31" t="e">
        <f>INDEX(TBL_TRANSIT[TransitID],$A263)</f>
        <v>#REF!</v>
      </c>
      <c r="X263" s="31" t="e">
        <f>"TransitCapMax_"&amp;RIGHT($W263,11)</f>
        <v>#REF!</v>
      </c>
    </row>
    <row r="264" spans="1:24" x14ac:dyDescent="0.25">
      <c r="A264" s="94">
        <f t="shared" si="292"/>
        <v>65</v>
      </c>
      <c r="B264" s="118"/>
      <c r="C264" s="93" t="str">
        <f t="shared" ref="C264:D264" si="324">IF($B262&lt;&gt;"",C260,"")</f>
        <v/>
      </c>
      <c r="D264" s="93" t="str">
        <f t="shared" si="324"/>
        <v/>
      </c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5"/>
      <c r="W264" s="31" t="e">
        <f>INDEX(TBL_TRANSIT[TransitID],$A264)</f>
        <v>#REF!</v>
      </c>
      <c r="X264" s="31" t="e">
        <f>"TransitTariffFixed_"&amp;RIGHT($W264,11)</f>
        <v>#REF!</v>
      </c>
    </row>
    <row r="265" spans="1:24" x14ac:dyDescent="0.25">
      <c r="A265" s="94">
        <f t="shared" si="292"/>
        <v>65</v>
      </c>
      <c r="B265" s="119"/>
      <c r="C265" s="93" t="str">
        <f t="shared" ref="C265:D265" si="325">IF($B262&lt;&gt;"",C261,"")</f>
        <v/>
      </c>
      <c r="D265" s="93" t="str">
        <f t="shared" si="325"/>
        <v/>
      </c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26"/>
      <c r="W265" s="31" t="e">
        <f>INDEX(TBL_TRANSIT[TransitID],$A265)</f>
        <v>#REF!</v>
      </c>
      <c r="X265" s="31" t="e">
        <f>"TransitTariffVar_"&amp;RIGHT($W265,11)</f>
        <v>#REF!</v>
      </c>
    </row>
    <row r="266" spans="1:24" x14ac:dyDescent="0.25">
      <c r="A266" s="94">
        <f t="shared" ref="A266" si="326">$A262+1</f>
        <v>66</v>
      </c>
      <c r="B266" s="117" t="str">
        <f>IFERROR(INDEX(TBL_TRANSIT[Name],$A266),"")</f>
        <v/>
      </c>
      <c r="C266" s="93" t="str">
        <f t="shared" ref="C266:D266" si="327">IF($B266&lt;&gt;"",C262,"")</f>
        <v/>
      </c>
      <c r="D266" s="93" t="str">
        <f t="shared" si="327"/>
        <v/>
      </c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5"/>
      <c r="W266" s="31" t="e">
        <f>INDEX(TBL_TRANSIT[TransitID],$A266)</f>
        <v>#REF!</v>
      </c>
      <c r="X266" s="31" t="e">
        <f>"TransitCapMin_"&amp;RIGHT($W266,11)</f>
        <v>#REF!</v>
      </c>
    </row>
    <row r="267" spans="1:24" x14ac:dyDescent="0.25">
      <c r="A267" s="94">
        <f t="shared" si="292"/>
        <v>66</v>
      </c>
      <c r="B267" s="118"/>
      <c r="C267" s="93" t="str">
        <f t="shared" ref="C267:D267" si="328">IF($B266&lt;&gt;"",C263,"")</f>
        <v/>
      </c>
      <c r="D267" s="93" t="str">
        <f t="shared" si="328"/>
        <v/>
      </c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26"/>
      <c r="W267" s="31" t="e">
        <f>INDEX(TBL_TRANSIT[TransitID],$A267)</f>
        <v>#REF!</v>
      </c>
      <c r="X267" s="31" t="e">
        <f>"TransitCapMax_"&amp;RIGHT($W267,11)</f>
        <v>#REF!</v>
      </c>
    </row>
    <row r="268" spans="1:24" x14ac:dyDescent="0.25">
      <c r="A268" s="94">
        <f t="shared" si="292"/>
        <v>66</v>
      </c>
      <c r="B268" s="118"/>
      <c r="C268" s="93" t="str">
        <f t="shared" ref="C268:D268" si="329">IF($B266&lt;&gt;"",C264,"")</f>
        <v/>
      </c>
      <c r="D268" s="93" t="str">
        <f t="shared" si="329"/>
        <v/>
      </c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5"/>
      <c r="W268" s="31" t="e">
        <f>INDEX(TBL_TRANSIT[TransitID],$A268)</f>
        <v>#REF!</v>
      </c>
      <c r="X268" s="31" t="e">
        <f>"TransitTariffFixed_"&amp;RIGHT($W268,11)</f>
        <v>#REF!</v>
      </c>
    </row>
    <row r="269" spans="1:24" x14ac:dyDescent="0.25">
      <c r="A269" s="94">
        <f t="shared" si="292"/>
        <v>66</v>
      </c>
      <c r="B269" s="119"/>
      <c r="C269" s="93" t="str">
        <f t="shared" ref="C269:D269" si="330">IF($B266&lt;&gt;"",C265,"")</f>
        <v/>
      </c>
      <c r="D269" s="93" t="str">
        <f t="shared" si="330"/>
        <v/>
      </c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26"/>
      <c r="W269" s="31" t="e">
        <f>INDEX(TBL_TRANSIT[TransitID],$A269)</f>
        <v>#REF!</v>
      </c>
      <c r="X269" s="31" t="e">
        <f>"TransitTariffVar_"&amp;RIGHT($W269,11)</f>
        <v>#REF!</v>
      </c>
    </row>
    <row r="270" spans="1:24" x14ac:dyDescent="0.25">
      <c r="A270" s="94">
        <f t="shared" ref="A270" si="331">$A266+1</f>
        <v>67</v>
      </c>
      <c r="B270" s="117" t="str">
        <f>IFERROR(INDEX(TBL_TRANSIT[Name],$A270),"")</f>
        <v/>
      </c>
      <c r="C270" s="93" t="str">
        <f t="shared" ref="C270:D270" si="332">IF($B270&lt;&gt;"",C266,"")</f>
        <v/>
      </c>
      <c r="D270" s="93" t="str">
        <f t="shared" si="332"/>
        <v/>
      </c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5"/>
      <c r="W270" s="31" t="e">
        <f>INDEX(TBL_TRANSIT[TransitID],$A270)</f>
        <v>#REF!</v>
      </c>
      <c r="X270" s="31" t="e">
        <f>"TransitCapMin_"&amp;RIGHT($W270,11)</f>
        <v>#REF!</v>
      </c>
    </row>
    <row r="271" spans="1:24" x14ac:dyDescent="0.25">
      <c r="A271" s="94">
        <f t="shared" si="292"/>
        <v>67</v>
      </c>
      <c r="B271" s="118"/>
      <c r="C271" s="93" t="str">
        <f t="shared" ref="C271:D271" si="333">IF($B270&lt;&gt;"",C267,"")</f>
        <v/>
      </c>
      <c r="D271" s="93" t="str">
        <f t="shared" si="333"/>
        <v/>
      </c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26"/>
      <c r="W271" s="31" t="e">
        <f>INDEX(TBL_TRANSIT[TransitID],$A271)</f>
        <v>#REF!</v>
      </c>
      <c r="X271" s="31" t="e">
        <f>"TransitCapMax_"&amp;RIGHT($W271,11)</f>
        <v>#REF!</v>
      </c>
    </row>
    <row r="272" spans="1:24" x14ac:dyDescent="0.25">
      <c r="A272" s="94">
        <f t="shared" si="292"/>
        <v>67</v>
      </c>
      <c r="B272" s="118"/>
      <c r="C272" s="93" t="str">
        <f t="shared" ref="C272:D272" si="334">IF($B270&lt;&gt;"",C268,"")</f>
        <v/>
      </c>
      <c r="D272" s="93" t="str">
        <f t="shared" si="334"/>
        <v/>
      </c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5"/>
      <c r="W272" s="31" t="e">
        <f>INDEX(TBL_TRANSIT[TransitID],$A272)</f>
        <v>#REF!</v>
      </c>
      <c r="X272" s="31" t="e">
        <f>"TransitTariffFixed_"&amp;RIGHT($W272,11)</f>
        <v>#REF!</v>
      </c>
    </row>
    <row r="273" spans="1:24" x14ac:dyDescent="0.25">
      <c r="A273" s="94">
        <f t="shared" si="292"/>
        <v>67</v>
      </c>
      <c r="B273" s="119"/>
      <c r="C273" s="93" t="str">
        <f t="shared" ref="C273:D273" si="335">IF($B270&lt;&gt;"",C269,"")</f>
        <v/>
      </c>
      <c r="D273" s="93" t="str">
        <f t="shared" si="335"/>
        <v/>
      </c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26"/>
      <c r="W273" s="31" t="e">
        <f>INDEX(TBL_TRANSIT[TransitID],$A273)</f>
        <v>#REF!</v>
      </c>
      <c r="X273" s="31" t="e">
        <f>"TransitTariffVar_"&amp;RIGHT($W273,11)</f>
        <v>#REF!</v>
      </c>
    </row>
    <row r="274" spans="1:24" x14ac:dyDescent="0.25">
      <c r="A274" s="94">
        <f t="shared" ref="A274" si="336">$A270+1</f>
        <v>68</v>
      </c>
      <c r="B274" s="117" t="str">
        <f>IFERROR(INDEX(TBL_TRANSIT[Name],$A274),"")</f>
        <v/>
      </c>
      <c r="C274" s="93" t="str">
        <f t="shared" ref="C274:D274" si="337">IF($B274&lt;&gt;"",C270,"")</f>
        <v/>
      </c>
      <c r="D274" s="93" t="str">
        <f t="shared" si="337"/>
        <v/>
      </c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5"/>
      <c r="W274" s="31" t="e">
        <f>INDEX(TBL_TRANSIT[TransitID],$A274)</f>
        <v>#REF!</v>
      </c>
      <c r="X274" s="31" t="e">
        <f>"TransitCapMin_"&amp;RIGHT($W274,11)</f>
        <v>#REF!</v>
      </c>
    </row>
    <row r="275" spans="1:24" x14ac:dyDescent="0.25">
      <c r="A275" s="94">
        <f t="shared" si="292"/>
        <v>68</v>
      </c>
      <c r="B275" s="118"/>
      <c r="C275" s="93" t="str">
        <f t="shared" ref="C275:D275" si="338">IF($B274&lt;&gt;"",C271,"")</f>
        <v/>
      </c>
      <c r="D275" s="93" t="str">
        <f t="shared" si="338"/>
        <v/>
      </c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26"/>
      <c r="W275" s="31" t="e">
        <f>INDEX(TBL_TRANSIT[TransitID],$A275)</f>
        <v>#REF!</v>
      </c>
      <c r="X275" s="31" t="e">
        <f>"TransitCapMax_"&amp;RIGHT($W275,11)</f>
        <v>#REF!</v>
      </c>
    </row>
    <row r="276" spans="1:24" x14ac:dyDescent="0.25">
      <c r="A276" s="94">
        <f t="shared" si="292"/>
        <v>68</v>
      </c>
      <c r="B276" s="118"/>
      <c r="C276" s="93" t="str">
        <f t="shared" ref="C276:D276" si="339">IF($B274&lt;&gt;"",C272,"")</f>
        <v/>
      </c>
      <c r="D276" s="93" t="str">
        <f t="shared" si="339"/>
        <v/>
      </c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5"/>
      <c r="W276" s="31" t="e">
        <f>INDEX(TBL_TRANSIT[TransitID],$A276)</f>
        <v>#REF!</v>
      </c>
      <c r="X276" s="31" t="e">
        <f>"TransitTariffFixed_"&amp;RIGHT($W276,11)</f>
        <v>#REF!</v>
      </c>
    </row>
    <row r="277" spans="1:24" x14ac:dyDescent="0.25">
      <c r="A277" s="94">
        <f t="shared" si="292"/>
        <v>68</v>
      </c>
      <c r="B277" s="119"/>
      <c r="C277" s="93" t="str">
        <f t="shared" ref="C277:D277" si="340">IF($B274&lt;&gt;"",C273,"")</f>
        <v/>
      </c>
      <c r="D277" s="93" t="str">
        <f t="shared" si="340"/>
        <v/>
      </c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26"/>
      <c r="W277" s="31" t="e">
        <f>INDEX(TBL_TRANSIT[TransitID],$A277)</f>
        <v>#REF!</v>
      </c>
      <c r="X277" s="31" t="e">
        <f>"TransitTariffVar_"&amp;RIGHT($W277,11)</f>
        <v>#REF!</v>
      </c>
    </row>
    <row r="278" spans="1:24" x14ac:dyDescent="0.25">
      <c r="A278" s="94">
        <f t="shared" ref="A278" si="341">$A274+1</f>
        <v>69</v>
      </c>
      <c r="B278" s="117" t="str">
        <f>IFERROR(INDEX(TBL_TRANSIT[Name],$A278),"")</f>
        <v/>
      </c>
      <c r="C278" s="93" t="str">
        <f t="shared" ref="C278:D278" si="342">IF($B278&lt;&gt;"",C274,"")</f>
        <v/>
      </c>
      <c r="D278" s="93" t="str">
        <f t="shared" si="342"/>
        <v/>
      </c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5"/>
      <c r="W278" s="31" t="e">
        <f>INDEX(TBL_TRANSIT[TransitID],$A278)</f>
        <v>#REF!</v>
      </c>
      <c r="X278" s="31" t="e">
        <f>"TransitCapMin_"&amp;RIGHT($W278,11)</f>
        <v>#REF!</v>
      </c>
    </row>
    <row r="279" spans="1:24" x14ac:dyDescent="0.25">
      <c r="A279" s="94">
        <f t="shared" si="292"/>
        <v>69</v>
      </c>
      <c r="B279" s="118"/>
      <c r="C279" s="93" t="str">
        <f t="shared" ref="C279:D279" si="343">IF($B278&lt;&gt;"",C275,"")</f>
        <v/>
      </c>
      <c r="D279" s="93" t="str">
        <f t="shared" si="343"/>
        <v/>
      </c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26"/>
      <c r="W279" s="31" t="e">
        <f>INDEX(TBL_TRANSIT[TransitID],$A279)</f>
        <v>#REF!</v>
      </c>
      <c r="X279" s="31" t="e">
        <f>"TransitCapMax_"&amp;RIGHT($W279,11)</f>
        <v>#REF!</v>
      </c>
    </row>
    <row r="280" spans="1:24" x14ac:dyDescent="0.25">
      <c r="A280" s="94">
        <f t="shared" si="292"/>
        <v>69</v>
      </c>
      <c r="B280" s="118"/>
      <c r="C280" s="93" t="str">
        <f t="shared" ref="C280:D280" si="344">IF($B278&lt;&gt;"",C276,"")</f>
        <v/>
      </c>
      <c r="D280" s="93" t="str">
        <f t="shared" si="344"/>
        <v/>
      </c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5"/>
      <c r="W280" s="31" t="e">
        <f>INDEX(TBL_TRANSIT[TransitID],$A280)</f>
        <v>#REF!</v>
      </c>
      <c r="X280" s="31" t="e">
        <f>"TransitTariffFixed_"&amp;RIGHT($W280,11)</f>
        <v>#REF!</v>
      </c>
    </row>
    <row r="281" spans="1:24" x14ac:dyDescent="0.25">
      <c r="A281" s="94">
        <f t="shared" si="292"/>
        <v>69</v>
      </c>
      <c r="B281" s="119"/>
      <c r="C281" s="93" t="str">
        <f t="shared" ref="C281:D281" si="345">IF($B278&lt;&gt;"",C277,"")</f>
        <v/>
      </c>
      <c r="D281" s="93" t="str">
        <f t="shared" si="345"/>
        <v/>
      </c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26"/>
      <c r="W281" s="31" t="e">
        <f>INDEX(TBL_TRANSIT[TransitID],$A281)</f>
        <v>#REF!</v>
      </c>
      <c r="X281" s="31" t="e">
        <f>"TransitTariffVar_"&amp;RIGHT($W281,11)</f>
        <v>#REF!</v>
      </c>
    </row>
    <row r="282" spans="1:24" x14ac:dyDescent="0.25">
      <c r="A282" s="94">
        <f t="shared" ref="A282" si="346">$A278+1</f>
        <v>70</v>
      </c>
      <c r="B282" s="117" t="str">
        <f>IFERROR(INDEX(TBL_TRANSIT[Name],$A282),"")</f>
        <v/>
      </c>
      <c r="C282" s="93" t="str">
        <f t="shared" ref="C282:D282" si="347">IF($B282&lt;&gt;"",C278,"")</f>
        <v/>
      </c>
      <c r="D282" s="93" t="str">
        <f t="shared" si="347"/>
        <v/>
      </c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5"/>
      <c r="W282" s="31" t="e">
        <f>INDEX(TBL_TRANSIT[TransitID],$A282)</f>
        <v>#REF!</v>
      </c>
      <c r="X282" s="31" t="e">
        <f>"TransitCapMin_"&amp;RIGHT($W282,11)</f>
        <v>#REF!</v>
      </c>
    </row>
    <row r="283" spans="1:24" x14ac:dyDescent="0.25">
      <c r="A283" s="94">
        <f t="shared" si="292"/>
        <v>70</v>
      </c>
      <c r="B283" s="118"/>
      <c r="C283" s="93" t="str">
        <f t="shared" ref="C283:D283" si="348">IF($B282&lt;&gt;"",C279,"")</f>
        <v/>
      </c>
      <c r="D283" s="93" t="str">
        <f t="shared" si="348"/>
        <v/>
      </c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26"/>
      <c r="W283" s="31" t="e">
        <f>INDEX(TBL_TRANSIT[TransitID],$A283)</f>
        <v>#REF!</v>
      </c>
      <c r="X283" s="31" t="e">
        <f>"TransitCapMax_"&amp;RIGHT($W283,11)</f>
        <v>#REF!</v>
      </c>
    </row>
    <row r="284" spans="1:24" x14ac:dyDescent="0.25">
      <c r="A284" s="94">
        <f t="shared" si="292"/>
        <v>70</v>
      </c>
      <c r="B284" s="118"/>
      <c r="C284" s="93" t="str">
        <f t="shared" ref="C284:D284" si="349">IF($B282&lt;&gt;"",C280,"")</f>
        <v/>
      </c>
      <c r="D284" s="93" t="str">
        <f t="shared" si="349"/>
        <v/>
      </c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5"/>
      <c r="W284" s="31" t="e">
        <f>INDEX(TBL_TRANSIT[TransitID],$A284)</f>
        <v>#REF!</v>
      </c>
      <c r="X284" s="31" t="e">
        <f>"TransitTariffFixed_"&amp;RIGHT($W284,11)</f>
        <v>#REF!</v>
      </c>
    </row>
    <row r="285" spans="1:24" x14ac:dyDescent="0.25">
      <c r="A285" s="94">
        <f t="shared" si="292"/>
        <v>70</v>
      </c>
      <c r="B285" s="119"/>
      <c r="C285" s="93" t="str">
        <f t="shared" ref="C285:D285" si="350">IF($B282&lt;&gt;"",C281,"")</f>
        <v/>
      </c>
      <c r="D285" s="93" t="str">
        <f t="shared" si="350"/>
        <v/>
      </c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26"/>
      <c r="W285" s="31" t="e">
        <f>INDEX(TBL_TRANSIT[TransitID],$A285)</f>
        <v>#REF!</v>
      </c>
      <c r="X285" s="31" t="e">
        <f>"TransitTariffVar_"&amp;RIGHT($W285,11)</f>
        <v>#REF!</v>
      </c>
    </row>
    <row r="286" spans="1:24" x14ac:dyDescent="0.25">
      <c r="A286" s="94">
        <f t="shared" ref="A286" si="351">$A282+1</f>
        <v>71</v>
      </c>
      <c r="B286" s="117" t="str">
        <f>IFERROR(INDEX(TBL_TRANSIT[Name],$A286),"")</f>
        <v/>
      </c>
      <c r="C286" s="93" t="str">
        <f t="shared" ref="C286:D286" si="352">IF($B286&lt;&gt;"",C282,"")</f>
        <v/>
      </c>
      <c r="D286" s="93" t="str">
        <f t="shared" si="352"/>
        <v/>
      </c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5"/>
      <c r="W286" s="31" t="e">
        <f>INDEX(TBL_TRANSIT[TransitID],$A286)</f>
        <v>#REF!</v>
      </c>
      <c r="X286" s="31" t="e">
        <f>"TransitCapMin_"&amp;RIGHT($W286,11)</f>
        <v>#REF!</v>
      </c>
    </row>
    <row r="287" spans="1:24" x14ac:dyDescent="0.25">
      <c r="A287" s="94">
        <f t="shared" si="292"/>
        <v>71</v>
      </c>
      <c r="B287" s="118"/>
      <c r="C287" s="93" t="str">
        <f t="shared" ref="C287:D287" si="353">IF($B286&lt;&gt;"",C283,"")</f>
        <v/>
      </c>
      <c r="D287" s="93" t="str">
        <f t="shared" si="353"/>
        <v/>
      </c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26"/>
      <c r="W287" s="31" t="e">
        <f>INDEX(TBL_TRANSIT[TransitID],$A287)</f>
        <v>#REF!</v>
      </c>
      <c r="X287" s="31" t="e">
        <f>"TransitCapMax_"&amp;RIGHT($W287,11)</f>
        <v>#REF!</v>
      </c>
    </row>
    <row r="288" spans="1:24" x14ac:dyDescent="0.25">
      <c r="A288" s="94">
        <f t="shared" si="292"/>
        <v>71</v>
      </c>
      <c r="B288" s="118"/>
      <c r="C288" s="93" t="str">
        <f t="shared" ref="C288:D288" si="354">IF($B286&lt;&gt;"",C284,"")</f>
        <v/>
      </c>
      <c r="D288" s="93" t="str">
        <f t="shared" si="354"/>
        <v/>
      </c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5"/>
      <c r="W288" s="31" t="e">
        <f>INDEX(TBL_TRANSIT[TransitID],$A288)</f>
        <v>#REF!</v>
      </c>
      <c r="X288" s="31" t="e">
        <f>"TransitTariffFixed_"&amp;RIGHT($W288,11)</f>
        <v>#REF!</v>
      </c>
    </row>
    <row r="289" spans="1:24" x14ac:dyDescent="0.25">
      <c r="A289" s="94">
        <f t="shared" si="292"/>
        <v>71</v>
      </c>
      <c r="B289" s="119"/>
      <c r="C289" s="93" t="str">
        <f t="shared" ref="C289:D289" si="355">IF($B286&lt;&gt;"",C285,"")</f>
        <v/>
      </c>
      <c r="D289" s="93" t="str">
        <f t="shared" si="355"/>
        <v/>
      </c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26"/>
      <c r="W289" s="31" t="e">
        <f>INDEX(TBL_TRANSIT[TransitID],$A289)</f>
        <v>#REF!</v>
      </c>
      <c r="X289" s="31" t="e">
        <f>"TransitTariffVar_"&amp;RIGHT($W289,11)</f>
        <v>#REF!</v>
      </c>
    </row>
    <row r="290" spans="1:24" x14ac:dyDescent="0.25">
      <c r="A290" s="94">
        <f t="shared" ref="A290" si="356">$A286+1</f>
        <v>72</v>
      </c>
      <c r="B290" s="117" t="str">
        <f>IFERROR(INDEX(TBL_TRANSIT[Name],$A290),"")</f>
        <v/>
      </c>
      <c r="C290" s="93" t="str">
        <f t="shared" ref="C290:D290" si="357">IF($B290&lt;&gt;"",C286,"")</f>
        <v/>
      </c>
      <c r="D290" s="93" t="str">
        <f t="shared" si="357"/>
        <v/>
      </c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5"/>
      <c r="W290" s="31" t="e">
        <f>INDEX(TBL_TRANSIT[TransitID],$A290)</f>
        <v>#REF!</v>
      </c>
      <c r="X290" s="31" t="e">
        <f>"TransitCapMin_"&amp;RIGHT($W290,11)</f>
        <v>#REF!</v>
      </c>
    </row>
    <row r="291" spans="1:24" x14ac:dyDescent="0.25">
      <c r="A291" s="94">
        <f t="shared" si="292"/>
        <v>72</v>
      </c>
      <c r="B291" s="118"/>
      <c r="C291" s="93" t="str">
        <f t="shared" ref="C291:D291" si="358">IF($B290&lt;&gt;"",C287,"")</f>
        <v/>
      </c>
      <c r="D291" s="93" t="str">
        <f t="shared" si="358"/>
        <v/>
      </c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26"/>
      <c r="W291" s="31" t="e">
        <f>INDEX(TBL_TRANSIT[TransitID],$A291)</f>
        <v>#REF!</v>
      </c>
      <c r="X291" s="31" t="e">
        <f>"TransitCapMax_"&amp;RIGHT($W291,11)</f>
        <v>#REF!</v>
      </c>
    </row>
    <row r="292" spans="1:24" x14ac:dyDescent="0.25">
      <c r="A292" s="94">
        <f t="shared" si="292"/>
        <v>72</v>
      </c>
      <c r="B292" s="118"/>
      <c r="C292" s="93" t="str">
        <f t="shared" ref="C292:D292" si="359">IF($B290&lt;&gt;"",C288,"")</f>
        <v/>
      </c>
      <c r="D292" s="93" t="str">
        <f t="shared" si="359"/>
        <v/>
      </c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5"/>
      <c r="W292" s="31" t="e">
        <f>INDEX(TBL_TRANSIT[TransitID],$A292)</f>
        <v>#REF!</v>
      </c>
      <c r="X292" s="31" t="e">
        <f>"TransitTariffFixed_"&amp;RIGHT($W292,11)</f>
        <v>#REF!</v>
      </c>
    </row>
    <row r="293" spans="1:24" x14ac:dyDescent="0.25">
      <c r="A293" s="94">
        <f t="shared" si="292"/>
        <v>72</v>
      </c>
      <c r="B293" s="119"/>
      <c r="C293" s="93" t="str">
        <f t="shared" ref="C293:D293" si="360">IF($B290&lt;&gt;"",C289,"")</f>
        <v/>
      </c>
      <c r="D293" s="93" t="str">
        <f t="shared" si="360"/>
        <v/>
      </c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26"/>
      <c r="W293" s="31" t="e">
        <f>INDEX(TBL_TRANSIT[TransitID],$A293)</f>
        <v>#REF!</v>
      </c>
      <c r="X293" s="31" t="e">
        <f>"TransitTariffVar_"&amp;RIGHT($W293,11)</f>
        <v>#REF!</v>
      </c>
    </row>
    <row r="294" spans="1:24" x14ac:dyDescent="0.25">
      <c r="A294" s="94">
        <f t="shared" ref="A294" si="361">$A290+1</f>
        <v>73</v>
      </c>
      <c r="B294" s="117" t="str">
        <f>IFERROR(INDEX(TBL_TRANSIT[Name],$A294),"")</f>
        <v/>
      </c>
      <c r="C294" s="93" t="str">
        <f t="shared" ref="C294:D294" si="362">IF($B294&lt;&gt;"",C290,"")</f>
        <v/>
      </c>
      <c r="D294" s="93" t="str">
        <f t="shared" si="362"/>
        <v/>
      </c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5"/>
      <c r="W294" s="31" t="e">
        <f>INDEX(TBL_TRANSIT[TransitID],$A294)</f>
        <v>#REF!</v>
      </c>
      <c r="X294" s="31" t="e">
        <f>"TransitCapMin_"&amp;RIGHT($W294,11)</f>
        <v>#REF!</v>
      </c>
    </row>
    <row r="295" spans="1:24" x14ac:dyDescent="0.25">
      <c r="A295" s="94">
        <f t="shared" ref="A295:A333" si="363">$A294</f>
        <v>73</v>
      </c>
      <c r="B295" s="118"/>
      <c r="C295" s="93" t="str">
        <f t="shared" ref="C295:D295" si="364">IF($B294&lt;&gt;"",C291,"")</f>
        <v/>
      </c>
      <c r="D295" s="93" t="str">
        <f t="shared" si="364"/>
        <v/>
      </c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26"/>
      <c r="W295" s="31" t="e">
        <f>INDEX(TBL_TRANSIT[TransitID],$A295)</f>
        <v>#REF!</v>
      </c>
      <c r="X295" s="31" t="e">
        <f>"TransitCapMax_"&amp;RIGHT($W295,11)</f>
        <v>#REF!</v>
      </c>
    </row>
    <row r="296" spans="1:24" x14ac:dyDescent="0.25">
      <c r="A296" s="94">
        <f t="shared" si="363"/>
        <v>73</v>
      </c>
      <c r="B296" s="118"/>
      <c r="C296" s="93" t="str">
        <f t="shared" ref="C296:D296" si="365">IF($B294&lt;&gt;"",C292,"")</f>
        <v/>
      </c>
      <c r="D296" s="93" t="str">
        <f t="shared" si="365"/>
        <v/>
      </c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5"/>
      <c r="W296" s="31" t="e">
        <f>INDEX(TBL_TRANSIT[TransitID],$A296)</f>
        <v>#REF!</v>
      </c>
      <c r="X296" s="31" t="e">
        <f>"TransitTariffFixed_"&amp;RIGHT($W296,11)</f>
        <v>#REF!</v>
      </c>
    </row>
    <row r="297" spans="1:24" x14ac:dyDescent="0.25">
      <c r="A297" s="94">
        <f t="shared" si="363"/>
        <v>73</v>
      </c>
      <c r="B297" s="119"/>
      <c r="C297" s="93" t="str">
        <f t="shared" ref="C297:D297" si="366">IF($B294&lt;&gt;"",C293,"")</f>
        <v/>
      </c>
      <c r="D297" s="93" t="str">
        <f t="shared" si="366"/>
        <v/>
      </c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26"/>
      <c r="W297" s="31" t="e">
        <f>INDEX(TBL_TRANSIT[TransitID],$A297)</f>
        <v>#REF!</v>
      </c>
      <c r="X297" s="31" t="e">
        <f>"TransitTariffVar_"&amp;RIGHT($W297,11)</f>
        <v>#REF!</v>
      </c>
    </row>
    <row r="298" spans="1:24" x14ac:dyDescent="0.25">
      <c r="A298" s="94">
        <f t="shared" ref="A298" si="367">$A294+1</f>
        <v>74</v>
      </c>
      <c r="B298" s="117" t="str">
        <f>IFERROR(INDEX(TBL_TRANSIT[Name],$A298),"")</f>
        <v/>
      </c>
      <c r="C298" s="93" t="str">
        <f t="shared" ref="C298:D298" si="368">IF($B298&lt;&gt;"",C294,"")</f>
        <v/>
      </c>
      <c r="D298" s="93" t="str">
        <f t="shared" si="368"/>
        <v/>
      </c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5"/>
      <c r="W298" s="31" t="e">
        <f>INDEX(TBL_TRANSIT[TransitID],$A298)</f>
        <v>#REF!</v>
      </c>
      <c r="X298" s="31" t="e">
        <f>"TransitCapMin_"&amp;RIGHT($W298,11)</f>
        <v>#REF!</v>
      </c>
    </row>
    <row r="299" spans="1:24" x14ac:dyDescent="0.25">
      <c r="A299" s="94">
        <f t="shared" si="363"/>
        <v>74</v>
      </c>
      <c r="B299" s="118"/>
      <c r="C299" s="93" t="str">
        <f t="shared" ref="C299:D299" si="369">IF($B298&lt;&gt;"",C295,"")</f>
        <v/>
      </c>
      <c r="D299" s="93" t="str">
        <f t="shared" si="369"/>
        <v/>
      </c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26"/>
      <c r="W299" s="31" t="e">
        <f>INDEX(TBL_TRANSIT[TransitID],$A299)</f>
        <v>#REF!</v>
      </c>
      <c r="X299" s="31" t="e">
        <f>"TransitCapMax_"&amp;RIGHT($W299,11)</f>
        <v>#REF!</v>
      </c>
    </row>
    <row r="300" spans="1:24" x14ac:dyDescent="0.25">
      <c r="A300" s="94">
        <f t="shared" si="363"/>
        <v>74</v>
      </c>
      <c r="B300" s="118"/>
      <c r="C300" s="93" t="str">
        <f t="shared" ref="C300:D300" si="370">IF($B298&lt;&gt;"",C296,"")</f>
        <v/>
      </c>
      <c r="D300" s="93" t="str">
        <f t="shared" si="370"/>
        <v/>
      </c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5"/>
      <c r="W300" s="31" t="e">
        <f>INDEX(TBL_TRANSIT[TransitID],$A300)</f>
        <v>#REF!</v>
      </c>
      <c r="X300" s="31" t="e">
        <f>"TransitTariffFixed_"&amp;RIGHT($W300,11)</f>
        <v>#REF!</v>
      </c>
    </row>
    <row r="301" spans="1:24" x14ac:dyDescent="0.25">
      <c r="A301" s="94">
        <f t="shared" si="363"/>
        <v>74</v>
      </c>
      <c r="B301" s="119"/>
      <c r="C301" s="93" t="str">
        <f t="shared" ref="C301:D301" si="371">IF($B298&lt;&gt;"",C297,"")</f>
        <v/>
      </c>
      <c r="D301" s="93" t="str">
        <f t="shared" si="371"/>
        <v/>
      </c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26"/>
      <c r="W301" s="31" t="e">
        <f>INDEX(TBL_TRANSIT[TransitID],$A301)</f>
        <v>#REF!</v>
      </c>
      <c r="X301" s="31" t="e">
        <f>"TransitTariffVar_"&amp;RIGHT($W301,11)</f>
        <v>#REF!</v>
      </c>
    </row>
    <row r="302" spans="1:24" x14ac:dyDescent="0.25">
      <c r="A302" s="94">
        <f t="shared" ref="A302" si="372">$A298+1</f>
        <v>75</v>
      </c>
      <c r="B302" s="117" t="str">
        <f>IFERROR(INDEX(TBL_TRANSIT[Name],$A302),"")</f>
        <v/>
      </c>
      <c r="C302" s="93" t="str">
        <f t="shared" ref="C302:D302" si="373">IF($B302&lt;&gt;"",C298,"")</f>
        <v/>
      </c>
      <c r="D302" s="93" t="str">
        <f t="shared" si="373"/>
        <v/>
      </c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5"/>
      <c r="W302" s="31" t="e">
        <f>INDEX(TBL_TRANSIT[TransitID],$A302)</f>
        <v>#REF!</v>
      </c>
      <c r="X302" s="31" t="e">
        <f>"TransitCapMin_"&amp;RIGHT($W302,11)</f>
        <v>#REF!</v>
      </c>
    </row>
    <row r="303" spans="1:24" x14ac:dyDescent="0.25">
      <c r="A303" s="94">
        <f t="shared" si="363"/>
        <v>75</v>
      </c>
      <c r="B303" s="118"/>
      <c r="C303" s="93" t="str">
        <f t="shared" ref="C303:D303" si="374">IF($B302&lt;&gt;"",C299,"")</f>
        <v/>
      </c>
      <c r="D303" s="93" t="str">
        <f t="shared" si="374"/>
        <v/>
      </c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26"/>
      <c r="W303" s="31" t="e">
        <f>INDEX(TBL_TRANSIT[TransitID],$A303)</f>
        <v>#REF!</v>
      </c>
      <c r="X303" s="31" t="e">
        <f>"TransitCapMax_"&amp;RIGHT($W303,11)</f>
        <v>#REF!</v>
      </c>
    </row>
    <row r="304" spans="1:24" x14ac:dyDescent="0.25">
      <c r="A304" s="94">
        <f t="shared" si="363"/>
        <v>75</v>
      </c>
      <c r="B304" s="118"/>
      <c r="C304" s="93" t="str">
        <f t="shared" ref="C304:D304" si="375">IF($B302&lt;&gt;"",C300,"")</f>
        <v/>
      </c>
      <c r="D304" s="93" t="str">
        <f t="shared" si="375"/>
        <v/>
      </c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5"/>
      <c r="W304" s="31" t="e">
        <f>INDEX(TBL_TRANSIT[TransitID],$A304)</f>
        <v>#REF!</v>
      </c>
      <c r="X304" s="31" t="e">
        <f>"TransitTariffFixed_"&amp;RIGHT($W304,11)</f>
        <v>#REF!</v>
      </c>
    </row>
    <row r="305" spans="1:24" x14ac:dyDescent="0.25">
      <c r="A305" s="94">
        <f t="shared" si="363"/>
        <v>75</v>
      </c>
      <c r="B305" s="119"/>
      <c r="C305" s="93" t="str">
        <f t="shared" ref="C305:D305" si="376">IF($B302&lt;&gt;"",C301,"")</f>
        <v/>
      </c>
      <c r="D305" s="93" t="str">
        <f t="shared" si="376"/>
        <v/>
      </c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26"/>
      <c r="W305" s="31" t="e">
        <f>INDEX(TBL_TRANSIT[TransitID],$A305)</f>
        <v>#REF!</v>
      </c>
      <c r="X305" s="31" t="e">
        <f>"TransitTariffVar_"&amp;RIGHT($W305,11)</f>
        <v>#REF!</v>
      </c>
    </row>
    <row r="306" spans="1:24" x14ac:dyDescent="0.25">
      <c r="A306" s="94">
        <f t="shared" ref="A306" si="377">$A302+1</f>
        <v>76</v>
      </c>
      <c r="B306" s="117" t="str">
        <f>IFERROR(INDEX(TBL_TRANSIT[Name],$A306),"")</f>
        <v/>
      </c>
      <c r="C306" s="93" t="str">
        <f t="shared" ref="C306:D306" si="378">IF($B306&lt;&gt;"",C302,"")</f>
        <v/>
      </c>
      <c r="D306" s="93" t="str">
        <f t="shared" si="378"/>
        <v/>
      </c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5"/>
      <c r="W306" s="31" t="e">
        <f>INDEX(TBL_TRANSIT[TransitID],$A306)</f>
        <v>#REF!</v>
      </c>
      <c r="X306" s="31" t="e">
        <f>"TransitCapMin_"&amp;RIGHT($W306,11)</f>
        <v>#REF!</v>
      </c>
    </row>
    <row r="307" spans="1:24" x14ac:dyDescent="0.25">
      <c r="A307" s="94">
        <f t="shared" si="363"/>
        <v>76</v>
      </c>
      <c r="B307" s="118"/>
      <c r="C307" s="93" t="str">
        <f t="shared" ref="C307:D307" si="379">IF($B306&lt;&gt;"",C303,"")</f>
        <v/>
      </c>
      <c r="D307" s="93" t="str">
        <f t="shared" si="379"/>
        <v/>
      </c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26"/>
      <c r="W307" s="31" t="e">
        <f>INDEX(TBL_TRANSIT[TransitID],$A307)</f>
        <v>#REF!</v>
      </c>
      <c r="X307" s="31" t="e">
        <f>"TransitCapMax_"&amp;RIGHT($W307,11)</f>
        <v>#REF!</v>
      </c>
    </row>
    <row r="308" spans="1:24" x14ac:dyDescent="0.25">
      <c r="A308" s="94">
        <f t="shared" si="363"/>
        <v>76</v>
      </c>
      <c r="B308" s="118"/>
      <c r="C308" s="93" t="str">
        <f t="shared" ref="C308:D308" si="380">IF($B306&lt;&gt;"",C304,"")</f>
        <v/>
      </c>
      <c r="D308" s="93" t="str">
        <f t="shared" si="380"/>
        <v/>
      </c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5"/>
      <c r="W308" s="31" t="e">
        <f>INDEX(TBL_TRANSIT[TransitID],$A308)</f>
        <v>#REF!</v>
      </c>
      <c r="X308" s="31" t="e">
        <f>"TransitTariffFixed_"&amp;RIGHT($W308,11)</f>
        <v>#REF!</v>
      </c>
    </row>
    <row r="309" spans="1:24" x14ac:dyDescent="0.25">
      <c r="A309" s="94">
        <f t="shared" si="363"/>
        <v>76</v>
      </c>
      <c r="B309" s="119"/>
      <c r="C309" s="93" t="str">
        <f t="shared" ref="C309:D309" si="381">IF($B306&lt;&gt;"",C305,"")</f>
        <v/>
      </c>
      <c r="D309" s="93" t="str">
        <f t="shared" si="381"/>
        <v/>
      </c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26"/>
      <c r="W309" s="31" t="e">
        <f>INDEX(TBL_TRANSIT[TransitID],$A309)</f>
        <v>#REF!</v>
      </c>
      <c r="X309" s="31" t="e">
        <f>"TransitTariffVar_"&amp;RIGHT($W309,11)</f>
        <v>#REF!</v>
      </c>
    </row>
    <row r="310" spans="1:24" x14ac:dyDescent="0.25">
      <c r="A310" s="94">
        <f t="shared" ref="A310" si="382">$A306+1</f>
        <v>77</v>
      </c>
      <c r="B310" s="117" t="str">
        <f>IFERROR(INDEX(TBL_TRANSIT[Name],$A310),"")</f>
        <v/>
      </c>
      <c r="C310" s="93" t="str">
        <f t="shared" ref="C310:D310" si="383">IF($B310&lt;&gt;"",C306,"")</f>
        <v/>
      </c>
      <c r="D310" s="93" t="str">
        <f t="shared" si="383"/>
        <v/>
      </c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5"/>
      <c r="W310" s="31" t="e">
        <f>INDEX(TBL_TRANSIT[TransitID],$A310)</f>
        <v>#REF!</v>
      </c>
      <c r="X310" s="31" t="e">
        <f>"TransitCapMin_"&amp;RIGHT($W310,11)</f>
        <v>#REF!</v>
      </c>
    </row>
    <row r="311" spans="1:24" x14ac:dyDescent="0.25">
      <c r="A311" s="94">
        <f t="shared" si="363"/>
        <v>77</v>
      </c>
      <c r="B311" s="118"/>
      <c r="C311" s="93" t="str">
        <f t="shared" ref="C311:D311" si="384">IF($B310&lt;&gt;"",C307,"")</f>
        <v/>
      </c>
      <c r="D311" s="93" t="str">
        <f t="shared" si="384"/>
        <v/>
      </c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26"/>
      <c r="W311" s="31" t="e">
        <f>INDEX(TBL_TRANSIT[TransitID],$A311)</f>
        <v>#REF!</v>
      </c>
      <c r="X311" s="31" t="e">
        <f>"TransitCapMax_"&amp;RIGHT($W311,11)</f>
        <v>#REF!</v>
      </c>
    </row>
    <row r="312" spans="1:24" x14ac:dyDescent="0.25">
      <c r="A312" s="94">
        <f t="shared" si="363"/>
        <v>77</v>
      </c>
      <c r="B312" s="118"/>
      <c r="C312" s="93" t="str">
        <f t="shared" ref="C312:D312" si="385">IF($B310&lt;&gt;"",C308,"")</f>
        <v/>
      </c>
      <c r="D312" s="93" t="str">
        <f t="shared" si="385"/>
        <v/>
      </c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5"/>
      <c r="W312" s="31" t="e">
        <f>INDEX(TBL_TRANSIT[TransitID],$A312)</f>
        <v>#REF!</v>
      </c>
      <c r="X312" s="31" t="e">
        <f>"TransitTariffFixed_"&amp;RIGHT($W312,11)</f>
        <v>#REF!</v>
      </c>
    </row>
    <row r="313" spans="1:24" x14ac:dyDescent="0.25">
      <c r="A313" s="94">
        <f t="shared" si="363"/>
        <v>77</v>
      </c>
      <c r="B313" s="119"/>
      <c r="C313" s="93" t="str">
        <f t="shared" ref="C313:D313" si="386">IF($B310&lt;&gt;"",C309,"")</f>
        <v/>
      </c>
      <c r="D313" s="93" t="str">
        <f t="shared" si="386"/>
        <v/>
      </c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26"/>
      <c r="W313" s="31" t="e">
        <f>INDEX(TBL_TRANSIT[TransitID],$A313)</f>
        <v>#REF!</v>
      </c>
      <c r="X313" s="31" t="e">
        <f>"TransitTariffVar_"&amp;RIGHT($W313,11)</f>
        <v>#REF!</v>
      </c>
    </row>
    <row r="314" spans="1:24" x14ac:dyDescent="0.25">
      <c r="A314" s="94">
        <f t="shared" ref="A314" si="387">$A310+1</f>
        <v>78</v>
      </c>
      <c r="B314" s="117" t="str">
        <f>IFERROR(INDEX(TBL_TRANSIT[Name],$A314),"")</f>
        <v/>
      </c>
      <c r="C314" s="93" t="str">
        <f t="shared" ref="C314:D314" si="388">IF($B314&lt;&gt;"",C310,"")</f>
        <v/>
      </c>
      <c r="D314" s="93" t="str">
        <f t="shared" si="388"/>
        <v/>
      </c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5"/>
      <c r="W314" s="31" t="e">
        <f>INDEX(TBL_TRANSIT[TransitID],$A314)</f>
        <v>#REF!</v>
      </c>
      <c r="X314" s="31" t="e">
        <f>"TransitCapMin_"&amp;RIGHT($W314,11)</f>
        <v>#REF!</v>
      </c>
    </row>
    <row r="315" spans="1:24" x14ac:dyDescent="0.25">
      <c r="A315" s="94">
        <f t="shared" si="363"/>
        <v>78</v>
      </c>
      <c r="B315" s="118"/>
      <c r="C315" s="93" t="str">
        <f t="shared" ref="C315:D315" si="389">IF($B314&lt;&gt;"",C311,"")</f>
        <v/>
      </c>
      <c r="D315" s="93" t="str">
        <f t="shared" si="389"/>
        <v/>
      </c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26"/>
      <c r="W315" s="31" t="e">
        <f>INDEX(TBL_TRANSIT[TransitID],$A315)</f>
        <v>#REF!</v>
      </c>
      <c r="X315" s="31" t="e">
        <f>"TransitCapMax_"&amp;RIGHT($W315,11)</f>
        <v>#REF!</v>
      </c>
    </row>
    <row r="316" spans="1:24" x14ac:dyDescent="0.25">
      <c r="A316" s="94">
        <f t="shared" si="363"/>
        <v>78</v>
      </c>
      <c r="B316" s="118"/>
      <c r="C316" s="93" t="str">
        <f t="shared" ref="C316:D316" si="390">IF($B314&lt;&gt;"",C312,"")</f>
        <v/>
      </c>
      <c r="D316" s="93" t="str">
        <f t="shared" si="390"/>
        <v/>
      </c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5"/>
      <c r="W316" s="31" t="e">
        <f>INDEX(TBL_TRANSIT[TransitID],$A316)</f>
        <v>#REF!</v>
      </c>
      <c r="X316" s="31" t="e">
        <f>"TransitTariffFixed_"&amp;RIGHT($W316,11)</f>
        <v>#REF!</v>
      </c>
    </row>
    <row r="317" spans="1:24" x14ac:dyDescent="0.25">
      <c r="A317" s="94">
        <f t="shared" si="363"/>
        <v>78</v>
      </c>
      <c r="B317" s="119"/>
      <c r="C317" s="93" t="str">
        <f t="shared" ref="C317:D317" si="391">IF($B314&lt;&gt;"",C313,"")</f>
        <v/>
      </c>
      <c r="D317" s="93" t="str">
        <f t="shared" si="391"/>
        <v/>
      </c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26"/>
      <c r="W317" s="31" t="e">
        <f>INDEX(TBL_TRANSIT[TransitID],$A317)</f>
        <v>#REF!</v>
      </c>
      <c r="X317" s="31" t="e">
        <f>"TransitTariffVar_"&amp;RIGHT($W317,11)</f>
        <v>#REF!</v>
      </c>
    </row>
    <row r="318" spans="1:24" x14ac:dyDescent="0.25">
      <c r="A318" s="94">
        <f t="shared" ref="A318" si="392">$A314+1</f>
        <v>79</v>
      </c>
      <c r="B318" s="117" t="str">
        <f>IFERROR(INDEX(TBL_TRANSIT[Name],$A318),"")</f>
        <v/>
      </c>
      <c r="C318" s="93" t="str">
        <f t="shared" ref="C318:D318" si="393">IF($B318&lt;&gt;"",C314,"")</f>
        <v/>
      </c>
      <c r="D318" s="93" t="str">
        <f t="shared" si="393"/>
        <v/>
      </c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5"/>
      <c r="W318" s="31" t="e">
        <f>INDEX(TBL_TRANSIT[TransitID],$A318)</f>
        <v>#REF!</v>
      </c>
      <c r="X318" s="31" t="e">
        <f>"TransitCapMin_"&amp;RIGHT($W318,11)</f>
        <v>#REF!</v>
      </c>
    </row>
    <row r="319" spans="1:24" x14ac:dyDescent="0.25">
      <c r="A319" s="94">
        <f t="shared" si="363"/>
        <v>79</v>
      </c>
      <c r="B319" s="118"/>
      <c r="C319" s="93" t="str">
        <f t="shared" ref="C319:D319" si="394">IF($B318&lt;&gt;"",C315,"")</f>
        <v/>
      </c>
      <c r="D319" s="93" t="str">
        <f t="shared" si="394"/>
        <v/>
      </c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26"/>
      <c r="W319" s="31" t="e">
        <f>INDEX(TBL_TRANSIT[TransitID],$A319)</f>
        <v>#REF!</v>
      </c>
      <c r="X319" s="31" t="e">
        <f>"TransitCapMax_"&amp;RIGHT($W319,11)</f>
        <v>#REF!</v>
      </c>
    </row>
    <row r="320" spans="1:24" x14ac:dyDescent="0.25">
      <c r="A320" s="94">
        <f t="shared" si="363"/>
        <v>79</v>
      </c>
      <c r="B320" s="118"/>
      <c r="C320" s="93" t="str">
        <f t="shared" ref="C320:D320" si="395">IF($B318&lt;&gt;"",C316,"")</f>
        <v/>
      </c>
      <c r="D320" s="93" t="str">
        <f t="shared" si="395"/>
        <v/>
      </c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5"/>
      <c r="W320" s="31" t="e">
        <f>INDEX(TBL_TRANSIT[TransitID],$A320)</f>
        <v>#REF!</v>
      </c>
      <c r="X320" s="31" t="e">
        <f>"TransitTariffFixed_"&amp;RIGHT($W320,11)</f>
        <v>#REF!</v>
      </c>
    </row>
    <row r="321" spans="1:24" x14ac:dyDescent="0.25">
      <c r="A321" s="94">
        <f t="shared" si="363"/>
        <v>79</v>
      </c>
      <c r="B321" s="119"/>
      <c r="C321" s="93" t="str">
        <f t="shared" ref="C321:D321" si="396">IF($B318&lt;&gt;"",C317,"")</f>
        <v/>
      </c>
      <c r="D321" s="93" t="str">
        <f t="shared" si="396"/>
        <v/>
      </c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26"/>
      <c r="W321" s="31" t="e">
        <f>INDEX(TBL_TRANSIT[TransitID],$A321)</f>
        <v>#REF!</v>
      </c>
      <c r="X321" s="31" t="e">
        <f>"TransitTariffVar_"&amp;RIGHT($W321,11)</f>
        <v>#REF!</v>
      </c>
    </row>
    <row r="322" spans="1:24" x14ac:dyDescent="0.25">
      <c r="A322" s="94">
        <f t="shared" ref="A322" si="397">$A318+1</f>
        <v>80</v>
      </c>
      <c r="B322" s="117" t="str">
        <f>IFERROR(INDEX(TBL_TRANSIT[Name],$A322),"")</f>
        <v/>
      </c>
      <c r="C322" s="93" t="str">
        <f t="shared" ref="C322:D322" si="398">IF($B322&lt;&gt;"",C318,"")</f>
        <v/>
      </c>
      <c r="D322" s="93" t="str">
        <f t="shared" si="398"/>
        <v/>
      </c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5"/>
      <c r="W322" s="31" t="e">
        <f>INDEX(TBL_TRANSIT[TransitID],$A322)</f>
        <v>#REF!</v>
      </c>
      <c r="X322" s="31" t="e">
        <f>"TransitCapMin_"&amp;RIGHT($W322,11)</f>
        <v>#REF!</v>
      </c>
    </row>
    <row r="323" spans="1:24" x14ac:dyDescent="0.25">
      <c r="A323" s="94">
        <f t="shared" si="363"/>
        <v>80</v>
      </c>
      <c r="B323" s="118"/>
      <c r="C323" s="93" t="str">
        <f t="shared" ref="C323:D323" si="399">IF($B322&lt;&gt;"",C319,"")</f>
        <v/>
      </c>
      <c r="D323" s="93" t="str">
        <f t="shared" si="399"/>
        <v/>
      </c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26"/>
      <c r="W323" s="31" t="e">
        <f>INDEX(TBL_TRANSIT[TransitID],$A323)</f>
        <v>#REF!</v>
      </c>
      <c r="X323" s="31" t="e">
        <f>"TransitCapMax_"&amp;RIGHT($W323,11)</f>
        <v>#REF!</v>
      </c>
    </row>
    <row r="324" spans="1:24" x14ac:dyDescent="0.25">
      <c r="A324" s="94">
        <f t="shared" si="363"/>
        <v>80</v>
      </c>
      <c r="B324" s="118"/>
      <c r="C324" s="93" t="str">
        <f t="shared" ref="C324:D324" si="400">IF($B322&lt;&gt;"",C320,"")</f>
        <v/>
      </c>
      <c r="D324" s="93" t="str">
        <f t="shared" si="400"/>
        <v/>
      </c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5"/>
      <c r="W324" s="31" t="e">
        <f>INDEX(TBL_TRANSIT[TransitID],$A324)</f>
        <v>#REF!</v>
      </c>
      <c r="X324" s="31" t="e">
        <f>"TransitTariffFixed_"&amp;RIGHT($W324,11)</f>
        <v>#REF!</v>
      </c>
    </row>
    <row r="325" spans="1:24" x14ac:dyDescent="0.25">
      <c r="A325" s="94">
        <f t="shared" si="363"/>
        <v>80</v>
      </c>
      <c r="B325" s="119"/>
      <c r="C325" s="93" t="str">
        <f t="shared" ref="C325:D325" si="401">IF($B322&lt;&gt;"",C321,"")</f>
        <v/>
      </c>
      <c r="D325" s="93" t="str">
        <f t="shared" si="401"/>
        <v/>
      </c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26"/>
      <c r="W325" s="31" t="e">
        <f>INDEX(TBL_TRANSIT[TransitID],$A325)</f>
        <v>#REF!</v>
      </c>
      <c r="X325" s="31" t="e">
        <f>"TransitTariffVar_"&amp;RIGHT($W325,11)</f>
        <v>#REF!</v>
      </c>
    </row>
    <row r="326" spans="1:24" x14ac:dyDescent="0.25">
      <c r="A326" s="94">
        <f t="shared" ref="A326" si="402">$A322+1</f>
        <v>81</v>
      </c>
      <c r="B326" s="117" t="str">
        <f>IFERROR(INDEX(TBL_TRANSIT[Name],$A326),"")</f>
        <v/>
      </c>
      <c r="C326" s="93" t="str">
        <f t="shared" ref="C326:D326" si="403">IF($B326&lt;&gt;"",C322,"")</f>
        <v/>
      </c>
      <c r="D326" s="93" t="str">
        <f t="shared" si="403"/>
        <v/>
      </c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5"/>
      <c r="W326" s="31" t="e">
        <f>INDEX(TBL_TRANSIT[TransitID],$A326)</f>
        <v>#REF!</v>
      </c>
      <c r="X326" s="31" t="e">
        <f>"TransitCapMin_"&amp;RIGHT($W326,11)</f>
        <v>#REF!</v>
      </c>
    </row>
    <row r="327" spans="1:24" x14ac:dyDescent="0.25">
      <c r="A327" s="94">
        <f t="shared" si="363"/>
        <v>81</v>
      </c>
      <c r="B327" s="118"/>
      <c r="C327" s="93" t="str">
        <f t="shared" ref="C327:D327" si="404">IF($B326&lt;&gt;"",C323,"")</f>
        <v/>
      </c>
      <c r="D327" s="93" t="str">
        <f t="shared" si="404"/>
        <v/>
      </c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26"/>
      <c r="W327" s="31" t="e">
        <f>INDEX(TBL_TRANSIT[TransitID],$A327)</f>
        <v>#REF!</v>
      </c>
      <c r="X327" s="31" t="e">
        <f>"TransitCapMax_"&amp;RIGHT($W327,11)</f>
        <v>#REF!</v>
      </c>
    </row>
    <row r="328" spans="1:24" x14ac:dyDescent="0.25">
      <c r="A328" s="94">
        <f t="shared" si="363"/>
        <v>81</v>
      </c>
      <c r="B328" s="118"/>
      <c r="C328" s="93" t="str">
        <f t="shared" ref="C328:D328" si="405">IF($B326&lt;&gt;"",C324,"")</f>
        <v/>
      </c>
      <c r="D328" s="93" t="str">
        <f t="shared" si="405"/>
        <v/>
      </c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5"/>
      <c r="W328" s="31" t="e">
        <f>INDEX(TBL_TRANSIT[TransitID],$A328)</f>
        <v>#REF!</v>
      </c>
      <c r="X328" s="31" t="e">
        <f>"TransitTariffFixed_"&amp;RIGHT($W328,11)</f>
        <v>#REF!</v>
      </c>
    </row>
    <row r="329" spans="1:24" x14ac:dyDescent="0.25">
      <c r="A329" s="94">
        <f t="shared" si="363"/>
        <v>81</v>
      </c>
      <c r="B329" s="119"/>
      <c r="C329" s="93" t="str">
        <f t="shared" ref="C329:D329" si="406">IF($B326&lt;&gt;"",C325,"")</f>
        <v/>
      </c>
      <c r="D329" s="93" t="str">
        <f t="shared" si="406"/>
        <v/>
      </c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26"/>
      <c r="W329" s="31" t="e">
        <f>INDEX(TBL_TRANSIT[TransitID],$A329)</f>
        <v>#REF!</v>
      </c>
      <c r="X329" s="31" t="e">
        <f>"TransitTariffVar_"&amp;RIGHT($W329,11)</f>
        <v>#REF!</v>
      </c>
    </row>
    <row r="330" spans="1:24" x14ac:dyDescent="0.25">
      <c r="A330" s="94">
        <f t="shared" ref="A330" si="407">$A326+1</f>
        <v>82</v>
      </c>
      <c r="B330" s="117" t="str">
        <f>IFERROR(INDEX(TBL_TRANSIT[Name],$A330),"")</f>
        <v/>
      </c>
      <c r="C330" s="93" t="str">
        <f t="shared" ref="C330:D330" si="408">IF($B330&lt;&gt;"",C326,"")</f>
        <v/>
      </c>
      <c r="D330" s="93" t="str">
        <f t="shared" si="408"/>
        <v/>
      </c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5"/>
      <c r="W330" s="31" t="e">
        <f>INDEX(TBL_TRANSIT[TransitID],$A330)</f>
        <v>#REF!</v>
      </c>
      <c r="X330" s="31" t="e">
        <f>"TransitCapMin_"&amp;RIGHT($W330,11)</f>
        <v>#REF!</v>
      </c>
    </row>
    <row r="331" spans="1:24" x14ac:dyDescent="0.25">
      <c r="A331" s="94">
        <f t="shared" si="363"/>
        <v>82</v>
      </c>
      <c r="B331" s="118"/>
      <c r="C331" s="93" t="str">
        <f t="shared" ref="C331:D331" si="409">IF($B330&lt;&gt;"",C327,"")</f>
        <v/>
      </c>
      <c r="D331" s="93" t="str">
        <f t="shared" si="409"/>
        <v/>
      </c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26"/>
      <c r="W331" s="31" t="e">
        <f>INDEX(TBL_TRANSIT[TransitID],$A331)</f>
        <v>#REF!</v>
      </c>
      <c r="X331" s="31" t="e">
        <f>"TransitCapMax_"&amp;RIGHT($W331,11)</f>
        <v>#REF!</v>
      </c>
    </row>
    <row r="332" spans="1:24" x14ac:dyDescent="0.25">
      <c r="A332" s="94">
        <f t="shared" si="363"/>
        <v>82</v>
      </c>
      <c r="B332" s="118"/>
      <c r="C332" s="93" t="str">
        <f t="shared" ref="C332:D332" si="410">IF($B330&lt;&gt;"",C328,"")</f>
        <v/>
      </c>
      <c r="D332" s="93" t="str">
        <f t="shared" si="410"/>
        <v/>
      </c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5"/>
      <c r="W332" s="31" t="e">
        <f>INDEX(TBL_TRANSIT[TransitID],$A332)</f>
        <v>#REF!</v>
      </c>
      <c r="X332" s="31" t="e">
        <f>"TransitTariffFixed_"&amp;RIGHT($W332,11)</f>
        <v>#REF!</v>
      </c>
    </row>
    <row r="333" spans="1:24" x14ac:dyDescent="0.25">
      <c r="A333" s="94">
        <f t="shared" si="363"/>
        <v>82</v>
      </c>
      <c r="B333" s="119"/>
      <c r="C333" s="93" t="str">
        <f t="shared" ref="C333:D333" si="411">IF($B330&lt;&gt;"",C329,"")</f>
        <v/>
      </c>
      <c r="D333" s="93" t="str">
        <f t="shared" si="411"/>
        <v/>
      </c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26"/>
      <c r="W333" s="31" t="e">
        <f>INDEX(TBL_TRANSIT[TransitID],$A333)</f>
        <v>#REF!</v>
      </c>
      <c r="X333" s="31" t="e">
        <f>"TransitTariffVar_"&amp;RIGHT($W333,11)</f>
        <v>#REF!</v>
      </c>
    </row>
    <row r="334" spans="1:24" x14ac:dyDescent="0.25">
      <c r="A334" s="94">
        <f t="shared" ref="A334" si="412">$A330+1</f>
        <v>83</v>
      </c>
      <c r="B334" s="117" t="str">
        <f>IFERROR(INDEX(TBL_TRANSIT[Name],$A334),"")</f>
        <v/>
      </c>
      <c r="C334" s="93" t="str">
        <f t="shared" ref="C334:D334" si="413">IF($B334&lt;&gt;"",C330,"")</f>
        <v/>
      </c>
      <c r="D334" s="93" t="str">
        <f t="shared" si="413"/>
        <v/>
      </c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5"/>
      <c r="W334" s="31" t="e">
        <f>INDEX(TBL_TRANSIT[TransitID],$A334)</f>
        <v>#REF!</v>
      </c>
      <c r="X334" s="31" t="e">
        <f>"TransitCapMin_"&amp;RIGHT($W334,11)</f>
        <v>#REF!</v>
      </c>
    </row>
    <row r="335" spans="1:24" x14ac:dyDescent="0.25">
      <c r="A335" s="94">
        <f t="shared" ref="A335:A389" si="414">$A334</f>
        <v>83</v>
      </c>
      <c r="B335" s="118"/>
      <c r="C335" s="93" t="str">
        <f t="shared" ref="C335:D335" si="415">IF($B334&lt;&gt;"",C331,"")</f>
        <v/>
      </c>
      <c r="D335" s="93" t="str">
        <f t="shared" si="415"/>
        <v/>
      </c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26"/>
      <c r="W335" s="31" t="e">
        <f>INDEX(TBL_TRANSIT[TransitID],$A335)</f>
        <v>#REF!</v>
      </c>
      <c r="X335" s="31" t="e">
        <f>"TransitCapMax_"&amp;RIGHT($W335,11)</f>
        <v>#REF!</v>
      </c>
    </row>
    <row r="336" spans="1:24" x14ac:dyDescent="0.25">
      <c r="A336" s="94">
        <f t="shared" si="414"/>
        <v>83</v>
      </c>
      <c r="B336" s="118"/>
      <c r="C336" s="93" t="str">
        <f t="shared" ref="C336:D336" si="416">IF($B334&lt;&gt;"",C332,"")</f>
        <v/>
      </c>
      <c r="D336" s="93" t="str">
        <f t="shared" si="416"/>
        <v/>
      </c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5"/>
      <c r="W336" s="31" t="e">
        <f>INDEX(TBL_TRANSIT[TransitID],$A336)</f>
        <v>#REF!</v>
      </c>
      <c r="X336" s="31" t="e">
        <f>"TransitTariffFixed_"&amp;RIGHT($W336,11)</f>
        <v>#REF!</v>
      </c>
    </row>
    <row r="337" spans="1:24" x14ac:dyDescent="0.25">
      <c r="A337" s="94">
        <f t="shared" si="414"/>
        <v>83</v>
      </c>
      <c r="B337" s="119"/>
      <c r="C337" s="93" t="str">
        <f t="shared" ref="C337:D337" si="417">IF($B334&lt;&gt;"",C333,"")</f>
        <v/>
      </c>
      <c r="D337" s="93" t="str">
        <f t="shared" si="417"/>
        <v/>
      </c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26"/>
      <c r="W337" s="31" t="e">
        <f>INDEX(TBL_TRANSIT[TransitID],$A337)</f>
        <v>#REF!</v>
      </c>
      <c r="X337" s="31" t="e">
        <f>"TransitTariffVar_"&amp;RIGHT($W337,11)</f>
        <v>#REF!</v>
      </c>
    </row>
    <row r="338" spans="1:24" x14ac:dyDescent="0.25">
      <c r="A338" s="94">
        <f t="shared" ref="A338" si="418">$A334+1</f>
        <v>84</v>
      </c>
      <c r="B338" s="117" t="str">
        <f>IFERROR(INDEX(TBL_TRANSIT[Name],$A338),"")</f>
        <v/>
      </c>
      <c r="C338" s="93" t="str">
        <f t="shared" ref="C338:D338" si="419">IF($B338&lt;&gt;"",C334,"")</f>
        <v/>
      </c>
      <c r="D338" s="93" t="str">
        <f t="shared" si="419"/>
        <v/>
      </c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5"/>
      <c r="W338" s="31" t="e">
        <f>INDEX(TBL_TRANSIT[TransitID],$A338)</f>
        <v>#REF!</v>
      </c>
      <c r="X338" s="31" t="e">
        <f>"TransitCapMin_"&amp;RIGHT($W338,11)</f>
        <v>#REF!</v>
      </c>
    </row>
    <row r="339" spans="1:24" x14ac:dyDescent="0.25">
      <c r="A339" s="94">
        <f t="shared" si="414"/>
        <v>84</v>
      </c>
      <c r="B339" s="118"/>
      <c r="C339" s="93" t="str">
        <f t="shared" ref="C339:D339" si="420">IF($B338&lt;&gt;"",C335,"")</f>
        <v/>
      </c>
      <c r="D339" s="93" t="str">
        <f t="shared" si="420"/>
        <v/>
      </c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26"/>
      <c r="W339" s="31" t="e">
        <f>INDEX(TBL_TRANSIT[TransitID],$A339)</f>
        <v>#REF!</v>
      </c>
      <c r="X339" s="31" t="e">
        <f>"TransitCapMax_"&amp;RIGHT($W339,11)</f>
        <v>#REF!</v>
      </c>
    </row>
    <row r="340" spans="1:24" x14ac:dyDescent="0.25">
      <c r="A340" s="94">
        <f t="shared" si="414"/>
        <v>84</v>
      </c>
      <c r="B340" s="118"/>
      <c r="C340" s="93" t="str">
        <f t="shared" ref="C340:D340" si="421">IF($B338&lt;&gt;"",C336,"")</f>
        <v/>
      </c>
      <c r="D340" s="93" t="str">
        <f t="shared" si="421"/>
        <v/>
      </c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5"/>
      <c r="W340" s="31" t="e">
        <f>INDEX(TBL_TRANSIT[TransitID],$A340)</f>
        <v>#REF!</v>
      </c>
      <c r="X340" s="31" t="e">
        <f>"TransitTariffFixed_"&amp;RIGHT($W340,11)</f>
        <v>#REF!</v>
      </c>
    </row>
    <row r="341" spans="1:24" x14ac:dyDescent="0.25">
      <c r="A341" s="94">
        <f t="shared" si="414"/>
        <v>84</v>
      </c>
      <c r="B341" s="119"/>
      <c r="C341" s="93" t="str">
        <f t="shared" ref="C341:D341" si="422">IF($B338&lt;&gt;"",C337,"")</f>
        <v/>
      </c>
      <c r="D341" s="93" t="str">
        <f t="shared" si="422"/>
        <v/>
      </c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26"/>
      <c r="W341" s="31" t="e">
        <f>INDEX(TBL_TRANSIT[TransitID],$A341)</f>
        <v>#REF!</v>
      </c>
      <c r="X341" s="31" t="e">
        <f>"TransitTariffVar_"&amp;RIGHT($W341,11)</f>
        <v>#REF!</v>
      </c>
    </row>
    <row r="342" spans="1:24" x14ac:dyDescent="0.25">
      <c r="A342" s="94">
        <f t="shared" ref="A342" si="423">$A338+1</f>
        <v>85</v>
      </c>
      <c r="B342" s="117" t="str">
        <f>IFERROR(INDEX(TBL_TRANSIT[Name],$A342),"")</f>
        <v/>
      </c>
      <c r="C342" s="93" t="str">
        <f t="shared" ref="C342:D342" si="424">IF($B342&lt;&gt;"",C338,"")</f>
        <v/>
      </c>
      <c r="D342" s="93" t="str">
        <f t="shared" si="424"/>
        <v/>
      </c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5"/>
      <c r="W342" s="31" t="e">
        <f>INDEX(TBL_TRANSIT[TransitID],$A342)</f>
        <v>#REF!</v>
      </c>
      <c r="X342" s="31" t="e">
        <f>"TransitCapMin_"&amp;RIGHT($W342,11)</f>
        <v>#REF!</v>
      </c>
    </row>
    <row r="343" spans="1:24" x14ac:dyDescent="0.25">
      <c r="A343" s="94">
        <f t="shared" si="414"/>
        <v>85</v>
      </c>
      <c r="B343" s="118"/>
      <c r="C343" s="93" t="str">
        <f t="shared" ref="C343:D343" si="425">IF($B342&lt;&gt;"",C339,"")</f>
        <v/>
      </c>
      <c r="D343" s="93" t="str">
        <f t="shared" si="425"/>
        <v/>
      </c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26"/>
      <c r="W343" s="31" t="e">
        <f>INDEX(TBL_TRANSIT[TransitID],$A343)</f>
        <v>#REF!</v>
      </c>
      <c r="X343" s="31" t="e">
        <f>"TransitCapMax_"&amp;RIGHT($W343,11)</f>
        <v>#REF!</v>
      </c>
    </row>
    <row r="344" spans="1:24" x14ac:dyDescent="0.25">
      <c r="A344" s="94">
        <f t="shared" si="414"/>
        <v>85</v>
      </c>
      <c r="B344" s="118"/>
      <c r="C344" s="93" t="str">
        <f t="shared" ref="C344:D344" si="426">IF($B342&lt;&gt;"",C340,"")</f>
        <v/>
      </c>
      <c r="D344" s="93" t="str">
        <f t="shared" si="426"/>
        <v/>
      </c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5"/>
      <c r="W344" s="31" t="e">
        <f>INDEX(TBL_TRANSIT[TransitID],$A344)</f>
        <v>#REF!</v>
      </c>
      <c r="X344" s="31" t="e">
        <f>"TransitTariffFixed_"&amp;RIGHT($W344,11)</f>
        <v>#REF!</v>
      </c>
    </row>
    <row r="345" spans="1:24" x14ac:dyDescent="0.25">
      <c r="A345" s="94">
        <f t="shared" si="414"/>
        <v>85</v>
      </c>
      <c r="B345" s="119"/>
      <c r="C345" s="93" t="str">
        <f t="shared" ref="C345:D345" si="427">IF($B342&lt;&gt;"",C341,"")</f>
        <v/>
      </c>
      <c r="D345" s="93" t="str">
        <f t="shared" si="427"/>
        <v/>
      </c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26"/>
      <c r="W345" s="31" t="e">
        <f>INDEX(TBL_TRANSIT[TransitID],$A345)</f>
        <v>#REF!</v>
      </c>
      <c r="X345" s="31" t="e">
        <f>"TransitTariffVar_"&amp;RIGHT($W345,11)</f>
        <v>#REF!</v>
      </c>
    </row>
    <row r="346" spans="1:24" x14ac:dyDescent="0.25">
      <c r="A346" s="94">
        <f t="shared" ref="A346" si="428">$A342+1</f>
        <v>86</v>
      </c>
      <c r="B346" s="117" t="str">
        <f>IFERROR(INDEX(TBL_TRANSIT[Name],$A346),"")</f>
        <v/>
      </c>
      <c r="C346" s="93" t="str">
        <f t="shared" ref="C346:D346" si="429">IF($B346&lt;&gt;"",C342,"")</f>
        <v/>
      </c>
      <c r="D346" s="93" t="str">
        <f t="shared" si="429"/>
        <v/>
      </c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5"/>
      <c r="W346" s="31" t="e">
        <f>INDEX(TBL_TRANSIT[TransitID],$A346)</f>
        <v>#REF!</v>
      </c>
      <c r="X346" s="31" t="e">
        <f>"TransitCapMin_"&amp;RIGHT($W346,11)</f>
        <v>#REF!</v>
      </c>
    </row>
    <row r="347" spans="1:24" x14ac:dyDescent="0.25">
      <c r="A347" s="94">
        <f t="shared" si="414"/>
        <v>86</v>
      </c>
      <c r="B347" s="118"/>
      <c r="C347" s="93" t="str">
        <f t="shared" ref="C347:D347" si="430">IF($B346&lt;&gt;"",C343,"")</f>
        <v/>
      </c>
      <c r="D347" s="93" t="str">
        <f t="shared" si="430"/>
        <v/>
      </c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26"/>
      <c r="W347" s="31" t="e">
        <f>INDEX(TBL_TRANSIT[TransitID],$A347)</f>
        <v>#REF!</v>
      </c>
      <c r="X347" s="31" t="e">
        <f>"TransitCapMax_"&amp;RIGHT($W347,11)</f>
        <v>#REF!</v>
      </c>
    </row>
    <row r="348" spans="1:24" x14ac:dyDescent="0.25">
      <c r="A348" s="94">
        <f t="shared" si="414"/>
        <v>86</v>
      </c>
      <c r="B348" s="118"/>
      <c r="C348" s="93" t="str">
        <f t="shared" ref="C348:D348" si="431">IF($B346&lt;&gt;"",C344,"")</f>
        <v/>
      </c>
      <c r="D348" s="93" t="str">
        <f t="shared" si="431"/>
        <v/>
      </c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5"/>
      <c r="W348" s="31" t="e">
        <f>INDEX(TBL_TRANSIT[TransitID],$A348)</f>
        <v>#REF!</v>
      </c>
      <c r="X348" s="31" t="e">
        <f>"TransitTariffFixed_"&amp;RIGHT($W348,11)</f>
        <v>#REF!</v>
      </c>
    </row>
    <row r="349" spans="1:24" x14ac:dyDescent="0.25">
      <c r="A349" s="94">
        <f t="shared" si="414"/>
        <v>86</v>
      </c>
      <c r="B349" s="119"/>
      <c r="C349" s="93" t="str">
        <f t="shared" ref="C349:D349" si="432">IF($B346&lt;&gt;"",C345,"")</f>
        <v/>
      </c>
      <c r="D349" s="93" t="str">
        <f t="shared" si="432"/>
        <v/>
      </c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26"/>
      <c r="W349" s="31" t="e">
        <f>INDEX(TBL_TRANSIT[TransitID],$A349)</f>
        <v>#REF!</v>
      </c>
      <c r="X349" s="31" t="e">
        <f>"TransitTariffVar_"&amp;RIGHT($W349,11)</f>
        <v>#REF!</v>
      </c>
    </row>
    <row r="350" spans="1:24" x14ac:dyDescent="0.25">
      <c r="A350" s="94">
        <f t="shared" ref="A350" si="433">$A346+1</f>
        <v>87</v>
      </c>
      <c r="B350" s="117" t="str">
        <f>IFERROR(INDEX(TBL_TRANSIT[Name],$A350),"")</f>
        <v/>
      </c>
      <c r="C350" s="93" t="str">
        <f t="shared" ref="C350:D350" si="434">IF($B350&lt;&gt;"",C346,"")</f>
        <v/>
      </c>
      <c r="D350" s="93" t="str">
        <f t="shared" si="434"/>
        <v/>
      </c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5"/>
      <c r="W350" s="31" t="e">
        <f>INDEX(TBL_TRANSIT[TransitID],$A350)</f>
        <v>#REF!</v>
      </c>
      <c r="X350" s="31" t="e">
        <f>"TransitCapMin_"&amp;RIGHT($W350,11)</f>
        <v>#REF!</v>
      </c>
    </row>
    <row r="351" spans="1:24" x14ac:dyDescent="0.25">
      <c r="A351" s="94">
        <f t="shared" si="414"/>
        <v>87</v>
      </c>
      <c r="B351" s="118"/>
      <c r="C351" s="93" t="str">
        <f t="shared" ref="C351:D351" si="435">IF($B350&lt;&gt;"",C347,"")</f>
        <v/>
      </c>
      <c r="D351" s="93" t="str">
        <f t="shared" si="435"/>
        <v/>
      </c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26"/>
      <c r="W351" s="31" t="e">
        <f>INDEX(TBL_TRANSIT[TransitID],$A351)</f>
        <v>#REF!</v>
      </c>
      <c r="X351" s="31" t="e">
        <f>"TransitCapMax_"&amp;RIGHT($W351,11)</f>
        <v>#REF!</v>
      </c>
    </row>
    <row r="352" spans="1:24" x14ac:dyDescent="0.25">
      <c r="A352" s="94">
        <f t="shared" si="414"/>
        <v>87</v>
      </c>
      <c r="B352" s="118"/>
      <c r="C352" s="93" t="str">
        <f t="shared" ref="C352:D352" si="436">IF($B350&lt;&gt;"",C348,"")</f>
        <v/>
      </c>
      <c r="D352" s="93" t="str">
        <f t="shared" si="436"/>
        <v/>
      </c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5"/>
      <c r="W352" s="31" t="e">
        <f>INDEX(TBL_TRANSIT[TransitID],$A352)</f>
        <v>#REF!</v>
      </c>
      <c r="X352" s="31" t="e">
        <f>"TransitTariffFixed_"&amp;RIGHT($W352,11)</f>
        <v>#REF!</v>
      </c>
    </row>
    <row r="353" spans="1:24" x14ac:dyDescent="0.25">
      <c r="A353" s="94">
        <f t="shared" si="414"/>
        <v>87</v>
      </c>
      <c r="B353" s="119"/>
      <c r="C353" s="93" t="str">
        <f t="shared" ref="C353:D353" si="437">IF($B350&lt;&gt;"",C349,"")</f>
        <v/>
      </c>
      <c r="D353" s="93" t="str">
        <f t="shared" si="437"/>
        <v/>
      </c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26"/>
      <c r="W353" s="31" t="e">
        <f>INDEX(TBL_TRANSIT[TransitID],$A353)</f>
        <v>#REF!</v>
      </c>
      <c r="X353" s="31" t="e">
        <f>"TransitTariffVar_"&amp;RIGHT($W353,11)</f>
        <v>#REF!</v>
      </c>
    </row>
    <row r="354" spans="1:24" x14ac:dyDescent="0.25">
      <c r="A354" s="94">
        <f t="shared" ref="A354" si="438">$A350+1</f>
        <v>88</v>
      </c>
      <c r="B354" s="117" t="str">
        <f>IFERROR(INDEX(TBL_TRANSIT[Name],$A354),"")</f>
        <v/>
      </c>
      <c r="C354" s="93" t="str">
        <f t="shared" ref="C354:D354" si="439">IF($B354&lt;&gt;"",C350,"")</f>
        <v/>
      </c>
      <c r="D354" s="93" t="str">
        <f t="shared" si="439"/>
        <v/>
      </c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5"/>
      <c r="W354" s="31" t="e">
        <f>INDEX(TBL_TRANSIT[TransitID],$A354)</f>
        <v>#REF!</v>
      </c>
      <c r="X354" s="31" t="e">
        <f>"TransitCapMin_"&amp;RIGHT($W354,11)</f>
        <v>#REF!</v>
      </c>
    </row>
    <row r="355" spans="1:24" x14ac:dyDescent="0.25">
      <c r="A355" s="94">
        <f t="shared" si="414"/>
        <v>88</v>
      </c>
      <c r="B355" s="118"/>
      <c r="C355" s="93" t="str">
        <f t="shared" ref="C355:D355" si="440">IF($B354&lt;&gt;"",C351,"")</f>
        <v/>
      </c>
      <c r="D355" s="93" t="str">
        <f t="shared" si="440"/>
        <v/>
      </c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26"/>
      <c r="W355" s="31" t="e">
        <f>INDEX(TBL_TRANSIT[TransitID],$A355)</f>
        <v>#REF!</v>
      </c>
      <c r="X355" s="31" t="e">
        <f>"TransitCapMax_"&amp;RIGHT($W355,11)</f>
        <v>#REF!</v>
      </c>
    </row>
    <row r="356" spans="1:24" x14ac:dyDescent="0.25">
      <c r="A356" s="94">
        <f t="shared" si="414"/>
        <v>88</v>
      </c>
      <c r="B356" s="118"/>
      <c r="C356" s="93" t="str">
        <f t="shared" ref="C356:D356" si="441">IF($B354&lt;&gt;"",C352,"")</f>
        <v/>
      </c>
      <c r="D356" s="93" t="str">
        <f t="shared" si="441"/>
        <v/>
      </c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5"/>
      <c r="W356" s="31" t="e">
        <f>INDEX(TBL_TRANSIT[TransitID],$A356)</f>
        <v>#REF!</v>
      </c>
      <c r="X356" s="31" t="e">
        <f>"TransitTariffFixed_"&amp;RIGHT($W356,11)</f>
        <v>#REF!</v>
      </c>
    </row>
    <row r="357" spans="1:24" x14ac:dyDescent="0.25">
      <c r="A357" s="94">
        <f t="shared" si="414"/>
        <v>88</v>
      </c>
      <c r="B357" s="119"/>
      <c r="C357" s="93" t="str">
        <f t="shared" ref="C357:D357" si="442">IF($B354&lt;&gt;"",C353,"")</f>
        <v/>
      </c>
      <c r="D357" s="93" t="str">
        <f t="shared" si="442"/>
        <v/>
      </c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26"/>
      <c r="W357" s="31" t="e">
        <f>INDEX(TBL_TRANSIT[TransitID],$A357)</f>
        <v>#REF!</v>
      </c>
      <c r="X357" s="31" t="e">
        <f>"TransitTariffVar_"&amp;RIGHT($W357,11)</f>
        <v>#REF!</v>
      </c>
    </row>
    <row r="358" spans="1:24" x14ac:dyDescent="0.25">
      <c r="A358" s="94">
        <f t="shared" ref="A358" si="443">$A354+1</f>
        <v>89</v>
      </c>
      <c r="B358" s="117" t="str">
        <f>IFERROR(INDEX(TBL_TRANSIT[Name],$A358),"")</f>
        <v/>
      </c>
      <c r="C358" s="93" t="str">
        <f t="shared" ref="C358:D358" si="444">IF($B358&lt;&gt;"",C354,"")</f>
        <v/>
      </c>
      <c r="D358" s="93" t="str">
        <f t="shared" si="444"/>
        <v/>
      </c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5"/>
      <c r="W358" s="31" t="e">
        <f>INDEX(TBL_TRANSIT[TransitID],$A358)</f>
        <v>#REF!</v>
      </c>
      <c r="X358" s="31" t="e">
        <f>"TransitCapMin_"&amp;RIGHT($W358,11)</f>
        <v>#REF!</v>
      </c>
    </row>
    <row r="359" spans="1:24" x14ac:dyDescent="0.25">
      <c r="A359" s="94">
        <f t="shared" si="414"/>
        <v>89</v>
      </c>
      <c r="B359" s="118"/>
      <c r="C359" s="93" t="str">
        <f t="shared" ref="C359:D359" si="445">IF($B358&lt;&gt;"",C355,"")</f>
        <v/>
      </c>
      <c r="D359" s="93" t="str">
        <f t="shared" si="445"/>
        <v/>
      </c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26"/>
      <c r="W359" s="31" t="e">
        <f>INDEX(TBL_TRANSIT[TransitID],$A359)</f>
        <v>#REF!</v>
      </c>
      <c r="X359" s="31" t="e">
        <f>"TransitCapMax_"&amp;RIGHT($W359,11)</f>
        <v>#REF!</v>
      </c>
    </row>
    <row r="360" spans="1:24" x14ac:dyDescent="0.25">
      <c r="A360" s="94">
        <f t="shared" si="414"/>
        <v>89</v>
      </c>
      <c r="B360" s="118"/>
      <c r="C360" s="93" t="str">
        <f t="shared" ref="C360:D360" si="446">IF($B358&lt;&gt;"",C356,"")</f>
        <v/>
      </c>
      <c r="D360" s="93" t="str">
        <f t="shared" si="446"/>
        <v/>
      </c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5"/>
      <c r="W360" s="31" t="e">
        <f>INDEX(TBL_TRANSIT[TransitID],$A360)</f>
        <v>#REF!</v>
      </c>
      <c r="X360" s="31" t="e">
        <f>"TransitTariffFixed_"&amp;RIGHT($W360,11)</f>
        <v>#REF!</v>
      </c>
    </row>
    <row r="361" spans="1:24" x14ac:dyDescent="0.25">
      <c r="A361" s="94">
        <f t="shared" si="414"/>
        <v>89</v>
      </c>
      <c r="B361" s="119"/>
      <c r="C361" s="93" t="str">
        <f t="shared" ref="C361:D361" si="447">IF($B358&lt;&gt;"",C357,"")</f>
        <v/>
      </c>
      <c r="D361" s="93" t="str">
        <f t="shared" si="447"/>
        <v/>
      </c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26"/>
      <c r="W361" s="31" t="e">
        <f>INDEX(TBL_TRANSIT[TransitID],$A361)</f>
        <v>#REF!</v>
      </c>
      <c r="X361" s="31" t="e">
        <f>"TransitTariffVar_"&amp;RIGHT($W361,11)</f>
        <v>#REF!</v>
      </c>
    </row>
    <row r="362" spans="1:24" x14ac:dyDescent="0.25">
      <c r="A362" s="94">
        <f t="shared" ref="A362" si="448">$A358+1</f>
        <v>90</v>
      </c>
      <c r="B362" s="117" t="str">
        <f>IFERROR(INDEX(TBL_TRANSIT[Name],$A362),"")</f>
        <v/>
      </c>
      <c r="C362" s="93" t="str">
        <f t="shared" ref="C362:D362" si="449">IF($B362&lt;&gt;"",C358,"")</f>
        <v/>
      </c>
      <c r="D362" s="93" t="str">
        <f t="shared" si="449"/>
        <v/>
      </c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5"/>
      <c r="W362" s="31" t="e">
        <f>INDEX(TBL_TRANSIT[TransitID],$A362)</f>
        <v>#REF!</v>
      </c>
      <c r="X362" s="31" t="e">
        <f>"TransitCapMin_"&amp;RIGHT($W362,11)</f>
        <v>#REF!</v>
      </c>
    </row>
    <row r="363" spans="1:24" x14ac:dyDescent="0.25">
      <c r="A363" s="94">
        <f t="shared" si="414"/>
        <v>90</v>
      </c>
      <c r="B363" s="118"/>
      <c r="C363" s="93" t="str">
        <f t="shared" ref="C363:D363" si="450">IF($B362&lt;&gt;"",C359,"")</f>
        <v/>
      </c>
      <c r="D363" s="93" t="str">
        <f t="shared" si="450"/>
        <v/>
      </c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26"/>
      <c r="W363" s="31" t="e">
        <f>INDEX(TBL_TRANSIT[TransitID],$A363)</f>
        <v>#REF!</v>
      </c>
      <c r="X363" s="31" t="e">
        <f>"TransitCapMax_"&amp;RIGHT($W363,11)</f>
        <v>#REF!</v>
      </c>
    </row>
    <row r="364" spans="1:24" x14ac:dyDescent="0.25">
      <c r="A364" s="94">
        <f t="shared" si="414"/>
        <v>90</v>
      </c>
      <c r="B364" s="118"/>
      <c r="C364" s="93" t="str">
        <f t="shared" ref="C364:D364" si="451">IF($B362&lt;&gt;"",C360,"")</f>
        <v/>
      </c>
      <c r="D364" s="93" t="str">
        <f t="shared" si="451"/>
        <v/>
      </c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5"/>
      <c r="W364" s="31" t="e">
        <f>INDEX(TBL_TRANSIT[TransitID],$A364)</f>
        <v>#REF!</v>
      </c>
      <c r="X364" s="31" t="e">
        <f>"TransitTariffFixed_"&amp;RIGHT($W364,11)</f>
        <v>#REF!</v>
      </c>
    </row>
    <row r="365" spans="1:24" x14ac:dyDescent="0.25">
      <c r="A365" s="94">
        <f t="shared" si="414"/>
        <v>90</v>
      </c>
      <c r="B365" s="119"/>
      <c r="C365" s="93" t="str">
        <f t="shared" ref="C365:D365" si="452">IF($B362&lt;&gt;"",C361,"")</f>
        <v/>
      </c>
      <c r="D365" s="93" t="str">
        <f t="shared" si="452"/>
        <v/>
      </c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26"/>
      <c r="W365" s="31" t="e">
        <f>INDEX(TBL_TRANSIT[TransitID],$A365)</f>
        <v>#REF!</v>
      </c>
      <c r="X365" s="31" t="e">
        <f>"TransitTariffVar_"&amp;RIGHT($W365,11)</f>
        <v>#REF!</v>
      </c>
    </row>
    <row r="366" spans="1:24" x14ac:dyDescent="0.25">
      <c r="A366" s="94">
        <f t="shared" ref="A366" si="453">$A362+1</f>
        <v>91</v>
      </c>
      <c r="B366" s="117" t="str">
        <f>IFERROR(INDEX(TBL_TRANSIT[Name],$A366),"")</f>
        <v/>
      </c>
      <c r="C366" s="93" t="str">
        <f t="shared" ref="C366:D366" si="454">IF($B366&lt;&gt;"",C362,"")</f>
        <v/>
      </c>
      <c r="D366" s="93" t="str">
        <f t="shared" si="454"/>
        <v/>
      </c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5"/>
      <c r="W366" s="31" t="e">
        <f>INDEX(TBL_TRANSIT[TransitID],$A366)</f>
        <v>#REF!</v>
      </c>
      <c r="X366" s="31" t="e">
        <f>"TransitCapMin_"&amp;RIGHT($W366,11)</f>
        <v>#REF!</v>
      </c>
    </row>
    <row r="367" spans="1:24" x14ac:dyDescent="0.25">
      <c r="A367" s="94">
        <f t="shared" si="414"/>
        <v>91</v>
      </c>
      <c r="B367" s="118"/>
      <c r="C367" s="93" t="str">
        <f t="shared" ref="C367:D367" si="455">IF($B366&lt;&gt;"",C363,"")</f>
        <v/>
      </c>
      <c r="D367" s="93" t="str">
        <f t="shared" si="455"/>
        <v/>
      </c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26"/>
      <c r="W367" s="31" t="e">
        <f>INDEX(TBL_TRANSIT[TransitID],$A367)</f>
        <v>#REF!</v>
      </c>
      <c r="X367" s="31" t="e">
        <f>"TransitCapMax_"&amp;RIGHT($W367,11)</f>
        <v>#REF!</v>
      </c>
    </row>
    <row r="368" spans="1:24" x14ac:dyDescent="0.25">
      <c r="A368" s="94">
        <f t="shared" si="414"/>
        <v>91</v>
      </c>
      <c r="B368" s="118"/>
      <c r="C368" s="93" t="str">
        <f t="shared" ref="C368:D368" si="456">IF($B366&lt;&gt;"",C364,"")</f>
        <v/>
      </c>
      <c r="D368" s="93" t="str">
        <f t="shared" si="456"/>
        <v/>
      </c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5"/>
      <c r="W368" s="31" t="e">
        <f>INDEX(TBL_TRANSIT[TransitID],$A368)</f>
        <v>#REF!</v>
      </c>
      <c r="X368" s="31" t="e">
        <f>"TransitTariffFixed_"&amp;RIGHT($W368,11)</f>
        <v>#REF!</v>
      </c>
    </row>
    <row r="369" spans="1:24" x14ac:dyDescent="0.25">
      <c r="A369" s="94">
        <f t="shared" si="414"/>
        <v>91</v>
      </c>
      <c r="B369" s="119"/>
      <c r="C369" s="93" t="str">
        <f t="shared" ref="C369:D369" si="457">IF($B366&lt;&gt;"",C365,"")</f>
        <v/>
      </c>
      <c r="D369" s="93" t="str">
        <f t="shared" si="457"/>
        <v/>
      </c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26"/>
      <c r="W369" s="31" t="e">
        <f>INDEX(TBL_TRANSIT[TransitID],$A369)</f>
        <v>#REF!</v>
      </c>
      <c r="X369" s="31" t="e">
        <f>"TransitTariffVar_"&amp;RIGHT($W369,11)</f>
        <v>#REF!</v>
      </c>
    </row>
    <row r="370" spans="1:24" x14ac:dyDescent="0.25">
      <c r="A370" s="94">
        <f t="shared" ref="A370" si="458">$A366+1</f>
        <v>92</v>
      </c>
      <c r="B370" s="117" t="str">
        <f>IFERROR(INDEX(TBL_TRANSIT[Name],$A370),"")</f>
        <v/>
      </c>
      <c r="C370" s="93" t="str">
        <f t="shared" ref="C370:D370" si="459">IF($B370&lt;&gt;"",C366,"")</f>
        <v/>
      </c>
      <c r="D370" s="93" t="str">
        <f t="shared" si="459"/>
        <v/>
      </c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5"/>
      <c r="W370" s="31" t="e">
        <f>INDEX(TBL_TRANSIT[TransitID],$A370)</f>
        <v>#REF!</v>
      </c>
      <c r="X370" s="31" t="e">
        <f>"TransitCapMin_"&amp;RIGHT($W370,11)</f>
        <v>#REF!</v>
      </c>
    </row>
    <row r="371" spans="1:24" x14ac:dyDescent="0.25">
      <c r="A371" s="94">
        <f t="shared" si="414"/>
        <v>92</v>
      </c>
      <c r="B371" s="118"/>
      <c r="C371" s="93" t="str">
        <f t="shared" ref="C371:D371" si="460">IF($B370&lt;&gt;"",C367,"")</f>
        <v/>
      </c>
      <c r="D371" s="93" t="str">
        <f t="shared" si="460"/>
        <v/>
      </c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26"/>
      <c r="W371" s="31" t="e">
        <f>INDEX(TBL_TRANSIT[TransitID],$A371)</f>
        <v>#REF!</v>
      </c>
      <c r="X371" s="31" t="e">
        <f>"TransitCapMax_"&amp;RIGHT($W371,11)</f>
        <v>#REF!</v>
      </c>
    </row>
    <row r="372" spans="1:24" x14ac:dyDescent="0.25">
      <c r="A372" s="94">
        <f t="shared" si="414"/>
        <v>92</v>
      </c>
      <c r="B372" s="118"/>
      <c r="C372" s="93" t="str">
        <f t="shared" ref="C372:D372" si="461">IF($B370&lt;&gt;"",C368,"")</f>
        <v/>
      </c>
      <c r="D372" s="93" t="str">
        <f t="shared" si="461"/>
        <v/>
      </c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5"/>
      <c r="W372" s="31" t="e">
        <f>INDEX(TBL_TRANSIT[TransitID],$A372)</f>
        <v>#REF!</v>
      </c>
      <c r="X372" s="31" t="e">
        <f>"TransitTariffFixed_"&amp;RIGHT($W372,11)</f>
        <v>#REF!</v>
      </c>
    </row>
    <row r="373" spans="1:24" x14ac:dyDescent="0.25">
      <c r="A373" s="94">
        <f t="shared" si="414"/>
        <v>92</v>
      </c>
      <c r="B373" s="119"/>
      <c r="C373" s="93" t="str">
        <f t="shared" ref="C373:D373" si="462">IF($B370&lt;&gt;"",C369,"")</f>
        <v/>
      </c>
      <c r="D373" s="93" t="str">
        <f t="shared" si="462"/>
        <v/>
      </c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26"/>
      <c r="W373" s="31" t="e">
        <f>INDEX(TBL_TRANSIT[TransitID],$A373)</f>
        <v>#REF!</v>
      </c>
      <c r="X373" s="31" t="e">
        <f>"TransitTariffVar_"&amp;RIGHT($W373,11)</f>
        <v>#REF!</v>
      </c>
    </row>
    <row r="374" spans="1:24" x14ac:dyDescent="0.25">
      <c r="A374" s="94">
        <f t="shared" ref="A374" si="463">$A370+1</f>
        <v>93</v>
      </c>
      <c r="B374" s="117" t="str">
        <f>IFERROR(INDEX(TBL_TRANSIT[Name],$A374),"")</f>
        <v/>
      </c>
      <c r="C374" s="93" t="str">
        <f t="shared" ref="C374:D374" si="464">IF($B374&lt;&gt;"",C370,"")</f>
        <v/>
      </c>
      <c r="D374" s="93" t="str">
        <f t="shared" si="464"/>
        <v/>
      </c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5"/>
      <c r="W374" s="31" t="e">
        <f>INDEX(TBL_TRANSIT[TransitID],$A374)</f>
        <v>#REF!</v>
      </c>
      <c r="X374" s="31" t="e">
        <f>"TransitCapMin_"&amp;RIGHT($W374,11)</f>
        <v>#REF!</v>
      </c>
    </row>
    <row r="375" spans="1:24" x14ac:dyDescent="0.25">
      <c r="A375" s="94">
        <f t="shared" si="414"/>
        <v>93</v>
      </c>
      <c r="B375" s="118"/>
      <c r="C375" s="93" t="str">
        <f t="shared" ref="C375:D375" si="465">IF($B374&lt;&gt;"",C371,"")</f>
        <v/>
      </c>
      <c r="D375" s="93" t="str">
        <f t="shared" si="465"/>
        <v/>
      </c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26"/>
      <c r="W375" s="31" t="e">
        <f>INDEX(TBL_TRANSIT[TransitID],$A375)</f>
        <v>#REF!</v>
      </c>
      <c r="X375" s="31" t="e">
        <f>"TransitCapMax_"&amp;RIGHT($W375,11)</f>
        <v>#REF!</v>
      </c>
    </row>
    <row r="376" spans="1:24" x14ac:dyDescent="0.25">
      <c r="A376" s="94">
        <f t="shared" si="414"/>
        <v>93</v>
      </c>
      <c r="B376" s="118"/>
      <c r="C376" s="93" t="str">
        <f t="shared" ref="C376:D376" si="466">IF($B374&lt;&gt;"",C372,"")</f>
        <v/>
      </c>
      <c r="D376" s="93" t="str">
        <f t="shared" si="466"/>
        <v/>
      </c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5"/>
      <c r="W376" s="31" t="e">
        <f>INDEX(TBL_TRANSIT[TransitID],$A376)</f>
        <v>#REF!</v>
      </c>
      <c r="X376" s="31" t="e">
        <f>"TransitTariffFixed_"&amp;RIGHT($W376,11)</f>
        <v>#REF!</v>
      </c>
    </row>
    <row r="377" spans="1:24" x14ac:dyDescent="0.25">
      <c r="A377" s="94">
        <f t="shared" si="414"/>
        <v>93</v>
      </c>
      <c r="B377" s="119"/>
      <c r="C377" s="93" t="str">
        <f t="shared" ref="C377:D377" si="467">IF($B374&lt;&gt;"",C373,"")</f>
        <v/>
      </c>
      <c r="D377" s="93" t="str">
        <f t="shared" si="467"/>
        <v/>
      </c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26"/>
      <c r="W377" s="31" t="e">
        <f>INDEX(TBL_TRANSIT[TransitID],$A377)</f>
        <v>#REF!</v>
      </c>
      <c r="X377" s="31" t="e">
        <f>"TransitTariffVar_"&amp;RIGHT($W377,11)</f>
        <v>#REF!</v>
      </c>
    </row>
    <row r="378" spans="1:24" x14ac:dyDescent="0.25">
      <c r="A378" s="94">
        <f t="shared" ref="A378" si="468">$A374+1</f>
        <v>94</v>
      </c>
      <c r="B378" s="117" t="str">
        <f>IFERROR(INDEX(TBL_TRANSIT[Name],$A378),"")</f>
        <v/>
      </c>
      <c r="C378" s="93" t="str">
        <f t="shared" ref="C378:D378" si="469">IF($B378&lt;&gt;"",C374,"")</f>
        <v/>
      </c>
      <c r="D378" s="93" t="str">
        <f t="shared" si="469"/>
        <v/>
      </c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5"/>
      <c r="W378" s="31" t="e">
        <f>INDEX(TBL_TRANSIT[TransitID],$A378)</f>
        <v>#REF!</v>
      </c>
      <c r="X378" s="31" t="e">
        <f>"TransitCapMin_"&amp;RIGHT($W378,11)</f>
        <v>#REF!</v>
      </c>
    </row>
    <row r="379" spans="1:24" x14ac:dyDescent="0.25">
      <c r="A379" s="94">
        <f t="shared" si="414"/>
        <v>94</v>
      </c>
      <c r="B379" s="118"/>
      <c r="C379" s="93" t="str">
        <f t="shared" ref="C379:D379" si="470">IF($B378&lt;&gt;"",C375,"")</f>
        <v/>
      </c>
      <c r="D379" s="93" t="str">
        <f t="shared" si="470"/>
        <v/>
      </c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26"/>
      <c r="W379" s="31" t="e">
        <f>INDEX(TBL_TRANSIT[TransitID],$A379)</f>
        <v>#REF!</v>
      </c>
      <c r="X379" s="31" t="e">
        <f>"TransitCapMax_"&amp;RIGHT($W379,11)</f>
        <v>#REF!</v>
      </c>
    </row>
    <row r="380" spans="1:24" x14ac:dyDescent="0.25">
      <c r="A380" s="94">
        <f t="shared" si="414"/>
        <v>94</v>
      </c>
      <c r="B380" s="118"/>
      <c r="C380" s="93" t="str">
        <f t="shared" ref="C380:D380" si="471">IF($B378&lt;&gt;"",C376,"")</f>
        <v/>
      </c>
      <c r="D380" s="93" t="str">
        <f t="shared" si="471"/>
        <v/>
      </c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5"/>
      <c r="W380" s="31" t="e">
        <f>INDEX(TBL_TRANSIT[TransitID],$A380)</f>
        <v>#REF!</v>
      </c>
      <c r="X380" s="31" t="e">
        <f>"TransitTariffFixed_"&amp;RIGHT($W380,11)</f>
        <v>#REF!</v>
      </c>
    </row>
    <row r="381" spans="1:24" x14ac:dyDescent="0.25">
      <c r="A381" s="94">
        <f t="shared" si="414"/>
        <v>94</v>
      </c>
      <c r="B381" s="119"/>
      <c r="C381" s="93" t="str">
        <f t="shared" ref="C381:D381" si="472">IF($B378&lt;&gt;"",C377,"")</f>
        <v/>
      </c>
      <c r="D381" s="93" t="str">
        <f t="shared" si="472"/>
        <v/>
      </c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26"/>
      <c r="W381" s="31" t="e">
        <f>INDEX(TBL_TRANSIT[TransitID],$A381)</f>
        <v>#REF!</v>
      </c>
      <c r="X381" s="31" t="e">
        <f>"TransitTariffVar_"&amp;RIGHT($W381,11)</f>
        <v>#REF!</v>
      </c>
    </row>
    <row r="382" spans="1:24" x14ac:dyDescent="0.25">
      <c r="A382" s="94">
        <f t="shared" ref="A382" si="473">$A378+1</f>
        <v>95</v>
      </c>
      <c r="B382" s="117" t="str">
        <f>IFERROR(INDEX(TBL_TRANSIT[Name],$A382),"")</f>
        <v/>
      </c>
      <c r="C382" s="93" t="str">
        <f t="shared" ref="C382:D382" si="474">IF($B382&lt;&gt;"",C378,"")</f>
        <v/>
      </c>
      <c r="D382" s="93" t="str">
        <f t="shared" si="474"/>
        <v/>
      </c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5"/>
      <c r="W382" s="31" t="e">
        <f>INDEX(TBL_TRANSIT[TransitID],$A382)</f>
        <v>#REF!</v>
      </c>
      <c r="X382" s="31" t="e">
        <f>"TransitCapMin_"&amp;RIGHT($W382,11)</f>
        <v>#REF!</v>
      </c>
    </row>
    <row r="383" spans="1:24" x14ac:dyDescent="0.25">
      <c r="A383" s="94">
        <f t="shared" si="414"/>
        <v>95</v>
      </c>
      <c r="B383" s="118"/>
      <c r="C383" s="93" t="str">
        <f t="shared" ref="C383:D383" si="475">IF($B382&lt;&gt;"",C379,"")</f>
        <v/>
      </c>
      <c r="D383" s="93" t="str">
        <f t="shared" si="475"/>
        <v/>
      </c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26"/>
      <c r="W383" s="31" t="e">
        <f>INDEX(TBL_TRANSIT[TransitID],$A383)</f>
        <v>#REF!</v>
      </c>
      <c r="X383" s="31" t="e">
        <f>"TransitCapMax_"&amp;RIGHT($W383,11)</f>
        <v>#REF!</v>
      </c>
    </row>
    <row r="384" spans="1:24" x14ac:dyDescent="0.25">
      <c r="A384" s="94">
        <f t="shared" si="414"/>
        <v>95</v>
      </c>
      <c r="B384" s="118"/>
      <c r="C384" s="93" t="str">
        <f t="shared" ref="C384:D384" si="476">IF($B382&lt;&gt;"",C380,"")</f>
        <v/>
      </c>
      <c r="D384" s="93" t="str">
        <f t="shared" si="476"/>
        <v/>
      </c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5"/>
      <c r="W384" s="31" t="e">
        <f>INDEX(TBL_TRANSIT[TransitID],$A384)</f>
        <v>#REF!</v>
      </c>
      <c r="X384" s="31" t="e">
        <f>"TransitTariffFixed_"&amp;RIGHT($W384,11)</f>
        <v>#REF!</v>
      </c>
    </row>
    <row r="385" spans="1:24" x14ac:dyDescent="0.25">
      <c r="A385" s="94">
        <f t="shared" si="414"/>
        <v>95</v>
      </c>
      <c r="B385" s="119"/>
      <c r="C385" s="93" t="str">
        <f t="shared" ref="C385:D385" si="477">IF($B382&lt;&gt;"",C381,"")</f>
        <v/>
      </c>
      <c r="D385" s="93" t="str">
        <f t="shared" si="477"/>
        <v/>
      </c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26"/>
      <c r="W385" s="31" t="e">
        <f>INDEX(TBL_TRANSIT[TransitID],$A385)</f>
        <v>#REF!</v>
      </c>
      <c r="X385" s="31" t="e">
        <f>"TransitTariffVar_"&amp;RIGHT($W385,11)</f>
        <v>#REF!</v>
      </c>
    </row>
    <row r="386" spans="1:24" x14ac:dyDescent="0.25">
      <c r="A386" s="94">
        <f t="shared" ref="A386" si="478">$A382+1</f>
        <v>96</v>
      </c>
      <c r="B386" s="117" t="str">
        <f>IFERROR(INDEX(TBL_TRANSIT[Name],$A386),"")</f>
        <v/>
      </c>
      <c r="C386" s="93" t="str">
        <f t="shared" ref="C386:D386" si="479">IF($B386&lt;&gt;"",C382,"")</f>
        <v/>
      </c>
      <c r="D386" s="93" t="str">
        <f t="shared" si="479"/>
        <v/>
      </c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5"/>
      <c r="W386" s="31" t="e">
        <f>INDEX(TBL_TRANSIT[TransitID],$A386)</f>
        <v>#REF!</v>
      </c>
      <c r="X386" s="31" t="e">
        <f>"TransitCapMin_"&amp;RIGHT($W386,11)</f>
        <v>#REF!</v>
      </c>
    </row>
    <row r="387" spans="1:24" x14ac:dyDescent="0.25">
      <c r="A387" s="94">
        <f t="shared" si="414"/>
        <v>96</v>
      </c>
      <c r="B387" s="118"/>
      <c r="C387" s="93" t="str">
        <f t="shared" ref="C387:D387" si="480">IF($B386&lt;&gt;"",C383,"")</f>
        <v/>
      </c>
      <c r="D387" s="93" t="str">
        <f t="shared" si="480"/>
        <v/>
      </c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26"/>
      <c r="W387" s="31" t="e">
        <f>INDEX(TBL_TRANSIT[TransitID],$A387)</f>
        <v>#REF!</v>
      </c>
      <c r="X387" s="31" t="e">
        <f>"TransitCapMax_"&amp;RIGHT($W387,11)</f>
        <v>#REF!</v>
      </c>
    </row>
    <row r="388" spans="1:24" x14ac:dyDescent="0.25">
      <c r="A388" s="94">
        <f t="shared" si="414"/>
        <v>96</v>
      </c>
      <c r="B388" s="118"/>
      <c r="C388" s="93" t="str">
        <f t="shared" ref="C388:D388" si="481">IF($B386&lt;&gt;"",C384,"")</f>
        <v/>
      </c>
      <c r="D388" s="93" t="str">
        <f t="shared" si="481"/>
        <v/>
      </c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5"/>
      <c r="W388" s="31" t="e">
        <f>INDEX(TBL_TRANSIT[TransitID],$A388)</f>
        <v>#REF!</v>
      </c>
      <c r="X388" s="31" t="e">
        <f>"TransitTariffFixed_"&amp;RIGHT($W388,11)</f>
        <v>#REF!</v>
      </c>
    </row>
    <row r="389" spans="1:24" x14ac:dyDescent="0.25">
      <c r="A389" s="94">
        <f t="shared" si="414"/>
        <v>96</v>
      </c>
      <c r="B389" s="119"/>
      <c r="C389" s="93" t="str">
        <f t="shared" ref="C389:D389" si="482">IF($B386&lt;&gt;"",C385,"")</f>
        <v/>
      </c>
      <c r="D389" s="93" t="str">
        <f t="shared" si="482"/>
        <v/>
      </c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26"/>
      <c r="W389" s="31" t="e">
        <f>INDEX(TBL_TRANSIT[TransitID],$A389)</f>
        <v>#REF!</v>
      </c>
      <c r="X389" s="31" t="e">
        <f>"TransitTariffVar_"&amp;RIGHT($W389,11)</f>
        <v>#REF!</v>
      </c>
    </row>
    <row r="390" spans="1:24" x14ac:dyDescent="0.25">
      <c r="A390" s="94">
        <f t="shared" ref="A390" si="483">$A386+1</f>
        <v>97</v>
      </c>
      <c r="B390" s="117" t="str">
        <f>IFERROR(INDEX(TBL_TRANSIT[Name],$A390),"")</f>
        <v/>
      </c>
      <c r="C390" s="93" t="str">
        <f t="shared" ref="C390:D390" si="484">IF($B390&lt;&gt;"",C386,"")</f>
        <v/>
      </c>
      <c r="D390" s="93" t="str">
        <f t="shared" si="484"/>
        <v/>
      </c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5"/>
      <c r="W390" s="31" t="e">
        <f>INDEX(TBL_TRANSIT[TransitID],$A390)</f>
        <v>#REF!</v>
      </c>
      <c r="X390" s="31" t="e">
        <f>"TransitCapMin_"&amp;RIGHT($W390,11)</f>
        <v>#REF!</v>
      </c>
    </row>
    <row r="391" spans="1:24" x14ac:dyDescent="0.25">
      <c r="A391" s="94">
        <f t="shared" ref="A391:A445" si="485">$A390</f>
        <v>97</v>
      </c>
      <c r="B391" s="118"/>
      <c r="C391" s="93" t="str">
        <f t="shared" ref="C391:D391" si="486">IF($B390&lt;&gt;"",C387,"")</f>
        <v/>
      </c>
      <c r="D391" s="93" t="str">
        <f t="shared" si="486"/>
        <v/>
      </c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26"/>
      <c r="W391" s="31" t="e">
        <f>INDEX(TBL_TRANSIT[TransitID],$A391)</f>
        <v>#REF!</v>
      </c>
      <c r="X391" s="31" t="e">
        <f>"TransitCapMax_"&amp;RIGHT($W391,11)</f>
        <v>#REF!</v>
      </c>
    </row>
    <row r="392" spans="1:24" x14ac:dyDescent="0.25">
      <c r="A392" s="94">
        <f t="shared" si="485"/>
        <v>97</v>
      </c>
      <c r="B392" s="118"/>
      <c r="C392" s="93" t="str">
        <f t="shared" ref="C392:D392" si="487">IF($B390&lt;&gt;"",C388,"")</f>
        <v/>
      </c>
      <c r="D392" s="93" t="str">
        <f t="shared" si="487"/>
        <v/>
      </c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5"/>
      <c r="W392" s="31" t="e">
        <f>INDEX(TBL_TRANSIT[TransitID],$A392)</f>
        <v>#REF!</v>
      </c>
      <c r="X392" s="31" t="e">
        <f>"TransitTariffFixed_"&amp;RIGHT($W392,11)</f>
        <v>#REF!</v>
      </c>
    </row>
    <row r="393" spans="1:24" x14ac:dyDescent="0.25">
      <c r="A393" s="94">
        <f t="shared" si="485"/>
        <v>97</v>
      </c>
      <c r="B393" s="119"/>
      <c r="C393" s="93" t="str">
        <f t="shared" ref="C393:D393" si="488">IF($B390&lt;&gt;"",C389,"")</f>
        <v/>
      </c>
      <c r="D393" s="93" t="str">
        <f t="shared" si="488"/>
        <v/>
      </c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26"/>
      <c r="W393" s="31" t="e">
        <f>INDEX(TBL_TRANSIT[TransitID],$A393)</f>
        <v>#REF!</v>
      </c>
      <c r="X393" s="31" t="e">
        <f>"TransitTariffVar_"&amp;RIGHT($W393,11)</f>
        <v>#REF!</v>
      </c>
    </row>
    <row r="394" spans="1:24" x14ac:dyDescent="0.25">
      <c r="A394" s="94">
        <f t="shared" ref="A394" si="489">$A390+1</f>
        <v>98</v>
      </c>
      <c r="B394" s="117" t="str">
        <f>IFERROR(INDEX(TBL_TRANSIT[Name],$A394),"")</f>
        <v/>
      </c>
      <c r="C394" s="93" t="str">
        <f t="shared" ref="C394:D394" si="490">IF($B394&lt;&gt;"",C390,"")</f>
        <v/>
      </c>
      <c r="D394" s="93" t="str">
        <f t="shared" si="490"/>
        <v/>
      </c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5"/>
      <c r="W394" s="31" t="e">
        <f>INDEX(TBL_TRANSIT[TransitID],$A394)</f>
        <v>#REF!</v>
      </c>
      <c r="X394" s="31" t="e">
        <f>"TransitCapMin_"&amp;RIGHT($W394,11)</f>
        <v>#REF!</v>
      </c>
    </row>
    <row r="395" spans="1:24" x14ac:dyDescent="0.25">
      <c r="A395" s="94">
        <f t="shared" si="485"/>
        <v>98</v>
      </c>
      <c r="B395" s="118"/>
      <c r="C395" s="93" t="str">
        <f t="shared" ref="C395:D395" si="491">IF($B394&lt;&gt;"",C391,"")</f>
        <v/>
      </c>
      <c r="D395" s="93" t="str">
        <f t="shared" si="491"/>
        <v/>
      </c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26"/>
      <c r="W395" s="31" t="e">
        <f>INDEX(TBL_TRANSIT[TransitID],$A395)</f>
        <v>#REF!</v>
      </c>
      <c r="X395" s="31" t="e">
        <f>"TransitCapMax_"&amp;RIGHT($W395,11)</f>
        <v>#REF!</v>
      </c>
    </row>
    <row r="396" spans="1:24" x14ac:dyDescent="0.25">
      <c r="A396" s="94">
        <f t="shared" si="485"/>
        <v>98</v>
      </c>
      <c r="B396" s="118"/>
      <c r="C396" s="93" t="str">
        <f t="shared" ref="C396:D396" si="492">IF($B394&lt;&gt;"",C392,"")</f>
        <v/>
      </c>
      <c r="D396" s="93" t="str">
        <f t="shared" si="492"/>
        <v/>
      </c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5"/>
      <c r="W396" s="31" t="e">
        <f>INDEX(TBL_TRANSIT[TransitID],$A396)</f>
        <v>#REF!</v>
      </c>
      <c r="X396" s="31" t="e">
        <f>"TransitTariffFixed_"&amp;RIGHT($W396,11)</f>
        <v>#REF!</v>
      </c>
    </row>
    <row r="397" spans="1:24" x14ac:dyDescent="0.25">
      <c r="A397" s="94">
        <f t="shared" si="485"/>
        <v>98</v>
      </c>
      <c r="B397" s="119"/>
      <c r="C397" s="93" t="str">
        <f t="shared" ref="C397:D397" si="493">IF($B394&lt;&gt;"",C393,"")</f>
        <v/>
      </c>
      <c r="D397" s="93" t="str">
        <f t="shared" si="493"/>
        <v/>
      </c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26"/>
      <c r="W397" s="31" t="e">
        <f>INDEX(TBL_TRANSIT[TransitID],$A397)</f>
        <v>#REF!</v>
      </c>
      <c r="X397" s="31" t="e">
        <f>"TransitTariffVar_"&amp;RIGHT($W397,11)</f>
        <v>#REF!</v>
      </c>
    </row>
    <row r="398" spans="1:24" x14ac:dyDescent="0.25">
      <c r="A398" s="94">
        <f t="shared" ref="A398" si="494">$A394+1</f>
        <v>99</v>
      </c>
      <c r="B398" s="117" t="str">
        <f>IFERROR(INDEX(TBL_TRANSIT[Name],$A398),"")</f>
        <v/>
      </c>
      <c r="C398" s="93" t="str">
        <f t="shared" ref="C398:D398" si="495">IF($B398&lt;&gt;"",C394,"")</f>
        <v/>
      </c>
      <c r="D398" s="93" t="str">
        <f t="shared" si="495"/>
        <v/>
      </c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5"/>
      <c r="W398" s="31" t="e">
        <f>INDEX(TBL_TRANSIT[TransitID],$A398)</f>
        <v>#REF!</v>
      </c>
      <c r="X398" s="31" t="e">
        <f>"TransitCapMin_"&amp;RIGHT($W398,11)</f>
        <v>#REF!</v>
      </c>
    </row>
    <row r="399" spans="1:24" x14ac:dyDescent="0.25">
      <c r="A399" s="94">
        <f t="shared" si="485"/>
        <v>99</v>
      </c>
      <c r="B399" s="118"/>
      <c r="C399" s="93" t="str">
        <f t="shared" ref="C399:D399" si="496">IF($B398&lt;&gt;"",C395,"")</f>
        <v/>
      </c>
      <c r="D399" s="93" t="str">
        <f t="shared" si="496"/>
        <v/>
      </c>
      <c r="E399" s="32"/>
      <c r="F399" s="32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26"/>
      <c r="W399" s="31" t="e">
        <f>INDEX(TBL_TRANSIT[TransitID],$A399)</f>
        <v>#REF!</v>
      </c>
      <c r="X399" s="31" t="e">
        <f>"TransitCapMax_"&amp;RIGHT($W399,11)</f>
        <v>#REF!</v>
      </c>
    </row>
    <row r="400" spans="1:24" x14ac:dyDescent="0.25">
      <c r="A400" s="94">
        <f t="shared" si="485"/>
        <v>99</v>
      </c>
      <c r="B400" s="118"/>
      <c r="C400" s="93" t="str">
        <f t="shared" ref="C400:D400" si="497">IF($B398&lt;&gt;"",C396,"")</f>
        <v/>
      </c>
      <c r="D400" s="93" t="str">
        <f t="shared" si="497"/>
        <v/>
      </c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5"/>
      <c r="W400" s="31" t="e">
        <f>INDEX(TBL_TRANSIT[TransitID],$A400)</f>
        <v>#REF!</v>
      </c>
      <c r="X400" s="31" t="e">
        <f>"TransitTariffFixed_"&amp;RIGHT($W400,11)</f>
        <v>#REF!</v>
      </c>
    </row>
    <row r="401" spans="1:24" x14ac:dyDescent="0.25">
      <c r="A401" s="94">
        <f t="shared" si="485"/>
        <v>99</v>
      </c>
      <c r="B401" s="119"/>
      <c r="C401" s="93" t="str">
        <f t="shared" ref="C401:D401" si="498">IF($B398&lt;&gt;"",C397,"")</f>
        <v/>
      </c>
      <c r="D401" s="93" t="str">
        <f t="shared" si="498"/>
        <v/>
      </c>
      <c r="E401" s="32"/>
      <c r="F401" s="32"/>
      <c r="G401" s="32"/>
      <c r="H401" s="32"/>
      <c r="I401" s="32"/>
      <c r="J401" s="32"/>
      <c r="K401" s="32"/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26"/>
      <c r="W401" s="31" t="e">
        <f>INDEX(TBL_TRANSIT[TransitID],$A401)</f>
        <v>#REF!</v>
      </c>
      <c r="X401" s="31" t="e">
        <f>"TransitTariffVar_"&amp;RIGHT($W401,11)</f>
        <v>#REF!</v>
      </c>
    </row>
    <row r="402" spans="1:24" x14ac:dyDescent="0.25">
      <c r="A402" s="94">
        <f t="shared" ref="A402" si="499">$A398+1</f>
        <v>100</v>
      </c>
      <c r="B402" s="117" t="str">
        <f>IFERROR(INDEX(TBL_TRANSIT[Name],$A402),"")</f>
        <v/>
      </c>
      <c r="C402" s="93" t="str">
        <f t="shared" ref="C402:D402" si="500">IF($B402&lt;&gt;"",C398,"")</f>
        <v/>
      </c>
      <c r="D402" s="93" t="str">
        <f t="shared" si="500"/>
        <v/>
      </c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5"/>
      <c r="W402" s="31" t="e">
        <f>INDEX(TBL_TRANSIT[TransitID],$A402)</f>
        <v>#REF!</v>
      </c>
      <c r="X402" s="31" t="e">
        <f>"TransitCapMin_"&amp;RIGHT($W402,11)</f>
        <v>#REF!</v>
      </c>
    </row>
    <row r="403" spans="1:24" x14ac:dyDescent="0.25">
      <c r="A403" s="94">
        <f t="shared" si="485"/>
        <v>100</v>
      </c>
      <c r="B403" s="118"/>
      <c r="C403" s="93" t="str">
        <f t="shared" ref="C403:D403" si="501">IF($B402&lt;&gt;"",C399,"")</f>
        <v/>
      </c>
      <c r="D403" s="93" t="str">
        <f t="shared" si="501"/>
        <v/>
      </c>
      <c r="E403" s="32"/>
      <c r="F403" s="32"/>
      <c r="G403" s="32"/>
      <c r="H403" s="32"/>
      <c r="I403" s="32"/>
      <c r="J403" s="32"/>
      <c r="K403" s="32"/>
      <c r="L403" s="32"/>
      <c r="M403" s="32"/>
      <c r="N403" s="32"/>
      <c r="O403" s="32"/>
      <c r="P403" s="32"/>
      <c r="Q403" s="32"/>
      <c r="R403" s="32"/>
      <c r="S403" s="32"/>
      <c r="T403" s="32"/>
      <c r="U403" s="32"/>
      <c r="V403" s="26"/>
      <c r="W403" s="31" t="e">
        <f>INDEX(TBL_TRANSIT[TransitID],$A403)</f>
        <v>#REF!</v>
      </c>
      <c r="X403" s="31" t="e">
        <f>"TransitCapMax_"&amp;RIGHT($W403,11)</f>
        <v>#REF!</v>
      </c>
    </row>
    <row r="404" spans="1:24" x14ac:dyDescent="0.25">
      <c r="A404" s="94">
        <f t="shared" si="485"/>
        <v>100</v>
      </c>
      <c r="B404" s="118"/>
      <c r="C404" s="93" t="str">
        <f t="shared" ref="C404:D404" si="502">IF($B402&lt;&gt;"",C400,"")</f>
        <v/>
      </c>
      <c r="D404" s="93" t="str">
        <f t="shared" si="502"/>
        <v/>
      </c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5"/>
      <c r="W404" s="31" t="e">
        <f>INDEX(TBL_TRANSIT[TransitID],$A404)</f>
        <v>#REF!</v>
      </c>
      <c r="X404" s="31" t="e">
        <f>"TransitTariffFixed_"&amp;RIGHT($W404,11)</f>
        <v>#REF!</v>
      </c>
    </row>
    <row r="405" spans="1:24" x14ac:dyDescent="0.25">
      <c r="A405" s="94">
        <f t="shared" si="485"/>
        <v>100</v>
      </c>
      <c r="B405" s="119"/>
      <c r="C405" s="93" t="str">
        <f t="shared" ref="C405:D405" si="503">IF($B402&lt;&gt;"",C401,"")</f>
        <v/>
      </c>
      <c r="D405" s="93" t="str">
        <f t="shared" si="503"/>
        <v/>
      </c>
      <c r="E405" s="32"/>
      <c r="F405" s="32"/>
      <c r="G405" s="32"/>
      <c r="H405" s="32"/>
      <c r="I405" s="32"/>
      <c r="J405" s="32"/>
      <c r="K405" s="32"/>
      <c r="L405" s="32"/>
      <c r="M405" s="32"/>
      <c r="N405" s="32"/>
      <c r="O405" s="32"/>
      <c r="P405" s="32"/>
      <c r="Q405" s="32"/>
      <c r="R405" s="32"/>
      <c r="S405" s="32"/>
      <c r="T405" s="32"/>
      <c r="U405" s="32"/>
      <c r="V405" s="26"/>
      <c r="W405" s="31" t="e">
        <f>INDEX(TBL_TRANSIT[TransitID],$A405)</f>
        <v>#REF!</v>
      </c>
      <c r="X405" s="31" t="e">
        <f>"TransitTariffVar_"&amp;RIGHT($W405,11)</f>
        <v>#REF!</v>
      </c>
    </row>
    <row r="406" spans="1:24" x14ac:dyDescent="0.25">
      <c r="A406" s="94">
        <f t="shared" ref="A406" si="504">$A402+1</f>
        <v>101</v>
      </c>
      <c r="B406" s="117" t="str">
        <f>IFERROR(INDEX(TBL_TRANSIT[Name],$A406),"")</f>
        <v/>
      </c>
      <c r="C406" s="93" t="str">
        <f t="shared" ref="C406:D406" si="505">IF($B406&lt;&gt;"",C402,"")</f>
        <v/>
      </c>
      <c r="D406" s="93" t="str">
        <f t="shared" si="505"/>
        <v/>
      </c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5"/>
      <c r="W406" s="31" t="e">
        <f>INDEX(TBL_TRANSIT[TransitID],$A406)</f>
        <v>#REF!</v>
      </c>
      <c r="X406" s="31" t="e">
        <f>"TransitCapMin_"&amp;RIGHT($W406,11)</f>
        <v>#REF!</v>
      </c>
    </row>
    <row r="407" spans="1:24" x14ac:dyDescent="0.25">
      <c r="A407" s="94">
        <f t="shared" si="485"/>
        <v>101</v>
      </c>
      <c r="B407" s="118"/>
      <c r="C407" s="93" t="str">
        <f t="shared" ref="C407:D407" si="506">IF($B406&lt;&gt;"",C403,"")</f>
        <v/>
      </c>
      <c r="D407" s="93" t="str">
        <f t="shared" si="506"/>
        <v/>
      </c>
      <c r="E407" s="32"/>
      <c r="F407" s="32"/>
      <c r="G407" s="32"/>
      <c r="H407" s="32"/>
      <c r="I407" s="32"/>
      <c r="J407" s="32"/>
      <c r="K407" s="32"/>
      <c r="L407" s="32"/>
      <c r="M407" s="32"/>
      <c r="N407" s="32"/>
      <c r="O407" s="32"/>
      <c r="P407" s="32"/>
      <c r="Q407" s="32"/>
      <c r="R407" s="32"/>
      <c r="S407" s="32"/>
      <c r="T407" s="32"/>
      <c r="U407" s="32"/>
      <c r="V407" s="26"/>
      <c r="W407" s="31" t="e">
        <f>INDEX(TBL_TRANSIT[TransitID],$A407)</f>
        <v>#REF!</v>
      </c>
      <c r="X407" s="31" t="e">
        <f>"TransitCapMax_"&amp;RIGHT($W407,11)</f>
        <v>#REF!</v>
      </c>
    </row>
    <row r="408" spans="1:24" x14ac:dyDescent="0.25">
      <c r="A408" s="94">
        <f t="shared" si="485"/>
        <v>101</v>
      </c>
      <c r="B408" s="118"/>
      <c r="C408" s="93" t="str">
        <f t="shared" ref="C408:D408" si="507">IF($B406&lt;&gt;"",C404,"")</f>
        <v/>
      </c>
      <c r="D408" s="93" t="str">
        <f t="shared" si="507"/>
        <v/>
      </c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5"/>
      <c r="W408" s="31" t="e">
        <f>INDEX(TBL_TRANSIT[TransitID],$A408)</f>
        <v>#REF!</v>
      </c>
      <c r="X408" s="31" t="e">
        <f>"TransitTariffFixed_"&amp;RIGHT($W408,11)</f>
        <v>#REF!</v>
      </c>
    </row>
    <row r="409" spans="1:24" x14ac:dyDescent="0.25">
      <c r="A409" s="94">
        <f t="shared" si="485"/>
        <v>101</v>
      </c>
      <c r="B409" s="119"/>
      <c r="C409" s="93" t="str">
        <f t="shared" ref="C409:D409" si="508">IF($B406&lt;&gt;"",C405,"")</f>
        <v/>
      </c>
      <c r="D409" s="93" t="str">
        <f t="shared" si="508"/>
        <v/>
      </c>
      <c r="E409" s="32"/>
      <c r="F409" s="32"/>
      <c r="G409" s="32"/>
      <c r="H409" s="32"/>
      <c r="I409" s="32"/>
      <c r="J409" s="32"/>
      <c r="K409" s="32"/>
      <c r="L409" s="32"/>
      <c r="M409" s="32"/>
      <c r="N409" s="32"/>
      <c r="O409" s="32"/>
      <c r="P409" s="32"/>
      <c r="Q409" s="32"/>
      <c r="R409" s="32"/>
      <c r="S409" s="32"/>
      <c r="T409" s="32"/>
      <c r="U409" s="32"/>
      <c r="V409" s="26"/>
      <c r="W409" s="31" t="e">
        <f>INDEX(TBL_TRANSIT[TransitID],$A409)</f>
        <v>#REF!</v>
      </c>
      <c r="X409" s="31" t="e">
        <f>"TransitTariffVar_"&amp;RIGHT($W409,11)</f>
        <v>#REF!</v>
      </c>
    </row>
    <row r="410" spans="1:24" x14ac:dyDescent="0.25">
      <c r="A410" s="94">
        <f t="shared" ref="A410" si="509">$A406+1</f>
        <v>102</v>
      </c>
      <c r="B410" s="117" t="str">
        <f>IFERROR(INDEX(TBL_TRANSIT[Name],$A410),"")</f>
        <v/>
      </c>
      <c r="C410" s="93" t="str">
        <f t="shared" ref="C410:D410" si="510">IF($B410&lt;&gt;"",C406,"")</f>
        <v/>
      </c>
      <c r="D410" s="93" t="str">
        <f t="shared" si="510"/>
        <v/>
      </c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5"/>
      <c r="W410" s="31" t="e">
        <f>INDEX(TBL_TRANSIT[TransitID],$A410)</f>
        <v>#REF!</v>
      </c>
      <c r="X410" s="31" t="e">
        <f>"TransitCapMin_"&amp;RIGHT($W410,11)</f>
        <v>#REF!</v>
      </c>
    </row>
    <row r="411" spans="1:24" x14ac:dyDescent="0.25">
      <c r="A411" s="94">
        <f t="shared" si="485"/>
        <v>102</v>
      </c>
      <c r="B411" s="118"/>
      <c r="C411" s="93" t="str">
        <f t="shared" ref="C411:D411" si="511">IF($B410&lt;&gt;"",C407,"")</f>
        <v/>
      </c>
      <c r="D411" s="93" t="str">
        <f t="shared" si="511"/>
        <v/>
      </c>
      <c r="E411" s="32"/>
      <c r="F411" s="32"/>
      <c r="G411" s="32"/>
      <c r="H411" s="32"/>
      <c r="I411" s="32"/>
      <c r="J411" s="32"/>
      <c r="K411" s="32"/>
      <c r="L411" s="32"/>
      <c r="M411" s="32"/>
      <c r="N411" s="32"/>
      <c r="O411" s="32"/>
      <c r="P411" s="32"/>
      <c r="Q411" s="32"/>
      <c r="R411" s="32"/>
      <c r="S411" s="32"/>
      <c r="T411" s="32"/>
      <c r="U411" s="32"/>
      <c r="V411" s="26"/>
      <c r="W411" s="31" t="e">
        <f>INDEX(TBL_TRANSIT[TransitID],$A411)</f>
        <v>#REF!</v>
      </c>
      <c r="X411" s="31" t="e">
        <f>"TransitCapMax_"&amp;RIGHT($W411,11)</f>
        <v>#REF!</v>
      </c>
    </row>
    <row r="412" spans="1:24" x14ac:dyDescent="0.25">
      <c r="A412" s="94">
        <f t="shared" si="485"/>
        <v>102</v>
      </c>
      <c r="B412" s="118"/>
      <c r="C412" s="93" t="str">
        <f t="shared" ref="C412:D412" si="512">IF($B410&lt;&gt;"",C408,"")</f>
        <v/>
      </c>
      <c r="D412" s="93" t="str">
        <f t="shared" si="512"/>
        <v/>
      </c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5"/>
      <c r="W412" s="31" t="e">
        <f>INDEX(TBL_TRANSIT[TransitID],$A412)</f>
        <v>#REF!</v>
      </c>
      <c r="X412" s="31" t="e">
        <f>"TransitTariffFixed_"&amp;RIGHT($W412,11)</f>
        <v>#REF!</v>
      </c>
    </row>
    <row r="413" spans="1:24" x14ac:dyDescent="0.25">
      <c r="A413" s="94">
        <f t="shared" si="485"/>
        <v>102</v>
      </c>
      <c r="B413" s="119"/>
      <c r="C413" s="93" t="str">
        <f t="shared" ref="C413:D413" si="513">IF($B410&lt;&gt;"",C409,"")</f>
        <v/>
      </c>
      <c r="D413" s="93" t="str">
        <f t="shared" si="513"/>
        <v/>
      </c>
      <c r="E413" s="32"/>
      <c r="F413" s="32"/>
      <c r="G413" s="32"/>
      <c r="H413" s="32"/>
      <c r="I413" s="32"/>
      <c r="J413" s="32"/>
      <c r="K413" s="32"/>
      <c r="L413" s="32"/>
      <c r="M413" s="32"/>
      <c r="N413" s="32"/>
      <c r="O413" s="32"/>
      <c r="P413" s="32"/>
      <c r="Q413" s="32"/>
      <c r="R413" s="32"/>
      <c r="S413" s="32"/>
      <c r="T413" s="32"/>
      <c r="U413" s="32"/>
      <c r="V413" s="26"/>
      <c r="W413" s="31" t="e">
        <f>INDEX(TBL_TRANSIT[TransitID],$A413)</f>
        <v>#REF!</v>
      </c>
      <c r="X413" s="31" t="e">
        <f>"TransitTariffVar_"&amp;RIGHT($W413,11)</f>
        <v>#REF!</v>
      </c>
    </row>
    <row r="414" spans="1:24" x14ac:dyDescent="0.25">
      <c r="A414" s="94">
        <f t="shared" ref="A414" si="514">$A410+1</f>
        <v>103</v>
      </c>
      <c r="B414" s="117" t="str">
        <f>IFERROR(INDEX(TBL_TRANSIT[Name],$A414),"")</f>
        <v/>
      </c>
      <c r="C414" s="93" t="str">
        <f t="shared" ref="C414:D414" si="515">IF($B414&lt;&gt;"",C410,"")</f>
        <v/>
      </c>
      <c r="D414" s="93" t="str">
        <f t="shared" si="515"/>
        <v/>
      </c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5"/>
      <c r="W414" s="31" t="e">
        <f>INDEX(TBL_TRANSIT[TransitID],$A414)</f>
        <v>#REF!</v>
      </c>
      <c r="X414" s="31" t="e">
        <f>"TransitCapMin_"&amp;RIGHT($W414,11)</f>
        <v>#REF!</v>
      </c>
    </row>
    <row r="415" spans="1:24" x14ac:dyDescent="0.25">
      <c r="A415" s="94">
        <f t="shared" si="485"/>
        <v>103</v>
      </c>
      <c r="B415" s="118"/>
      <c r="C415" s="93" t="str">
        <f t="shared" ref="C415:D415" si="516">IF($B414&lt;&gt;"",C411,"")</f>
        <v/>
      </c>
      <c r="D415" s="93" t="str">
        <f t="shared" si="516"/>
        <v/>
      </c>
      <c r="E415" s="32"/>
      <c r="F415" s="32"/>
      <c r="G415" s="32"/>
      <c r="H415" s="32"/>
      <c r="I415" s="32"/>
      <c r="J415" s="32"/>
      <c r="K415" s="32"/>
      <c r="L415" s="32"/>
      <c r="M415" s="32"/>
      <c r="N415" s="32"/>
      <c r="O415" s="32"/>
      <c r="P415" s="32"/>
      <c r="Q415" s="32"/>
      <c r="R415" s="32"/>
      <c r="S415" s="32"/>
      <c r="T415" s="32"/>
      <c r="U415" s="32"/>
      <c r="V415" s="26"/>
      <c r="W415" s="31" t="e">
        <f>INDEX(TBL_TRANSIT[TransitID],$A415)</f>
        <v>#REF!</v>
      </c>
      <c r="X415" s="31" t="e">
        <f>"TransitCapMax_"&amp;RIGHT($W415,11)</f>
        <v>#REF!</v>
      </c>
    </row>
    <row r="416" spans="1:24" x14ac:dyDescent="0.25">
      <c r="A416" s="94">
        <f t="shared" si="485"/>
        <v>103</v>
      </c>
      <c r="B416" s="118"/>
      <c r="C416" s="93" t="str">
        <f t="shared" ref="C416:D416" si="517">IF($B414&lt;&gt;"",C412,"")</f>
        <v/>
      </c>
      <c r="D416" s="93" t="str">
        <f t="shared" si="517"/>
        <v/>
      </c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5"/>
      <c r="W416" s="31" t="e">
        <f>INDEX(TBL_TRANSIT[TransitID],$A416)</f>
        <v>#REF!</v>
      </c>
      <c r="X416" s="31" t="e">
        <f>"TransitTariffFixed_"&amp;RIGHT($W416,11)</f>
        <v>#REF!</v>
      </c>
    </row>
    <row r="417" spans="1:24" x14ac:dyDescent="0.25">
      <c r="A417" s="94">
        <f t="shared" si="485"/>
        <v>103</v>
      </c>
      <c r="B417" s="119"/>
      <c r="C417" s="93" t="str">
        <f t="shared" ref="C417:D417" si="518">IF($B414&lt;&gt;"",C413,"")</f>
        <v/>
      </c>
      <c r="D417" s="93" t="str">
        <f t="shared" si="518"/>
        <v/>
      </c>
      <c r="E417" s="32"/>
      <c r="F417" s="32"/>
      <c r="G417" s="32"/>
      <c r="H417" s="32"/>
      <c r="I417" s="32"/>
      <c r="J417" s="32"/>
      <c r="K417" s="32"/>
      <c r="L417" s="32"/>
      <c r="M417" s="32"/>
      <c r="N417" s="32"/>
      <c r="O417" s="32"/>
      <c r="P417" s="32"/>
      <c r="Q417" s="32"/>
      <c r="R417" s="32"/>
      <c r="S417" s="32"/>
      <c r="T417" s="32"/>
      <c r="U417" s="32"/>
      <c r="V417" s="26"/>
      <c r="W417" s="31" t="e">
        <f>INDEX(TBL_TRANSIT[TransitID],$A417)</f>
        <v>#REF!</v>
      </c>
      <c r="X417" s="31" t="e">
        <f>"TransitTariffVar_"&amp;RIGHT($W417,11)</f>
        <v>#REF!</v>
      </c>
    </row>
    <row r="418" spans="1:24" x14ac:dyDescent="0.25">
      <c r="A418" s="94">
        <f t="shared" ref="A418" si="519">$A414+1</f>
        <v>104</v>
      </c>
      <c r="B418" s="117" t="str">
        <f>IFERROR(INDEX(TBL_TRANSIT[Name],$A418),"")</f>
        <v/>
      </c>
      <c r="C418" s="93" t="str">
        <f t="shared" ref="C418:D418" si="520">IF($B418&lt;&gt;"",C414,"")</f>
        <v/>
      </c>
      <c r="D418" s="93" t="str">
        <f t="shared" si="520"/>
        <v/>
      </c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5"/>
      <c r="W418" s="31" t="e">
        <f>INDEX(TBL_TRANSIT[TransitID],$A418)</f>
        <v>#REF!</v>
      </c>
      <c r="X418" s="31" t="e">
        <f>"TransitCapMin_"&amp;RIGHT($W418,11)</f>
        <v>#REF!</v>
      </c>
    </row>
    <row r="419" spans="1:24" x14ac:dyDescent="0.25">
      <c r="A419" s="94">
        <f t="shared" si="485"/>
        <v>104</v>
      </c>
      <c r="B419" s="118"/>
      <c r="C419" s="93" t="str">
        <f t="shared" ref="C419:D419" si="521">IF($B418&lt;&gt;"",C415,"")</f>
        <v/>
      </c>
      <c r="D419" s="93" t="str">
        <f t="shared" si="521"/>
        <v/>
      </c>
      <c r="E419" s="32"/>
      <c r="F419" s="32"/>
      <c r="G419" s="32"/>
      <c r="H419" s="32"/>
      <c r="I419" s="32"/>
      <c r="J419" s="32"/>
      <c r="K419" s="32"/>
      <c r="L419" s="32"/>
      <c r="M419" s="32"/>
      <c r="N419" s="32"/>
      <c r="O419" s="32"/>
      <c r="P419" s="32"/>
      <c r="Q419" s="32"/>
      <c r="R419" s="32"/>
      <c r="S419" s="32"/>
      <c r="T419" s="32"/>
      <c r="U419" s="32"/>
      <c r="V419" s="26"/>
      <c r="W419" s="31" t="e">
        <f>INDEX(TBL_TRANSIT[TransitID],$A419)</f>
        <v>#REF!</v>
      </c>
      <c r="X419" s="31" t="e">
        <f>"TransitCapMax_"&amp;RIGHT($W419,11)</f>
        <v>#REF!</v>
      </c>
    </row>
    <row r="420" spans="1:24" x14ac:dyDescent="0.25">
      <c r="A420" s="94">
        <f t="shared" si="485"/>
        <v>104</v>
      </c>
      <c r="B420" s="118"/>
      <c r="C420" s="93" t="str">
        <f t="shared" ref="C420:D420" si="522">IF($B418&lt;&gt;"",C416,"")</f>
        <v/>
      </c>
      <c r="D420" s="93" t="str">
        <f t="shared" si="522"/>
        <v/>
      </c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5"/>
      <c r="W420" s="31" t="e">
        <f>INDEX(TBL_TRANSIT[TransitID],$A420)</f>
        <v>#REF!</v>
      </c>
      <c r="X420" s="31" t="e">
        <f>"TransitTariffFixed_"&amp;RIGHT($W420,11)</f>
        <v>#REF!</v>
      </c>
    </row>
    <row r="421" spans="1:24" x14ac:dyDescent="0.25">
      <c r="A421" s="94">
        <f t="shared" si="485"/>
        <v>104</v>
      </c>
      <c r="B421" s="119"/>
      <c r="C421" s="93" t="str">
        <f t="shared" ref="C421:D421" si="523">IF($B418&lt;&gt;"",C417,"")</f>
        <v/>
      </c>
      <c r="D421" s="93" t="str">
        <f t="shared" si="523"/>
        <v/>
      </c>
      <c r="E421" s="32"/>
      <c r="F421" s="32"/>
      <c r="G421" s="32"/>
      <c r="H421" s="32"/>
      <c r="I421" s="32"/>
      <c r="J421" s="32"/>
      <c r="K421" s="32"/>
      <c r="L421" s="32"/>
      <c r="M421" s="32"/>
      <c r="N421" s="32"/>
      <c r="O421" s="32"/>
      <c r="P421" s="32"/>
      <c r="Q421" s="32"/>
      <c r="R421" s="32"/>
      <c r="S421" s="32"/>
      <c r="T421" s="32"/>
      <c r="U421" s="32"/>
      <c r="V421" s="26"/>
      <c r="W421" s="31" t="e">
        <f>INDEX(TBL_TRANSIT[TransitID],$A421)</f>
        <v>#REF!</v>
      </c>
      <c r="X421" s="31" t="e">
        <f>"TransitTariffVar_"&amp;RIGHT($W421,11)</f>
        <v>#REF!</v>
      </c>
    </row>
    <row r="422" spans="1:24" x14ac:dyDescent="0.25">
      <c r="A422" s="94">
        <f t="shared" ref="A422" si="524">$A418+1</f>
        <v>105</v>
      </c>
      <c r="B422" s="117" t="str">
        <f>IFERROR(INDEX(TBL_TRANSIT[Name],$A422),"")</f>
        <v/>
      </c>
      <c r="C422" s="93" t="str">
        <f t="shared" ref="C422:D422" si="525">IF($B422&lt;&gt;"",C418,"")</f>
        <v/>
      </c>
      <c r="D422" s="93" t="str">
        <f t="shared" si="525"/>
        <v/>
      </c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5"/>
      <c r="W422" s="31" t="e">
        <f>INDEX(TBL_TRANSIT[TransitID],$A422)</f>
        <v>#REF!</v>
      </c>
      <c r="X422" s="31" t="e">
        <f>"TransitCapMin_"&amp;RIGHT($W422,11)</f>
        <v>#REF!</v>
      </c>
    </row>
    <row r="423" spans="1:24" x14ac:dyDescent="0.25">
      <c r="A423" s="94">
        <f t="shared" si="485"/>
        <v>105</v>
      </c>
      <c r="B423" s="118"/>
      <c r="C423" s="93" t="str">
        <f t="shared" ref="C423:D423" si="526">IF($B422&lt;&gt;"",C419,"")</f>
        <v/>
      </c>
      <c r="D423" s="93" t="str">
        <f t="shared" si="526"/>
        <v/>
      </c>
      <c r="E423" s="32"/>
      <c r="F423" s="32"/>
      <c r="G423" s="32"/>
      <c r="H423" s="32"/>
      <c r="I423" s="32"/>
      <c r="J423" s="32"/>
      <c r="K423" s="32"/>
      <c r="L423" s="32"/>
      <c r="M423" s="32"/>
      <c r="N423" s="32"/>
      <c r="O423" s="32"/>
      <c r="P423" s="32"/>
      <c r="Q423" s="32"/>
      <c r="R423" s="32"/>
      <c r="S423" s="32"/>
      <c r="T423" s="32"/>
      <c r="U423" s="32"/>
      <c r="V423" s="26"/>
      <c r="W423" s="31" t="e">
        <f>INDEX(TBL_TRANSIT[TransitID],$A423)</f>
        <v>#REF!</v>
      </c>
      <c r="X423" s="31" t="e">
        <f>"TransitCapMax_"&amp;RIGHT($W423,11)</f>
        <v>#REF!</v>
      </c>
    </row>
    <row r="424" spans="1:24" x14ac:dyDescent="0.25">
      <c r="A424" s="94">
        <f t="shared" si="485"/>
        <v>105</v>
      </c>
      <c r="B424" s="118"/>
      <c r="C424" s="93" t="str">
        <f t="shared" ref="C424:D424" si="527">IF($B422&lt;&gt;"",C420,"")</f>
        <v/>
      </c>
      <c r="D424" s="93" t="str">
        <f t="shared" si="527"/>
        <v/>
      </c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5"/>
      <c r="W424" s="31" t="e">
        <f>INDEX(TBL_TRANSIT[TransitID],$A424)</f>
        <v>#REF!</v>
      </c>
      <c r="X424" s="31" t="e">
        <f>"TransitTariffFixed_"&amp;RIGHT($W424,11)</f>
        <v>#REF!</v>
      </c>
    </row>
    <row r="425" spans="1:24" x14ac:dyDescent="0.25">
      <c r="A425" s="94">
        <f t="shared" si="485"/>
        <v>105</v>
      </c>
      <c r="B425" s="119"/>
      <c r="C425" s="93" t="str">
        <f t="shared" ref="C425:D425" si="528">IF($B422&lt;&gt;"",C421,"")</f>
        <v/>
      </c>
      <c r="D425" s="93" t="str">
        <f t="shared" si="528"/>
        <v/>
      </c>
      <c r="E425" s="32"/>
      <c r="F425" s="32"/>
      <c r="G425" s="32"/>
      <c r="H425" s="32"/>
      <c r="I425" s="32"/>
      <c r="J425" s="32"/>
      <c r="K425" s="32"/>
      <c r="L425" s="32"/>
      <c r="M425" s="32"/>
      <c r="N425" s="32"/>
      <c r="O425" s="32"/>
      <c r="P425" s="32"/>
      <c r="Q425" s="32"/>
      <c r="R425" s="32"/>
      <c r="S425" s="32"/>
      <c r="T425" s="32"/>
      <c r="U425" s="32"/>
      <c r="V425" s="26"/>
      <c r="W425" s="31" t="e">
        <f>INDEX(TBL_TRANSIT[TransitID],$A425)</f>
        <v>#REF!</v>
      </c>
      <c r="X425" s="31" t="e">
        <f>"TransitTariffVar_"&amp;RIGHT($W425,11)</f>
        <v>#REF!</v>
      </c>
    </row>
    <row r="426" spans="1:24" x14ac:dyDescent="0.25">
      <c r="A426" s="94">
        <f t="shared" ref="A426" si="529">$A422+1</f>
        <v>106</v>
      </c>
      <c r="B426" s="117" t="str">
        <f>IFERROR(INDEX(TBL_TRANSIT[Name],$A426),"")</f>
        <v/>
      </c>
      <c r="C426" s="93" t="str">
        <f t="shared" ref="C426:D426" si="530">IF($B426&lt;&gt;"",C422,"")</f>
        <v/>
      </c>
      <c r="D426" s="93" t="str">
        <f t="shared" si="530"/>
        <v/>
      </c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5"/>
      <c r="W426" s="31" t="e">
        <f>INDEX(TBL_TRANSIT[TransitID],$A426)</f>
        <v>#REF!</v>
      </c>
      <c r="X426" s="31" t="e">
        <f>"TransitCapMin_"&amp;RIGHT($W426,11)</f>
        <v>#REF!</v>
      </c>
    </row>
    <row r="427" spans="1:24" x14ac:dyDescent="0.25">
      <c r="A427" s="94">
        <f t="shared" si="485"/>
        <v>106</v>
      </c>
      <c r="B427" s="118"/>
      <c r="C427" s="93" t="str">
        <f t="shared" ref="C427:D427" si="531">IF($B426&lt;&gt;"",C423,"")</f>
        <v/>
      </c>
      <c r="D427" s="93" t="str">
        <f t="shared" si="531"/>
        <v/>
      </c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26"/>
      <c r="W427" s="31" t="e">
        <f>INDEX(TBL_TRANSIT[TransitID],$A427)</f>
        <v>#REF!</v>
      </c>
      <c r="X427" s="31" t="e">
        <f>"TransitCapMax_"&amp;RIGHT($W427,11)</f>
        <v>#REF!</v>
      </c>
    </row>
    <row r="428" spans="1:24" x14ac:dyDescent="0.25">
      <c r="A428" s="94">
        <f t="shared" si="485"/>
        <v>106</v>
      </c>
      <c r="B428" s="118"/>
      <c r="C428" s="93" t="str">
        <f t="shared" ref="C428:D428" si="532">IF($B426&lt;&gt;"",C424,"")</f>
        <v/>
      </c>
      <c r="D428" s="93" t="str">
        <f t="shared" si="532"/>
        <v/>
      </c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5"/>
      <c r="W428" s="31" t="e">
        <f>INDEX(TBL_TRANSIT[TransitID],$A428)</f>
        <v>#REF!</v>
      </c>
      <c r="X428" s="31" t="e">
        <f>"TransitTariffFixed_"&amp;RIGHT($W428,11)</f>
        <v>#REF!</v>
      </c>
    </row>
    <row r="429" spans="1:24" x14ac:dyDescent="0.25">
      <c r="A429" s="94">
        <f t="shared" si="485"/>
        <v>106</v>
      </c>
      <c r="B429" s="119"/>
      <c r="C429" s="93" t="str">
        <f t="shared" ref="C429:D429" si="533">IF($B426&lt;&gt;"",C425,"")</f>
        <v/>
      </c>
      <c r="D429" s="93" t="str">
        <f t="shared" si="533"/>
        <v/>
      </c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26"/>
      <c r="W429" s="31" t="e">
        <f>INDEX(TBL_TRANSIT[TransitID],$A429)</f>
        <v>#REF!</v>
      </c>
      <c r="X429" s="31" t="e">
        <f>"TransitTariffVar_"&amp;RIGHT($W429,11)</f>
        <v>#REF!</v>
      </c>
    </row>
    <row r="430" spans="1:24" x14ac:dyDescent="0.25">
      <c r="A430" s="94">
        <f t="shared" ref="A430" si="534">$A426+1</f>
        <v>107</v>
      </c>
      <c r="B430" s="117" t="str">
        <f>IFERROR(INDEX(TBL_TRANSIT[Name],$A430),"")</f>
        <v/>
      </c>
      <c r="C430" s="93" t="str">
        <f t="shared" ref="C430:D430" si="535">IF($B430&lt;&gt;"",C426,"")</f>
        <v/>
      </c>
      <c r="D430" s="93" t="str">
        <f t="shared" si="535"/>
        <v/>
      </c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5"/>
      <c r="W430" s="31" t="e">
        <f>INDEX(TBL_TRANSIT[TransitID],$A430)</f>
        <v>#REF!</v>
      </c>
      <c r="X430" s="31" t="e">
        <f>"TransitCapMin_"&amp;RIGHT($W430,11)</f>
        <v>#REF!</v>
      </c>
    </row>
    <row r="431" spans="1:24" x14ac:dyDescent="0.25">
      <c r="A431" s="94">
        <f t="shared" si="485"/>
        <v>107</v>
      </c>
      <c r="B431" s="118"/>
      <c r="C431" s="93" t="str">
        <f t="shared" ref="C431:D431" si="536">IF($B430&lt;&gt;"",C427,"")</f>
        <v/>
      </c>
      <c r="D431" s="93" t="str">
        <f t="shared" si="536"/>
        <v/>
      </c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26"/>
      <c r="W431" s="31" t="e">
        <f>INDEX(TBL_TRANSIT[TransitID],$A431)</f>
        <v>#REF!</v>
      </c>
      <c r="X431" s="31" t="e">
        <f>"TransitCapMax_"&amp;RIGHT($W431,11)</f>
        <v>#REF!</v>
      </c>
    </row>
    <row r="432" spans="1:24" x14ac:dyDescent="0.25">
      <c r="A432" s="94">
        <f t="shared" si="485"/>
        <v>107</v>
      </c>
      <c r="B432" s="118"/>
      <c r="C432" s="93" t="str">
        <f t="shared" ref="C432:D432" si="537">IF($B430&lt;&gt;"",C428,"")</f>
        <v/>
      </c>
      <c r="D432" s="93" t="str">
        <f t="shared" si="537"/>
        <v/>
      </c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5"/>
      <c r="W432" s="31" t="e">
        <f>INDEX(TBL_TRANSIT[TransitID],$A432)</f>
        <v>#REF!</v>
      </c>
      <c r="X432" s="31" t="e">
        <f>"TransitTariffFixed_"&amp;RIGHT($W432,11)</f>
        <v>#REF!</v>
      </c>
    </row>
    <row r="433" spans="1:24" x14ac:dyDescent="0.25">
      <c r="A433" s="94">
        <f t="shared" si="485"/>
        <v>107</v>
      </c>
      <c r="B433" s="119"/>
      <c r="C433" s="93" t="str">
        <f t="shared" ref="C433:D433" si="538">IF($B430&lt;&gt;"",C429,"")</f>
        <v/>
      </c>
      <c r="D433" s="93" t="str">
        <f t="shared" si="538"/>
        <v/>
      </c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26"/>
      <c r="W433" s="31" t="e">
        <f>INDEX(TBL_TRANSIT[TransitID],$A433)</f>
        <v>#REF!</v>
      </c>
      <c r="X433" s="31" t="e">
        <f>"TransitTariffVar_"&amp;RIGHT($W433,11)</f>
        <v>#REF!</v>
      </c>
    </row>
    <row r="434" spans="1:24" x14ac:dyDescent="0.25">
      <c r="A434" s="94">
        <f t="shared" ref="A434" si="539">$A430+1</f>
        <v>108</v>
      </c>
      <c r="B434" s="117" t="str">
        <f>IFERROR(INDEX(TBL_TRANSIT[Name],$A434),"")</f>
        <v/>
      </c>
      <c r="C434" s="93" t="str">
        <f t="shared" ref="C434:D434" si="540">IF($B434&lt;&gt;"",C430,"")</f>
        <v/>
      </c>
      <c r="D434" s="93" t="str">
        <f t="shared" si="540"/>
        <v/>
      </c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5"/>
      <c r="W434" s="31" t="e">
        <f>INDEX(TBL_TRANSIT[TransitID],$A434)</f>
        <v>#REF!</v>
      </c>
      <c r="X434" s="31" t="e">
        <f>"TransitCapMin_"&amp;RIGHT($W434,11)</f>
        <v>#REF!</v>
      </c>
    </row>
    <row r="435" spans="1:24" x14ac:dyDescent="0.25">
      <c r="A435" s="94">
        <f t="shared" si="485"/>
        <v>108</v>
      </c>
      <c r="B435" s="118"/>
      <c r="C435" s="93" t="str">
        <f t="shared" ref="C435:D435" si="541">IF($B434&lt;&gt;"",C431,"")</f>
        <v/>
      </c>
      <c r="D435" s="93" t="str">
        <f t="shared" si="541"/>
        <v/>
      </c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26"/>
      <c r="W435" s="31" t="e">
        <f>INDEX(TBL_TRANSIT[TransitID],$A435)</f>
        <v>#REF!</v>
      </c>
      <c r="X435" s="31" t="e">
        <f>"TransitCapMax_"&amp;RIGHT($W435,11)</f>
        <v>#REF!</v>
      </c>
    </row>
    <row r="436" spans="1:24" x14ac:dyDescent="0.25">
      <c r="A436" s="94">
        <f t="shared" si="485"/>
        <v>108</v>
      </c>
      <c r="B436" s="118"/>
      <c r="C436" s="93" t="str">
        <f t="shared" ref="C436:D436" si="542">IF($B434&lt;&gt;"",C432,"")</f>
        <v/>
      </c>
      <c r="D436" s="93" t="str">
        <f t="shared" si="542"/>
        <v/>
      </c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5"/>
      <c r="W436" s="31" t="e">
        <f>INDEX(TBL_TRANSIT[TransitID],$A436)</f>
        <v>#REF!</v>
      </c>
      <c r="X436" s="31" t="e">
        <f>"TransitTariffFixed_"&amp;RIGHT($W436,11)</f>
        <v>#REF!</v>
      </c>
    </row>
    <row r="437" spans="1:24" x14ac:dyDescent="0.25">
      <c r="A437" s="94">
        <f t="shared" si="485"/>
        <v>108</v>
      </c>
      <c r="B437" s="119"/>
      <c r="C437" s="93" t="str">
        <f t="shared" ref="C437:D437" si="543">IF($B434&lt;&gt;"",C433,"")</f>
        <v/>
      </c>
      <c r="D437" s="93" t="str">
        <f t="shared" si="543"/>
        <v/>
      </c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26"/>
      <c r="W437" s="31" t="e">
        <f>INDEX(TBL_TRANSIT[TransitID],$A437)</f>
        <v>#REF!</v>
      </c>
      <c r="X437" s="31" t="e">
        <f>"TransitTariffVar_"&amp;RIGHT($W437,11)</f>
        <v>#REF!</v>
      </c>
    </row>
    <row r="438" spans="1:24" x14ac:dyDescent="0.25">
      <c r="A438" s="94">
        <f t="shared" ref="A438" si="544">$A434+1</f>
        <v>109</v>
      </c>
      <c r="B438" s="117" t="str">
        <f>IFERROR(INDEX(TBL_TRANSIT[Name],$A438),"")</f>
        <v/>
      </c>
      <c r="C438" s="93" t="str">
        <f t="shared" ref="C438:D438" si="545">IF($B438&lt;&gt;"",C434,"")</f>
        <v/>
      </c>
      <c r="D438" s="93" t="str">
        <f t="shared" si="545"/>
        <v/>
      </c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5"/>
      <c r="W438" s="31" t="e">
        <f>INDEX(TBL_TRANSIT[TransitID],$A438)</f>
        <v>#REF!</v>
      </c>
      <c r="X438" s="31" t="e">
        <f>"TransitCapMin_"&amp;RIGHT($W438,11)</f>
        <v>#REF!</v>
      </c>
    </row>
    <row r="439" spans="1:24" x14ac:dyDescent="0.25">
      <c r="A439" s="94">
        <f t="shared" si="485"/>
        <v>109</v>
      </c>
      <c r="B439" s="118"/>
      <c r="C439" s="93" t="str">
        <f t="shared" ref="C439:D439" si="546">IF($B438&lt;&gt;"",C435,"")</f>
        <v/>
      </c>
      <c r="D439" s="93" t="str">
        <f t="shared" si="546"/>
        <v/>
      </c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26"/>
      <c r="W439" s="31" t="e">
        <f>INDEX(TBL_TRANSIT[TransitID],$A439)</f>
        <v>#REF!</v>
      </c>
      <c r="X439" s="31" t="e">
        <f>"TransitCapMax_"&amp;RIGHT($W439,11)</f>
        <v>#REF!</v>
      </c>
    </row>
    <row r="440" spans="1:24" x14ac:dyDescent="0.25">
      <c r="A440" s="94">
        <f t="shared" si="485"/>
        <v>109</v>
      </c>
      <c r="B440" s="118"/>
      <c r="C440" s="93" t="str">
        <f t="shared" ref="C440:D440" si="547">IF($B438&lt;&gt;"",C436,"")</f>
        <v/>
      </c>
      <c r="D440" s="93" t="str">
        <f t="shared" si="547"/>
        <v/>
      </c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5"/>
      <c r="W440" s="31" t="e">
        <f>INDEX(TBL_TRANSIT[TransitID],$A440)</f>
        <v>#REF!</v>
      </c>
      <c r="X440" s="31" t="e">
        <f>"TransitTariffFixed_"&amp;RIGHT($W440,11)</f>
        <v>#REF!</v>
      </c>
    </row>
    <row r="441" spans="1:24" x14ac:dyDescent="0.25">
      <c r="A441" s="94">
        <f t="shared" si="485"/>
        <v>109</v>
      </c>
      <c r="B441" s="119"/>
      <c r="C441" s="93" t="str">
        <f t="shared" ref="C441:D441" si="548">IF($B438&lt;&gt;"",C437,"")</f>
        <v/>
      </c>
      <c r="D441" s="93" t="str">
        <f t="shared" si="548"/>
        <v/>
      </c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26"/>
      <c r="W441" s="31" t="e">
        <f>INDEX(TBL_TRANSIT[TransitID],$A441)</f>
        <v>#REF!</v>
      </c>
      <c r="X441" s="31" t="e">
        <f>"TransitTariffVar_"&amp;RIGHT($W441,11)</f>
        <v>#REF!</v>
      </c>
    </row>
    <row r="442" spans="1:24" x14ac:dyDescent="0.25">
      <c r="A442" s="94">
        <f t="shared" ref="A442" si="549">$A438+1</f>
        <v>110</v>
      </c>
      <c r="B442" s="117" t="str">
        <f>IFERROR(INDEX(TBL_TRANSIT[Name],$A442),"")</f>
        <v/>
      </c>
      <c r="C442" s="93" t="str">
        <f t="shared" ref="C442:D442" si="550">IF($B442&lt;&gt;"",C438,"")</f>
        <v/>
      </c>
      <c r="D442" s="93" t="str">
        <f t="shared" si="550"/>
        <v/>
      </c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5"/>
      <c r="W442" s="31" t="e">
        <f>INDEX(TBL_TRANSIT[TransitID],$A442)</f>
        <v>#REF!</v>
      </c>
      <c r="X442" s="31" t="e">
        <f>"TransitCapMin_"&amp;RIGHT($W442,11)</f>
        <v>#REF!</v>
      </c>
    </row>
    <row r="443" spans="1:24" x14ac:dyDescent="0.25">
      <c r="A443" s="94">
        <f t="shared" si="485"/>
        <v>110</v>
      </c>
      <c r="B443" s="118"/>
      <c r="C443" s="93" t="str">
        <f t="shared" ref="C443:D443" si="551">IF($B442&lt;&gt;"",C439,"")</f>
        <v/>
      </c>
      <c r="D443" s="93" t="str">
        <f t="shared" si="551"/>
        <v/>
      </c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26"/>
      <c r="W443" s="31" t="e">
        <f>INDEX(TBL_TRANSIT[TransitID],$A443)</f>
        <v>#REF!</v>
      </c>
      <c r="X443" s="31" t="e">
        <f>"TransitCapMax_"&amp;RIGHT($W443,11)</f>
        <v>#REF!</v>
      </c>
    </row>
    <row r="444" spans="1:24" x14ac:dyDescent="0.25">
      <c r="A444" s="94">
        <f t="shared" si="485"/>
        <v>110</v>
      </c>
      <c r="B444" s="118"/>
      <c r="C444" s="93" t="str">
        <f t="shared" ref="C444:D444" si="552">IF($B442&lt;&gt;"",C440,"")</f>
        <v/>
      </c>
      <c r="D444" s="93" t="str">
        <f t="shared" si="552"/>
        <v/>
      </c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5"/>
      <c r="W444" s="31" t="e">
        <f>INDEX(TBL_TRANSIT[TransitID],$A444)</f>
        <v>#REF!</v>
      </c>
      <c r="X444" s="31" t="e">
        <f>"TransitTariffFixed_"&amp;RIGHT($W444,11)</f>
        <v>#REF!</v>
      </c>
    </row>
    <row r="445" spans="1:24" x14ac:dyDescent="0.25">
      <c r="A445" s="94">
        <f t="shared" si="485"/>
        <v>110</v>
      </c>
      <c r="B445" s="119"/>
      <c r="C445" s="93" t="str">
        <f t="shared" ref="C445:D445" si="553">IF($B442&lt;&gt;"",C441,"")</f>
        <v/>
      </c>
      <c r="D445" s="93" t="str">
        <f t="shared" si="553"/>
        <v/>
      </c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26"/>
      <c r="W445" s="31" t="e">
        <f>INDEX(TBL_TRANSIT[TransitID],$A445)</f>
        <v>#REF!</v>
      </c>
      <c r="X445" s="31" t="e">
        <f>"TransitTariffVar_"&amp;RIGHT($W445,11)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25" priority="2" operator="equal">
      <formula>#REF!</formula>
    </cfRule>
  </conditionalFormatting>
  <conditionalFormatting sqref="D8:D9">
    <cfRule type="cellIs" dxfId="24" priority="1" operator="equal">
      <formula>#REF!</formula>
    </cfRule>
  </conditionalFormatting>
  <dataValidations count="2">
    <dataValidation operator="greaterThanOrEqual" allowBlank="1" showInputMessage="1" showErrorMessage="1" sqref="V6:V445" xr:uid="{FE9C5299-8914-4CA8-873C-DCB1DAF6CC6D}"/>
    <dataValidation type="decimal" operator="greaterThanOrEqual" allowBlank="1" showInputMessage="1" showErrorMessage="1" sqref="E6:U445" xr:uid="{393CC6FB-0A72-4FD6-8FBF-E5F38A62575A}">
      <formula1>0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BE94E-EC87-4F3D-813F-0892FD58FD6B}">
  <sheetPr>
    <tabColor theme="9"/>
  </sheetPr>
  <dimension ref="A1:F7"/>
  <sheetViews>
    <sheetView workbookViewId="0">
      <selection activeCell="D12" sqref="D12"/>
    </sheetView>
  </sheetViews>
  <sheetFormatPr defaultColWidth="9.140625" defaultRowHeight="15" outlineLevelCol="1" x14ac:dyDescent="0.25"/>
  <cols>
    <col min="1" max="1" width="28.5703125" customWidth="1"/>
    <col min="2" max="2" width="15.42578125" hidden="1" customWidth="1" outlineLevel="1"/>
    <col min="3" max="3" width="19.7109375" customWidth="1" collapsed="1"/>
    <col min="4" max="4" width="83.85546875" customWidth="1"/>
    <col min="5" max="5" width="18.28515625" hidden="1" customWidth="1" outlineLevel="1"/>
    <col min="6" max="6" width="9.140625" collapsed="1"/>
  </cols>
  <sheetData>
    <row r="1" spans="1:5" x14ac:dyDescent="0.25">
      <c r="A1" s="1" t="s">
        <v>98</v>
      </c>
    </row>
    <row r="2" spans="1:5" x14ac:dyDescent="0.25">
      <c r="A2" s="1" t="s">
        <v>4</v>
      </c>
    </row>
    <row r="5" spans="1:5" x14ac:dyDescent="0.25">
      <c r="A5" t="s">
        <v>99</v>
      </c>
      <c r="B5" t="s">
        <v>167</v>
      </c>
      <c r="C5" t="s">
        <v>102</v>
      </c>
      <c r="D5" t="s">
        <v>3</v>
      </c>
      <c r="E5" s="2" t="s">
        <v>103</v>
      </c>
    </row>
    <row r="6" spans="1:5" x14ac:dyDescent="0.25">
      <c r="A6" s="82" t="s">
        <v>100</v>
      </c>
      <c r="B6" s="4">
        <f>ROW(1:1)</f>
        <v>1</v>
      </c>
      <c r="C6" s="35"/>
      <c r="D6" s="20"/>
      <c r="E6" s="21" t="str">
        <f>"Storage_"&amp;TEXT(TBL_STORAGE[[#This Row],[Storage Index]],"000")</f>
        <v>Storage_001</v>
      </c>
    </row>
    <row r="7" spans="1:5" x14ac:dyDescent="0.25">
      <c r="A7" s="82" t="s">
        <v>101</v>
      </c>
      <c r="B7" s="4">
        <f>ROW(2:2)</f>
        <v>2</v>
      </c>
      <c r="C7" s="35"/>
      <c r="D7" s="20"/>
      <c r="E7" s="21" t="str">
        <f>"Storage_"&amp;TEXT(TBL_STORAGE[[#This Row],[Storage Index]],"000")</f>
        <v>Storage_002</v>
      </c>
    </row>
  </sheetData>
  <dataValidations count="1">
    <dataValidation type="custom" allowBlank="1" showInputMessage="1" showErrorMessage="1" sqref="A6:D7" xr:uid="{07A699BF-BB63-404A-B0D4-1510028FAC2B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DC72-387D-43C6-B2F1-223BF5B9C9A1}">
  <sheetPr>
    <tabColor theme="9"/>
  </sheetPr>
  <dimension ref="A1:Z9"/>
  <sheetViews>
    <sheetView workbookViewId="0">
      <selection activeCell="E14" sqref="E14"/>
    </sheetView>
  </sheetViews>
  <sheetFormatPr defaultColWidth="9.140625" defaultRowHeight="15" outlineLevelCol="1" x14ac:dyDescent="0.25"/>
  <cols>
    <col min="1" max="1" width="28.5703125" customWidth="1"/>
    <col min="2" max="2" width="13.140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hidden="1" customWidth="1" outlineLevel="1"/>
    <col min="7" max="7" width="16.7109375" hidden="1" customWidth="1" outlineLevel="1"/>
    <col min="8" max="8" width="83.85546875" customWidth="1" collapsed="1"/>
    <col min="9" max="9" width="30.28515625" hidden="1" customWidth="1" outlineLevel="1"/>
    <col min="10" max="10" width="9.140625" collapsed="1"/>
    <col min="11" max="11" width="9.42578125" customWidth="1"/>
    <col min="15" max="15" width="9.28515625" customWidth="1"/>
    <col min="17" max="17" width="9.28515625" customWidth="1"/>
    <col min="20" max="20" width="9.28515625" customWidth="1"/>
    <col min="23" max="23" width="9.42578125" customWidth="1"/>
    <col min="25" max="25" width="71.5703125" customWidth="1"/>
    <col min="26" max="26" width="28.42578125" bestFit="1" customWidth="1" outlineLevel="1"/>
  </cols>
  <sheetData>
    <row r="1" spans="1:9" x14ac:dyDescent="0.25">
      <c r="A1" s="1" t="s">
        <v>168</v>
      </c>
    </row>
    <row r="5" spans="1:9" x14ac:dyDescent="0.25">
      <c r="A5" t="s">
        <v>99</v>
      </c>
      <c r="B5" t="s">
        <v>167</v>
      </c>
      <c r="C5" t="s">
        <v>0</v>
      </c>
      <c r="D5" t="s">
        <v>37</v>
      </c>
      <c r="E5" t="s">
        <v>39</v>
      </c>
      <c r="F5" t="s">
        <v>159</v>
      </c>
      <c r="G5" t="s">
        <v>158</v>
      </c>
      <c r="H5" s="2" t="s">
        <v>3</v>
      </c>
      <c r="I5" s="2" t="s">
        <v>104</v>
      </c>
    </row>
    <row r="6" spans="1:9" x14ac:dyDescent="0.25">
      <c r="A6" s="83" t="s">
        <v>100</v>
      </c>
      <c r="B6" s="4">
        <f>INDEX(TBL_STORAGE[Storage Index],MATCH(TBL_STORAGE_CONNECTIONS[[#This Row],[Storage]],TBL_STORAGE[Storage],0))</f>
        <v>1</v>
      </c>
      <c r="C6" s="86" t="s">
        <v>59</v>
      </c>
      <c r="D6" s="4">
        <f>INDEX(TBL_REGIONS_INDEX[Index],MATCH(TBL_STORAGE_CONNECTIONS[[#This Row],[Region]],TBL_REGIONS_INDEX[Region],0))</f>
        <v>4</v>
      </c>
      <c r="E6" s="88" t="s">
        <v>108</v>
      </c>
      <c r="F6" s="4" t="str">
        <f>TEXT(TBL_STORAGE_CONNECTIONS[[#This Row],[Storage Index]],"000")&amp;TEXT(TBL_STORAGE_CONNECTIONS[[#This Row],[Region Index]],"000")</f>
        <v>001004</v>
      </c>
      <c r="G6" s="4">
        <f>COUNTIF($F$6:$F6,$F6)</f>
        <v>1</v>
      </c>
      <c r="H6" s="17"/>
      <c r="I6" s="21" t="str">
        <f>"StorageConnection_"&amp;TEXT(TBL_STORAGE_CONNECTIONS[[#This Row],[Storage Index]],"000")&amp;"_"&amp;TEXT(TBL_STORAGE_CONNECTIONS[[#This Row],[Region Index]],"000")&amp;"_"&amp;TEXT(TBL_STORAGE_CONNECTIONS[[#This Row],[Connection Index]],"000")</f>
        <v>StorageConnection_001_004_001</v>
      </c>
    </row>
    <row r="7" spans="1:9" x14ac:dyDescent="0.25">
      <c r="A7" s="83" t="s">
        <v>100</v>
      </c>
      <c r="B7" s="4">
        <f>INDEX(TBL_STORAGE[Storage Index],MATCH(TBL_STORAGE_CONNECTIONS[[#This Row],[Storage]],TBL_STORAGE[Storage],0))</f>
        <v>1</v>
      </c>
      <c r="C7" s="87" t="s">
        <v>56</v>
      </c>
      <c r="D7" s="4">
        <f>INDEX(TBL_REGIONS_INDEX[Index],MATCH(TBL_STORAGE_CONNECTIONS[[#This Row],[Region]],TBL_REGIONS_INDEX[Region],0))</f>
        <v>1</v>
      </c>
      <c r="E7" s="88" t="s">
        <v>180</v>
      </c>
      <c r="F7" s="4" t="str">
        <f>TEXT(TBL_STORAGE_CONNECTIONS[[#This Row],[Storage Index]],"000")&amp;TEXT(TBL_STORAGE_CONNECTIONS[[#This Row],[Region Index]],"000")</f>
        <v>001001</v>
      </c>
      <c r="G7" s="4">
        <f>COUNTIF($F$6:$F7,$F7)</f>
        <v>1</v>
      </c>
      <c r="H7" s="17"/>
      <c r="I7" s="21" t="str">
        <f>"StorageConnection_"&amp;TEXT(TBL_STORAGE_CONNECTIONS[[#This Row],[Storage Index]],"000")&amp;"_"&amp;TEXT(TBL_STORAGE_CONNECTIONS[[#This Row],[Region Index]],"000")&amp;"_"&amp;TEXT(TBL_STORAGE_CONNECTIONS[[#This Row],[Connection Index]],"000")</f>
        <v>StorageConnection_001_001_001</v>
      </c>
    </row>
    <row r="8" spans="1:9" x14ac:dyDescent="0.25">
      <c r="A8" s="83" t="s">
        <v>101</v>
      </c>
      <c r="B8" s="4">
        <f>INDEX(TBL_STORAGE[Storage Index],MATCH(TBL_STORAGE_CONNECTIONS[[#This Row],[Storage]],TBL_STORAGE[Storage],0))</f>
        <v>2</v>
      </c>
      <c r="C8" s="87" t="s">
        <v>57</v>
      </c>
      <c r="D8" s="4">
        <f>INDEX(TBL_REGIONS_INDEX[Index],MATCH(TBL_STORAGE_CONNECTIONS[[#This Row],[Region]],TBL_REGIONS_INDEX[Region],0))</f>
        <v>2</v>
      </c>
      <c r="E8" s="88" t="s">
        <v>109</v>
      </c>
      <c r="F8" s="4" t="str">
        <f>TEXT(TBL_STORAGE_CONNECTIONS[[#This Row],[Storage Index]],"000")&amp;TEXT(TBL_STORAGE_CONNECTIONS[[#This Row],[Region Index]],"000")</f>
        <v>002002</v>
      </c>
      <c r="G8" s="4">
        <f>COUNTIF($F$6:$F8,$F8)</f>
        <v>1</v>
      </c>
      <c r="H8" s="17"/>
      <c r="I8" s="21" t="str">
        <f>"StorageConnection_"&amp;TEXT(TBL_STORAGE_CONNECTIONS[[#This Row],[Storage Index]],"000")&amp;"_"&amp;TEXT(TBL_STORAGE_CONNECTIONS[[#This Row],[Region Index]],"000")&amp;"_"&amp;TEXT(TBL_STORAGE_CONNECTIONS[[#This Row],[Connection Index]],"000")</f>
        <v>StorageConnection_002_002_001</v>
      </c>
    </row>
    <row r="9" spans="1:9" x14ac:dyDescent="0.25">
      <c r="A9" s="83" t="s">
        <v>100</v>
      </c>
      <c r="B9" s="4">
        <f>INDEX(TBL_STORAGE[Storage Index],MATCH(TBL_STORAGE_CONNECTIONS[[#This Row],[Storage]],TBL_STORAGE[Storage],0))</f>
        <v>1</v>
      </c>
      <c r="C9" s="87" t="s">
        <v>56</v>
      </c>
      <c r="D9" s="4">
        <f>INDEX(TBL_REGIONS_INDEX[Index],MATCH(TBL_STORAGE_CONNECTIONS[[#This Row],[Region]],TBL_REGIONS_INDEX[Region],0))</f>
        <v>1</v>
      </c>
      <c r="E9" s="88" t="s">
        <v>169</v>
      </c>
      <c r="F9" s="4" t="str">
        <f>TEXT(TBL_STORAGE_CONNECTIONS[[#This Row],[Storage Index]],"000")&amp;TEXT(TBL_STORAGE_CONNECTIONS[[#This Row],[Region Index]],"000")</f>
        <v>001001</v>
      </c>
      <c r="G9" s="4">
        <f>COUNTIF($F$6:$F9,$F9)</f>
        <v>2</v>
      </c>
      <c r="H9" s="17"/>
      <c r="I9" s="85" t="str">
        <f>"StorageConnection_"&amp;TEXT(TBL_STORAGE_CONNECTIONS[[#This Row],[Storage Index]],"000")&amp;"_"&amp;TEXT(TBL_STORAGE_CONNECTIONS[[#This Row],[Region Index]],"000")&amp;"_"&amp;TEXT(TBL_STORAGE_CONNECTIONS[[#This Row],[Connection Index]],"000")</f>
        <v>StorageConnection_001_001_002</v>
      </c>
    </row>
  </sheetData>
  <dataValidations count="3">
    <dataValidation type="custom" allowBlank="1" showInputMessage="1" showErrorMessage="1" sqref="E6:E9" xr:uid="{6C89464B-EAC6-4573-93F6-76BE232D7F08}">
      <formula1>COUNTIF($E$6:$E6,$E6)&lt;2</formula1>
    </dataValidation>
    <dataValidation type="list" allowBlank="1" showInputMessage="1" showErrorMessage="1" sqref="A6:A9" xr:uid="{8CD0D7BC-28EA-4F4B-AC99-C0DA50690969}">
      <formula1>INDIRECT("TBL_STORAGE[STORAGE]")</formula1>
    </dataValidation>
    <dataValidation type="list" allowBlank="1" showInputMessage="1" showErrorMessage="1" sqref="C6:C9" xr:uid="{25173ACA-3638-4BC4-8200-8F0B3FA35571}">
      <formula1>INDIRECT("TBL_REGIONS_INDEX[Region]")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68B73-F2CB-493D-9B58-76CDFF1A0485}">
  <sheetPr>
    <tabColor theme="9"/>
  </sheetPr>
  <dimension ref="A1:Y445"/>
  <sheetViews>
    <sheetView topLeftCell="B1" workbookViewId="0"/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84" customWidth="1"/>
    <col min="23" max="23" width="30.28515625" hidden="1" customWidth="1" outlineLevel="1"/>
    <col min="24" max="24" width="29.7109375" hidden="1" customWidth="1" outlineLevel="1"/>
    <col min="25" max="25" width="9.140625" collapsed="1"/>
  </cols>
  <sheetData>
    <row r="1" spans="1:24" x14ac:dyDescent="0.25">
      <c r="B1" s="1" t="s">
        <v>112</v>
      </c>
    </row>
    <row r="2" spans="1:24" x14ac:dyDescent="0.25">
      <c r="B2" s="1" t="s">
        <v>113</v>
      </c>
    </row>
    <row r="3" spans="1:24" x14ac:dyDescent="0.25">
      <c r="B3" s="1" t="s">
        <v>97</v>
      </c>
    </row>
    <row r="5" spans="1:24" x14ac:dyDescent="0.25">
      <c r="B5" s="8" t="s">
        <v>110</v>
      </c>
      <c r="C5" s="8" t="s">
        <v>41</v>
      </c>
      <c r="D5" s="8" t="s">
        <v>42</v>
      </c>
      <c r="E5" s="22" t="s">
        <v>5</v>
      </c>
      <c r="F5" s="22" t="s">
        <v>6</v>
      </c>
      <c r="G5" s="22" t="s">
        <v>7</v>
      </c>
      <c r="H5" s="22" t="s">
        <v>8</v>
      </c>
      <c r="I5" s="22" t="s">
        <v>9</v>
      </c>
      <c r="J5" s="22" t="s">
        <v>10</v>
      </c>
      <c r="K5" s="22" t="s">
        <v>11</v>
      </c>
      <c r="L5" s="22" t="s">
        <v>12</v>
      </c>
      <c r="M5" s="22" t="s">
        <v>13</v>
      </c>
      <c r="N5" s="22" t="s">
        <v>14</v>
      </c>
      <c r="O5" s="22" t="s">
        <v>15</v>
      </c>
      <c r="P5" s="22" t="s">
        <v>16</v>
      </c>
      <c r="Q5" s="22" t="s">
        <v>17</v>
      </c>
      <c r="R5" s="22" t="s">
        <v>18</v>
      </c>
      <c r="S5" s="22" t="s">
        <v>19</v>
      </c>
      <c r="T5" s="22" t="s">
        <v>20</v>
      </c>
      <c r="U5" s="22" t="s">
        <v>21</v>
      </c>
      <c r="V5" s="8" t="s">
        <v>28</v>
      </c>
      <c r="W5" s="23" t="s">
        <v>104</v>
      </c>
      <c r="X5" s="30" t="s">
        <v>111</v>
      </c>
    </row>
    <row r="6" spans="1:24" x14ac:dyDescent="0.25">
      <c r="A6" s="94">
        <v>1</v>
      </c>
      <c r="B6" s="117" t="str">
        <f>IFERROR(INDEX(TBL_STORAGE_CONNECTIONS[Name],$A6),"")</f>
        <v>St A CH</v>
      </c>
      <c r="C6" s="89" t="s">
        <v>43</v>
      </c>
      <c r="D6" s="90" t="s">
        <v>119</v>
      </c>
      <c r="E6" s="27">
        <v>-3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5"/>
      <c r="W6" s="31" t="str">
        <f>INDEX(TBL_STORAGE_CONNECTIONS[StorageConnectionID],$A6)</f>
        <v>StorageConnection_001_004_001</v>
      </c>
      <c r="X6" s="31" t="str">
        <f>"StorageCapMin_"&amp;RIGHT($W6,11)</f>
        <v>StorageCapMin_001_004_001</v>
      </c>
    </row>
    <row r="7" spans="1:24" x14ac:dyDescent="0.25">
      <c r="A7" s="94">
        <f>$A6</f>
        <v>1</v>
      </c>
      <c r="B7" s="118"/>
      <c r="C7" s="91" t="s">
        <v>44</v>
      </c>
      <c r="D7" s="92" t="s">
        <v>119</v>
      </c>
      <c r="E7" s="28">
        <v>3</v>
      </c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6"/>
      <c r="W7" s="31" t="str">
        <f>INDEX(TBL_STORAGE_CONNECTIONS[StorageConnectionID],$A7)</f>
        <v>StorageConnection_001_004_001</v>
      </c>
      <c r="X7" s="31" t="str">
        <f>"StorageCapMax_"&amp;RIGHT($W7,11)</f>
        <v>StorageCapMax_001_004_001</v>
      </c>
    </row>
    <row r="8" spans="1:24" x14ac:dyDescent="0.25">
      <c r="A8" s="94">
        <f>$A7</f>
        <v>1</v>
      </c>
      <c r="B8" s="118"/>
      <c r="C8" s="89" t="s">
        <v>45</v>
      </c>
      <c r="D8" s="90" t="s">
        <v>46</v>
      </c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5"/>
      <c r="W8" s="31" t="str">
        <f>INDEX(TBL_STORAGE_CONNECTIONS[StorageConnectionID],$A8)</f>
        <v>StorageConnection_001_004_001</v>
      </c>
      <c r="X8" s="31" t="str">
        <f>"StorageTariffFixed_"&amp;RIGHT($W8,11)</f>
        <v>StorageTariffFixed_001_004_001</v>
      </c>
    </row>
    <row r="9" spans="1:24" x14ac:dyDescent="0.25">
      <c r="A9" s="94">
        <f>$A8</f>
        <v>1</v>
      </c>
      <c r="B9" s="119"/>
      <c r="C9" s="91" t="s">
        <v>47</v>
      </c>
      <c r="D9" s="92" t="s">
        <v>48</v>
      </c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6"/>
      <c r="W9" s="31" t="str">
        <f>INDEX(TBL_STORAGE_CONNECTIONS[StorageConnectionID],$A9)</f>
        <v>StorageConnection_001_004_001</v>
      </c>
      <c r="X9" s="31" t="str">
        <f>"StorageTariffVar_"&amp;RIGHT($W9,11)</f>
        <v>StorageTariffVar_001_004_001</v>
      </c>
    </row>
    <row r="10" spans="1:24" x14ac:dyDescent="0.25">
      <c r="A10" s="94">
        <f>$A6+1</f>
        <v>2</v>
      </c>
      <c r="B10" s="117" t="str">
        <f>IFERROR(INDEX(TBL_STORAGE_CONNECTIONS[Name],$A10),"")</f>
        <v>St A DE I</v>
      </c>
      <c r="C10" s="93" t="str">
        <f>IF($B10&lt;&gt;"",C6,"")</f>
        <v>Capacity - Min</v>
      </c>
      <c r="D10" s="93" t="str">
        <f>IF($B10&lt;&gt;"",D6,"")</f>
        <v>mcm/day</v>
      </c>
      <c r="E10" s="27">
        <v>-4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5"/>
      <c r="W10" s="31" t="str">
        <f>INDEX(TBL_STORAGE_CONNECTIONS[StorageConnectionID],$A10)</f>
        <v>StorageConnection_001_001_001</v>
      </c>
      <c r="X10" s="31" t="str">
        <f>"StorageCapMin_"&amp;RIGHT($W10,11)</f>
        <v>StorageCapMin_001_001_001</v>
      </c>
    </row>
    <row r="11" spans="1:24" x14ac:dyDescent="0.25">
      <c r="A11" s="94">
        <f>$A10</f>
        <v>2</v>
      </c>
      <c r="B11" s="118"/>
      <c r="C11" s="93" t="str">
        <f>IF($B10&lt;&gt;"",C7,"")</f>
        <v>Capacity - Max</v>
      </c>
      <c r="D11" s="93" t="str">
        <f>IF($B10&lt;&gt;"",D7,"")</f>
        <v>mcm/day</v>
      </c>
      <c r="E11" s="28">
        <v>2</v>
      </c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6"/>
      <c r="W11" s="31" t="str">
        <f>INDEX(TBL_STORAGE_CONNECTIONS[StorageConnectionID],$A11)</f>
        <v>StorageConnection_001_001_001</v>
      </c>
      <c r="X11" s="31" t="str">
        <f>"StorageCapMax_"&amp;RIGHT($W11,11)</f>
        <v>StorageCapMax_001_001_001</v>
      </c>
    </row>
    <row r="12" spans="1:24" x14ac:dyDescent="0.25">
      <c r="A12" s="94">
        <f>$A11</f>
        <v>2</v>
      </c>
      <c r="B12" s="118"/>
      <c r="C12" s="93" t="str">
        <f>IF($B10&lt;&gt;"",C8,"")</f>
        <v>Tariff - fixed</v>
      </c>
      <c r="D12" s="93" t="str">
        <f>IF($B10&lt;&gt;"",D8,"")</f>
        <v>EUR/month</v>
      </c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5"/>
      <c r="W12" s="31" t="str">
        <f>INDEX(TBL_STORAGE_CONNECTIONS[StorageConnectionID],$A12)</f>
        <v>StorageConnection_001_001_001</v>
      </c>
      <c r="X12" s="31" t="str">
        <f>"StorageTariffFixed_"&amp;RIGHT($W12,11)</f>
        <v>StorageTariffFixed_001_001_001</v>
      </c>
    </row>
    <row r="13" spans="1:24" x14ac:dyDescent="0.25">
      <c r="A13" s="94">
        <f>$A12</f>
        <v>2</v>
      </c>
      <c r="B13" s="119"/>
      <c r="C13" s="93" t="str">
        <f>IF($B10&lt;&gt;"",C9,"")</f>
        <v>Tariff - variable</v>
      </c>
      <c r="D13" s="93" t="str">
        <f>IF($B10&lt;&gt;"",D9,"")</f>
        <v>EUR/MWh</v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6"/>
      <c r="W13" s="31" t="str">
        <f>INDEX(TBL_STORAGE_CONNECTIONS[StorageConnectionID],$A13)</f>
        <v>StorageConnection_001_001_001</v>
      </c>
      <c r="X13" s="31" t="str">
        <f>"StorageTariffVar_"&amp;RIGHT($W13,11)</f>
        <v>StorageTariffVar_001_001_001</v>
      </c>
    </row>
    <row r="14" spans="1:24" x14ac:dyDescent="0.25">
      <c r="A14" s="94">
        <f t="shared" ref="A14" si="0">$A10+1</f>
        <v>3</v>
      </c>
      <c r="B14" s="117" t="str">
        <f>IFERROR(INDEX(TBL_STORAGE_CONNECTIONS[Name],$A14),"")</f>
        <v>St B FR</v>
      </c>
      <c r="C14" s="93" t="str">
        <f t="shared" ref="C14:D14" si="1">IF($B14&lt;&gt;"",C10,"")</f>
        <v>Capacity - Min</v>
      </c>
      <c r="D14" s="93" t="str">
        <f t="shared" si="1"/>
        <v>mcm/day</v>
      </c>
      <c r="E14" s="27">
        <v>-1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5"/>
      <c r="W14" s="31" t="str">
        <f>INDEX(TBL_STORAGE_CONNECTIONS[StorageConnectionID],$A14)</f>
        <v>StorageConnection_002_002_001</v>
      </c>
      <c r="X14" s="31" t="str">
        <f>"StorageCapMin_"&amp;RIGHT($W14,11)</f>
        <v>StorageCapMin_002_002_001</v>
      </c>
    </row>
    <row r="15" spans="1:24" x14ac:dyDescent="0.25">
      <c r="A15" s="94">
        <f t="shared" ref="A15:A17" si="2">$A14</f>
        <v>3</v>
      </c>
      <c r="B15" s="118"/>
      <c r="C15" s="93" t="str">
        <f t="shared" ref="C15:D15" si="3">IF($B14&lt;&gt;"",C11,"")</f>
        <v>Capacity - Max</v>
      </c>
      <c r="D15" s="93" t="str">
        <f t="shared" si="3"/>
        <v>mcm/day</v>
      </c>
      <c r="E15" s="28">
        <v>6</v>
      </c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6"/>
      <c r="W15" s="31" t="str">
        <f>INDEX(TBL_STORAGE_CONNECTIONS[StorageConnectionID],$A15)</f>
        <v>StorageConnection_002_002_001</v>
      </c>
      <c r="X15" s="31" t="str">
        <f>"StorageCapMax_"&amp;RIGHT($W15,11)</f>
        <v>StorageCapMax_002_002_001</v>
      </c>
    </row>
    <row r="16" spans="1:24" x14ac:dyDescent="0.25">
      <c r="A16" s="94">
        <f t="shared" si="2"/>
        <v>3</v>
      </c>
      <c r="B16" s="118"/>
      <c r="C16" s="93" t="str">
        <f t="shared" ref="C16:D16" si="4">IF($B14&lt;&gt;"",C12,"")</f>
        <v>Tariff - fixed</v>
      </c>
      <c r="D16" s="93" t="str">
        <f t="shared" si="4"/>
        <v>EUR/month</v>
      </c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5"/>
      <c r="W16" s="31" t="str">
        <f>INDEX(TBL_STORAGE_CONNECTIONS[StorageConnectionID],$A16)</f>
        <v>StorageConnection_002_002_001</v>
      </c>
      <c r="X16" s="31" t="str">
        <f>"StorageTariffFixed_"&amp;RIGHT($W16,11)</f>
        <v>StorageTariffFixed_002_002_001</v>
      </c>
    </row>
    <row r="17" spans="1:24" x14ac:dyDescent="0.25">
      <c r="A17" s="94">
        <f t="shared" si="2"/>
        <v>3</v>
      </c>
      <c r="B17" s="119"/>
      <c r="C17" s="93" t="str">
        <f t="shared" ref="C17:D17" si="5">IF($B14&lt;&gt;"",C13,"")</f>
        <v>Tariff - variable</v>
      </c>
      <c r="D17" s="93" t="str">
        <f t="shared" si="5"/>
        <v>EUR/MWh</v>
      </c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6"/>
      <c r="W17" s="31" t="str">
        <f>INDEX(TBL_STORAGE_CONNECTIONS[StorageConnectionID],$A17)</f>
        <v>StorageConnection_002_002_001</v>
      </c>
      <c r="X17" s="31" t="str">
        <f>"StorageTariffVar_"&amp;RIGHT($W17,11)</f>
        <v>StorageTariffVar_002_002_001</v>
      </c>
    </row>
    <row r="18" spans="1:24" x14ac:dyDescent="0.25">
      <c r="A18" s="94">
        <f t="shared" ref="A18" si="6">$A14+1</f>
        <v>4</v>
      </c>
      <c r="B18" s="117" t="str">
        <f>IFERROR(INDEX(TBL_STORAGE_CONNECTIONS[Name],$A18),"")</f>
        <v>St A DE II</v>
      </c>
      <c r="C18" s="93" t="str">
        <f t="shared" ref="C18:D18" si="7">IF($B18&lt;&gt;"",C14,"")</f>
        <v>Capacity - Min</v>
      </c>
      <c r="D18" s="93" t="str">
        <f t="shared" si="7"/>
        <v>mcm/day</v>
      </c>
      <c r="E18" s="27">
        <v>-2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5"/>
      <c r="W18" s="31" t="str">
        <f>INDEX(TBL_STORAGE_CONNECTIONS[StorageConnectionID],$A18)</f>
        <v>StorageConnection_001_001_002</v>
      </c>
      <c r="X18" s="31" t="str">
        <f>"StorageCapMin_"&amp;RIGHT($W18,11)</f>
        <v>StorageCapMin_001_001_002</v>
      </c>
    </row>
    <row r="19" spans="1:24" x14ac:dyDescent="0.25">
      <c r="A19" s="94">
        <f t="shared" ref="A19:A21" si="8">$A18</f>
        <v>4</v>
      </c>
      <c r="B19" s="118"/>
      <c r="C19" s="93" t="str">
        <f t="shared" ref="C19:D19" si="9">IF($B18&lt;&gt;"",C15,"")</f>
        <v>Capacity - Max</v>
      </c>
      <c r="D19" s="93" t="str">
        <f t="shared" si="9"/>
        <v>mcm/day</v>
      </c>
      <c r="E19" s="28">
        <v>2</v>
      </c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6"/>
      <c r="W19" s="31" t="str">
        <f>INDEX(TBL_STORAGE_CONNECTIONS[StorageConnectionID],$A19)</f>
        <v>StorageConnection_001_001_002</v>
      </c>
      <c r="X19" s="31" t="str">
        <f>"StorageCapMax_"&amp;RIGHT($W19,11)</f>
        <v>StorageCapMax_001_001_002</v>
      </c>
    </row>
    <row r="20" spans="1:24" x14ac:dyDescent="0.25">
      <c r="A20" s="94">
        <f t="shared" si="8"/>
        <v>4</v>
      </c>
      <c r="B20" s="118"/>
      <c r="C20" s="93" t="str">
        <f t="shared" ref="C20:D20" si="10">IF($B18&lt;&gt;"",C16,"")</f>
        <v>Tariff - fixed</v>
      </c>
      <c r="D20" s="93" t="str">
        <f t="shared" si="10"/>
        <v>EUR/month</v>
      </c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5"/>
      <c r="W20" s="31" t="str">
        <f>INDEX(TBL_STORAGE_CONNECTIONS[StorageConnectionID],$A20)</f>
        <v>StorageConnection_001_001_002</v>
      </c>
      <c r="X20" s="31" t="str">
        <f>"StorageTariffFixed_"&amp;RIGHT($W20,11)</f>
        <v>StorageTariffFixed_001_001_002</v>
      </c>
    </row>
    <row r="21" spans="1:24" x14ac:dyDescent="0.25">
      <c r="A21" s="94">
        <f t="shared" si="8"/>
        <v>4</v>
      </c>
      <c r="B21" s="119"/>
      <c r="C21" s="93" t="str">
        <f t="shared" ref="C21:D21" si="11">IF($B18&lt;&gt;"",C17,"")</f>
        <v>Tariff - variable</v>
      </c>
      <c r="D21" s="93" t="str">
        <f t="shared" si="11"/>
        <v>EUR/MWh</v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6"/>
      <c r="W21" s="31" t="str">
        <f>INDEX(TBL_STORAGE_CONNECTIONS[StorageConnectionID],$A21)</f>
        <v>StorageConnection_001_001_002</v>
      </c>
      <c r="X21" s="31" t="str">
        <f>"StorageTariffVar_"&amp;RIGHT($W21,11)</f>
        <v>StorageTariffVar_001_001_002</v>
      </c>
    </row>
    <row r="22" spans="1:24" x14ac:dyDescent="0.25">
      <c r="A22" s="94">
        <f t="shared" ref="A22" si="12">$A18+1</f>
        <v>5</v>
      </c>
      <c r="B22" s="117" t="str">
        <f>IFERROR(INDEX(TBL_STORAGE_CONNECTIONS[Name],$A22),"")</f>
        <v/>
      </c>
      <c r="C22" s="93" t="str">
        <f t="shared" ref="C22:D22" si="13">IF($B22&lt;&gt;"",C18,"")</f>
        <v/>
      </c>
      <c r="D22" s="93" t="str">
        <f t="shared" si="13"/>
        <v/>
      </c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5"/>
      <c r="W22" s="31" t="e">
        <f>INDEX(TBL_STORAGE_CONNECTIONS[StorageConnectionID],$A22)</f>
        <v>#REF!</v>
      </c>
      <c r="X22" s="31" t="e">
        <f>"StorageCapMin_"&amp;RIGHT($W22,11)</f>
        <v>#REF!</v>
      </c>
    </row>
    <row r="23" spans="1:24" x14ac:dyDescent="0.25">
      <c r="A23" s="94">
        <f t="shared" ref="A23:A25" si="14">$A22</f>
        <v>5</v>
      </c>
      <c r="B23" s="118"/>
      <c r="C23" s="93" t="str">
        <f t="shared" ref="C23:D23" si="15">IF($B22&lt;&gt;"",C19,"")</f>
        <v/>
      </c>
      <c r="D23" s="93" t="str">
        <f t="shared" si="15"/>
        <v/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6"/>
      <c r="W23" s="31" t="e">
        <f>INDEX(TBL_STORAGE_CONNECTIONS[StorageConnectionID],$A23)</f>
        <v>#REF!</v>
      </c>
      <c r="X23" s="31" t="e">
        <f>"StorageCapMax_"&amp;RIGHT($W23,11)</f>
        <v>#REF!</v>
      </c>
    </row>
    <row r="24" spans="1:24" x14ac:dyDescent="0.25">
      <c r="A24" s="94">
        <f t="shared" si="14"/>
        <v>5</v>
      </c>
      <c r="B24" s="118"/>
      <c r="C24" s="93" t="str">
        <f t="shared" ref="C24:D24" si="16">IF($B22&lt;&gt;"",C20,"")</f>
        <v/>
      </c>
      <c r="D24" s="93" t="str">
        <f t="shared" si="16"/>
        <v/>
      </c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5"/>
      <c r="W24" s="31" t="e">
        <f>INDEX(TBL_STORAGE_CONNECTIONS[StorageConnectionID],$A24)</f>
        <v>#REF!</v>
      </c>
      <c r="X24" s="31" t="e">
        <f>"StorageTariffFixed_"&amp;RIGHT($W24,11)</f>
        <v>#REF!</v>
      </c>
    </row>
    <row r="25" spans="1:24" x14ac:dyDescent="0.25">
      <c r="A25" s="94">
        <f t="shared" si="14"/>
        <v>5</v>
      </c>
      <c r="B25" s="119"/>
      <c r="C25" s="93" t="str">
        <f t="shared" ref="C25:D25" si="17">IF($B22&lt;&gt;"",C21,"")</f>
        <v/>
      </c>
      <c r="D25" s="93" t="str">
        <f t="shared" si="17"/>
        <v/>
      </c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6"/>
      <c r="W25" s="31" t="e">
        <f>INDEX(TBL_STORAGE_CONNECTIONS[StorageConnectionID],$A25)</f>
        <v>#REF!</v>
      </c>
      <c r="X25" s="31" t="e">
        <f>"StorageTariffVar_"&amp;RIGHT($W25,11)</f>
        <v>#REF!</v>
      </c>
    </row>
    <row r="26" spans="1:24" x14ac:dyDescent="0.25">
      <c r="A26" s="94">
        <f t="shared" ref="A26" si="18">$A22+1</f>
        <v>6</v>
      </c>
      <c r="B26" s="117" t="str">
        <f>IFERROR(INDEX(TBL_STORAGE_CONNECTIONS[Name],$A26),"")</f>
        <v/>
      </c>
      <c r="C26" s="93" t="str">
        <f t="shared" ref="C26:D26" si="19">IF($B26&lt;&gt;"",C22,"")</f>
        <v/>
      </c>
      <c r="D26" s="93" t="str">
        <f t="shared" si="19"/>
        <v/>
      </c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5"/>
      <c r="W26" s="31" t="e">
        <f>INDEX(TBL_STORAGE_CONNECTIONS[StorageConnectionID],$A26)</f>
        <v>#REF!</v>
      </c>
      <c r="X26" s="31" t="e">
        <f>"StorageCapMin_"&amp;RIGHT($W26,11)</f>
        <v>#REF!</v>
      </c>
    </row>
    <row r="27" spans="1:24" x14ac:dyDescent="0.25">
      <c r="A27" s="94">
        <f t="shared" ref="A27:A29" si="20">$A26</f>
        <v>6</v>
      </c>
      <c r="B27" s="118"/>
      <c r="C27" s="93" t="str">
        <f t="shared" ref="C27:D27" si="21">IF($B26&lt;&gt;"",C23,"")</f>
        <v/>
      </c>
      <c r="D27" s="93" t="str">
        <f t="shared" si="21"/>
        <v/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6"/>
      <c r="W27" s="31" t="e">
        <f>INDEX(TBL_STORAGE_CONNECTIONS[StorageConnectionID],$A27)</f>
        <v>#REF!</v>
      </c>
      <c r="X27" s="31" t="e">
        <f>"StorageCapMax_"&amp;RIGHT($W27,11)</f>
        <v>#REF!</v>
      </c>
    </row>
    <row r="28" spans="1:24" x14ac:dyDescent="0.25">
      <c r="A28" s="94">
        <f t="shared" si="20"/>
        <v>6</v>
      </c>
      <c r="B28" s="118"/>
      <c r="C28" s="93" t="str">
        <f t="shared" ref="C28:D28" si="22">IF($B26&lt;&gt;"",C24,"")</f>
        <v/>
      </c>
      <c r="D28" s="93" t="str">
        <f t="shared" si="22"/>
        <v/>
      </c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5"/>
      <c r="W28" s="31" t="e">
        <f>INDEX(TBL_STORAGE_CONNECTIONS[StorageConnectionID],$A28)</f>
        <v>#REF!</v>
      </c>
      <c r="X28" s="31" t="e">
        <f>"StorageTariffFixed_"&amp;RIGHT($W28,11)</f>
        <v>#REF!</v>
      </c>
    </row>
    <row r="29" spans="1:24" x14ac:dyDescent="0.25">
      <c r="A29" s="94">
        <f t="shared" si="20"/>
        <v>6</v>
      </c>
      <c r="B29" s="119"/>
      <c r="C29" s="93" t="str">
        <f t="shared" ref="C29:D29" si="23">IF($B26&lt;&gt;"",C25,"")</f>
        <v/>
      </c>
      <c r="D29" s="93" t="str">
        <f t="shared" si="23"/>
        <v/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6"/>
      <c r="W29" s="31" t="e">
        <f>INDEX(TBL_STORAGE_CONNECTIONS[StorageConnectionID],$A29)</f>
        <v>#REF!</v>
      </c>
      <c r="X29" s="31" t="e">
        <f>"StorageTariffVar_"&amp;RIGHT($W29,11)</f>
        <v>#REF!</v>
      </c>
    </row>
    <row r="30" spans="1:24" x14ac:dyDescent="0.25">
      <c r="A30" s="94">
        <f t="shared" ref="A30" si="24">$A26+1</f>
        <v>7</v>
      </c>
      <c r="B30" s="117" t="str">
        <f>IFERROR(INDEX(TBL_STORAGE_CONNECTIONS[Name],$A30),"")</f>
        <v/>
      </c>
      <c r="C30" s="93" t="str">
        <f t="shared" ref="C30:D30" si="25">IF($B30&lt;&gt;"",C26,"")</f>
        <v/>
      </c>
      <c r="D30" s="93" t="str">
        <f t="shared" si="25"/>
        <v/>
      </c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5"/>
      <c r="W30" s="31" t="e">
        <f>INDEX(TBL_STORAGE_CONNECTIONS[StorageConnectionID],$A30)</f>
        <v>#REF!</v>
      </c>
      <c r="X30" s="31" t="e">
        <f>"StorageCapMin_"&amp;RIGHT($W30,11)</f>
        <v>#REF!</v>
      </c>
    </row>
    <row r="31" spans="1:24" x14ac:dyDescent="0.25">
      <c r="A31" s="94">
        <f t="shared" ref="A31:A33" si="26">$A30</f>
        <v>7</v>
      </c>
      <c r="B31" s="118"/>
      <c r="C31" s="93" t="str">
        <f t="shared" ref="C31:D31" si="27">IF($B30&lt;&gt;"",C27,"")</f>
        <v/>
      </c>
      <c r="D31" s="93" t="str">
        <f t="shared" si="27"/>
        <v/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6"/>
      <c r="W31" s="31" t="e">
        <f>INDEX(TBL_STORAGE_CONNECTIONS[StorageConnectionID],$A31)</f>
        <v>#REF!</v>
      </c>
      <c r="X31" s="31" t="e">
        <f>"StorageCapMax_"&amp;RIGHT($W31,11)</f>
        <v>#REF!</v>
      </c>
    </row>
    <row r="32" spans="1:24" x14ac:dyDescent="0.25">
      <c r="A32" s="94">
        <f t="shared" si="26"/>
        <v>7</v>
      </c>
      <c r="B32" s="118"/>
      <c r="C32" s="93" t="str">
        <f t="shared" ref="C32:D32" si="28">IF($B30&lt;&gt;"",C28,"")</f>
        <v/>
      </c>
      <c r="D32" s="93" t="str">
        <f t="shared" si="28"/>
        <v/>
      </c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5"/>
      <c r="W32" s="31" t="e">
        <f>INDEX(TBL_STORAGE_CONNECTIONS[StorageConnectionID],$A32)</f>
        <v>#REF!</v>
      </c>
      <c r="X32" s="31" t="e">
        <f>"StorageTariffFixed_"&amp;RIGHT($W32,11)</f>
        <v>#REF!</v>
      </c>
    </row>
    <row r="33" spans="1:24" x14ac:dyDescent="0.25">
      <c r="A33" s="94">
        <f t="shared" si="26"/>
        <v>7</v>
      </c>
      <c r="B33" s="119"/>
      <c r="C33" s="93" t="str">
        <f t="shared" ref="C33:D33" si="29">IF($B30&lt;&gt;"",C29,"")</f>
        <v/>
      </c>
      <c r="D33" s="93" t="str">
        <f t="shared" si="29"/>
        <v/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6"/>
      <c r="W33" s="31" t="e">
        <f>INDEX(TBL_STORAGE_CONNECTIONS[StorageConnectionID],$A33)</f>
        <v>#REF!</v>
      </c>
      <c r="X33" s="31" t="e">
        <f>"StorageTariffVar_"&amp;RIGHT($W33,11)</f>
        <v>#REF!</v>
      </c>
    </row>
    <row r="34" spans="1:24" x14ac:dyDescent="0.25">
      <c r="A34" s="94">
        <f t="shared" ref="A34" si="30">$A30+1</f>
        <v>8</v>
      </c>
      <c r="B34" s="117" t="str">
        <f>IFERROR(INDEX(TBL_STORAGE_CONNECTIONS[Name],$A34),"")</f>
        <v/>
      </c>
      <c r="C34" s="93" t="str">
        <f t="shared" ref="C34:D34" si="31">IF($B34&lt;&gt;"",C30,"")</f>
        <v/>
      </c>
      <c r="D34" s="93" t="str">
        <f t="shared" si="31"/>
        <v/>
      </c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5"/>
      <c r="W34" s="31" t="e">
        <f>INDEX(TBL_STORAGE_CONNECTIONS[StorageConnectionID],$A34)</f>
        <v>#REF!</v>
      </c>
      <c r="X34" s="31" t="e">
        <f>"StorageCapMin_"&amp;RIGHT($W34,11)</f>
        <v>#REF!</v>
      </c>
    </row>
    <row r="35" spans="1:24" x14ac:dyDescent="0.25">
      <c r="A35" s="94">
        <f t="shared" ref="A35:A37" si="32">$A34</f>
        <v>8</v>
      </c>
      <c r="B35" s="118"/>
      <c r="C35" s="93" t="str">
        <f t="shared" ref="C35:D35" si="33">IF($B34&lt;&gt;"",C31,"")</f>
        <v/>
      </c>
      <c r="D35" s="93" t="str">
        <f t="shared" si="33"/>
        <v/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6"/>
      <c r="W35" s="31" t="e">
        <f>INDEX(TBL_STORAGE_CONNECTIONS[StorageConnectionID],$A35)</f>
        <v>#REF!</v>
      </c>
      <c r="X35" s="31" t="e">
        <f>"StorageCapMax_"&amp;RIGHT($W35,11)</f>
        <v>#REF!</v>
      </c>
    </row>
    <row r="36" spans="1:24" x14ac:dyDescent="0.25">
      <c r="A36" s="94">
        <f t="shared" si="32"/>
        <v>8</v>
      </c>
      <c r="B36" s="118"/>
      <c r="C36" s="93" t="str">
        <f t="shared" ref="C36:D36" si="34">IF($B34&lt;&gt;"",C32,"")</f>
        <v/>
      </c>
      <c r="D36" s="93" t="str">
        <f t="shared" si="34"/>
        <v/>
      </c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5"/>
      <c r="W36" s="31" t="e">
        <f>INDEX(TBL_STORAGE_CONNECTIONS[StorageConnectionID],$A36)</f>
        <v>#REF!</v>
      </c>
      <c r="X36" s="31" t="e">
        <f>"StorageTariffFixed_"&amp;RIGHT($W36,11)</f>
        <v>#REF!</v>
      </c>
    </row>
    <row r="37" spans="1:24" x14ac:dyDescent="0.25">
      <c r="A37" s="94">
        <f t="shared" si="32"/>
        <v>8</v>
      </c>
      <c r="B37" s="119"/>
      <c r="C37" s="93" t="str">
        <f t="shared" ref="C37:D37" si="35">IF($B34&lt;&gt;"",C33,"")</f>
        <v/>
      </c>
      <c r="D37" s="93" t="str">
        <f t="shared" si="35"/>
        <v/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6"/>
      <c r="W37" s="31" t="e">
        <f>INDEX(TBL_STORAGE_CONNECTIONS[StorageConnectionID],$A37)</f>
        <v>#REF!</v>
      </c>
      <c r="X37" s="31" t="e">
        <f>"StorageTariffVar_"&amp;RIGHT($W37,11)</f>
        <v>#REF!</v>
      </c>
    </row>
    <row r="38" spans="1:24" x14ac:dyDescent="0.25">
      <c r="A38" s="94">
        <f t="shared" ref="A38" si="36">$A34+1</f>
        <v>9</v>
      </c>
      <c r="B38" s="117" t="str">
        <f>IFERROR(INDEX(TBL_STORAGE_CONNECTIONS[Name],$A38),"")</f>
        <v/>
      </c>
      <c r="C38" s="93" t="str">
        <f t="shared" ref="C38:D38" si="37">IF($B38&lt;&gt;"",C34,"")</f>
        <v/>
      </c>
      <c r="D38" s="93" t="str">
        <f t="shared" si="37"/>
        <v/>
      </c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5"/>
      <c r="W38" s="31" t="e">
        <f>INDEX(TBL_STORAGE_CONNECTIONS[StorageConnectionID],$A38)</f>
        <v>#REF!</v>
      </c>
      <c r="X38" s="31" t="e">
        <f>"StorageCapMin_"&amp;RIGHT($W38,11)</f>
        <v>#REF!</v>
      </c>
    </row>
    <row r="39" spans="1:24" x14ac:dyDescent="0.25">
      <c r="A39" s="94">
        <f t="shared" ref="A39:A57" si="38">$A38</f>
        <v>9</v>
      </c>
      <c r="B39" s="118"/>
      <c r="C39" s="93" t="str">
        <f t="shared" ref="C39:D39" si="39">IF($B38&lt;&gt;"",C35,"")</f>
        <v/>
      </c>
      <c r="D39" s="93" t="str">
        <f t="shared" si="39"/>
        <v/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6"/>
      <c r="W39" s="31" t="e">
        <f>INDEX(TBL_STORAGE_CONNECTIONS[StorageConnectionID],$A39)</f>
        <v>#REF!</v>
      </c>
      <c r="X39" s="31" t="e">
        <f>"StorageCapMax_"&amp;RIGHT($W39,11)</f>
        <v>#REF!</v>
      </c>
    </row>
    <row r="40" spans="1:24" x14ac:dyDescent="0.25">
      <c r="A40" s="94">
        <f t="shared" si="38"/>
        <v>9</v>
      </c>
      <c r="B40" s="118"/>
      <c r="C40" s="93" t="str">
        <f t="shared" ref="C40:D40" si="40">IF($B38&lt;&gt;"",C36,"")</f>
        <v/>
      </c>
      <c r="D40" s="93" t="str">
        <f t="shared" si="40"/>
        <v/>
      </c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5"/>
      <c r="W40" s="31" t="e">
        <f>INDEX(TBL_STORAGE_CONNECTIONS[StorageConnectionID],$A40)</f>
        <v>#REF!</v>
      </c>
      <c r="X40" s="31" t="e">
        <f>"StorageTariffFixed_"&amp;RIGHT($W40,11)</f>
        <v>#REF!</v>
      </c>
    </row>
    <row r="41" spans="1:24" x14ac:dyDescent="0.25">
      <c r="A41" s="94">
        <f t="shared" si="38"/>
        <v>9</v>
      </c>
      <c r="B41" s="119"/>
      <c r="C41" s="93" t="str">
        <f t="shared" ref="C41:D41" si="41">IF($B38&lt;&gt;"",C37,"")</f>
        <v/>
      </c>
      <c r="D41" s="93" t="str">
        <f t="shared" si="41"/>
        <v/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6"/>
      <c r="W41" s="31" t="e">
        <f>INDEX(TBL_STORAGE_CONNECTIONS[StorageConnectionID],$A41)</f>
        <v>#REF!</v>
      </c>
      <c r="X41" s="31" t="e">
        <f>"StorageTariffVar_"&amp;RIGHT($W41,11)</f>
        <v>#REF!</v>
      </c>
    </row>
    <row r="42" spans="1:24" x14ac:dyDescent="0.25">
      <c r="A42" s="94">
        <f t="shared" ref="A42" si="42">$A38+1</f>
        <v>10</v>
      </c>
      <c r="B42" s="117" t="str">
        <f>IFERROR(INDEX(TBL_STORAGE_CONNECTIONS[Name],$A42),"")</f>
        <v/>
      </c>
      <c r="C42" s="93" t="str">
        <f t="shared" ref="C42:D42" si="43">IF($B42&lt;&gt;"",C38,"")</f>
        <v/>
      </c>
      <c r="D42" s="93" t="str">
        <f t="shared" si="43"/>
        <v/>
      </c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5"/>
      <c r="W42" s="31" t="e">
        <f>INDEX(TBL_STORAGE_CONNECTIONS[StorageConnectionID],$A42)</f>
        <v>#REF!</v>
      </c>
      <c r="X42" s="31" t="e">
        <f>"StorageCapMin_"&amp;RIGHT($W42,11)</f>
        <v>#REF!</v>
      </c>
    </row>
    <row r="43" spans="1:24" x14ac:dyDescent="0.25">
      <c r="A43" s="94">
        <f t="shared" si="38"/>
        <v>10</v>
      </c>
      <c r="B43" s="118"/>
      <c r="C43" s="93" t="str">
        <f t="shared" ref="C43:D43" si="44">IF($B42&lt;&gt;"",C39,"")</f>
        <v/>
      </c>
      <c r="D43" s="93" t="str">
        <f t="shared" si="44"/>
        <v/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6"/>
      <c r="W43" s="31" t="e">
        <f>INDEX(TBL_STORAGE_CONNECTIONS[StorageConnectionID],$A43)</f>
        <v>#REF!</v>
      </c>
      <c r="X43" s="31" t="e">
        <f>"StorageCapMax_"&amp;RIGHT($W43,11)</f>
        <v>#REF!</v>
      </c>
    </row>
    <row r="44" spans="1:24" x14ac:dyDescent="0.25">
      <c r="A44" s="94">
        <f t="shared" si="38"/>
        <v>10</v>
      </c>
      <c r="B44" s="118"/>
      <c r="C44" s="93" t="str">
        <f t="shared" ref="C44:D44" si="45">IF($B42&lt;&gt;"",C40,"")</f>
        <v/>
      </c>
      <c r="D44" s="93" t="str">
        <f t="shared" si="45"/>
        <v/>
      </c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5"/>
      <c r="W44" s="31" t="e">
        <f>INDEX(TBL_STORAGE_CONNECTIONS[StorageConnectionID],$A44)</f>
        <v>#REF!</v>
      </c>
      <c r="X44" s="31" t="e">
        <f>"StorageTariffFixed_"&amp;RIGHT($W44,11)</f>
        <v>#REF!</v>
      </c>
    </row>
    <row r="45" spans="1:24" x14ac:dyDescent="0.25">
      <c r="A45" s="94">
        <f t="shared" si="38"/>
        <v>10</v>
      </c>
      <c r="B45" s="119"/>
      <c r="C45" s="93" t="str">
        <f t="shared" ref="C45:D45" si="46">IF($B42&lt;&gt;"",C41,"")</f>
        <v/>
      </c>
      <c r="D45" s="93" t="str">
        <f t="shared" si="46"/>
        <v/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6"/>
      <c r="W45" s="31" t="e">
        <f>INDEX(TBL_STORAGE_CONNECTIONS[StorageConnectionID],$A45)</f>
        <v>#REF!</v>
      </c>
      <c r="X45" s="31" t="e">
        <f>"StorageTariffVar_"&amp;RIGHT($W45,11)</f>
        <v>#REF!</v>
      </c>
    </row>
    <row r="46" spans="1:24" x14ac:dyDescent="0.25">
      <c r="A46" s="94">
        <f t="shared" ref="A46" si="47">$A42+1</f>
        <v>11</v>
      </c>
      <c r="B46" s="117" t="str">
        <f>IFERROR(INDEX(TBL_STORAGE_CONNECTIONS[Name],$A46),"")</f>
        <v/>
      </c>
      <c r="C46" s="93" t="str">
        <f t="shared" ref="C46:D46" si="48">IF($B46&lt;&gt;"",C42,"")</f>
        <v/>
      </c>
      <c r="D46" s="93" t="str">
        <f t="shared" si="48"/>
        <v/>
      </c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5"/>
      <c r="W46" s="31" t="e">
        <f>INDEX(TBL_STORAGE_CONNECTIONS[StorageConnectionID],$A46)</f>
        <v>#REF!</v>
      </c>
      <c r="X46" s="31" t="e">
        <f>"StorageCapMin_"&amp;RIGHT($W46,11)</f>
        <v>#REF!</v>
      </c>
    </row>
    <row r="47" spans="1:24" x14ac:dyDescent="0.25">
      <c r="A47" s="94">
        <f t="shared" si="38"/>
        <v>11</v>
      </c>
      <c r="B47" s="118"/>
      <c r="C47" s="93" t="str">
        <f t="shared" ref="C47:D47" si="49">IF($B46&lt;&gt;"",C43,"")</f>
        <v/>
      </c>
      <c r="D47" s="93" t="str">
        <f t="shared" si="49"/>
        <v/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6"/>
      <c r="W47" s="31" t="e">
        <f>INDEX(TBL_STORAGE_CONNECTIONS[StorageConnectionID],$A47)</f>
        <v>#REF!</v>
      </c>
      <c r="X47" s="31" t="e">
        <f>"StorageCapMax_"&amp;RIGHT($W47,11)</f>
        <v>#REF!</v>
      </c>
    </row>
    <row r="48" spans="1:24" x14ac:dyDescent="0.25">
      <c r="A48" s="94">
        <f t="shared" si="38"/>
        <v>11</v>
      </c>
      <c r="B48" s="118"/>
      <c r="C48" s="93" t="str">
        <f t="shared" ref="C48:D48" si="50">IF($B46&lt;&gt;"",C44,"")</f>
        <v/>
      </c>
      <c r="D48" s="93" t="str">
        <f t="shared" si="50"/>
        <v/>
      </c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5"/>
      <c r="W48" s="31" t="e">
        <f>INDEX(TBL_STORAGE_CONNECTIONS[StorageConnectionID],$A48)</f>
        <v>#REF!</v>
      </c>
      <c r="X48" s="31" t="e">
        <f>"StorageTariffFixed_"&amp;RIGHT($W48,11)</f>
        <v>#REF!</v>
      </c>
    </row>
    <row r="49" spans="1:24" x14ac:dyDescent="0.25">
      <c r="A49" s="94">
        <f t="shared" si="38"/>
        <v>11</v>
      </c>
      <c r="B49" s="119"/>
      <c r="C49" s="93" t="str">
        <f t="shared" ref="C49:D49" si="51">IF($B46&lt;&gt;"",C45,"")</f>
        <v/>
      </c>
      <c r="D49" s="93" t="str">
        <f t="shared" si="51"/>
        <v/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6"/>
      <c r="W49" s="31" t="e">
        <f>INDEX(TBL_STORAGE_CONNECTIONS[StorageConnectionID],$A49)</f>
        <v>#REF!</v>
      </c>
      <c r="X49" s="31" t="e">
        <f>"StorageTariffVar_"&amp;RIGHT($W49,11)</f>
        <v>#REF!</v>
      </c>
    </row>
    <row r="50" spans="1:24" x14ac:dyDescent="0.25">
      <c r="A50" s="94">
        <f t="shared" ref="A50" si="52">$A46+1</f>
        <v>12</v>
      </c>
      <c r="B50" s="117" t="str">
        <f>IFERROR(INDEX(TBL_STORAGE_CONNECTIONS[Name],$A50),"")</f>
        <v/>
      </c>
      <c r="C50" s="93" t="str">
        <f t="shared" ref="C50:D50" si="53">IF($B50&lt;&gt;"",C46,"")</f>
        <v/>
      </c>
      <c r="D50" s="93" t="str">
        <f t="shared" si="53"/>
        <v/>
      </c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5"/>
      <c r="W50" s="31" t="e">
        <f>INDEX(TBL_STORAGE_CONNECTIONS[StorageConnectionID],$A50)</f>
        <v>#REF!</v>
      </c>
      <c r="X50" s="31" t="e">
        <f>"StorageCapMin_"&amp;RIGHT($W50,11)</f>
        <v>#REF!</v>
      </c>
    </row>
    <row r="51" spans="1:24" x14ac:dyDescent="0.25">
      <c r="A51" s="94">
        <f t="shared" si="38"/>
        <v>12</v>
      </c>
      <c r="B51" s="118"/>
      <c r="C51" s="93" t="str">
        <f t="shared" ref="C51:D51" si="54">IF($B50&lt;&gt;"",C47,"")</f>
        <v/>
      </c>
      <c r="D51" s="93" t="str">
        <f t="shared" si="54"/>
        <v/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6"/>
      <c r="W51" s="31" t="e">
        <f>INDEX(TBL_STORAGE_CONNECTIONS[StorageConnectionID],$A51)</f>
        <v>#REF!</v>
      </c>
      <c r="X51" s="31" t="e">
        <f>"StorageCapMax_"&amp;RIGHT($W51,11)</f>
        <v>#REF!</v>
      </c>
    </row>
    <row r="52" spans="1:24" x14ac:dyDescent="0.25">
      <c r="A52" s="94">
        <f t="shared" si="38"/>
        <v>12</v>
      </c>
      <c r="B52" s="118"/>
      <c r="C52" s="93" t="str">
        <f t="shared" ref="C52:D52" si="55">IF($B50&lt;&gt;"",C48,"")</f>
        <v/>
      </c>
      <c r="D52" s="93" t="str">
        <f t="shared" si="55"/>
        <v/>
      </c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5"/>
      <c r="W52" s="31" t="e">
        <f>INDEX(TBL_STORAGE_CONNECTIONS[StorageConnectionID],$A52)</f>
        <v>#REF!</v>
      </c>
      <c r="X52" s="31" t="e">
        <f>"StorageTariffFixed_"&amp;RIGHT($W52,11)</f>
        <v>#REF!</v>
      </c>
    </row>
    <row r="53" spans="1:24" x14ac:dyDescent="0.25">
      <c r="A53" s="94">
        <f t="shared" si="38"/>
        <v>12</v>
      </c>
      <c r="B53" s="119"/>
      <c r="C53" s="93" t="str">
        <f t="shared" ref="C53:D53" si="56">IF($B50&lt;&gt;"",C49,"")</f>
        <v/>
      </c>
      <c r="D53" s="93" t="str">
        <f t="shared" si="56"/>
        <v/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6"/>
      <c r="W53" s="31" t="e">
        <f>INDEX(TBL_STORAGE_CONNECTIONS[StorageConnectionID],$A53)</f>
        <v>#REF!</v>
      </c>
      <c r="X53" s="31" t="e">
        <f>"StorageTariffVar_"&amp;RIGHT($W53,11)</f>
        <v>#REF!</v>
      </c>
    </row>
    <row r="54" spans="1:24" x14ac:dyDescent="0.25">
      <c r="A54" s="94">
        <f t="shared" ref="A54" si="57">$A50+1</f>
        <v>13</v>
      </c>
      <c r="B54" s="117" t="str">
        <f>IFERROR(INDEX(TBL_STORAGE_CONNECTIONS[Name],$A54),"")</f>
        <v/>
      </c>
      <c r="C54" s="93" t="str">
        <f t="shared" ref="C54:D54" si="58">IF($B54&lt;&gt;"",C50,"")</f>
        <v/>
      </c>
      <c r="D54" s="93" t="str">
        <f t="shared" si="58"/>
        <v/>
      </c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5"/>
      <c r="W54" s="31" t="e">
        <f>INDEX(TBL_STORAGE_CONNECTIONS[StorageConnectionID],$A54)</f>
        <v>#REF!</v>
      </c>
      <c r="X54" s="31" t="e">
        <f>"StorageCapMin_"&amp;RIGHT($W54,11)</f>
        <v>#REF!</v>
      </c>
    </row>
    <row r="55" spans="1:24" x14ac:dyDescent="0.25">
      <c r="A55" s="94">
        <f t="shared" si="38"/>
        <v>13</v>
      </c>
      <c r="B55" s="118"/>
      <c r="C55" s="93" t="str">
        <f t="shared" ref="C55:D55" si="59">IF($B54&lt;&gt;"",C51,"")</f>
        <v/>
      </c>
      <c r="D55" s="93" t="str">
        <f t="shared" si="59"/>
        <v/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6"/>
      <c r="W55" s="31" t="e">
        <f>INDEX(TBL_STORAGE_CONNECTIONS[StorageConnectionID],$A55)</f>
        <v>#REF!</v>
      </c>
      <c r="X55" s="31" t="e">
        <f>"StorageCapMax_"&amp;RIGHT($W55,11)</f>
        <v>#REF!</v>
      </c>
    </row>
    <row r="56" spans="1:24" x14ac:dyDescent="0.25">
      <c r="A56" s="94">
        <f t="shared" si="38"/>
        <v>13</v>
      </c>
      <c r="B56" s="118"/>
      <c r="C56" s="93" t="str">
        <f t="shared" ref="C56:D56" si="60">IF($B54&lt;&gt;"",C52,"")</f>
        <v/>
      </c>
      <c r="D56" s="93" t="str">
        <f t="shared" si="60"/>
        <v/>
      </c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5"/>
      <c r="W56" s="31" t="e">
        <f>INDEX(TBL_STORAGE_CONNECTIONS[StorageConnectionID],$A56)</f>
        <v>#REF!</v>
      </c>
      <c r="X56" s="31" t="e">
        <f>"StorageTariffFixed_"&amp;RIGHT($W56,11)</f>
        <v>#REF!</v>
      </c>
    </row>
    <row r="57" spans="1:24" x14ac:dyDescent="0.25">
      <c r="A57" s="94">
        <f t="shared" si="38"/>
        <v>13</v>
      </c>
      <c r="B57" s="119"/>
      <c r="C57" s="93" t="str">
        <f t="shared" ref="C57:D57" si="61">IF($B54&lt;&gt;"",C53,"")</f>
        <v/>
      </c>
      <c r="D57" s="93" t="str">
        <f t="shared" si="61"/>
        <v/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6"/>
      <c r="W57" s="31" t="e">
        <f>INDEX(TBL_STORAGE_CONNECTIONS[StorageConnectionID],$A57)</f>
        <v>#REF!</v>
      </c>
      <c r="X57" s="31" t="e">
        <f>"StorageTariffVar_"&amp;RIGHT($W57,11)</f>
        <v>#REF!</v>
      </c>
    </row>
    <row r="58" spans="1:24" x14ac:dyDescent="0.25">
      <c r="A58" s="94">
        <f t="shared" ref="A58" si="62">$A54+1</f>
        <v>14</v>
      </c>
      <c r="B58" s="117" t="str">
        <f>IFERROR(INDEX(TBL_STORAGE_CONNECTIONS[Name],$A58),"")</f>
        <v/>
      </c>
      <c r="C58" s="93" t="str">
        <f t="shared" ref="C58:D58" si="63">IF($B58&lt;&gt;"",C54,"")</f>
        <v/>
      </c>
      <c r="D58" s="93" t="str">
        <f t="shared" si="63"/>
        <v/>
      </c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5"/>
      <c r="W58" s="31" t="e">
        <f>INDEX(TBL_STORAGE_CONNECTIONS[StorageConnectionID],$A58)</f>
        <v>#REF!</v>
      </c>
      <c r="X58" s="31" t="e">
        <f>"StorageCapMin_"&amp;RIGHT($W58,11)</f>
        <v>#REF!</v>
      </c>
    </row>
    <row r="59" spans="1:24" x14ac:dyDescent="0.25">
      <c r="A59" s="94">
        <f t="shared" ref="A59:A61" si="64">$A58</f>
        <v>14</v>
      </c>
      <c r="B59" s="118"/>
      <c r="C59" s="93" t="str">
        <f t="shared" ref="C59:D59" si="65">IF($B58&lt;&gt;"",C55,"")</f>
        <v/>
      </c>
      <c r="D59" s="93" t="str">
        <f t="shared" si="65"/>
        <v/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6"/>
      <c r="W59" s="31" t="e">
        <f>INDEX(TBL_STORAGE_CONNECTIONS[StorageConnectionID],$A59)</f>
        <v>#REF!</v>
      </c>
      <c r="X59" s="31" t="e">
        <f>"StorageCapMax_"&amp;RIGHT($W59,11)</f>
        <v>#REF!</v>
      </c>
    </row>
    <row r="60" spans="1:24" x14ac:dyDescent="0.25">
      <c r="A60" s="94">
        <f t="shared" si="64"/>
        <v>14</v>
      </c>
      <c r="B60" s="118"/>
      <c r="C60" s="93" t="str">
        <f t="shared" ref="C60:D60" si="66">IF($B58&lt;&gt;"",C56,"")</f>
        <v/>
      </c>
      <c r="D60" s="93" t="str">
        <f t="shared" si="66"/>
        <v/>
      </c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5"/>
      <c r="W60" s="31" t="e">
        <f>INDEX(TBL_STORAGE_CONNECTIONS[StorageConnectionID],$A60)</f>
        <v>#REF!</v>
      </c>
      <c r="X60" s="31" t="e">
        <f>"StorageTariffFixed_"&amp;RIGHT($W60,11)</f>
        <v>#REF!</v>
      </c>
    </row>
    <row r="61" spans="1:24" x14ac:dyDescent="0.25">
      <c r="A61" s="94">
        <f t="shared" si="64"/>
        <v>14</v>
      </c>
      <c r="B61" s="119"/>
      <c r="C61" s="93" t="str">
        <f t="shared" ref="C61:D61" si="67">IF($B58&lt;&gt;"",C57,"")</f>
        <v/>
      </c>
      <c r="D61" s="93" t="str">
        <f t="shared" si="67"/>
        <v/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6"/>
      <c r="W61" s="31" t="e">
        <f>INDEX(TBL_STORAGE_CONNECTIONS[StorageConnectionID],$A61)</f>
        <v>#REF!</v>
      </c>
      <c r="X61" s="31" t="e">
        <f>"StorageTariffVar_"&amp;RIGHT($W61,11)</f>
        <v>#REF!</v>
      </c>
    </row>
    <row r="62" spans="1:24" x14ac:dyDescent="0.25">
      <c r="A62" s="94">
        <f t="shared" ref="A62" si="68">$A58+1</f>
        <v>15</v>
      </c>
      <c r="B62" s="117" t="str">
        <f>IFERROR(INDEX(TBL_STORAGE_CONNECTIONS[Name],$A62),"")</f>
        <v/>
      </c>
      <c r="C62" s="93" t="str">
        <f t="shared" ref="C62:D62" si="69">IF($B62&lt;&gt;"",C58,"")</f>
        <v/>
      </c>
      <c r="D62" s="93" t="str">
        <f t="shared" si="69"/>
        <v/>
      </c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5"/>
      <c r="W62" s="31" t="e">
        <f>INDEX(TBL_STORAGE_CONNECTIONS[StorageConnectionID],$A62)</f>
        <v>#REF!</v>
      </c>
      <c r="X62" s="31" t="e">
        <f>"StorageCapMin_"&amp;RIGHT($W62,11)</f>
        <v>#REF!</v>
      </c>
    </row>
    <row r="63" spans="1:24" x14ac:dyDescent="0.25">
      <c r="A63" s="94">
        <f t="shared" ref="A63:A65" si="70">$A62</f>
        <v>15</v>
      </c>
      <c r="B63" s="118"/>
      <c r="C63" s="93" t="str">
        <f t="shared" ref="C63:D63" si="71">IF($B62&lt;&gt;"",C59,"")</f>
        <v/>
      </c>
      <c r="D63" s="93" t="str">
        <f t="shared" si="71"/>
        <v/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6"/>
      <c r="W63" s="31" t="e">
        <f>INDEX(TBL_STORAGE_CONNECTIONS[StorageConnectionID],$A63)</f>
        <v>#REF!</v>
      </c>
      <c r="X63" s="31" t="e">
        <f>"StorageCapMax_"&amp;RIGHT($W63,11)</f>
        <v>#REF!</v>
      </c>
    </row>
    <row r="64" spans="1:24" x14ac:dyDescent="0.25">
      <c r="A64" s="94">
        <f t="shared" si="70"/>
        <v>15</v>
      </c>
      <c r="B64" s="118"/>
      <c r="C64" s="93" t="str">
        <f t="shared" ref="C64:D64" si="72">IF($B62&lt;&gt;"",C60,"")</f>
        <v/>
      </c>
      <c r="D64" s="93" t="str">
        <f t="shared" si="72"/>
        <v/>
      </c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5"/>
      <c r="W64" s="31" t="e">
        <f>INDEX(TBL_STORAGE_CONNECTIONS[StorageConnectionID],$A64)</f>
        <v>#REF!</v>
      </c>
      <c r="X64" s="31" t="e">
        <f>"StorageTariffFixed_"&amp;RIGHT($W64,11)</f>
        <v>#REF!</v>
      </c>
    </row>
    <row r="65" spans="1:24" x14ac:dyDescent="0.25">
      <c r="A65" s="94">
        <f t="shared" si="70"/>
        <v>15</v>
      </c>
      <c r="B65" s="119"/>
      <c r="C65" s="93" t="str">
        <f t="shared" ref="C65:D65" si="73">IF($B62&lt;&gt;"",C61,"")</f>
        <v/>
      </c>
      <c r="D65" s="93" t="str">
        <f t="shared" si="73"/>
        <v/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6"/>
      <c r="W65" s="31" t="e">
        <f>INDEX(TBL_STORAGE_CONNECTIONS[StorageConnectionID],$A65)</f>
        <v>#REF!</v>
      </c>
      <c r="X65" s="31" t="e">
        <f>"StorageTariffVar_"&amp;RIGHT($W65,11)</f>
        <v>#REF!</v>
      </c>
    </row>
    <row r="66" spans="1:24" x14ac:dyDescent="0.25">
      <c r="A66" s="94">
        <f t="shared" ref="A66" si="74">$A62+1</f>
        <v>16</v>
      </c>
      <c r="B66" s="117" t="str">
        <f>IFERROR(INDEX(TBL_STORAGE_CONNECTIONS[Name],$A66),"")</f>
        <v/>
      </c>
      <c r="C66" s="93" t="str">
        <f t="shared" ref="C66:D66" si="75">IF($B66&lt;&gt;"",C62,"")</f>
        <v/>
      </c>
      <c r="D66" s="93" t="str">
        <f t="shared" si="75"/>
        <v/>
      </c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5"/>
      <c r="W66" s="31" t="e">
        <f>INDEX(TBL_STORAGE_CONNECTIONS[StorageConnectionID],$A66)</f>
        <v>#REF!</v>
      </c>
      <c r="X66" s="31" t="e">
        <f>"StorageCapMin_"&amp;RIGHT($W66,11)</f>
        <v>#REF!</v>
      </c>
    </row>
    <row r="67" spans="1:24" x14ac:dyDescent="0.25">
      <c r="A67" s="94">
        <f t="shared" ref="A67:A69" si="76">$A66</f>
        <v>16</v>
      </c>
      <c r="B67" s="118"/>
      <c r="C67" s="93" t="str">
        <f t="shared" ref="C67:D67" si="77">IF($B66&lt;&gt;"",C63,"")</f>
        <v/>
      </c>
      <c r="D67" s="93" t="str">
        <f t="shared" si="77"/>
        <v/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6"/>
      <c r="W67" s="31" t="e">
        <f>INDEX(TBL_STORAGE_CONNECTIONS[StorageConnectionID],$A67)</f>
        <v>#REF!</v>
      </c>
      <c r="X67" s="31" t="e">
        <f>"StorageCapMax_"&amp;RIGHT($W67,11)</f>
        <v>#REF!</v>
      </c>
    </row>
    <row r="68" spans="1:24" x14ac:dyDescent="0.25">
      <c r="A68" s="94">
        <f t="shared" si="76"/>
        <v>16</v>
      </c>
      <c r="B68" s="118"/>
      <c r="C68" s="93" t="str">
        <f t="shared" ref="C68:D68" si="78">IF($B66&lt;&gt;"",C64,"")</f>
        <v/>
      </c>
      <c r="D68" s="93" t="str">
        <f t="shared" si="78"/>
        <v/>
      </c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5"/>
      <c r="W68" s="31" t="e">
        <f>INDEX(TBL_STORAGE_CONNECTIONS[StorageConnectionID],$A68)</f>
        <v>#REF!</v>
      </c>
      <c r="X68" s="31" t="e">
        <f>"StorageTariffFixed_"&amp;RIGHT($W68,11)</f>
        <v>#REF!</v>
      </c>
    </row>
    <row r="69" spans="1:24" x14ac:dyDescent="0.25">
      <c r="A69" s="94">
        <f t="shared" si="76"/>
        <v>16</v>
      </c>
      <c r="B69" s="119"/>
      <c r="C69" s="93" t="str">
        <f t="shared" ref="C69:D69" si="79">IF($B66&lt;&gt;"",C65,"")</f>
        <v/>
      </c>
      <c r="D69" s="93" t="str">
        <f t="shared" si="79"/>
        <v/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6"/>
      <c r="W69" s="31" t="e">
        <f>INDEX(TBL_STORAGE_CONNECTIONS[StorageConnectionID],$A69)</f>
        <v>#REF!</v>
      </c>
      <c r="X69" s="31" t="e">
        <f>"StorageTariffVar_"&amp;RIGHT($W69,11)</f>
        <v>#REF!</v>
      </c>
    </row>
    <row r="70" spans="1:24" x14ac:dyDescent="0.25">
      <c r="A70" s="94">
        <f t="shared" ref="A70" si="80">$A66+1</f>
        <v>17</v>
      </c>
      <c r="B70" s="117" t="str">
        <f>IFERROR(INDEX(TBL_STORAGE_CONNECTIONS[Name],$A70),"")</f>
        <v/>
      </c>
      <c r="C70" s="93" t="str">
        <f t="shared" ref="C70:D70" si="81">IF($B70&lt;&gt;"",C66,"")</f>
        <v/>
      </c>
      <c r="D70" s="93" t="str">
        <f t="shared" si="81"/>
        <v/>
      </c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5"/>
      <c r="W70" s="31" t="e">
        <f>INDEX(TBL_STORAGE_CONNECTIONS[StorageConnectionID],$A70)</f>
        <v>#REF!</v>
      </c>
      <c r="X70" s="31" t="e">
        <f>"StorageCapMin_"&amp;RIGHT($W70,11)</f>
        <v>#REF!</v>
      </c>
    </row>
    <row r="71" spans="1:24" x14ac:dyDescent="0.25">
      <c r="A71" s="94">
        <f t="shared" ref="A71:A73" si="82">$A70</f>
        <v>17</v>
      </c>
      <c r="B71" s="118"/>
      <c r="C71" s="93" t="str">
        <f t="shared" ref="C71:D71" si="83">IF($B70&lt;&gt;"",C67,"")</f>
        <v/>
      </c>
      <c r="D71" s="93" t="str">
        <f t="shared" si="83"/>
        <v/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6"/>
      <c r="W71" s="31" t="e">
        <f>INDEX(TBL_STORAGE_CONNECTIONS[StorageConnectionID],$A71)</f>
        <v>#REF!</v>
      </c>
      <c r="X71" s="31" t="e">
        <f>"StorageCapMax_"&amp;RIGHT($W71,11)</f>
        <v>#REF!</v>
      </c>
    </row>
    <row r="72" spans="1:24" x14ac:dyDescent="0.25">
      <c r="A72" s="94">
        <f t="shared" si="82"/>
        <v>17</v>
      </c>
      <c r="B72" s="118"/>
      <c r="C72" s="93" t="str">
        <f t="shared" ref="C72:D72" si="84">IF($B70&lt;&gt;"",C68,"")</f>
        <v/>
      </c>
      <c r="D72" s="93" t="str">
        <f t="shared" si="84"/>
        <v/>
      </c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5"/>
      <c r="W72" s="31" t="e">
        <f>INDEX(TBL_STORAGE_CONNECTIONS[StorageConnectionID],$A72)</f>
        <v>#REF!</v>
      </c>
      <c r="X72" s="31" t="e">
        <f>"StorageTariffFixed_"&amp;RIGHT($W72,11)</f>
        <v>#REF!</v>
      </c>
    </row>
    <row r="73" spans="1:24" x14ac:dyDescent="0.25">
      <c r="A73" s="94">
        <f t="shared" si="82"/>
        <v>17</v>
      </c>
      <c r="B73" s="119"/>
      <c r="C73" s="93" t="str">
        <f t="shared" ref="C73:D73" si="85">IF($B70&lt;&gt;"",C69,"")</f>
        <v/>
      </c>
      <c r="D73" s="93" t="str">
        <f t="shared" si="85"/>
        <v/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6"/>
      <c r="W73" s="31" t="e">
        <f>INDEX(TBL_STORAGE_CONNECTIONS[StorageConnectionID],$A73)</f>
        <v>#REF!</v>
      </c>
      <c r="X73" s="31" t="e">
        <f>"StorageTariffVar_"&amp;RIGHT($W73,11)</f>
        <v>#REF!</v>
      </c>
    </row>
    <row r="74" spans="1:24" x14ac:dyDescent="0.25">
      <c r="A74" s="94">
        <f t="shared" ref="A74" si="86">$A70+1</f>
        <v>18</v>
      </c>
      <c r="B74" s="117" t="str">
        <f>IFERROR(INDEX(TBL_STORAGE_CONNECTIONS[Name],$A74),"")</f>
        <v/>
      </c>
      <c r="C74" s="93" t="str">
        <f t="shared" ref="C74:D74" si="87">IF($B74&lt;&gt;"",C70,"")</f>
        <v/>
      </c>
      <c r="D74" s="93" t="str">
        <f t="shared" si="87"/>
        <v/>
      </c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5"/>
      <c r="W74" s="31" t="e">
        <f>INDEX(TBL_STORAGE_CONNECTIONS[StorageConnectionID],$A74)</f>
        <v>#REF!</v>
      </c>
      <c r="X74" s="31" t="e">
        <f>"StorageCapMin_"&amp;RIGHT($W74,11)</f>
        <v>#REF!</v>
      </c>
    </row>
    <row r="75" spans="1:24" x14ac:dyDescent="0.25">
      <c r="A75" s="94">
        <f t="shared" ref="A75:A93" si="88">$A74</f>
        <v>18</v>
      </c>
      <c r="B75" s="118"/>
      <c r="C75" s="93" t="str">
        <f t="shared" ref="C75:D75" si="89">IF($B74&lt;&gt;"",C71,"")</f>
        <v/>
      </c>
      <c r="D75" s="93" t="str">
        <f t="shared" si="89"/>
        <v/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6"/>
      <c r="W75" s="31" t="e">
        <f>INDEX(TBL_STORAGE_CONNECTIONS[StorageConnectionID],$A75)</f>
        <v>#REF!</v>
      </c>
      <c r="X75" s="31" t="e">
        <f>"StorageCapMax_"&amp;RIGHT($W75,11)</f>
        <v>#REF!</v>
      </c>
    </row>
    <row r="76" spans="1:24" x14ac:dyDescent="0.25">
      <c r="A76" s="94">
        <f t="shared" si="88"/>
        <v>18</v>
      </c>
      <c r="B76" s="118"/>
      <c r="C76" s="93" t="str">
        <f t="shared" ref="C76:D76" si="90">IF($B74&lt;&gt;"",C72,"")</f>
        <v/>
      </c>
      <c r="D76" s="93" t="str">
        <f t="shared" si="90"/>
        <v/>
      </c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5"/>
      <c r="W76" s="31" t="e">
        <f>INDEX(TBL_STORAGE_CONNECTIONS[StorageConnectionID],$A76)</f>
        <v>#REF!</v>
      </c>
      <c r="X76" s="31" t="e">
        <f>"StorageTariffFixed_"&amp;RIGHT($W76,11)</f>
        <v>#REF!</v>
      </c>
    </row>
    <row r="77" spans="1:24" x14ac:dyDescent="0.25">
      <c r="A77" s="94">
        <f t="shared" si="88"/>
        <v>18</v>
      </c>
      <c r="B77" s="119"/>
      <c r="C77" s="93" t="str">
        <f t="shared" ref="C77:D77" si="91">IF($B74&lt;&gt;"",C73,"")</f>
        <v/>
      </c>
      <c r="D77" s="93" t="str">
        <f t="shared" si="91"/>
        <v/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6"/>
      <c r="W77" s="31" t="e">
        <f>INDEX(TBL_STORAGE_CONNECTIONS[StorageConnectionID],$A77)</f>
        <v>#REF!</v>
      </c>
      <c r="X77" s="31" t="e">
        <f>"StorageTariffVar_"&amp;RIGHT($W77,11)</f>
        <v>#REF!</v>
      </c>
    </row>
    <row r="78" spans="1:24" x14ac:dyDescent="0.25">
      <c r="A78" s="94">
        <f t="shared" ref="A78" si="92">$A74+1</f>
        <v>19</v>
      </c>
      <c r="B78" s="117" t="str">
        <f>IFERROR(INDEX(TBL_STORAGE_CONNECTIONS[Name],$A78),"")</f>
        <v/>
      </c>
      <c r="C78" s="93" t="str">
        <f t="shared" ref="C78:D78" si="93">IF($B78&lt;&gt;"",C74,"")</f>
        <v/>
      </c>
      <c r="D78" s="93" t="str">
        <f t="shared" si="93"/>
        <v/>
      </c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5"/>
      <c r="W78" s="31" t="e">
        <f>INDEX(TBL_STORAGE_CONNECTIONS[StorageConnectionID],$A78)</f>
        <v>#REF!</v>
      </c>
      <c r="X78" s="31" t="e">
        <f>"StorageCapMin_"&amp;RIGHT($W78,11)</f>
        <v>#REF!</v>
      </c>
    </row>
    <row r="79" spans="1:24" x14ac:dyDescent="0.25">
      <c r="A79" s="94">
        <f t="shared" si="88"/>
        <v>19</v>
      </c>
      <c r="B79" s="118"/>
      <c r="C79" s="93" t="str">
        <f t="shared" ref="C79:D79" si="94">IF($B78&lt;&gt;"",C75,"")</f>
        <v/>
      </c>
      <c r="D79" s="93" t="str">
        <f t="shared" si="94"/>
        <v/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6"/>
      <c r="W79" s="31" t="e">
        <f>INDEX(TBL_STORAGE_CONNECTIONS[StorageConnectionID],$A79)</f>
        <v>#REF!</v>
      </c>
      <c r="X79" s="31" t="e">
        <f>"StorageCapMax_"&amp;RIGHT($W79,11)</f>
        <v>#REF!</v>
      </c>
    </row>
    <row r="80" spans="1:24" x14ac:dyDescent="0.25">
      <c r="A80" s="94">
        <f t="shared" si="88"/>
        <v>19</v>
      </c>
      <c r="B80" s="118"/>
      <c r="C80" s="93" t="str">
        <f t="shared" ref="C80:D80" si="95">IF($B78&lt;&gt;"",C76,"")</f>
        <v/>
      </c>
      <c r="D80" s="93" t="str">
        <f t="shared" si="95"/>
        <v/>
      </c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5"/>
      <c r="W80" s="31" t="e">
        <f>INDEX(TBL_STORAGE_CONNECTIONS[StorageConnectionID],$A80)</f>
        <v>#REF!</v>
      </c>
      <c r="X80" s="31" t="e">
        <f>"StorageTariffFixed_"&amp;RIGHT($W80,11)</f>
        <v>#REF!</v>
      </c>
    </row>
    <row r="81" spans="1:24" x14ac:dyDescent="0.25">
      <c r="A81" s="94">
        <f t="shared" si="88"/>
        <v>19</v>
      </c>
      <c r="B81" s="119"/>
      <c r="C81" s="93" t="str">
        <f t="shared" ref="C81:D81" si="96">IF($B78&lt;&gt;"",C77,"")</f>
        <v/>
      </c>
      <c r="D81" s="93" t="str">
        <f t="shared" si="96"/>
        <v/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6"/>
      <c r="W81" s="31" t="e">
        <f>INDEX(TBL_STORAGE_CONNECTIONS[StorageConnectionID],$A81)</f>
        <v>#REF!</v>
      </c>
      <c r="X81" s="31" t="e">
        <f>"StorageTariffVar_"&amp;RIGHT($W81,11)</f>
        <v>#REF!</v>
      </c>
    </row>
    <row r="82" spans="1:24" x14ac:dyDescent="0.25">
      <c r="A82" s="94">
        <f t="shared" ref="A82" si="97">$A78+1</f>
        <v>20</v>
      </c>
      <c r="B82" s="117" t="str">
        <f>IFERROR(INDEX(TBL_STORAGE_CONNECTIONS[Name],$A82),"")</f>
        <v/>
      </c>
      <c r="C82" s="93" t="str">
        <f t="shared" ref="C82:D82" si="98">IF($B82&lt;&gt;"",C78,"")</f>
        <v/>
      </c>
      <c r="D82" s="93" t="str">
        <f t="shared" si="98"/>
        <v/>
      </c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5"/>
      <c r="W82" s="31" t="e">
        <f>INDEX(TBL_STORAGE_CONNECTIONS[StorageConnectionID],$A82)</f>
        <v>#REF!</v>
      </c>
      <c r="X82" s="31" t="e">
        <f>"StorageCapMin_"&amp;RIGHT($W82,11)</f>
        <v>#REF!</v>
      </c>
    </row>
    <row r="83" spans="1:24" x14ac:dyDescent="0.25">
      <c r="A83" s="94">
        <f t="shared" si="88"/>
        <v>20</v>
      </c>
      <c r="B83" s="118"/>
      <c r="C83" s="93" t="str">
        <f t="shared" ref="C83:D83" si="99">IF($B82&lt;&gt;"",C79,"")</f>
        <v/>
      </c>
      <c r="D83" s="93" t="str">
        <f t="shared" si="99"/>
        <v/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6"/>
      <c r="W83" s="31" t="e">
        <f>INDEX(TBL_STORAGE_CONNECTIONS[StorageConnectionID],$A83)</f>
        <v>#REF!</v>
      </c>
      <c r="X83" s="31" t="e">
        <f>"StorageCapMax_"&amp;RIGHT($W83,11)</f>
        <v>#REF!</v>
      </c>
    </row>
    <row r="84" spans="1:24" x14ac:dyDescent="0.25">
      <c r="A84" s="94">
        <f t="shared" si="88"/>
        <v>20</v>
      </c>
      <c r="B84" s="118"/>
      <c r="C84" s="93" t="str">
        <f t="shared" ref="C84:D84" si="100">IF($B82&lt;&gt;"",C80,"")</f>
        <v/>
      </c>
      <c r="D84" s="93" t="str">
        <f t="shared" si="100"/>
        <v/>
      </c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5"/>
      <c r="W84" s="31" t="e">
        <f>INDEX(TBL_STORAGE_CONNECTIONS[StorageConnectionID],$A84)</f>
        <v>#REF!</v>
      </c>
      <c r="X84" s="31" t="e">
        <f>"StorageTariffFixed_"&amp;RIGHT($W84,11)</f>
        <v>#REF!</v>
      </c>
    </row>
    <row r="85" spans="1:24" x14ac:dyDescent="0.25">
      <c r="A85" s="94">
        <f t="shared" si="88"/>
        <v>20</v>
      </c>
      <c r="B85" s="119"/>
      <c r="C85" s="93" t="str">
        <f t="shared" ref="C85:D85" si="101">IF($B82&lt;&gt;"",C81,"")</f>
        <v/>
      </c>
      <c r="D85" s="93" t="str">
        <f t="shared" si="101"/>
        <v/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6"/>
      <c r="W85" s="31" t="e">
        <f>INDEX(TBL_STORAGE_CONNECTIONS[StorageConnectionID],$A85)</f>
        <v>#REF!</v>
      </c>
      <c r="X85" s="31" t="e">
        <f>"StorageTariffVar_"&amp;RIGHT($W85,11)</f>
        <v>#REF!</v>
      </c>
    </row>
    <row r="86" spans="1:24" x14ac:dyDescent="0.25">
      <c r="A86" s="94">
        <f t="shared" ref="A86" si="102">$A82+1</f>
        <v>21</v>
      </c>
      <c r="B86" s="117" t="str">
        <f>IFERROR(INDEX(TBL_STORAGE_CONNECTIONS[Name],$A86),"")</f>
        <v/>
      </c>
      <c r="C86" s="93" t="str">
        <f t="shared" ref="C86:D86" si="103">IF($B86&lt;&gt;"",C82,"")</f>
        <v/>
      </c>
      <c r="D86" s="93" t="str">
        <f t="shared" si="103"/>
        <v/>
      </c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5"/>
      <c r="W86" s="31" t="e">
        <f>INDEX(TBL_STORAGE_CONNECTIONS[StorageConnectionID],$A86)</f>
        <v>#REF!</v>
      </c>
      <c r="X86" s="31" t="e">
        <f>"StorageCapMin_"&amp;RIGHT($W86,11)</f>
        <v>#REF!</v>
      </c>
    </row>
    <row r="87" spans="1:24" x14ac:dyDescent="0.25">
      <c r="A87" s="94">
        <f t="shared" si="88"/>
        <v>21</v>
      </c>
      <c r="B87" s="118"/>
      <c r="C87" s="93" t="str">
        <f t="shared" ref="C87:D87" si="104">IF($B86&lt;&gt;"",C83,"")</f>
        <v/>
      </c>
      <c r="D87" s="93" t="str">
        <f t="shared" si="104"/>
        <v/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6"/>
      <c r="W87" s="31" t="e">
        <f>INDEX(TBL_STORAGE_CONNECTIONS[StorageConnectionID],$A87)</f>
        <v>#REF!</v>
      </c>
      <c r="X87" s="31" t="e">
        <f>"StorageCapMax_"&amp;RIGHT($W87,11)</f>
        <v>#REF!</v>
      </c>
    </row>
    <row r="88" spans="1:24" x14ac:dyDescent="0.25">
      <c r="A88" s="94">
        <f t="shared" si="88"/>
        <v>21</v>
      </c>
      <c r="B88" s="118"/>
      <c r="C88" s="93" t="str">
        <f t="shared" ref="C88:D88" si="105">IF($B86&lt;&gt;"",C84,"")</f>
        <v/>
      </c>
      <c r="D88" s="93" t="str">
        <f t="shared" si="105"/>
        <v/>
      </c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5"/>
      <c r="W88" s="31" t="e">
        <f>INDEX(TBL_STORAGE_CONNECTIONS[StorageConnectionID],$A88)</f>
        <v>#REF!</v>
      </c>
      <c r="X88" s="31" t="e">
        <f>"StorageTariffFixed_"&amp;RIGHT($W88,11)</f>
        <v>#REF!</v>
      </c>
    </row>
    <row r="89" spans="1:24" x14ac:dyDescent="0.25">
      <c r="A89" s="94">
        <f t="shared" si="88"/>
        <v>21</v>
      </c>
      <c r="B89" s="119"/>
      <c r="C89" s="93" t="str">
        <f t="shared" ref="C89:D89" si="106">IF($B86&lt;&gt;"",C85,"")</f>
        <v/>
      </c>
      <c r="D89" s="93" t="str">
        <f t="shared" si="106"/>
        <v/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6"/>
      <c r="W89" s="31" t="e">
        <f>INDEX(TBL_STORAGE_CONNECTIONS[StorageConnectionID],$A89)</f>
        <v>#REF!</v>
      </c>
      <c r="X89" s="31" t="e">
        <f>"StorageTariffVar_"&amp;RIGHT($W89,11)</f>
        <v>#REF!</v>
      </c>
    </row>
    <row r="90" spans="1:24" x14ac:dyDescent="0.25">
      <c r="A90" s="94">
        <f t="shared" ref="A90" si="107">$A86+1</f>
        <v>22</v>
      </c>
      <c r="B90" s="117" t="str">
        <f>IFERROR(INDEX(TBL_STORAGE_CONNECTIONS[Name],$A90),"")</f>
        <v/>
      </c>
      <c r="C90" s="93" t="str">
        <f t="shared" ref="C90:D90" si="108">IF($B90&lt;&gt;"",C86,"")</f>
        <v/>
      </c>
      <c r="D90" s="93" t="str">
        <f t="shared" si="108"/>
        <v/>
      </c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5"/>
      <c r="W90" s="31" t="e">
        <f>INDEX(TBL_STORAGE_CONNECTIONS[StorageConnectionID],$A90)</f>
        <v>#REF!</v>
      </c>
      <c r="X90" s="31" t="e">
        <f>"StorageCapMin_"&amp;RIGHT($W90,11)</f>
        <v>#REF!</v>
      </c>
    </row>
    <row r="91" spans="1:24" x14ac:dyDescent="0.25">
      <c r="A91" s="94">
        <f t="shared" si="88"/>
        <v>22</v>
      </c>
      <c r="B91" s="118"/>
      <c r="C91" s="93" t="str">
        <f t="shared" ref="C91:D91" si="109">IF($B90&lt;&gt;"",C87,"")</f>
        <v/>
      </c>
      <c r="D91" s="93" t="str">
        <f t="shared" si="109"/>
        <v/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6"/>
      <c r="W91" s="31" t="e">
        <f>INDEX(TBL_STORAGE_CONNECTIONS[StorageConnectionID],$A91)</f>
        <v>#REF!</v>
      </c>
      <c r="X91" s="31" t="e">
        <f>"StorageCapMax_"&amp;RIGHT($W91,11)</f>
        <v>#REF!</v>
      </c>
    </row>
    <row r="92" spans="1:24" x14ac:dyDescent="0.25">
      <c r="A92" s="94">
        <f t="shared" si="88"/>
        <v>22</v>
      </c>
      <c r="B92" s="118"/>
      <c r="C92" s="93" t="str">
        <f t="shared" ref="C92:D92" si="110">IF($B90&lt;&gt;"",C88,"")</f>
        <v/>
      </c>
      <c r="D92" s="93" t="str">
        <f t="shared" si="110"/>
        <v/>
      </c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5"/>
      <c r="W92" s="31" t="e">
        <f>INDEX(TBL_STORAGE_CONNECTIONS[StorageConnectionID],$A92)</f>
        <v>#REF!</v>
      </c>
      <c r="X92" s="31" t="e">
        <f>"StorageTariffFixed_"&amp;RIGHT($W92,11)</f>
        <v>#REF!</v>
      </c>
    </row>
    <row r="93" spans="1:24" x14ac:dyDescent="0.25">
      <c r="A93" s="94">
        <f t="shared" si="88"/>
        <v>22</v>
      </c>
      <c r="B93" s="119"/>
      <c r="C93" s="93" t="str">
        <f t="shared" ref="C93:D93" si="111">IF($B90&lt;&gt;"",C89,"")</f>
        <v/>
      </c>
      <c r="D93" s="93" t="str">
        <f t="shared" si="111"/>
        <v/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6"/>
      <c r="W93" s="31" t="e">
        <f>INDEX(TBL_STORAGE_CONNECTIONS[StorageConnectionID],$A93)</f>
        <v>#REF!</v>
      </c>
      <c r="X93" s="31" t="e">
        <f>"StorageTariffVar_"&amp;RIGHT($W93,11)</f>
        <v>#REF!</v>
      </c>
    </row>
    <row r="94" spans="1:24" x14ac:dyDescent="0.25">
      <c r="A94" s="94">
        <f t="shared" ref="A94" si="112">$A90+1</f>
        <v>23</v>
      </c>
      <c r="B94" s="117" t="str">
        <f>IFERROR(INDEX(TBL_STORAGE_CONNECTIONS[Name],$A94),"")</f>
        <v/>
      </c>
      <c r="C94" s="93" t="str">
        <f t="shared" ref="C94:D94" si="113">IF($B94&lt;&gt;"",C90,"")</f>
        <v/>
      </c>
      <c r="D94" s="93" t="str">
        <f t="shared" si="113"/>
        <v/>
      </c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5"/>
      <c r="W94" s="31" t="e">
        <f>INDEX(TBL_STORAGE_CONNECTIONS[StorageConnectionID],$A94)</f>
        <v>#REF!</v>
      </c>
      <c r="X94" s="31" t="e">
        <f>"StorageCapMin_"&amp;RIGHT($W94,11)</f>
        <v>#REF!</v>
      </c>
    </row>
    <row r="95" spans="1:24" x14ac:dyDescent="0.25">
      <c r="A95" s="94">
        <f t="shared" ref="A95:A97" si="114">$A94</f>
        <v>23</v>
      </c>
      <c r="B95" s="118"/>
      <c r="C95" s="93" t="str">
        <f t="shared" ref="C95:D95" si="115">IF($B94&lt;&gt;"",C91,"")</f>
        <v/>
      </c>
      <c r="D95" s="93" t="str">
        <f t="shared" si="115"/>
        <v/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6"/>
      <c r="W95" s="31" t="e">
        <f>INDEX(TBL_STORAGE_CONNECTIONS[StorageConnectionID],$A95)</f>
        <v>#REF!</v>
      </c>
      <c r="X95" s="31" t="e">
        <f>"StorageCapMax_"&amp;RIGHT($W95,11)</f>
        <v>#REF!</v>
      </c>
    </row>
    <row r="96" spans="1:24" x14ac:dyDescent="0.25">
      <c r="A96" s="94">
        <f t="shared" si="114"/>
        <v>23</v>
      </c>
      <c r="B96" s="118"/>
      <c r="C96" s="93" t="str">
        <f t="shared" ref="C96:D96" si="116">IF($B94&lt;&gt;"",C92,"")</f>
        <v/>
      </c>
      <c r="D96" s="93" t="str">
        <f t="shared" si="116"/>
        <v/>
      </c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5"/>
      <c r="W96" s="31" t="e">
        <f>INDEX(TBL_STORAGE_CONNECTIONS[StorageConnectionID],$A96)</f>
        <v>#REF!</v>
      </c>
      <c r="X96" s="31" t="e">
        <f>"StorageTariffFixed_"&amp;RIGHT($W96,11)</f>
        <v>#REF!</v>
      </c>
    </row>
    <row r="97" spans="1:24" x14ac:dyDescent="0.25">
      <c r="A97" s="94">
        <f t="shared" si="114"/>
        <v>23</v>
      </c>
      <c r="B97" s="119"/>
      <c r="C97" s="93" t="str">
        <f t="shared" ref="C97:D97" si="117">IF($B94&lt;&gt;"",C93,"")</f>
        <v/>
      </c>
      <c r="D97" s="93" t="str">
        <f t="shared" si="117"/>
        <v/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6"/>
      <c r="W97" s="31" t="e">
        <f>INDEX(TBL_STORAGE_CONNECTIONS[StorageConnectionID],$A97)</f>
        <v>#REF!</v>
      </c>
      <c r="X97" s="31" t="e">
        <f>"StorageTariffVar_"&amp;RIGHT($W97,11)</f>
        <v>#REF!</v>
      </c>
    </row>
    <row r="98" spans="1:24" x14ac:dyDescent="0.25">
      <c r="A98" s="94">
        <f t="shared" ref="A98" si="118">$A94+1</f>
        <v>24</v>
      </c>
      <c r="B98" s="117" t="str">
        <f>IFERROR(INDEX(TBL_STORAGE_CONNECTIONS[Name],$A98),"")</f>
        <v/>
      </c>
      <c r="C98" s="93" t="str">
        <f t="shared" ref="C98:D98" si="119">IF($B98&lt;&gt;"",C94,"")</f>
        <v/>
      </c>
      <c r="D98" s="93" t="str">
        <f t="shared" si="119"/>
        <v/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5"/>
      <c r="W98" s="31" t="e">
        <f>INDEX(TBL_STORAGE_CONNECTIONS[StorageConnectionID],$A98)</f>
        <v>#REF!</v>
      </c>
      <c r="X98" s="31" t="e">
        <f>"StorageCapMin_"&amp;RIGHT($W98,11)</f>
        <v>#REF!</v>
      </c>
    </row>
    <row r="99" spans="1:24" x14ac:dyDescent="0.25">
      <c r="A99" s="94">
        <f t="shared" ref="A99:A101" si="120">$A98</f>
        <v>24</v>
      </c>
      <c r="B99" s="118"/>
      <c r="C99" s="93" t="str">
        <f t="shared" ref="C99:D99" si="121">IF($B98&lt;&gt;"",C95,"")</f>
        <v/>
      </c>
      <c r="D99" s="93" t="str">
        <f t="shared" si="121"/>
        <v/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6"/>
      <c r="W99" s="31" t="e">
        <f>INDEX(TBL_STORAGE_CONNECTIONS[StorageConnectionID],$A99)</f>
        <v>#REF!</v>
      </c>
      <c r="X99" s="31" t="e">
        <f>"StorageCapMax_"&amp;RIGHT($W99,11)</f>
        <v>#REF!</v>
      </c>
    </row>
    <row r="100" spans="1:24" x14ac:dyDescent="0.25">
      <c r="A100" s="94">
        <f t="shared" si="120"/>
        <v>24</v>
      </c>
      <c r="B100" s="118"/>
      <c r="C100" s="93" t="str">
        <f t="shared" ref="C100:D100" si="122">IF($B98&lt;&gt;"",C96,"")</f>
        <v/>
      </c>
      <c r="D100" s="93" t="str">
        <f t="shared" si="122"/>
        <v/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5"/>
      <c r="W100" s="31" t="e">
        <f>INDEX(TBL_STORAGE_CONNECTIONS[StorageConnectionID],$A100)</f>
        <v>#REF!</v>
      </c>
      <c r="X100" s="31" t="e">
        <f>"StorageTariffFixed_"&amp;RIGHT($W100,11)</f>
        <v>#REF!</v>
      </c>
    </row>
    <row r="101" spans="1:24" x14ac:dyDescent="0.25">
      <c r="A101" s="94">
        <f t="shared" si="120"/>
        <v>24</v>
      </c>
      <c r="B101" s="119"/>
      <c r="C101" s="93" t="str">
        <f t="shared" ref="C101:D101" si="123">IF($B98&lt;&gt;"",C97,"")</f>
        <v/>
      </c>
      <c r="D101" s="93" t="str">
        <f t="shared" si="123"/>
        <v/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6"/>
      <c r="W101" s="31" t="e">
        <f>INDEX(TBL_STORAGE_CONNECTIONS[StorageConnectionID],$A101)</f>
        <v>#REF!</v>
      </c>
      <c r="X101" s="31" t="e">
        <f>"StorageTariffVar_"&amp;RIGHT($W101,11)</f>
        <v>#REF!</v>
      </c>
    </row>
    <row r="102" spans="1:24" x14ac:dyDescent="0.25">
      <c r="A102" s="94">
        <f t="shared" ref="A102" si="124">$A98+1</f>
        <v>25</v>
      </c>
      <c r="B102" s="117" t="str">
        <f>IFERROR(INDEX(TBL_STORAGE_CONNECTIONS[Name],$A102),"")</f>
        <v/>
      </c>
      <c r="C102" s="93" t="str">
        <f t="shared" ref="C102:D102" si="125">IF($B102&lt;&gt;"",C98,"")</f>
        <v/>
      </c>
      <c r="D102" s="93" t="str">
        <f t="shared" si="125"/>
        <v/>
      </c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5"/>
      <c r="W102" s="31" t="e">
        <f>INDEX(TBL_STORAGE_CONNECTIONS[StorageConnectionID],$A102)</f>
        <v>#REF!</v>
      </c>
      <c r="X102" s="31" t="e">
        <f>"StorageCapMin_"&amp;RIGHT($W102,11)</f>
        <v>#REF!</v>
      </c>
    </row>
    <row r="103" spans="1:24" x14ac:dyDescent="0.25">
      <c r="A103" s="94">
        <f t="shared" ref="A103:A105" si="126">$A102</f>
        <v>25</v>
      </c>
      <c r="B103" s="118"/>
      <c r="C103" s="93" t="str">
        <f t="shared" ref="C103:D103" si="127">IF($B102&lt;&gt;"",C99,"")</f>
        <v/>
      </c>
      <c r="D103" s="93" t="str">
        <f t="shared" si="127"/>
        <v/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6"/>
      <c r="W103" s="31" t="e">
        <f>INDEX(TBL_STORAGE_CONNECTIONS[StorageConnectionID],$A103)</f>
        <v>#REF!</v>
      </c>
      <c r="X103" s="31" t="e">
        <f>"StorageCapMax_"&amp;RIGHT($W103,11)</f>
        <v>#REF!</v>
      </c>
    </row>
    <row r="104" spans="1:24" x14ac:dyDescent="0.25">
      <c r="A104" s="94">
        <f t="shared" si="126"/>
        <v>25</v>
      </c>
      <c r="B104" s="118"/>
      <c r="C104" s="93" t="str">
        <f t="shared" ref="C104:D104" si="128">IF($B102&lt;&gt;"",C100,"")</f>
        <v/>
      </c>
      <c r="D104" s="93" t="str">
        <f t="shared" si="128"/>
        <v/>
      </c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5"/>
      <c r="W104" s="31" t="e">
        <f>INDEX(TBL_STORAGE_CONNECTIONS[StorageConnectionID],$A104)</f>
        <v>#REF!</v>
      </c>
      <c r="X104" s="31" t="e">
        <f>"StorageTariffFixed_"&amp;RIGHT($W104,11)</f>
        <v>#REF!</v>
      </c>
    </row>
    <row r="105" spans="1:24" x14ac:dyDescent="0.25">
      <c r="A105" s="94">
        <f t="shared" si="126"/>
        <v>25</v>
      </c>
      <c r="B105" s="119"/>
      <c r="C105" s="93" t="str">
        <f t="shared" ref="C105:D105" si="129">IF($B102&lt;&gt;"",C101,"")</f>
        <v/>
      </c>
      <c r="D105" s="93" t="str">
        <f t="shared" si="129"/>
        <v/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6"/>
      <c r="W105" s="31" t="e">
        <f>INDEX(TBL_STORAGE_CONNECTIONS[StorageConnectionID],$A105)</f>
        <v>#REF!</v>
      </c>
      <c r="X105" s="31" t="e">
        <f>"StorageTariffVar_"&amp;RIGHT($W105,11)</f>
        <v>#REF!</v>
      </c>
    </row>
    <row r="106" spans="1:24" x14ac:dyDescent="0.25">
      <c r="A106" s="94">
        <f t="shared" ref="A106" si="130">$A102+1</f>
        <v>26</v>
      </c>
      <c r="B106" s="117" t="str">
        <f>IFERROR(INDEX(TBL_STORAGE_CONNECTIONS[Name],$A106),"")</f>
        <v/>
      </c>
      <c r="C106" s="93" t="str">
        <f t="shared" ref="C106:D106" si="131">IF($B106&lt;&gt;"",C102,"")</f>
        <v/>
      </c>
      <c r="D106" s="93" t="str">
        <f t="shared" si="131"/>
        <v/>
      </c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5"/>
      <c r="W106" s="31" t="e">
        <f>INDEX(TBL_STORAGE_CONNECTIONS[StorageConnectionID],$A106)</f>
        <v>#REF!</v>
      </c>
      <c r="X106" s="31" t="e">
        <f>"StorageCapMin_"&amp;RIGHT($W106,11)</f>
        <v>#REF!</v>
      </c>
    </row>
    <row r="107" spans="1:24" x14ac:dyDescent="0.25">
      <c r="A107" s="94">
        <f t="shared" ref="A107:A109" si="132">$A106</f>
        <v>26</v>
      </c>
      <c r="B107" s="118"/>
      <c r="C107" s="93" t="str">
        <f t="shared" ref="C107:D107" si="133">IF($B106&lt;&gt;"",C103,"")</f>
        <v/>
      </c>
      <c r="D107" s="93" t="str">
        <f t="shared" si="133"/>
        <v/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6"/>
      <c r="W107" s="31" t="e">
        <f>INDEX(TBL_STORAGE_CONNECTIONS[StorageConnectionID],$A107)</f>
        <v>#REF!</v>
      </c>
      <c r="X107" s="31" t="e">
        <f>"StorageCapMax_"&amp;RIGHT($W107,11)</f>
        <v>#REF!</v>
      </c>
    </row>
    <row r="108" spans="1:24" x14ac:dyDescent="0.25">
      <c r="A108" s="94">
        <f t="shared" si="132"/>
        <v>26</v>
      </c>
      <c r="B108" s="118"/>
      <c r="C108" s="93" t="str">
        <f t="shared" ref="C108:D108" si="134">IF($B106&lt;&gt;"",C104,"")</f>
        <v/>
      </c>
      <c r="D108" s="93" t="str">
        <f t="shared" si="134"/>
        <v/>
      </c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5"/>
      <c r="W108" s="31" t="e">
        <f>INDEX(TBL_STORAGE_CONNECTIONS[StorageConnectionID],$A108)</f>
        <v>#REF!</v>
      </c>
      <c r="X108" s="31" t="e">
        <f>"StorageTariffFixed_"&amp;RIGHT($W108,11)</f>
        <v>#REF!</v>
      </c>
    </row>
    <row r="109" spans="1:24" x14ac:dyDescent="0.25">
      <c r="A109" s="94">
        <f t="shared" si="132"/>
        <v>26</v>
      </c>
      <c r="B109" s="119"/>
      <c r="C109" s="93" t="str">
        <f t="shared" ref="C109:D109" si="135">IF($B106&lt;&gt;"",C105,"")</f>
        <v/>
      </c>
      <c r="D109" s="93" t="str">
        <f t="shared" si="135"/>
        <v/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6"/>
      <c r="W109" s="31" t="e">
        <f>INDEX(TBL_STORAGE_CONNECTIONS[StorageConnectionID],$A109)</f>
        <v>#REF!</v>
      </c>
      <c r="X109" s="31" t="e">
        <f>"StorageTariffVar_"&amp;RIGHT($W109,11)</f>
        <v>#REF!</v>
      </c>
    </row>
    <row r="110" spans="1:24" x14ac:dyDescent="0.25">
      <c r="A110" s="94">
        <f t="shared" ref="A110" si="136">$A106+1</f>
        <v>27</v>
      </c>
      <c r="B110" s="117" t="str">
        <f>IFERROR(INDEX(TBL_STORAGE_CONNECTIONS[Name],$A110),"")</f>
        <v/>
      </c>
      <c r="C110" s="93" t="str">
        <f t="shared" ref="C110:D110" si="137">IF($B110&lt;&gt;"",C106,"")</f>
        <v/>
      </c>
      <c r="D110" s="93" t="str">
        <f t="shared" si="137"/>
        <v/>
      </c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5"/>
      <c r="W110" s="31" t="e">
        <f>INDEX(TBL_STORAGE_CONNECTIONS[StorageConnectionID],$A110)</f>
        <v>#REF!</v>
      </c>
      <c r="X110" s="31" t="e">
        <f>"StorageCapMin_"&amp;RIGHT($W110,11)</f>
        <v>#REF!</v>
      </c>
    </row>
    <row r="111" spans="1:24" x14ac:dyDescent="0.25">
      <c r="A111" s="94">
        <f t="shared" ref="A111:A129" si="138">$A110</f>
        <v>27</v>
      </c>
      <c r="B111" s="118"/>
      <c r="C111" s="93" t="str">
        <f t="shared" ref="C111:D111" si="139">IF($B110&lt;&gt;"",C107,"")</f>
        <v/>
      </c>
      <c r="D111" s="93" t="str">
        <f t="shared" si="139"/>
        <v/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6"/>
      <c r="W111" s="31" t="e">
        <f>INDEX(TBL_STORAGE_CONNECTIONS[StorageConnectionID],$A111)</f>
        <v>#REF!</v>
      </c>
      <c r="X111" s="31" t="e">
        <f>"StorageCapMax_"&amp;RIGHT($W111,11)</f>
        <v>#REF!</v>
      </c>
    </row>
    <row r="112" spans="1:24" x14ac:dyDescent="0.25">
      <c r="A112" s="94">
        <f t="shared" si="138"/>
        <v>27</v>
      </c>
      <c r="B112" s="118"/>
      <c r="C112" s="93" t="str">
        <f t="shared" ref="C112:D112" si="140">IF($B110&lt;&gt;"",C108,"")</f>
        <v/>
      </c>
      <c r="D112" s="93" t="str">
        <f t="shared" si="140"/>
        <v/>
      </c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5"/>
      <c r="W112" s="31" t="e">
        <f>INDEX(TBL_STORAGE_CONNECTIONS[StorageConnectionID],$A112)</f>
        <v>#REF!</v>
      </c>
      <c r="X112" s="31" t="e">
        <f>"StorageTariffFixed_"&amp;RIGHT($W112,11)</f>
        <v>#REF!</v>
      </c>
    </row>
    <row r="113" spans="1:24" x14ac:dyDescent="0.25">
      <c r="A113" s="94">
        <f t="shared" si="138"/>
        <v>27</v>
      </c>
      <c r="B113" s="119"/>
      <c r="C113" s="93" t="str">
        <f t="shared" ref="C113:D113" si="141">IF($B110&lt;&gt;"",C109,"")</f>
        <v/>
      </c>
      <c r="D113" s="93" t="str">
        <f t="shared" si="141"/>
        <v/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6"/>
      <c r="W113" s="31" t="e">
        <f>INDEX(TBL_STORAGE_CONNECTIONS[StorageConnectionID],$A113)</f>
        <v>#REF!</v>
      </c>
      <c r="X113" s="31" t="e">
        <f>"StorageTariffVar_"&amp;RIGHT($W113,11)</f>
        <v>#REF!</v>
      </c>
    </row>
    <row r="114" spans="1:24" x14ac:dyDescent="0.25">
      <c r="A114" s="94">
        <f t="shared" ref="A114" si="142">$A110+1</f>
        <v>28</v>
      </c>
      <c r="B114" s="117" t="str">
        <f>IFERROR(INDEX(TBL_STORAGE_CONNECTIONS[Name],$A114),"")</f>
        <v/>
      </c>
      <c r="C114" s="93" t="str">
        <f t="shared" ref="C114:D114" si="143">IF($B114&lt;&gt;"",C110,"")</f>
        <v/>
      </c>
      <c r="D114" s="93" t="str">
        <f t="shared" si="143"/>
        <v/>
      </c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5"/>
      <c r="W114" s="31" t="e">
        <f>INDEX(TBL_STORAGE_CONNECTIONS[StorageConnectionID],$A114)</f>
        <v>#REF!</v>
      </c>
      <c r="X114" s="31" t="e">
        <f>"StorageCapMin_"&amp;RIGHT($W114,11)</f>
        <v>#REF!</v>
      </c>
    </row>
    <row r="115" spans="1:24" x14ac:dyDescent="0.25">
      <c r="A115" s="94">
        <f t="shared" si="138"/>
        <v>28</v>
      </c>
      <c r="B115" s="118"/>
      <c r="C115" s="93" t="str">
        <f t="shared" ref="C115:D115" si="144">IF($B114&lt;&gt;"",C111,"")</f>
        <v/>
      </c>
      <c r="D115" s="93" t="str">
        <f t="shared" si="144"/>
        <v/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6"/>
      <c r="W115" s="31" t="e">
        <f>INDEX(TBL_STORAGE_CONNECTIONS[StorageConnectionID],$A115)</f>
        <v>#REF!</v>
      </c>
      <c r="X115" s="31" t="e">
        <f>"StorageCapMax_"&amp;RIGHT($W115,11)</f>
        <v>#REF!</v>
      </c>
    </row>
    <row r="116" spans="1:24" x14ac:dyDescent="0.25">
      <c r="A116" s="94">
        <f t="shared" si="138"/>
        <v>28</v>
      </c>
      <c r="B116" s="118"/>
      <c r="C116" s="93" t="str">
        <f t="shared" ref="C116:D116" si="145">IF($B114&lt;&gt;"",C112,"")</f>
        <v/>
      </c>
      <c r="D116" s="93" t="str">
        <f t="shared" si="145"/>
        <v/>
      </c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5"/>
      <c r="W116" s="31" t="e">
        <f>INDEX(TBL_STORAGE_CONNECTIONS[StorageConnectionID],$A116)</f>
        <v>#REF!</v>
      </c>
      <c r="X116" s="31" t="e">
        <f>"StorageTariffFixed_"&amp;RIGHT($W116,11)</f>
        <v>#REF!</v>
      </c>
    </row>
    <row r="117" spans="1:24" x14ac:dyDescent="0.25">
      <c r="A117" s="94">
        <f t="shared" si="138"/>
        <v>28</v>
      </c>
      <c r="B117" s="119"/>
      <c r="C117" s="93" t="str">
        <f t="shared" ref="C117:D117" si="146">IF($B114&lt;&gt;"",C113,"")</f>
        <v/>
      </c>
      <c r="D117" s="93" t="str">
        <f t="shared" si="146"/>
        <v/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6"/>
      <c r="W117" s="31" t="e">
        <f>INDEX(TBL_STORAGE_CONNECTIONS[StorageConnectionID],$A117)</f>
        <v>#REF!</v>
      </c>
      <c r="X117" s="31" t="e">
        <f>"StorageTariffVar_"&amp;RIGHT($W117,11)</f>
        <v>#REF!</v>
      </c>
    </row>
    <row r="118" spans="1:24" x14ac:dyDescent="0.25">
      <c r="A118" s="94">
        <f t="shared" ref="A118" si="147">$A114+1</f>
        <v>29</v>
      </c>
      <c r="B118" s="117" t="str">
        <f>IFERROR(INDEX(TBL_STORAGE_CONNECTIONS[Name],$A118),"")</f>
        <v/>
      </c>
      <c r="C118" s="93" t="str">
        <f t="shared" ref="C118:D118" si="148">IF($B118&lt;&gt;"",C114,"")</f>
        <v/>
      </c>
      <c r="D118" s="93" t="str">
        <f t="shared" si="148"/>
        <v/>
      </c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5"/>
      <c r="W118" s="31" t="e">
        <f>INDEX(TBL_STORAGE_CONNECTIONS[StorageConnectionID],$A118)</f>
        <v>#REF!</v>
      </c>
      <c r="X118" s="31" t="e">
        <f>"StorageCapMin_"&amp;RIGHT($W118,11)</f>
        <v>#REF!</v>
      </c>
    </row>
    <row r="119" spans="1:24" x14ac:dyDescent="0.25">
      <c r="A119" s="94">
        <f t="shared" si="138"/>
        <v>29</v>
      </c>
      <c r="B119" s="118"/>
      <c r="C119" s="93" t="str">
        <f t="shared" ref="C119:D119" si="149">IF($B118&lt;&gt;"",C115,"")</f>
        <v/>
      </c>
      <c r="D119" s="93" t="str">
        <f t="shared" si="149"/>
        <v/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6"/>
      <c r="W119" s="31" t="e">
        <f>INDEX(TBL_STORAGE_CONNECTIONS[StorageConnectionID],$A119)</f>
        <v>#REF!</v>
      </c>
      <c r="X119" s="31" t="e">
        <f>"StorageCapMax_"&amp;RIGHT($W119,11)</f>
        <v>#REF!</v>
      </c>
    </row>
    <row r="120" spans="1:24" x14ac:dyDescent="0.25">
      <c r="A120" s="94">
        <f t="shared" si="138"/>
        <v>29</v>
      </c>
      <c r="B120" s="118"/>
      <c r="C120" s="93" t="str">
        <f t="shared" ref="C120:D120" si="150">IF($B118&lt;&gt;"",C116,"")</f>
        <v/>
      </c>
      <c r="D120" s="93" t="str">
        <f t="shared" si="150"/>
        <v/>
      </c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5"/>
      <c r="W120" s="31" t="e">
        <f>INDEX(TBL_STORAGE_CONNECTIONS[StorageConnectionID],$A120)</f>
        <v>#REF!</v>
      </c>
      <c r="X120" s="31" t="e">
        <f>"StorageTariffFixed_"&amp;RIGHT($W120,11)</f>
        <v>#REF!</v>
      </c>
    </row>
    <row r="121" spans="1:24" x14ac:dyDescent="0.25">
      <c r="A121" s="94">
        <f t="shared" si="138"/>
        <v>29</v>
      </c>
      <c r="B121" s="119"/>
      <c r="C121" s="93" t="str">
        <f t="shared" ref="C121:D121" si="151">IF($B118&lt;&gt;"",C117,"")</f>
        <v/>
      </c>
      <c r="D121" s="93" t="str">
        <f t="shared" si="151"/>
        <v/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6"/>
      <c r="W121" s="31" t="e">
        <f>INDEX(TBL_STORAGE_CONNECTIONS[StorageConnectionID],$A121)</f>
        <v>#REF!</v>
      </c>
      <c r="X121" s="31" t="e">
        <f>"StorageTariffVar_"&amp;RIGHT($W121,11)</f>
        <v>#REF!</v>
      </c>
    </row>
    <row r="122" spans="1:24" x14ac:dyDescent="0.25">
      <c r="A122" s="94">
        <f t="shared" ref="A122" si="152">$A118+1</f>
        <v>30</v>
      </c>
      <c r="B122" s="117" t="str">
        <f>IFERROR(INDEX(TBL_STORAGE_CONNECTIONS[Name],$A122),"")</f>
        <v/>
      </c>
      <c r="C122" s="93" t="str">
        <f t="shared" ref="C122:D122" si="153">IF($B122&lt;&gt;"",C118,"")</f>
        <v/>
      </c>
      <c r="D122" s="93" t="str">
        <f t="shared" si="153"/>
        <v/>
      </c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5"/>
      <c r="W122" s="31" t="e">
        <f>INDEX(TBL_STORAGE_CONNECTIONS[StorageConnectionID],$A122)</f>
        <v>#REF!</v>
      </c>
      <c r="X122" s="31" t="e">
        <f>"StorageCapMin_"&amp;RIGHT($W122,11)</f>
        <v>#REF!</v>
      </c>
    </row>
    <row r="123" spans="1:24" x14ac:dyDescent="0.25">
      <c r="A123" s="94">
        <f t="shared" si="138"/>
        <v>30</v>
      </c>
      <c r="B123" s="118"/>
      <c r="C123" s="93" t="str">
        <f t="shared" ref="C123:D123" si="154">IF($B122&lt;&gt;"",C119,"")</f>
        <v/>
      </c>
      <c r="D123" s="93" t="str">
        <f t="shared" si="154"/>
        <v/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6"/>
      <c r="W123" s="31" t="e">
        <f>INDEX(TBL_STORAGE_CONNECTIONS[StorageConnectionID],$A123)</f>
        <v>#REF!</v>
      </c>
      <c r="X123" s="31" t="e">
        <f>"StorageCapMax_"&amp;RIGHT($W123,11)</f>
        <v>#REF!</v>
      </c>
    </row>
    <row r="124" spans="1:24" x14ac:dyDescent="0.25">
      <c r="A124" s="94">
        <f t="shared" si="138"/>
        <v>30</v>
      </c>
      <c r="B124" s="118"/>
      <c r="C124" s="93" t="str">
        <f t="shared" ref="C124:D124" si="155">IF($B122&lt;&gt;"",C120,"")</f>
        <v/>
      </c>
      <c r="D124" s="93" t="str">
        <f t="shared" si="155"/>
        <v/>
      </c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5"/>
      <c r="W124" s="31" t="e">
        <f>INDEX(TBL_STORAGE_CONNECTIONS[StorageConnectionID],$A124)</f>
        <v>#REF!</v>
      </c>
      <c r="X124" s="31" t="e">
        <f>"StorageTariffFixed_"&amp;RIGHT($W124,11)</f>
        <v>#REF!</v>
      </c>
    </row>
    <row r="125" spans="1:24" x14ac:dyDescent="0.25">
      <c r="A125" s="94">
        <f t="shared" si="138"/>
        <v>30</v>
      </c>
      <c r="B125" s="119"/>
      <c r="C125" s="93" t="str">
        <f t="shared" ref="C125:D125" si="156">IF($B122&lt;&gt;"",C121,"")</f>
        <v/>
      </c>
      <c r="D125" s="93" t="str">
        <f t="shared" si="156"/>
        <v/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6"/>
      <c r="W125" s="31" t="e">
        <f>INDEX(TBL_STORAGE_CONNECTIONS[StorageConnectionID],$A125)</f>
        <v>#REF!</v>
      </c>
      <c r="X125" s="31" t="e">
        <f>"StorageTariffVar_"&amp;RIGHT($W125,11)</f>
        <v>#REF!</v>
      </c>
    </row>
    <row r="126" spans="1:24" x14ac:dyDescent="0.25">
      <c r="A126" s="94">
        <f t="shared" ref="A126" si="157">$A122+1</f>
        <v>31</v>
      </c>
      <c r="B126" s="117" t="str">
        <f>IFERROR(INDEX(TBL_STORAGE_CONNECTIONS[Name],$A126),"")</f>
        <v/>
      </c>
      <c r="C126" s="93" t="str">
        <f t="shared" ref="C126:D126" si="158">IF($B126&lt;&gt;"",C122,"")</f>
        <v/>
      </c>
      <c r="D126" s="93" t="str">
        <f t="shared" si="158"/>
        <v/>
      </c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5"/>
      <c r="W126" s="31" t="e">
        <f>INDEX(TBL_STORAGE_CONNECTIONS[StorageConnectionID],$A126)</f>
        <v>#REF!</v>
      </c>
      <c r="X126" s="31" t="e">
        <f>"StorageCapMin_"&amp;RIGHT($W126,11)</f>
        <v>#REF!</v>
      </c>
    </row>
    <row r="127" spans="1:24" x14ac:dyDescent="0.25">
      <c r="A127" s="94">
        <f t="shared" si="138"/>
        <v>31</v>
      </c>
      <c r="B127" s="118"/>
      <c r="C127" s="93" t="str">
        <f t="shared" ref="C127:D127" si="159">IF($B126&lt;&gt;"",C123,"")</f>
        <v/>
      </c>
      <c r="D127" s="93" t="str">
        <f t="shared" si="159"/>
        <v/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6"/>
      <c r="W127" s="31" t="e">
        <f>INDEX(TBL_STORAGE_CONNECTIONS[StorageConnectionID],$A127)</f>
        <v>#REF!</v>
      </c>
      <c r="X127" s="31" t="e">
        <f>"StorageCapMax_"&amp;RIGHT($W127,11)</f>
        <v>#REF!</v>
      </c>
    </row>
    <row r="128" spans="1:24" x14ac:dyDescent="0.25">
      <c r="A128" s="94">
        <f t="shared" si="138"/>
        <v>31</v>
      </c>
      <c r="B128" s="118"/>
      <c r="C128" s="93" t="str">
        <f t="shared" ref="C128:D128" si="160">IF($B126&lt;&gt;"",C124,"")</f>
        <v/>
      </c>
      <c r="D128" s="93" t="str">
        <f t="shared" si="160"/>
        <v/>
      </c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5"/>
      <c r="W128" s="31" t="e">
        <f>INDEX(TBL_STORAGE_CONNECTIONS[StorageConnectionID],$A128)</f>
        <v>#REF!</v>
      </c>
      <c r="X128" s="31" t="e">
        <f>"StorageTariffFixed_"&amp;RIGHT($W128,11)</f>
        <v>#REF!</v>
      </c>
    </row>
    <row r="129" spans="1:24" x14ac:dyDescent="0.25">
      <c r="A129" s="94">
        <f t="shared" si="138"/>
        <v>31</v>
      </c>
      <c r="B129" s="119"/>
      <c r="C129" s="93" t="str">
        <f t="shared" ref="C129:D129" si="161">IF($B126&lt;&gt;"",C125,"")</f>
        <v/>
      </c>
      <c r="D129" s="93" t="str">
        <f t="shared" si="161"/>
        <v/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6"/>
      <c r="W129" s="31" t="e">
        <f>INDEX(TBL_STORAGE_CONNECTIONS[StorageConnectionID],$A129)</f>
        <v>#REF!</v>
      </c>
      <c r="X129" s="31" t="e">
        <f>"StorageTariffVar_"&amp;RIGHT($W129,11)</f>
        <v>#REF!</v>
      </c>
    </row>
    <row r="130" spans="1:24" x14ac:dyDescent="0.25">
      <c r="A130" s="94">
        <f t="shared" ref="A130" si="162">$A126+1</f>
        <v>32</v>
      </c>
      <c r="B130" s="117" t="str">
        <f>IFERROR(INDEX(TBL_STORAGE_CONNECTIONS[Name],$A130),"")</f>
        <v/>
      </c>
      <c r="C130" s="93" t="str">
        <f t="shared" ref="C130:D130" si="163">IF($B130&lt;&gt;"",C126,"")</f>
        <v/>
      </c>
      <c r="D130" s="93" t="str">
        <f t="shared" si="163"/>
        <v/>
      </c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5"/>
      <c r="W130" s="31" t="e">
        <f>INDEX(TBL_STORAGE_CONNECTIONS[StorageConnectionID],$A130)</f>
        <v>#REF!</v>
      </c>
      <c r="X130" s="31" t="e">
        <f>"StorageCapMin_"&amp;RIGHT($W130,11)</f>
        <v>#REF!</v>
      </c>
    </row>
    <row r="131" spans="1:24" x14ac:dyDescent="0.25">
      <c r="A131" s="94">
        <f t="shared" ref="A131:A133" si="164">$A130</f>
        <v>32</v>
      </c>
      <c r="B131" s="118"/>
      <c r="C131" s="93" t="str">
        <f t="shared" ref="C131:D131" si="165">IF($B130&lt;&gt;"",C127,"")</f>
        <v/>
      </c>
      <c r="D131" s="93" t="str">
        <f t="shared" si="165"/>
        <v/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6"/>
      <c r="W131" s="31" t="e">
        <f>INDEX(TBL_STORAGE_CONNECTIONS[StorageConnectionID],$A131)</f>
        <v>#REF!</v>
      </c>
      <c r="X131" s="31" t="e">
        <f>"StorageCapMax_"&amp;RIGHT($W131,11)</f>
        <v>#REF!</v>
      </c>
    </row>
    <row r="132" spans="1:24" x14ac:dyDescent="0.25">
      <c r="A132" s="94">
        <f t="shared" si="164"/>
        <v>32</v>
      </c>
      <c r="B132" s="118"/>
      <c r="C132" s="93" t="str">
        <f t="shared" ref="C132:D132" si="166">IF($B130&lt;&gt;"",C128,"")</f>
        <v/>
      </c>
      <c r="D132" s="93" t="str">
        <f t="shared" si="166"/>
        <v/>
      </c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5"/>
      <c r="W132" s="31" t="e">
        <f>INDEX(TBL_STORAGE_CONNECTIONS[StorageConnectionID],$A132)</f>
        <v>#REF!</v>
      </c>
      <c r="X132" s="31" t="e">
        <f>"StorageTariffFixed_"&amp;RIGHT($W132,11)</f>
        <v>#REF!</v>
      </c>
    </row>
    <row r="133" spans="1:24" x14ac:dyDescent="0.25">
      <c r="A133" s="94">
        <f t="shared" si="164"/>
        <v>32</v>
      </c>
      <c r="B133" s="119"/>
      <c r="C133" s="93" t="str">
        <f t="shared" ref="C133:D133" si="167">IF($B130&lt;&gt;"",C129,"")</f>
        <v/>
      </c>
      <c r="D133" s="93" t="str">
        <f t="shared" si="167"/>
        <v/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6"/>
      <c r="W133" s="31" t="e">
        <f>INDEX(TBL_STORAGE_CONNECTIONS[StorageConnectionID],$A133)</f>
        <v>#REF!</v>
      </c>
      <c r="X133" s="31" t="e">
        <f>"StorageTariffVar_"&amp;RIGHT($W133,11)</f>
        <v>#REF!</v>
      </c>
    </row>
    <row r="134" spans="1:24" x14ac:dyDescent="0.25">
      <c r="A134" s="94">
        <f t="shared" ref="A134" si="168">$A130+1</f>
        <v>33</v>
      </c>
      <c r="B134" s="117" t="str">
        <f>IFERROR(INDEX(TBL_STORAGE_CONNECTIONS[Name],$A134),"")</f>
        <v/>
      </c>
      <c r="C134" s="93" t="str">
        <f t="shared" ref="C134:D134" si="169">IF($B134&lt;&gt;"",C130,"")</f>
        <v/>
      </c>
      <c r="D134" s="93" t="str">
        <f t="shared" si="169"/>
        <v/>
      </c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5"/>
      <c r="W134" s="31" t="e">
        <f>INDEX(TBL_STORAGE_CONNECTIONS[StorageConnectionID],$A134)</f>
        <v>#REF!</v>
      </c>
      <c r="X134" s="31" t="e">
        <f>"StorageCapMin_"&amp;RIGHT($W134,11)</f>
        <v>#REF!</v>
      </c>
    </row>
    <row r="135" spans="1:24" x14ac:dyDescent="0.25">
      <c r="A135" s="94">
        <f t="shared" ref="A135:A137" si="170">$A134</f>
        <v>33</v>
      </c>
      <c r="B135" s="118"/>
      <c r="C135" s="93" t="str">
        <f t="shared" ref="C135:D135" si="171">IF($B134&lt;&gt;"",C131,"")</f>
        <v/>
      </c>
      <c r="D135" s="93" t="str">
        <f t="shared" si="171"/>
        <v/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6"/>
      <c r="W135" s="31" t="e">
        <f>INDEX(TBL_STORAGE_CONNECTIONS[StorageConnectionID],$A135)</f>
        <v>#REF!</v>
      </c>
      <c r="X135" s="31" t="e">
        <f>"StorageCapMax_"&amp;RIGHT($W135,11)</f>
        <v>#REF!</v>
      </c>
    </row>
    <row r="136" spans="1:24" x14ac:dyDescent="0.25">
      <c r="A136" s="94">
        <f t="shared" si="170"/>
        <v>33</v>
      </c>
      <c r="B136" s="118"/>
      <c r="C136" s="93" t="str">
        <f t="shared" ref="C136:D136" si="172">IF($B134&lt;&gt;"",C132,"")</f>
        <v/>
      </c>
      <c r="D136" s="93" t="str">
        <f t="shared" si="172"/>
        <v/>
      </c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5"/>
      <c r="W136" s="31" t="e">
        <f>INDEX(TBL_STORAGE_CONNECTIONS[StorageConnectionID],$A136)</f>
        <v>#REF!</v>
      </c>
      <c r="X136" s="31" t="e">
        <f>"StorageTariffFixed_"&amp;RIGHT($W136,11)</f>
        <v>#REF!</v>
      </c>
    </row>
    <row r="137" spans="1:24" x14ac:dyDescent="0.25">
      <c r="A137" s="94">
        <f t="shared" si="170"/>
        <v>33</v>
      </c>
      <c r="B137" s="119"/>
      <c r="C137" s="93" t="str">
        <f t="shared" ref="C137:D137" si="173">IF($B134&lt;&gt;"",C133,"")</f>
        <v/>
      </c>
      <c r="D137" s="93" t="str">
        <f t="shared" si="173"/>
        <v/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6"/>
      <c r="W137" s="31" t="e">
        <f>INDEX(TBL_STORAGE_CONNECTIONS[StorageConnectionID],$A137)</f>
        <v>#REF!</v>
      </c>
      <c r="X137" s="31" t="e">
        <f>"StorageTariffVar_"&amp;RIGHT($W137,11)</f>
        <v>#REF!</v>
      </c>
    </row>
    <row r="138" spans="1:24" x14ac:dyDescent="0.25">
      <c r="A138" s="94">
        <f t="shared" ref="A138" si="174">$A134+1</f>
        <v>34</v>
      </c>
      <c r="B138" s="117" t="str">
        <f>IFERROR(INDEX(TBL_STORAGE_CONNECTIONS[Name],$A138),"")</f>
        <v/>
      </c>
      <c r="C138" s="93" t="str">
        <f t="shared" ref="C138:D138" si="175">IF($B138&lt;&gt;"",C134,"")</f>
        <v/>
      </c>
      <c r="D138" s="93" t="str">
        <f t="shared" si="175"/>
        <v/>
      </c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5"/>
      <c r="W138" s="31" t="e">
        <f>INDEX(TBL_STORAGE_CONNECTIONS[StorageConnectionID],$A138)</f>
        <v>#REF!</v>
      </c>
      <c r="X138" s="31" t="e">
        <f>"StorageCapMin_"&amp;RIGHT($W138,11)</f>
        <v>#REF!</v>
      </c>
    </row>
    <row r="139" spans="1:24" x14ac:dyDescent="0.25">
      <c r="A139" s="94">
        <f t="shared" ref="A139:A141" si="176">$A138</f>
        <v>34</v>
      </c>
      <c r="B139" s="118"/>
      <c r="C139" s="93" t="str">
        <f t="shared" ref="C139:D139" si="177">IF($B138&lt;&gt;"",C135,"")</f>
        <v/>
      </c>
      <c r="D139" s="93" t="str">
        <f t="shared" si="177"/>
        <v/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6"/>
      <c r="W139" s="31" t="e">
        <f>INDEX(TBL_STORAGE_CONNECTIONS[StorageConnectionID],$A139)</f>
        <v>#REF!</v>
      </c>
      <c r="X139" s="31" t="e">
        <f>"StorageCapMax_"&amp;RIGHT($W139,11)</f>
        <v>#REF!</v>
      </c>
    </row>
    <row r="140" spans="1:24" x14ac:dyDescent="0.25">
      <c r="A140" s="94">
        <f t="shared" si="176"/>
        <v>34</v>
      </c>
      <c r="B140" s="118"/>
      <c r="C140" s="93" t="str">
        <f t="shared" ref="C140:D140" si="178">IF($B138&lt;&gt;"",C136,"")</f>
        <v/>
      </c>
      <c r="D140" s="93" t="str">
        <f t="shared" si="178"/>
        <v/>
      </c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5"/>
      <c r="W140" s="31" t="e">
        <f>INDEX(TBL_STORAGE_CONNECTIONS[StorageConnectionID],$A140)</f>
        <v>#REF!</v>
      </c>
      <c r="X140" s="31" t="e">
        <f>"StorageTariffFixed_"&amp;RIGHT($W140,11)</f>
        <v>#REF!</v>
      </c>
    </row>
    <row r="141" spans="1:24" x14ac:dyDescent="0.25">
      <c r="A141" s="94">
        <f t="shared" si="176"/>
        <v>34</v>
      </c>
      <c r="B141" s="119"/>
      <c r="C141" s="93" t="str">
        <f t="shared" ref="C141:D141" si="179">IF($B138&lt;&gt;"",C137,"")</f>
        <v/>
      </c>
      <c r="D141" s="93" t="str">
        <f t="shared" si="179"/>
        <v/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6"/>
      <c r="W141" s="31" t="e">
        <f>INDEX(TBL_STORAGE_CONNECTIONS[StorageConnectionID],$A141)</f>
        <v>#REF!</v>
      </c>
      <c r="X141" s="31" t="e">
        <f>"StorageTariffVar_"&amp;RIGHT($W141,11)</f>
        <v>#REF!</v>
      </c>
    </row>
    <row r="142" spans="1:24" x14ac:dyDescent="0.25">
      <c r="A142" s="94">
        <f t="shared" ref="A142" si="180">$A138+1</f>
        <v>35</v>
      </c>
      <c r="B142" s="117" t="str">
        <f>IFERROR(INDEX(TBL_STORAGE_CONNECTIONS[Name],$A142),"")</f>
        <v/>
      </c>
      <c r="C142" s="93" t="str">
        <f t="shared" ref="C142:D142" si="181">IF($B142&lt;&gt;"",C138,"")</f>
        <v/>
      </c>
      <c r="D142" s="93" t="str">
        <f t="shared" si="181"/>
        <v/>
      </c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5"/>
      <c r="W142" s="31" t="e">
        <f>INDEX(TBL_STORAGE_CONNECTIONS[StorageConnectionID],$A142)</f>
        <v>#REF!</v>
      </c>
      <c r="X142" s="31" t="e">
        <f>"StorageCapMin_"&amp;RIGHT($W142,11)</f>
        <v>#REF!</v>
      </c>
    </row>
    <row r="143" spans="1:24" x14ac:dyDescent="0.25">
      <c r="A143" s="94">
        <f t="shared" ref="A143:A145" si="182">$A142</f>
        <v>35</v>
      </c>
      <c r="B143" s="118"/>
      <c r="C143" s="93" t="str">
        <f t="shared" ref="C143:D143" si="183">IF($B142&lt;&gt;"",C139,"")</f>
        <v/>
      </c>
      <c r="D143" s="93" t="str">
        <f t="shared" si="183"/>
        <v/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6"/>
      <c r="W143" s="31" t="e">
        <f>INDEX(TBL_STORAGE_CONNECTIONS[StorageConnectionID],$A143)</f>
        <v>#REF!</v>
      </c>
      <c r="X143" s="31" t="e">
        <f>"StorageCapMax_"&amp;RIGHT($W143,11)</f>
        <v>#REF!</v>
      </c>
    </row>
    <row r="144" spans="1:24" x14ac:dyDescent="0.25">
      <c r="A144" s="94">
        <f t="shared" si="182"/>
        <v>35</v>
      </c>
      <c r="B144" s="118"/>
      <c r="C144" s="93" t="str">
        <f t="shared" ref="C144:D144" si="184">IF($B142&lt;&gt;"",C140,"")</f>
        <v/>
      </c>
      <c r="D144" s="93" t="str">
        <f t="shared" si="184"/>
        <v/>
      </c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5"/>
      <c r="W144" s="31" t="e">
        <f>INDEX(TBL_STORAGE_CONNECTIONS[StorageConnectionID],$A144)</f>
        <v>#REF!</v>
      </c>
      <c r="X144" s="31" t="e">
        <f>"StorageTariffFixed_"&amp;RIGHT($W144,11)</f>
        <v>#REF!</v>
      </c>
    </row>
    <row r="145" spans="1:24" x14ac:dyDescent="0.25">
      <c r="A145" s="94">
        <f t="shared" si="182"/>
        <v>35</v>
      </c>
      <c r="B145" s="119"/>
      <c r="C145" s="93" t="str">
        <f t="shared" ref="C145:D145" si="185">IF($B142&lt;&gt;"",C141,"")</f>
        <v/>
      </c>
      <c r="D145" s="93" t="str">
        <f t="shared" si="185"/>
        <v/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6"/>
      <c r="W145" s="31" t="e">
        <f>INDEX(TBL_STORAGE_CONNECTIONS[StorageConnectionID],$A145)</f>
        <v>#REF!</v>
      </c>
      <c r="X145" s="31" t="e">
        <f>"StorageTariffVar_"&amp;RIGHT($W145,11)</f>
        <v>#REF!</v>
      </c>
    </row>
    <row r="146" spans="1:24" x14ac:dyDescent="0.25">
      <c r="A146" s="94">
        <f t="shared" ref="A146" si="186">$A142+1</f>
        <v>36</v>
      </c>
      <c r="B146" s="117" t="str">
        <f>IFERROR(INDEX(TBL_STORAGE_CONNECTIONS[Name],$A146),"")</f>
        <v/>
      </c>
      <c r="C146" s="93" t="str">
        <f t="shared" ref="C146:D146" si="187">IF($B146&lt;&gt;"",C142,"")</f>
        <v/>
      </c>
      <c r="D146" s="93" t="str">
        <f t="shared" si="187"/>
        <v/>
      </c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5"/>
      <c r="W146" s="31" t="e">
        <f>INDEX(TBL_STORAGE_CONNECTIONS[StorageConnectionID],$A146)</f>
        <v>#REF!</v>
      </c>
      <c r="X146" s="31" t="e">
        <f>"StorageCapMin_"&amp;RIGHT($W146,11)</f>
        <v>#REF!</v>
      </c>
    </row>
    <row r="147" spans="1:24" x14ac:dyDescent="0.25">
      <c r="A147" s="94">
        <f t="shared" ref="A147:A165" si="188">$A146</f>
        <v>36</v>
      </c>
      <c r="B147" s="118"/>
      <c r="C147" s="93" t="str">
        <f t="shared" ref="C147:D147" si="189">IF($B146&lt;&gt;"",C143,"")</f>
        <v/>
      </c>
      <c r="D147" s="93" t="str">
        <f t="shared" si="189"/>
        <v/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6"/>
      <c r="W147" s="31" t="e">
        <f>INDEX(TBL_STORAGE_CONNECTIONS[StorageConnectionID],$A147)</f>
        <v>#REF!</v>
      </c>
      <c r="X147" s="31" t="e">
        <f>"StorageCapMax_"&amp;RIGHT($W147,11)</f>
        <v>#REF!</v>
      </c>
    </row>
    <row r="148" spans="1:24" x14ac:dyDescent="0.25">
      <c r="A148" s="94">
        <f t="shared" si="188"/>
        <v>36</v>
      </c>
      <c r="B148" s="118"/>
      <c r="C148" s="93" t="str">
        <f t="shared" ref="C148:D148" si="190">IF($B146&lt;&gt;"",C144,"")</f>
        <v/>
      </c>
      <c r="D148" s="93" t="str">
        <f t="shared" si="190"/>
        <v/>
      </c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5"/>
      <c r="W148" s="31" t="e">
        <f>INDEX(TBL_STORAGE_CONNECTIONS[StorageConnectionID],$A148)</f>
        <v>#REF!</v>
      </c>
      <c r="X148" s="31" t="e">
        <f>"StorageTariffFixed_"&amp;RIGHT($W148,11)</f>
        <v>#REF!</v>
      </c>
    </row>
    <row r="149" spans="1:24" x14ac:dyDescent="0.25">
      <c r="A149" s="94">
        <f t="shared" si="188"/>
        <v>36</v>
      </c>
      <c r="B149" s="119"/>
      <c r="C149" s="93" t="str">
        <f t="shared" ref="C149:D149" si="191">IF($B146&lt;&gt;"",C145,"")</f>
        <v/>
      </c>
      <c r="D149" s="93" t="str">
        <f t="shared" si="191"/>
        <v/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6"/>
      <c r="W149" s="31" t="e">
        <f>INDEX(TBL_STORAGE_CONNECTIONS[StorageConnectionID],$A149)</f>
        <v>#REF!</v>
      </c>
      <c r="X149" s="31" t="e">
        <f>"StorageTariffVar_"&amp;RIGHT($W149,11)</f>
        <v>#REF!</v>
      </c>
    </row>
    <row r="150" spans="1:24" x14ac:dyDescent="0.25">
      <c r="A150" s="94">
        <f t="shared" ref="A150" si="192">$A146+1</f>
        <v>37</v>
      </c>
      <c r="B150" s="117" t="str">
        <f>IFERROR(INDEX(TBL_STORAGE_CONNECTIONS[Name],$A150),"")</f>
        <v/>
      </c>
      <c r="C150" s="93" t="str">
        <f t="shared" ref="C150:D150" si="193">IF($B150&lt;&gt;"",C146,"")</f>
        <v/>
      </c>
      <c r="D150" s="93" t="str">
        <f t="shared" si="193"/>
        <v/>
      </c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5"/>
      <c r="W150" s="31" t="e">
        <f>INDEX(TBL_STORAGE_CONNECTIONS[StorageConnectionID],$A150)</f>
        <v>#REF!</v>
      </c>
      <c r="X150" s="31" t="e">
        <f>"StorageCapMin_"&amp;RIGHT($W150,11)</f>
        <v>#REF!</v>
      </c>
    </row>
    <row r="151" spans="1:24" x14ac:dyDescent="0.25">
      <c r="A151" s="94">
        <f t="shared" si="188"/>
        <v>37</v>
      </c>
      <c r="B151" s="118"/>
      <c r="C151" s="93" t="str">
        <f t="shared" ref="C151:D151" si="194">IF($B150&lt;&gt;"",C147,"")</f>
        <v/>
      </c>
      <c r="D151" s="93" t="str">
        <f t="shared" si="194"/>
        <v/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6"/>
      <c r="W151" s="31" t="e">
        <f>INDEX(TBL_STORAGE_CONNECTIONS[StorageConnectionID],$A151)</f>
        <v>#REF!</v>
      </c>
      <c r="X151" s="31" t="e">
        <f>"StorageCapMax_"&amp;RIGHT($W151,11)</f>
        <v>#REF!</v>
      </c>
    </row>
    <row r="152" spans="1:24" x14ac:dyDescent="0.25">
      <c r="A152" s="94">
        <f t="shared" si="188"/>
        <v>37</v>
      </c>
      <c r="B152" s="118"/>
      <c r="C152" s="93" t="str">
        <f t="shared" ref="C152:D152" si="195">IF($B150&lt;&gt;"",C148,"")</f>
        <v/>
      </c>
      <c r="D152" s="93" t="str">
        <f t="shared" si="195"/>
        <v/>
      </c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5"/>
      <c r="W152" s="31" t="e">
        <f>INDEX(TBL_STORAGE_CONNECTIONS[StorageConnectionID],$A152)</f>
        <v>#REF!</v>
      </c>
      <c r="X152" s="31" t="e">
        <f>"StorageTariffFixed_"&amp;RIGHT($W152,11)</f>
        <v>#REF!</v>
      </c>
    </row>
    <row r="153" spans="1:24" x14ac:dyDescent="0.25">
      <c r="A153" s="94">
        <f t="shared" si="188"/>
        <v>37</v>
      </c>
      <c r="B153" s="119"/>
      <c r="C153" s="93" t="str">
        <f t="shared" ref="C153:D153" si="196">IF($B150&lt;&gt;"",C149,"")</f>
        <v/>
      </c>
      <c r="D153" s="93" t="str">
        <f t="shared" si="196"/>
        <v/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6"/>
      <c r="W153" s="31" t="e">
        <f>INDEX(TBL_STORAGE_CONNECTIONS[StorageConnectionID],$A153)</f>
        <v>#REF!</v>
      </c>
      <c r="X153" s="31" t="e">
        <f>"StorageTariffVar_"&amp;RIGHT($W153,11)</f>
        <v>#REF!</v>
      </c>
    </row>
    <row r="154" spans="1:24" x14ac:dyDescent="0.25">
      <c r="A154" s="94">
        <f t="shared" ref="A154" si="197">$A150+1</f>
        <v>38</v>
      </c>
      <c r="B154" s="117" t="str">
        <f>IFERROR(INDEX(TBL_STORAGE_CONNECTIONS[Name],$A154),"")</f>
        <v/>
      </c>
      <c r="C154" s="93" t="str">
        <f t="shared" ref="C154:D154" si="198">IF($B154&lt;&gt;"",C150,"")</f>
        <v/>
      </c>
      <c r="D154" s="93" t="str">
        <f t="shared" si="198"/>
        <v/>
      </c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5"/>
      <c r="W154" s="31" t="e">
        <f>INDEX(TBL_STORAGE_CONNECTIONS[StorageConnectionID],$A154)</f>
        <v>#REF!</v>
      </c>
      <c r="X154" s="31" t="e">
        <f>"StorageCapMin_"&amp;RIGHT($W154,11)</f>
        <v>#REF!</v>
      </c>
    </row>
    <row r="155" spans="1:24" x14ac:dyDescent="0.25">
      <c r="A155" s="94">
        <f t="shared" si="188"/>
        <v>38</v>
      </c>
      <c r="B155" s="118"/>
      <c r="C155" s="93" t="str">
        <f t="shared" ref="C155:D155" si="199">IF($B154&lt;&gt;"",C151,"")</f>
        <v/>
      </c>
      <c r="D155" s="93" t="str">
        <f t="shared" si="199"/>
        <v/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6"/>
      <c r="W155" s="31" t="e">
        <f>INDEX(TBL_STORAGE_CONNECTIONS[StorageConnectionID],$A155)</f>
        <v>#REF!</v>
      </c>
      <c r="X155" s="31" t="e">
        <f>"StorageCapMax_"&amp;RIGHT($W155,11)</f>
        <v>#REF!</v>
      </c>
    </row>
    <row r="156" spans="1:24" x14ac:dyDescent="0.25">
      <c r="A156" s="94">
        <f t="shared" si="188"/>
        <v>38</v>
      </c>
      <c r="B156" s="118"/>
      <c r="C156" s="93" t="str">
        <f t="shared" ref="C156:D156" si="200">IF($B154&lt;&gt;"",C152,"")</f>
        <v/>
      </c>
      <c r="D156" s="93" t="str">
        <f t="shared" si="200"/>
        <v/>
      </c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5"/>
      <c r="W156" s="31" t="e">
        <f>INDEX(TBL_STORAGE_CONNECTIONS[StorageConnectionID],$A156)</f>
        <v>#REF!</v>
      </c>
      <c r="X156" s="31" t="e">
        <f>"StorageTariffFixed_"&amp;RIGHT($W156,11)</f>
        <v>#REF!</v>
      </c>
    </row>
    <row r="157" spans="1:24" x14ac:dyDescent="0.25">
      <c r="A157" s="94">
        <f t="shared" si="188"/>
        <v>38</v>
      </c>
      <c r="B157" s="119"/>
      <c r="C157" s="93" t="str">
        <f t="shared" ref="C157:D157" si="201">IF($B154&lt;&gt;"",C153,"")</f>
        <v/>
      </c>
      <c r="D157" s="93" t="str">
        <f t="shared" si="201"/>
        <v/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6"/>
      <c r="W157" s="31" t="e">
        <f>INDEX(TBL_STORAGE_CONNECTIONS[StorageConnectionID],$A157)</f>
        <v>#REF!</v>
      </c>
      <c r="X157" s="31" t="e">
        <f>"StorageTariffVar_"&amp;RIGHT($W157,11)</f>
        <v>#REF!</v>
      </c>
    </row>
    <row r="158" spans="1:24" x14ac:dyDescent="0.25">
      <c r="A158" s="94">
        <f t="shared" ref="A158" si="202">$A154+1</f>
        <v>39</v>
      </c>
      <c r="B158" s="117" t="str">
        <f>IFERROR(INDEX(TBL_STORAGE_CONNECTIONS[Name],$A158),"")</f>
        <v/>
      </c>
      <c r="C158" s="93" t="str">
        <f t="shared" ref="C158:D158" si="203">IF($B158&lt;&gt;"",C154,"")</f>
        <v/>
      </c>
      <c r="D158" s="93" t="str">
        <f t="shared" si="203"/>
        <v/>
      </c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5"/>
      <c r="W158" s="31" t="e">
        <f>INDEX(TBL_STORAGE_CONNECTIONS[StorageConnectionID],$A158)</f>
        <v>#REF!</v>
      </c>
      <c r="X158" s="31" t="e">
        <f>"StorageCapMin_"&amp;RIGHT($W158,11)</f>
        <v>#REF!</v>
      </c>
    </row>
    <row r="159" spans="1:24" x14ac:dyDescent="0.25">
      <c r="A159" s="94">
        <f t="shared" si="188"/>
        <v>39</v>
      </c>
      <c r="B159" s="118"/>
      <c r="C159" s="93" t="str">
        <f t="shared" ref="C159:D159" si="204">IF($B158&lt;&gt;"",C155,"")</f>
        <v/>
      </c>
      <c r="D159" s="93" t="str">
        <f t="shared" si="204"/>
        <v/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6"/>
      <c r="W159" s="31" t="e">
        <f>INDEX(TBL_STORAGE_CONNECTIONS[StorageConnectionID],$A159)</f>
        <v>#REF!</v>
      </c>
      <c r="X159" s="31" t="e">
        <f>"StorageCapMax_"&amp;RIGHT($W159,11)</f>
        <v>#REF!</v>
      </c>
    </row>
    <row r="160" spans="1:24" x14ac:dyDescent="0.25">
      <c r="A160" s="94">
        <f t="shared" si="188"/>
        <v>39</v>
      </c>
      <c r="B160" s="118"/>
      <c r="C160" s="93" t="str">
        <f t="shared" ref="C160:D160" si="205">IF($B158&lt;&gt;"",C156,"")</f>
        <v/>
      </c>
      <c r="D160" s="93" t="str">
        <f t="shared" si="205"/>
        <v/>
      </c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5"/>
      <c r="W160" s="31" t="e">
        <f>INDEX(TBL_STORAGE_CONNECTIONS[StorageConnectionID],$A160)</f>
        <v>#REF!</v>
      </c>
      <c r="X160" s="31" t="e">
        <f>"StorageTariffFixed_"&amp;RIGHT($W160,11)</f>
        <v>#REF!</v>
      </c>
    </row>
    <row r="161" spans="1:24" x14ac:dyDescent="0.25">
      <c r="A161" s="94">
        <f t="shared" si="188"/>
        <v>39</v>
      </c>
      <c r="B161" s="119"/>
      <c r="C161" s="93" t="str">
        <f t="shared" ref="C161:D161" si="206">IF($B158&lt;&gt;"",C157,"")</f>
        <v/>
      </c>
      <c r="D161" s="93" t="str">
        <f t="shared" si="206"/>
        <v/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6"/>
      <c r="W161" s="31" t="e">
        <f>INDEX(TBL_STORAGE_CONNECTIONS[StorageConnectionID],$A161)</f>
        <v>#REF!</v>
      </c>
      <c r="X161" s="31" t="e">
        <f>"StorageTariffVar_"&amp;RIGHT($W161,11)</f>
        <v>#REF!</v>
      </c>
    </row>
    <row r="162" spans="1:24" x14ac:dyDescent="0.25">
      <c r="A162" s="94">
        <f t="shared" ref="A162" si="207">$A158+1</f>
        <v>40</v>
      </c>
      <c r="B162" s="117" t="str">
        <f>IFERROR(INDEX(TBL_STORAGE_CONNECTIONS[Name],$A162),"")</f>
        <v/>
      </c>
      <c r="C162" s="93" t="str">
        <f t="shared" ref="C162:D162" si="208">IF($B162&lt;&gt;"",C158,"")</f>
        <v/>
      </c>
      <c r="D162" s="93" t="str">
        <f t="shared" si="208"/>
        <v/>
      </c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5"/>
      <c r="W162" s="31" t="e">
        <f>INDEX(TBL_STORAGE_CONNECTIONS[StorageConnectionID],$A162)</f>
        <v>#REF!</v>
      </c>
      <c r="X162" s="31" t="e">
        <f>"StorageCapMin_"&amp;RIGHT($W162,11)</f>
        <v>#REF!</v>
      </c>
    </row>
    <row r="163" spans="1:24" x14ac:dyDescent="0.25">
      <c r="A163" s="94">
        <f t="shared" si="188"/>
        <v>40</v>
      </c>
      <c r="B163" s="118"/>
      <c r="C163" s="93" t="str">
        <f t="shared" ref="C163:D163" si="209">IF($B162&lt;&gt;"",C159,"")</f>
        <v/>
      </c>
      <c r="D163" s="93" t="str">
        <f t="shared" si="209"/>
        <v/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6"/>
      <c r="W163" s="31" t="e">
        <f>INDEX(TBL_STORAGE_CONNECTIONS[StorageConnectionID],$A163)</f>
        <v>#REF!</v>
      </c>
      <c r="X163" s="31" t="e">
        <f>"StorageCapMax_"&amp;RIGHT($W163,11)</f>
        <v>#REF!</v>
      </c>
    </row>
    <row r="164" spans="1:24" x14ac:dyDescent="0.25">
      <c r="A164" s="94">
        <f t="shared" si="188"/>
        <v>40</v>
      </c>
      <c r="B164" s="118"/>
      <c r="C164" s="93" t="str">
        <f t="shared" ref="C164:D164" si="210">IF($B162&lt;&gt;"",C160,"")</f>
        <v/>
      </c>
      <c r="D164" s="93" t="str">
        <f t="shared" si="210"/>
        <v/>
      </c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5"/>
      <c r="W164" s="31" t="e">
        <f>INDEX(TBL_STORAGE_CONNECTIONS[StorageConnectionID],$A164)</f>
        <v>#REF!</v>
      </c>
      <c r="X164" s="31" t="e">
        <f>"StorageTariffFixed_"&amp;RIGHT($W164,11)</f>
        <v>#REF!</v>
      </c>
    </row>
    <row r="165" spans="1:24" x14ac:dyDescent="0.25">
      <c r="A165" s="94">
        <f t="shared" si="188"/>
        <v>40</v>
      </c>
      <c r="B165" s="119"/>
      <c r="C165" s="93" t="str">
        <f t="shared" ref="C165:D165" si="211">IF($B162&lt;&gt;"",C161,"")</f>
        <v/>
      </c>
      <c r="D165" s="93" t="str">
        <f t="shared" si="211"/>
        <v/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6"/>
      <c r="W165" s="31" t="e">
        <f>INDEX(TBL_STORAGE_CONNECTIONS[StorageConnectionID],$A165)</f>
        <v>#REF!</v>
      </c>
      <c r="X165" s="31" t="e">
        <f>"StorageTariffVar_"&amp;RIGHT($W165,11)</f>
        <v>#REF!</v>
      </c>
    </row>
    <row r="166" spans="1:24" x14ac:dyDescent="0.25">
      <c r="A166" s="94">
        <f t="shared" ref="A166" si="212">$A162+1</f>
        <v>41</v>
      </c>
      <c r="B166" s="117" t="str">
        <f>IFERROR(INDEX(TBL_STORAGE_CONNECTIONS[Name],$A166),"")</f>
        <v/>
      </c>
      <c r="C166" s="93" t="str">
        <f t="shared" ref="C166:D166" si="213">IF($B166&lt;&gt;"",C162,"")</f>
        <v/>
      </c>
      <c r="D166" s="93" t="str">
        <f t="shared" si="213"/>
        <v/>
      </c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5"/>
      <c r="W166" s="31" t="e">
        <f>INDEX(TBL_STORAGE_CONNECTIONS[StorageConnectionID],$A166)</f>
        <v>#REF!</v>
      </c>
      <c r="X166" s="31" t="e">
        <f>"StorageCapMin_"&amp;RIGHT($W166,11)</f>
        <v>#REF!</v>
      </c>
    </row>
    <row r="167" spans="1:24" x14ac:dyDescent="0.25">
      <c r="A167" s="94">
        <f t="shared" ref="A167:A169" si="214">$A166</f>
        <v>41</v>
      </c>
      <c r="B167" s="118"/>
      <c r="C167" s="93" t="str">
        <f t="shared" ref="C167:D167" si="215">IF($B166&lt;&gt;"",C163,"")</f>
        <v/>
      </c>
      <c r="D167" s="93" t="str">
        <f t="shared" si="215"/>
        <v/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6"/>
      <c r="W167" s="31" t="e">
        <f>INDEX(TBL_STORAGE_CONNECTIONS[StorageConnectionID],$A167)</f>
        <v>#REF!</v>
      </c>
      <c r="X167" s="31" t="e">
        <f>"StorageCapMax_"&amp;RIGHT($W167,11)</f>
        <v>#REF!</v>
      </c>
    </row>
    <row r="168" spans="1:24" x14ac:dyDescent="0.25">
      <c r="A168" s="94">
        <f t="shared" si="214"/>
        <v>41</v>
      </c>
      <c r="B168" s="118"/>
      <c r="C168" s="93" t="str">
        <f t="shared" ref="C168:D168" si="216">IF($B166&lt;&gt;"",C164,"")</f>
        <v/>
      </c>
      <c r="D168" s="93" t="str">
        <f t="shared" si="216"/>
        <v/>
      </c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5"/>
      <c r="W168" s="31" t="e">
        <f>INDEX(TBL_STORAGE_CONNECTIONS[StorageConnectionID],$A168)</f>
        <v>#REF!</v>
      </c>
      <c r="X168" s="31" t="e">
        <f>"StorageTariffFixed_"&amp;RIGHT($W168,11)</f>
        <v>#REF!</v>
      </c>
    </row>
    <row r="169" spans="1:24" x14ac:dyDescent="0.25">
      <c r="A169" s="94">
        <f t="shared" si="214"/>
        <v>41</v>
      </c>
      <c r="B169" s="119"/>
      <c r="C169" s="93" t="str">
        <f t="shared" ref="C169:D169" si="217">IF($B166&lt;&gt;"",C165,"")</f>
        <v/>
      </c>
      <c r="D169" s="93" t="str">
        <f t="shared" si="217"/>
        <v/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6"/>
      <c r="W169" s="31" t="e">
        <f>INDEX(TBL_STORAGE_CONNECTIONS[StorageConnectionID],$A169)</f>
        <v>#REF!</v>
      </c>
      <c r="X169" s="31" t="e">
        <f>"StorageTariffVar_"&amp;RIGHT($W169,11)</f>
        <v>#REF!</v>
      </c>
    </row>
    <row r="170" spans="1:24" x14ac:dyDescent="0.25">
      <c r="A170" s="94">
        <f t="shared" ref="A170" si="218">$A166+1</f>
        <v>42</v>
      </c>
      <c r="B170" s="117" t="str">
        <f>IFERROR(INDEX(TBL_STORAGE_CONNECTIONS[Name],$A170),"")</f>
        <v/>
      </c>
      <c r="C170" s="93" t="str">
        <f t="shared" ref="C170:D170" si="219">IF($B170&lt;&gt;"",C166,"")</f>
        <v/>
      </c>
      <c r="D170" s="93" t="str">
        <f t="shared" si="219"/>
        <v/>
      </c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5"/>
      <c r="W170" s="31" t="e">
        <f>INDEX(TBL_STORAGE_CONNECTIONS[StorageConnectionID],$A170)</f>
        <v>#REF!</v>
      </c>
      <c r="X170" s="31" t="e">
        <f>"StorageCapMin_"&amp;RIGHT($W170,11)</f>
        <v>#REF!</v>
      </c>
    </row>
    <row r="171" spans="1:24" x14ac:dyDescent="0.25">
      <c r="A171" s="94">
        <f t="shared" ref="A171:A173" si="220">$A170</f>
        <v>42</v>
      </c>
      <c r="B171" s="118"/>
      <c r="C171" s="93" t="str">
        <f t="shared" ref="C171:D171" si="221">IF($B170&lt;&gt;"",C167,"")</f>
        <v/>
      </c>
      <c r="D171" s="93" t="str">
        <f t="shared" si="221"/>
        <v/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6"/>
      <c r="W171" s="31" t="e">
        <f>INDEX(TBL_STORAGE_CONNECTIONS[StorageConnectionID],$A171)</f>
        <v>#REF!</v>
      </c>
      <c r="X171" s="31" t="e">
        <f>"StorageCapMax_"&amp;RIGHT($W171,11)</f>
        <v>#REF!</v>
      </c>
    </row>
    <row r="172" spans="1:24" x14ac:dyDescent="0.25">
      <c r="A172" s="94">
        <f t="shared" si="220"/>
        <v>42</v>
      </c>
      <c r="B172" s="118"/>
      <c r="C172" s="93" t="str">
        <f t="shared" ref="C172:D172" si="222">IF($B170&lt;&gt;"",C168,"")</f>
        <v/>
      </c>
      <c r="D172" s="93" t="str">
        <f t="shared" si="222"/>
        <v/>
      </c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5"/>
      <c r="W172" s="31" t="e">
        <f>INDEX(TBL_STORAGE_CONNECTIONS[StorageConnectionID],$A172)</f>
        <v>#REF!</v>
      </c>
      <c r="X172" s="31" t="e">
        <f>"StorageTariffFixed_"&amp;RIGHT($W172,11)</f>
        <v>#REF!</v>
      </c>
    </row>
    <row r="173" spans="1:24" x14ac:dyDescent="0.25">
      <c r="A173" s="94">
        <f t="shared" si="220"/>
        <v>42</v>
      </c>
      <c r="B173" s="119"/>
      <c r="C173" s="93" t="str">
        <f t="shared" ref="C173:D173" si="223">IF($B170&lt;&gt;"",C169,"")</f>
        <v/>
      </c>
      <c r="D173" s="93" t="str">
        <f t="shared" si="223"/>
        <v/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6"/>
      <c r="W173" s="31" t="e">
        <f>INDEX(TBL_STORAGE_CONNECTIONS[StorageConnectionID],$A173)</f>
        <v>#REF!</v>
      </c>
      <c r="X173" s="31" t="e">
        <f>"StorageTariffVar_"&amp;RIGHT($W173,11)</f>
        <v>#REF!</v>
      </c>
    </row>
    <row r="174" spans="1:24" x14ac:dyDescent="0.25">
      <c r="A174" s="94">
        <f t="shared" ref="A174" si="224">$A170+1</f>
        <v>43</v>
      </c>
      <c r="B174" s="117" t="str">
        <f>IFERROR(INDEX(TBL_STORAGE_CONNECTIONS[Name],$A174),"")</f>
        <v/>
      </c>
      <c r="C174" s="93" t="str">
        <f t="shared" ref="C174:D174" si="225">IF($B174&lt;&gt;"",C170,"")</f>
        <v/>
      </c>
      <c r="D174" s="93" t="str">
        <f t="shared" si="225"/>
        <v/>
      </c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5"/>
      <c r="W174" s="31" t="e">
        <f>INDEX(TBL_STORAGE_CONNECTIONS[StorageConnectionID],$A174)</f>
        <v>#REF!</v>
      </c>
      <c r="X174" s="31" t="e">
        <f>"StorageCapMin_"&amp;RIGHT($W174,11)</f>
        <v>#REF!</v>
      </c>
    </row>
    <row r="175" spans="1:24" x14ac:dyDescent="0.25">
      <c r="A175" s="94">
        <f t="shared" ref="A175:A177" si="226">$A174</f>
        <v>43</v>
      </c>
      <c r="B175" s="118"/>
      <c r="C175" s="93" t="str">
        <f t="shared" ref="C175:D175" si="227">IF($B174&lt;&gt;"",C171,"")</f>
        <v/>
      </c>
      <c r="D175" s="93" t="str">
        <f t="shared" si="227"/>
        <v/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6"/>
      <c r="W175" s="31" t="e">
        <f>INDEX(TBL_STORAGE_CONNECTIONS[StorageConnectionID],$A175)</f>
        <v>#REF!</v>
      </c>
      <c r="X175" s="31" t="e">
        <f>"StorageCapMax_"&amp;RIGHT($W175,11)</f>
        <v>#REF!</v>
      </c>
    </row>
    <row r="176" spans="1:24" x14ac:dyDescent="0.25">
      <c r="A176" s="94">
        <f t="shared" si="226"/>
        <v>43</v>
      </c>
      <c r="B176" s="118"/>
      <c r="C176" s="93" t="str">
        <f t="shared" ref="C176:D176" si="228">IF($B174&lt;&gt;"",C172,"")</f>
        <v/>
      </c>
      <c r="D176" s="93" t="str">
        <f t="shared" si="228"/>
        <v/>
      </c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5"/>
      <c r="W176" s="31" t="e">
        <f>INDEX(TBL_STORAGE_CONNECTIONS[StorageConnectionID],$A176)</f>
        <v>#REF!</v>
      </c>
      <c r="X176" s="31" t="e">
        <f>"StorageTariffFixed_"&amp;RIGHT($W176,11)</f>
        <v>#REF!</v>
      </c>
    </row>
    <row r="177" spans="1:24" x14ac:dyDescent="0.25">
      <c r="A177" s="94">
        <f t="shared" si="226"/>
        <v>43</v>
      </c>
      <c r="B177" s="119"/>
      <c r="C177" s="93" t="str">
        <f t="shared" ref="C177:D177" si="229">IF($B174&lt;&gt;"",C173,"")</f>
        <v/>
      </c>
      <c r="D177" s="93" t="str">
        <f t="shared" si="229"/>
        <v/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6"/>
      <c r="W177" s="31" t="e">
        <f>INDEX(TBL_STORAGE_CONNECTIONS[StorageConnectionID],$A177)</f>
        <v>#REF!</v>
      </c>
      <c r="X177" s="31" t="e">
        <f>"StorageTariffVar_"&amp;RIGHT($W177,11)</f>
        <v>#REF!</v>
      </c>
    </row>
    <row r="178" spans="1:24" x14ac:dyDescent="0.25">
      <c r="A178" s="94">
        <f t="shared" ref="A178" si="230">$A174+1</f>
        <v>44</v>
      </c>
      <c r="B178" s="117" t="str">
        <f>IFERROR(INDEX(TBL_STORAGE_CONNECTIONS[Name],$A178),"")</f>
        <v/>
      </c>
      <c r="C178" s="93" t="str">
        <f t="shared" ref="C178:D178" si="231">IF($B178&lt;&gt;"",C174,"")</f>
        <v/>
      </c>
      <c r="D178" s="93" t="str">
        <f t="shared" si="231"/>
        <v/>
      </c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5"/>
      <c r="W178" s="31" t="e">
        <f>INDEX(TBL_STORAGE_CONNECTIONS[StorageConnectionID],$A178)</f>
        <v>#REF!</v>
      </c>
      <c r="X178" s="31" t="e">
        <f>"StorageCapMin_"&amp;RIGHT($W178,11)</f>
        <v>#REF!</v>
      </c>
    </row>
    <row r="179" spans="1:24" x14ac:dyDescent="0.25">
      <c r="A179" s="94">
        <f t="shared" ref="A179:A181" si="232">$A178</f>
        <v>44</v>
      </c>
      <c r="B179" s="118"/>
      <c r="C179" s="93" t="str">
        <f t="shared" ref="C179:D179" si="233">IF($B178&lt;&gt;"",C175,"")</f>
        <v/>
      </c>
      <c r="D179" s="93" t="str">
        <f t="shared" si="233"/>
        <v/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6"/>
      <c r="W179" s="31" t="e">
        <f>INDEX(TBL_STORAGE_CONNECTIONS[StorageConnectionID],$A179)</f>
        <v>#REF!</v>
      </c>
      <c r="X179" s="31" t="e">
        <f>"StorageCapMax_"&amp;RIGHT($W179,11)</f>
        <v>#REF!</v>
      </c>
    </row>
    <row r="180" spans="1:24" x14ac:dyDescent="0.25">
      <c r="A180" s="94">
        <f t="shared" si="232"/>
        <v>44</v>
      </c>
      <c r="B180" s="118"/>
      <c r="C180" s="93" t="str">
        <f t="shared" ref="C180:D180" si="234">IF($B178&lt;&gt;"",C176,"")</f>
        <v/>
      </c>
      <c r="D180" s="93" t="str">
        <f t="shared" si="234"/>
        <v/>
      </c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5"/>
      <c r="W180" s="31" t="e">
        <f>INDEX(TBL_STORAGE_CONNECTIONS[StorageConnectionID],$A180)</f>
        <v>#REF!</v>
      </c>
      <c r="X180" s="31" t="e">
        <f>"StorageTariffFixed_"&amp;RIGHT($W180,11)</f>
        <v>#REF!</v>
      </c>
    </row>
    <row r="181" spans="1:24" x14ac:dyDescent="0.25">
      <c r="A181" s="94">
        <f t="shared" si="232"/>
        <v>44</v>
      </c>
      <c r="B181" s="119"/>
      <c r="C181" s="93" t="str">
        <f t="shared" ref="C181:D181" si="235">IF($B178&lt;&gt;"",C177,"")</f>
        <v/>
      </c>
      <c r="D181" s="93" t="str">
        <f t="shared" si="235"/>
        <v/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6"/>
      <c r="W181" s="31" t="e">
        <f>INDEX(TBL_STORAGE_CONNECTIONS[StorageConnectionID],$A181)</f>
        <v>#REF!</v>
      </c>
      <c r="X181" s="31" t="e">
        <f>"StorageTariffVar_"&amp;RIGHT($W181,11)</f>
        <v>#REF!</v>
      </c>
    </row>
    <row r="182" spans="1:24" x14ac:dyDescent="0.25">
      <c r="A182" s="94">
        <f t="shared" ref="A182" si="236">$A178+1</f>
        <v>45</v>
      </c>
      <c r="B182" s="117" t="str">
        <f>IFERROR(INDEX(TBL_STORAGE_CONNECTIONS[Name],$A182),"")</f>
        <v/>
      </c>
      <c r="C182" s="93" t="str">
        <f t="shared" ref="C182:D182" si="237">IF($B182&lt;&gt;"",C178,"")</f>
        <v/>
      </c>
      <c r="D182" s="93" t="str">
        <f t="shared" si="237"/>
        <v/>
      </c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5"/>
      <c r="W182" s="31" t="e">
        <f>INDEX(TBL_STORAGE_CONNECTIONS[StorageConnectionID],$A182)</f>
        <v>#REF!</v>
      </c>
      <c r="X182" s="31" t="e">
        <f>"StorageCapMin_"&amp;RIGHT($W182,11)</f>
        <v>#REF!</v>
      </c>
    </row>
    <row r="183" spans="1:24" x14ac:dyDescent="0.25">
      <c r="A183" s="94">
        <f t="shared" ref="A183:A201" si="238">$A182</f>
        <v>45</v>
      </c>
      <c r="B183" s="118"/>
      <c r="C183" s="93" t="str">
        <f t="shared" ref="C183:D183" si="239">IF($B182&lt;&gt;"",C179,"")</f>
        <v/>
      </c>
      <c r="D183" s="93" t="str">
        <f t="shared" si="239"/>
        <v/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6"/>
      <c r="W183" s="31" t="e">
        <f>INDEX(TBL_STORAGE_CONNECTIONS[StorageConnectionID],$A183)</f>
        <v>#REF!</v>
      </c>
      <c r="X183" s="31" t="e">
        <f>"StorageCapMax_"&amp;RIGHT($W183,11)</f>
        <v>#REF!</v>
      </c>
    </row>
    <row r="184" spans="1:24" x14ac:dyDescent="0.25">
      <c r="A184" s="94">
        <f t="shared" si="238"/>
        <v>45</v>
      </c>
      <c r="B184" s="118"/>
      <c r="C184" s="93" t="str">
        <f t="shared" ref="C184:D184" si="240">IF($B182&lt;&gt;"",C180,"")</f>
        <v/>
      </c>
      <c r="D184" s="93" t="str">
        <f t="shared" si="240"/>
        <v/>
      </c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5"/>
      <c r="W184" s="31" t="e">
        <f>INDEX(TBL_STORAGE_CONNECTIONS[StorageConnectionID],$A184)</f>
        <v>#REF!</v>
      </c>
      <c r="X184" s="31" t="e">
        <f>"StorageTariffFixed_"&amp;RIGHT($W184,11)</f>
        <v>#REF!</v>
      </c>
    </row>
    <row r="185" spans="1:24" x14ac:dyDescent="0.25">
      <c r="A185" s="94">
        <f t="shared" si="238"/>
        <v>45</v>
      </c>
      <c r="B185" s="119"/>
      <c r="C185" s="93" t="str">
        <f t="shared" ref="C185:D185" si="241">IF($B182&lt;&gt;"",C181,"")</f>
        <v/>
      </c>
      <c r="D185" s="93" t="str">
        <f t="shared" si="241"/>
        <v/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6"/>
      <c r="W185" s="31" t="e">
        <f>INDEX(TBL_STORAGE_CONNECTIONS[StorageConnectionID],$A185)</f>
        <v>#REF!</v>
      </c>
      <c r="X185" s="31" t="e">
        <f>"StorageTariffVar_"&amp;RIGHT($W185,11)</f>
        <v>#REF!</v>
      </c>
    </row>
    <row r="186" spans="1:24" x14ac:dyDescent="0.25">
      <c r="A186" s="94">
        <f t="shared" ref="A186" si="242">$A182+1</f>
        <v>46</v>
      </c>
      <c r="B186" s="117" t="str">
        <f>IFERROR(INDEX(TBL_STORAGE_CONNECTIONS[Name],$A186),"")</f>
        <v/>
      </c>
      <c r="C186" s="93" t="str">
        <f t="shared" ref="C186:D186" si="243">IF($B186&lt;&gt;"",C182,"")</f>
        <v/>
      </c>
      <c r="D186" s="93" t="str">
        <f t="shared" si="243"/>
        <v/>
      </c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5"/>
      <c r="W186" s="31" t="e">
        <f>INDEX(TBL_STORAGE_CONNECTIONS[StorageConnectionID],$A186)</f>
        <v>#REF!</v>
      </c>
      <c r="X186" s="31" t="e">
        <f>"StorageCapMin_"&amp;RIGHT($W186,11)</f>
        <v>#REF!</v>
      </c>
    </row>
    <row r="187" spans="1:24" x14ac:dyDescent="0.25">
      <c r="A187" s="94">
        <f t="shared" si="238"/>
        <v>46</v>
      </c>
      <c r="B187" s="118"/>
      <c r="C187" s="93" t="str">
        <f t="shared" ref="C187:D187" si="244">IF($B186&lt;&gt;"",C183,"")</f>
        <v/>
      </c>
      <c r="D187" s="93" t="str">
        <f t="shared" si="244"/>
        <v/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6"/>
      <c r="W187" s="31" t="e">
        <f>INDEX(TBL_STORAGE_CONNECTIONS[StorageConnectionID],$A187)</f>
        <v>#REF!</v>
      </c>
      <c r="X187" s="31" t="e">
        <f>"StorageCapMax_"&amp;RIGHT($W187,11)</f>
        <v>#REF!</v>
      </c>
    </row>
    <row r="188" spans="1:24" x14ac:dyDescent="0.25">
      <c r="A188" s="94">
        <f t="shared" si="238"/>
        <v>46</v>
      </c>
      <c r="B188" s="118"/>
      <c r="C188" s="93" t="str">
        <f t="shared" ref="C188:D188" si="245">IF($B186&lt;&gt;"",C184,"")</f>
        <v/>
      </c>
      <c r="D188" s="93" t="str">
        <f t="shared" si="245"/>
        <v/>
      </c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5"/>
      <c r="W188" s="31" t="e">
        <f>INDEX(TBL_STORAGE_CONNECTIONS[StorageConnectionID],$A188)</f>
        <v>#REF!</v>
      </c>
      <c r="X188" s="31" t="e">
        <f>"StorageTariffFixed_"&amp;RIGHT($W188,11)</f>
        <v>#REF!</v>
      </c>
    </row>
    <row r="189" spans="1:24" x14ac:dyDescent="0.25">
      <c r="A189" s="94">
        <f t="shared" si="238"/>
        <v>46</v>
      </c>
      <c r="B189" s="119"/>
      <c r="C189" s="93" t="str">
        <f t="shared" ref="C189:D189" si="246">IF($B186&lt;&gt;"",C185,"")</f>
        <v/>
      </c>
      <c r="D189" s="93" t="str">
        <f t="shared" si="246"/>
        <v/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6"/>
      <c r="W189" s="31" t="e">
        <f>INDEX(TBL_STORAGE_CONNECTIONS[StorageConnectionID],$A189)</f>
        <v>#REF!</v>
      </c>
      <c r="X189" s="31" t="e">
        <f>"StorageTariffVar_"&amp;RIGHT($W189,11)</f>
        <v>#REF!</v>
      </c>
    </row>
    <row r="190" spans="1:24" x14ac:dyDescent="0.25">
      <c r="A190" s="94">
        <f t="shared" ref="A190" si="247">$A186+1</f>
        <v>47</v>
      </c>
      <c r="B190" s="117" t="str">
        <f>IFERROR(INDEX(TBL_STORAGE_CONNECTIONS[Name],$A190),"")</f>
        <v/>
      </c>
      <c r="C190" s="93" t="str">
        <f t="shared" ref="C190:D190" si="248">IF($B190&lt;&gt;"",C186,"")</f>
        <v/>
      </c>
      <c r="D190" s="93" t="str">
        <f t="shared" si="248"/>
        <v/>
      </c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5"/>
      <c r="W190" s="31" t="e">
        <f>INDEX(TBL_STORAGE_CONNECTIONS[StorageConnectionID],$A190)</f>
        <v>#REF!</v>
      </c>
      <c r="X190" s="31" t="e">
        <f>"StorageCapMin_"&amp;RIGHT($W190,11)</f>
        <v>#REF!</v>
      </c>
    </row>
    <row r="191" spans="1:24" x14ac:dyDescent="0.25">
      <c r="A191" s="94">
        <f t="shared" si="238"/>
        <v>47</v>
      </c>
      <c r="B191" s="118"/>
      <c r="C191" s="93" t="str">
        <f t="shared" ref="C191:D191" si="249">IF($B190&lt;&gt;"",C187,"")</f>
        <v/>
      </c>
      <c r="D191" s="93" t="str">
        <f t="shared" si="249"/>
        <v/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6"/>
      <c r="W191" s="31" t="e">
        <f>INDEX(TBL_STORAGE_CONNECTIONS[StorageConnectionID],$A191)</f>
        <v>#REF!</v>
      </c>
      <c r="X191" s="31" t="e">
        <f>"StorageCapMax_"&amp;RIGHT($W191,11)</f>
        <v>#REF!</v>
      </c>
    </row>
    <row r="192" spans="1:24" x14ac:dyDescent="0.25">
      <c r="A192" s="94">
        <f t="shared" si="238"/>
        <v>47</v>
      </c>
      <c r="B192" s="118"/>
      <c r="C192" s="93" t="str">
        <f t="shared" ref="C192:D192" si="250">IF($B190&lt;&gt;"",C188,"")</f>
        <v/>
      </c>
      <c r="D192" s="93" t="str">
        <f t="shared" si="250"/>
        <v/>
      </c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5"/>
      <c r="W192" s="31" t="e">
        <f>INDEX(TBL_STORAGE_CONNECTIONS[StorageConnectionID],$A192)</f>
        <v>#REF!</v>
      </c>
      <c r="X192" s="31" t="e">
        <f>"StorageTariffFixed_"&amp;RIGHT($W192,11)</f>
        <v>#REF!</v>
      </c>
    </row>
    <row r="193" spans="1:24" x14ac:dyDescent="0.25">
      <c r="A193" s="94">
        <f t="shared" si="238"/>
        <v>47</v>
      </c>
      <c r="B193" s="119"/>
      <c r="C193" s="93" t="str">
        <f t="shared" ref="C193:D193" si="251">IF($B190&lt;&gt;"",C189,"")</f>
        <v/>
      </c>
      <c r="D193" s="93" t="str">
        <f t="shared" si="251"/>
        <v/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6"/>
      <c r="W193" s="31" t="e">
        <f>INDEX(TBL_STORAGE_CONNECTIONS[StorageConnectionID],$A193)</f>
        <v>#REF!</v>
      </c>
      <c r="X193" s="31" t="e">
        <f>"StorageTariffVar_"&amp;RIGHT($W193,11)</f>
        <v>#REF!</v>
      </c>
    </row>
    <row r="194" spans="1:24" x14ac:dyDescent="0.25">
      <c r="A194" s="94">
        <f t="shared" ref="A194" si="252">$A190+1</f>
        <v>48</v>
      </c>
      <c r="B194" s="117" t="str">
        <f>IFERROR(INDEX(TBL_STORAGE_CONNECTIONS[Name],$A194),"")</f>
        <v/>
      </c>
      <c r="C194" s="93" t="str">
        <f t="shared" ref="C194:D194" si="253">IF($B194&lt;&gt;"",C190,"")</f>
        <v/>
      </c>
      <c r="D194" s="93" t="str">
        <f t="shared" si="253"/>
        <v/>
      </c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5"/>
      <c r="W194" s="31" t="e">
        <f>INDEX(TBL_STORAGE_CONNECTIONS[StorageConnectionID],$A194)</f>
        <v>#REF!</v>
      </c>
      <c r="X194" s="31" t="e">
        <f>"StorageCapMin_"&amp;RIGHT($W194,11)</f>
        <v>#REF!</v>
      </c>
    </row>
    <row r="195" spans="1:24" x14ac:dyDescent="0.25">
      <c r="A195" s="94">
        <f t="shared" si="238"/>
        <v>48</v>
      </c>
      <c r="B195" s="118"/>
      <c r="C195" s="93" t="str">
        <f t="shared" ref="C195:D195" si="254">IF($B194&lt;&gt;"",C191,"")</f>
        <v/>
      </c>
      <c r="D195" s="93" t="str">
        <f t="shared" si="254"/>
        <v/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6"/>
      <c r="W195" s="31" t="e">
        <f>INDEX(TBL_STORAGE_CONNECTIONS[StorageConnectionID],$A195)</f>
        <v>#REF!</v>
      </c>
      <c r="X195" s="31" t="e">
        <f>"StorageCapMax_"&amp;RIGHT($W195,11)</f>
        <v>#REF!</v>
      </c>
    </row>
    <row r="196" spans="1:24" x14ac:dyDescent="0.25">
      <c r="A196" s="94">
        <f t="shared" si="238"/>
        <v>48</v>
      </c>
      <c r="B196" s="118"/>
      <c r="C196" s="93" t="str">
        <f t="shared" ref="C196:D196" si="255">IF($B194&lt;&gt;"",C192,"")</f>
        <v/>
      </c>
      <c r="D196" s="93" t="str">
        <f t="shared" si="255"/>
        <v/>
      </c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5"/>
      <c r="W196" s="31" t="e">
        <f>INDEX(TBL_STORAGE_CONNECTIONS[StorageConnectionID],$A196)</f>
        <v>#REF!</v>
      </c>
      <c r="X196" s="31" t="e">
        <f>"StorageTariffFixed_"&amp;RIGHT($W196,11)</f>
        <v>#REF!</v>
      </c>
    </row>
    <row r="197" spans="1:24" x14ac:dyDescent="0.25">
      <c r="A197" s="94">
        <f t="shared" si="238"/>
        <v>48</v>
      </c>
      <c r="B197" s="119"/>
      <c r="C197" s="93" t="str">
        <f t="shared" ref="C197:D197" si="256">IF($B194&lt;&gt;"",C193,"")</f>
        <v/>
      </c>
      <c r="D197" s="93" t="str">
        <f t="shared" si="256"/>
        <v/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6"/>
      <c r="W197" s="31" t="e">
        <f>INDEX(TBL_STORAGE_CONNECTIONS[StorageConnectionID],$A197)</f>
        <v>#REF!</v>
      </c>
      <c r="X197" s="31" t="e">
        <f>"StorageTariffVar_"&amp;RIGHT($W197,11)</f>
        <v>#REF!</v>
      </c>
    </row>
    <row r="198" spans="1:24" x14ac:dyDescent="0.25">
      <c r="A198" s="94">
        <f t="shared" ref="A198" si="257">$A194+1</f>
        <v>49</v>
      </c>
      <c r="B198" s="117" t="str">
        <f>IFERROR(INDEX(TBL_STORAGE_CONNECTIONS[Name],$A198),"")</f>
        <v/>
      </c>
      <c r="C198" s="93" t="str">
        <f t="shared" ref="C198:D198" si="258">IF($B198&lt;&gt;"",C194,"")</f>
        <v/>
      </c>
      <c r="D198" s="93" t="str">
        <f t="shared" si="258"/>
        <v/>
      </c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5"/>
      <c r="W198" s="31" t="e">
        <f>INDEX(TBL_STORAGE_CONNECTIONS[StorageConnectionID],$A198)</f>
        <v>#REF!</v>
      </c>
      <c r="X198" s="31" t="e">
        <f>"StorageCapMin_"&amp;RIGHT($W198,11)</f>
        <v>#REF!</v>
      </c>
    </row>
    <row r="199" spans="1:24" x14ac:dyDescent="0.25">
      <c r="A199" s="94">
        <f t="shared" si="238"/>
        <v>49</v>
      </c>
      <c r="B199" s="118"/>
      <c r="C199" s="93" t="str">
        <f t="shared" ref="C199:D199" si="259">IF($B198&lt;&gt;"",C195,"")</f>
        <v/>
      </c>
      <c r="D199" s="93" t="str">
        <f t="shared" si="259"/>
        <v/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6"/>
      <c r="W199" s="31" t="e">
        <f>INDEX(TBL_STORAGE_CONNECTIONS[StorageConnectionID],$A199)</f>
        <v>#REF!</v>
      </c>
      <c r="X199" s="31" t="e">
        <f>"StorageCapMax_"&amp;RIGHT($W199,11)</f>
        <v>#REF!</v>
      </c>
    </row>
    <row r="200" spans="1:24" x14ac:dyDescent="0.25">
      <c r="A200" s="94">
        <f t="shared" si="238"/>
        <v>49</v>
      </c>
      <c r="B200" s="118"/>
      <c r="C200" s="93" t="str">
        <f t="shared" ref="C200:D200" si="260">IF($B198&lt;&gt;"",C196,"")</f>
        <v/>
      </c>
      <c r="D200" s="93" t="str">
        <f t="shared" si="260"/>
        <v/>
      </c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5"/>
      <c r="W200" s="31" t="e">
        <f>INDEX(TBL_STORAGE_CONNECTIONS[StorageConnectionID],$A200)</f>
        <v>#REF!</v>
      </c>
      <c r="X200" s="31" t="e">
        <f>"StorageTariffFixed_"&amp;RIGHT($W200,11)</f>
        <v>#REF!</v>
      </c>
    </row>
    <row r="201" spans="1:24" x14ac:dyDescent="0.25">
      <c r="A201" s="94">
        <f t="shared" si="238"/>
        <v>49</v>
      </c>
      <c r="B201" s="119"/>
      <c r="C201" s="93" t="str">
        <f t="shared" ref="C201:D201" si="261">IF($B198&lt;&gt;"",C197,"")</f>
        <v/>
      </c>
      <c r="D201" s="93" t="str">
        <f t="shared" si="261"/>
        <v/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6"/>
      <c r="W201" s="31" t="e">
        <f>INDEX(TBL_STORAGE_CONNECTIONS[StorageConnectionID],$A201)</f>
        <v>#REF!</v>
      </c>
      <c r="X201" s="31" t="e">
        <f>"StorageTariffVar_"&amp;RIGHT($W201,11)</f>
        <v>#REF!</v>
      </c>
    </row>
    <row r="202" spans="1:24" x14ac:dyDescent="0.25">
      <c r="A202" s="94">
        <f t="shared" ref="A202" si="262">$A198+1</f>
        <v>50</v>
      </c>
      <c r="B202" s="117" t="str">
        <f>IFERROR(INDEX(TBL_STORAGE_CONNECTIONS[Name],$A202),"")</f>
        <v/>
      </c>
      <c r="C202" s="93" t="str">
        <f t="shared" ref="C202:D202" si="263">IF($B202&lt;&gt;"",C198,"")</f>
        <v/>
      </c>
      <c r="D202" s="93" t="str">
        <f t="shared" si="263"/>
        <v/>
      </c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5"/>
      <c r="W202" s="31" t="e">
        <f>INDEX(TBL_STORAGE_CONNECTIONS[StorageConnectionID],$A202)</f>
        <v>#REF!</v>
      </c>
      <c r="X202" s="31" t="e">
        <f>"StorageCapMin_"&amp;RIGHT($W202,11)</f>
        <v>#REF!</v>
      </c>
    </row>
    <row r="203" spans="1:24" x14ac:dyDescent="0.25">
      <c r="A203" s="94">
        <f t="shared" ref="A203:A205" si="264">$A202</f>
        <v>50</v>
      </c>
      <c r="B203" s="118"/>
      <c r="C203" s="93" t="str">
        <f t="shared" ref="C203:D203" si="265">IF($B202&lt;&gt;"",C199,"")</f>
        <v/>
      </c>
      <c r="D203" s="93" t="str">
        <f t="shared" si="265"/>
        <v/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6"/>
      <c r="W203" s="31" t="e">
        <f>INDEX(TBL_STORAGE_CONNECTIONS[StorageConnectionID],$A203)</f>
        <v>#REF!</v>
      </c>
      <c r="X203" s="31" t="e">
        <f>"StorageCapMax_"&amp;RIGHT($W203,11)</f>
        <v>#REF!</v>
      </c>
    </row>
    <row r="204" spans="1:24" x14ac:dyDescent="0.25">
      <c r="A204" s="94">
        <f t="shared" si="264"/>
        <v>50</v>
      </c>
      <c r="B204" s="118"/>
      <c r="C204" s="93" t="str">
        <f t="shared" ref="C204:D204" si="266">IF($B202&lt;&gt;"",C200,"")</f>
        <v/>
      </c>
      <c r="D204" s="93" t="str">
        <f t="shared" si="266"/>
        <v/>
      </c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5"/>
      <c r="W204" s="31" t="e">
        <f>INDEX(TBL_STORAGE_CONNECTIONS[StorageConnectionID],$A204)</f>
        <v>#REF!</v>
      </c>
      <c r="X204" s="31" t="e">
        <f>"StorageTariffFixed_"&amp;RIGHT($W204,11)</f>
        <v>#REF!</v>
      </c>
    </row>
    <row r="205" spans="1:24" x14ac:dyDescent="0.25">
      <c r="A205" s="94">
        <f t="shared" si="264"/>
        <v>50</v>
      </c>
      <c r="B205" s="119"/>
      <c r="C205" s="93" t="str">
        <f t="shared" ref="C205:D205" si="267">IF($B202&lt;&gt;"",C201,"")</f>
        <v/>
      </c>
      <c r="D205" s="93" t="str">
        <f t="shared" si="267"/>
        <v/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6"/>
      <c r="W205" s="31" t="e">
        <f>INDEX(TBL_STORAGE_CONNECTIONS[StorageConnectionID],$A205)</f>
        <v>#REF!</v>
      </c>
      <c r="X205" s="31" t="e">
        <f>"StorageTariffVar_"&amp;RIGHT($W205,11)</f>
        <v>#REF!</v>
      </c>
    </row>
    <row r="206" spans="1:24" x14ac:dyDescent="0.25">
      <c r="A206" s="94">
        <f t="shared" ref="A206" si="268">$A202+1</f>
        <v>51</v>
      </c>
      <c r="B206" s="117" t="str">
        <f>IFERROR(INDEX(TBL_STORAGE_CONNECTIONS[Name],$A206),"")</f>
        <v/>
      </c>
      <c r="C206" s="93" t="str">
        <f t="shared" ref="C206:D206" si="269">IF($B206&lt;&gt;"",C202,"")</f>
        <v/>
      </c>
      <c r="D206" s="93" t="str">
        <f t="shared" si="269"/>
        <v/>
      </c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5"/>
      <c r="W206" s="31" t="e">
        <f>INDEX(TBL_STORAGE_CONNECTIONS[StorageConnectionID],$A206)</f>
        <v>#REF!</v>
      </c>
      <c r="X206" s="31" t="e">
        <f>"StorageCapMin_"&amp;RIGHT($W206,11)</f>
        <v>#REF!</v>
      </c>
    </row>
    <row r="207" spans="1:24" x14ac:dyDescent="0.25">
      <c r="A207" s="94">
        <f t="shared" ref="A207:A209" si="270">$A206</f>
        <v>51</v>
      </c>
      <c r="B207" s="118"/>
      <c r="C207" s="93" t="str">
        <f t="shared" ref="C207:D207" si="271">IF($B206&lt;&gt;"",C203,"")</f>
        <v/>
      </c>
      <c r="D207" s="93" t="str">
        <f t="shared" si="271"/>
        <v/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6"/>
      <c r="W207" s="31" t="e">
        <f>INDEX(TBL_STORAGE_CONNECTIONS[StorageConnectionID],$A207)</f>
        <v>#REF!</v>
      </c>
      <c r="X207" s="31" t="e">
        <f>"StorageCapMax_"&amp;RIGHT($W207,11)</f>
        <v>#REF!</v>
      </c>
    </row>
    <row r="208" spans="1:24" x14ac:dyDescent="0.25">
      <c r="A208" s="94">
        <f t="shared" si="270"/>
        <v>51</v>
      </c>
      <c r="B208" s="118"/>
      <c r="C208" s="93" t="str">
        <f t="shared" ref="C208:D208" si="272">IF($B206&lt;&gt;"",C204,"")</f>
        <v/>
      </c>
      <c r="D208" s="93" t="str">
        <f t="shared" si="272"/>
        <v/>
      </c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5"/>
      <c r="W208" s="31" t="e">
        <f>INDEX(TBL_STORAGE_CONNECTIONS[StorageConnectionID],$A208)</f>
        <v>#REF!</v>
      </c>
      <c r="X208" s="31" t="e">
        <f>"StorageTariffFixed_"&amp;RIGHT($W208,11)</f>
        <v>#REF!</v>
      </c>
    </row>
    <row r="209" spans="1:24" x14ac:dyDescent="0.25">
      <c r="A209" s="94">
        <f t="shared" si="270"/>
        <v>51</v>
      </c>
      <c r="B209" s="119"/>
      <c r="C209" s="93" t="str">
        <f t="shared" ref="C209:D209" si="273">IF($B206&lt;&gt;"",C205,"")</f>
        <v/>
      </c>
      <c r="D209" s="93" t="str">
        <f t="shared" si="273"/>
        <v/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6"/>
      <c r="W209" s="31" t="e">
        <f>INDEX(TBL_STORAGE_CONNECTIONS[StorageConnectionID],$A209)</f>
        <v>#REF!</v>
      </c>
      <c r="X209" s="31" t="e">
        <f>"StorageTariffVar_"&amp;RIGHT($W209,11)</f>
        <v>#REF!</v>
      </c>
    </row>
    <row r="210" spans="1:24" x14ac:dyDescent="0.25">
      <c r="A210" s="94">
        <f t="shared" ref="A210" si="274">$A206+1</f>
        <v>52</v>
      </c>
      <c r="B210" s="117" t="str">
        <f>IFERROR(INDEX(TBL_STORAGE_CONNECTIONS[Name],$A210),"")</f>
        <v/>
      </c>
      <c r="C210" s="93" t="str">
        <f t="shared" ref="C210:D210" si="275">IF($B210&lt;&gt;"",C206,"")</f>
        <v/>
      </c>
      <c r="D210" s="93" t="str">
        <f t="shared" si="275"/>
        <v/>
      </c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5"/>
      <c r="W210" s="31" t="e">
        <f>INDEX(TBL_STORAGE_CONNECTIONS[StorageConnectionID],$A210)</f>
        <v>#REF!</v>
      </c>
      <c r="X210" s="31" t="e">
        <f>"StorageCapMin_"&amp;RIGHT($W210,11)</f>
        <v>#REF!</v>
      </c>
    </row>
    <row r="211" spans="1:24" x14ac:dyDescent="0.25">
      <c r="A211" s="94">
        <f t="shared" ref="A211:A213" si="276">$A210</f>
        <v>52</v>
      </c>
      <c r="B211" s="118"/>
      <c r="C211" s="93" t="str">
        <f t="shared" ref="C211:D211" si="277">IF($B210&lt;&gt;"",C207,"")</f>
        <v/>
      </c>
      <c r="D211" s="93" t="str">
        <f t="shared" si="277"/>
        <v/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6"/>
      <c r="W211" s="31" t="e">
        <f>INDEX(TBL_STORAGE_CONNECTIONS[StorageConnectionID],$A211)</f>
        <v>#REF!</v>
      </c>
      <c r="X211" s="31" t="e">
        <f>"StorageCapMax_"&amp;RIGHT($W211,11)</f>
        <v>#REF!</v>
      </c>
    </row>
    <row r="212" spans="1:24" x14ac:dyDescent="0.25">
      <c r="A212" s="94">
        <f t="shared" si="276"/>
        <v>52</v>
      </c>
      <c r="B212" s="118"/>
      <c r="C212" s="93" t="str">
        <f t="shared" ref="C212:D212" si="278">IF($B210&lt;&gt;"",C208,"")</f>
        <v/>
      </c>
      <c r="D212" s="93" t="str">
        <f t="shared" si="278"/>
        <v/>
      </c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5"/>
      <c r="W212" s="31" t="e">
        <f>INDEX(TBL_STORAGE_CONNECTIONS[StorageConnectionID],$A212)</f>
        <v>#REF!</v>
      </c>
      <c r="X212" s="31" t="e">
        <f>"StorageTariffFixed_"&amp;RIGHT($W212,11)</f>
        <v>#REF!</v>
      </c>
    </row>
    <row r="213" spans="1:24" x14ac:dyDescent="0.25">
      <c r="A213" s="94">
        <f t="shared" si="276"/>
        <v>52</v>
      </c>
      <c r="B213" s="119"/>
      <c r="C213" s="93" t="str">
        <f t="shared" ref="C213:D213" si="279">IF($B210&lt;&gt;"",C209,"")</f>
        <v/>
      </c>
      <c r="D213" s="93" t="str">
        <f t="shared" si="279"/>
        <v/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6"/>
      <c r="W213" s="31" t="e">
        <f>INDEX(TBL_STORAGE_CONNECTIONS[StorageConnectionID],$A213)</f>
        <v>#REF!</v>
      </c>
      <c r="X213" s="31" t="e">
        <f>"StorageTariffVar_"&amp;RIGHT($W213,11)</f>
        <v>#REF!</v>
      </c>
    </row>
    <row r="214" spans="1:24" x14ac:dyDescent="0.25">
      <c r="A214" s="94">
        <f t="shared" ref="A214" si="280">$A210+1</f>
        <v>53</v>
      </c>
      <c r="B214" s="117" t="str">
        <f>IFERROR(INDEX(TBL_STORAGE_CONNECTIONS[Name],$A214),"")</f>
        <v/>
      </c>
      <c r="C214" s="93" t="str">
        <f t="shared" ref="C214:D214" si="281">IF($B214&lt;&gt;"",C210,"")</f>
        <v/>
      </c>
      <c r="D214" s="93" t="str">
        <f t="shared" si="281"/>
        <v/>
      </c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5"/>
      <c r="W214" s="31" t="e">
        <f>INDEX(TBL_STORAGE_CONNECTIONS[StorageConnectionID],$A214)</f>
        <v>#REF!</v>
      </c>
      <c r="X214" s="31" t="e">
        <f>"StorageCapMin_"&amp;RIGHT($W214,11)</f>
        <v>#REF!</v>
      </c>
    </row>
    <row r="215" spans="1:24" x14ac:dyDescent="0.25">
      <c r="A215" s="94">
        <f t="shared" ref="A215:A217" si="282">$A214</f>
        <v>53</v>
      </c>
      <c r="B215" s="118"/>
      <c r="C215" s="93" t="str">
        <f t="shared" ref="C215:D215" si="283">IF($B214&lt;&gt;"",C211,"")</f>
        <v/>
      </c>
      <c r="D215" s="93" t="str">
        <f t="shared" si="283"/>
        <v/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6"/>
      <c r="W215" s="31" t="e">
        <f>INDEX(TBL_STORAGE_CONNECTIONS[StorageConnectionID],$A215)</f>
        <v>#REF!</v>
      </c>
      <c r="X215" s="31" t="e">
        <f>"StorageCapMax_"&amp;RIGHT($W215,11)</f>
        <v>#REF!</v>
      </c>
    </row>
    <row r="216" spans="1:24" x14ac:dyDescent="0.25">
      <c r="A216" s="94">
        <f t="shared" si="282"/>
        <v>53</v>
      </c>
      <c r="B216" s="118"/>
      <c r="C216" s="93" t="str">
        <f t="shared" ref="C216:D216" si="284">IF($B214&lt;&gt;"",C212,"")</f>
        <v/>
      </c>
      <c r="D216" s="93" t="str">
        <f t="shared" si="284"/>
        <v/>
      </c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5"/>
      <c r="W216" s="31" t="e">
        <f>INDEX(TBL_STORAGE_CONNECTIONS[StorageConnectionID],$A216)</f>
        <v>#REF!</v>
      </c>
      <c r="X216" s="31" t="e">
        <f>"StorageTariffFixed_"&amp;RIGHT($W216,11)</f>
        <v>#REF!</v>
      </c>
    </row>
    <row r="217" spans="1:24" x14ac:dyDescent="0.25">
      <c r="A217" s="94">
        <f t="shared" si="282"/>
        <v>53</v>
      </c>
      <c r="B217" s="119"/>
      <c r="C217" s="93" t="str">
        <f t="shared" ref="C217:D217" si="285">IF($B214&lt;&gt;"",C213,"")</f>
        <v/>
      </c>
      <c r="D217" s="93" t="str">
        <f t="shared" si="285"/>
        <v/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6"/>
      <c r="W217" s="31" t="e">
        <f>INDEX(TBL_STORAGE_CONNECTIONS[StorageConnectionID],$A217)</f>
        <v>#REF!</v>
      </c>
      <c r="X217" s="31" t="e">
        <f>"StorageTariffVar_"&amp;RIGHT($W217,11)</f>
        <v>#REF!</v>
      </c>
    </row>
    <row r="218" spans="1:24" x14ac:dyDescent="0.25">
      <c r="A218" s="94">
        <f t="shared" ref="A218" si="286">$A214+1</f>
        <v>54</v>
      </c>
      <c r="B218" s="117" t="str">
        <f>IFERROR(INDEX(TBL_STORAGE_CONNECTIONS[Name],$A218),"")</f>
        <v/>
      </c>
      <c r="C218" s="93" t="str">
        <f t="shared" ref="C218:D218" si="287">IF($B218&lt;&gt;"",C214,"")</f>
        <v/>
      </c>
      <c r="D218" s="93" t="str">
        <f t="shared" si="287"/>
        <v/>
      </c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5"/>
      <c r="W218" s="31" t="e">
        <f>INDEX(TBL_STORAGE_CONNECTIONS[StorageConnectionID],$A218)</f>
        <v>#REF!</v>
      </c>
      <c r="X218" s="31" t="e">
        <f>"StorageCapMin_"&amp;RIGHT($W218,11)</f>
        <v>#REF!</v>
      </c>
    </row>
    <row r="219" spans="1:24" x14ac:dyDescent="0.25">
      <c r="A219" s="94">
        <f t="shared" ref="A219:A237" si="288">$A218</f>
        <v>54</v>
      </c>
      <c r="B219" s="118"/>
      <c r="C219" s="93" t="str">
        <f t="shared" ref="C219:D219" si="289">IF($B218&lt;&gt;"",C215,"")</f>
        <v/>
      </c>
      <c r="D219" s="93" t="str">
        <f t="shared" si="289"/>
        <v/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6"/>
      <c r="W219" s="31" t="e">
        <f>INDEX(TBL_STORAGE_CONNECTIONS[StorageConnectionID],$A219)</f>
        <v>#REF!</v>
      </c>
      <c r="X219" s="31" t="e">
        <f>"StorageCapMax_"&amp;RIGHT($W219,11)</f>
        <v>#REF!</v>
      </c>
    </row>
    <row r="220" spans="1:24" x14ac:dyDescent="0.25">
      <c r="A220" s="94">
        <f t="shared" si="288"/>
        <v>54</v>
      </c>
      <c r="B220" s="118"/>
      <c r="C220" s="93" t="str">
        <f t="shared" ref="C220:D220" si="290">IF($B218&lt;&gt;"",C216,"")</f>
        <v/>
      </c>
      <c r="D220" s="93" t="str">
        <f t="shared" si="290"/>
        <v/>
      </c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5"/>
      <c r="W220" s="31" t="e">
        <f>INDEX(TBL_STORAGE_CONNECTIONS[StorageConnectionID],$A220)</f>
        <v>#REF!</v>
      </c>
      <c r="X220" s="31" t="e">
        <f>"StorageTariffFixed_"&amp;RIGHT($W220,11)</f>
        <v>#REF!</v>
      </c>
    </row>
    <row r="221" spans="1:24" x14ac:dyDescent="0.25">
      <c r="A221" s="94">
        <f t="shared" si="288"/>
        <v>54</v>
      </c>
      <c r="B221" s="119"/>
      <c r="C221" s="93" t="str">
        <f t="shared" ref="C221:D221" si="291">IF($B218&lt;&gt;"",C217,"")</f>
        <v/>
      </c>
      <c r="D221" s="93" t="str">
        <f t="shared" si="291"/>
        <v/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6"/>
      <c r="W221" s="31" t="e">
        <f>INDEX(TBL_STORAGE_CONNECTIONS[StorageConnectionID],$A221)</f>
        <v>#REF!</v>
      </c>
      <c r="X221" s="31" t="e">
        <f>"StorageTariffVar_"&amp;RIGHT($W221,11)</f>
        <v>#REF!</v>
      </c>
    </row>
    <row r="222" spans="1:24" x14ac:dyDescent="0.25">
      <c r="A222" s="94">
        <f t="shared" ref="A222" si="292">$A218+1</f>
        <v>55</v>
      </c>
      <c r="B222" s="117" t="str">
        <f>IFERROR(INDEX(TBL_STORAGE_CONNECTIONS[Name],$A222),"")</f>
        <v/>
      </c>
      <c r="C222" s="93" t="str">
        <f t="shared" ref="C222:D222" si="293">IF($B222&lt;&gt;"",C218,"")</f>
        <v/>
      </c>
      <c r="D222" s="93" t="str">
        <f t="shared" si="293"/>
        <v/>
      </c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5"/>
      <c r="W222" s="31" t="e">
        <f>INDEX(TBL_STORAGE_CONNECTIONS[StorageConnectionID],$A222)</f>
        <v>#REF!</v>
      </c>
      <c r="X222" s="31" t="e">
        <f>"StorageCapMin_"&amp;RIGHT($W222,11)</f>
        <v>#REF!</v>
      </c>
    </row>
    <row r="223" spans="1:24" x14ac:dyDescent="0.25">
      <c r="A223" s="94">
        <f t="shared" si="288"/>
        <v>55</v>
      </c>
      <c r="B223" s="118"/>
      <c r="C223" s="93" t="str">
        <f t="shared" ref="C223:D223" si="294">IF($B222&lt;&gt;"",C219,"")</f>
        <v/>
      </c>
      <c r="D223" s="93" t="str">
        <f t="shared" si="294"/>
        <v/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6"/>
      <c r="W223" s="31" t="e">
        <f>INDEX(TBL_STORAGE_CONNECTIONS[StorageConnectionID],$A223)</f>
        <v>#REF!</v>
      </c>
      <c r="X223" s="31" t="e">
        <f>"StorageCapMax_"&amp;RIGHT($W223,11)</f>
        <v>#REF!</v>
      </c>
    </row>
    <row r="224" spans="1:24" x14ac:dyDescent="0.25">
      <c r="A224" s="94">
        <f t="shared" si="288"/>
        <v>55</v>
      </c>
      <c r="B224" s="118"/>
      <c r="C224" s="93" t="str">
        <f t="shared" ref="C224:D224" si="295">IF($B222&lt;&gt;"",C220,"")</f>
        <v/>
      </c>
      <c r="D224" s="93" t="str">
        <f t="shared" si="295"/>
        <v/>
      </c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5"/>
      <c r="W224" s="31" t="e">
        <f>INDEX(TBL_STORAGE_CONNECTIONS[StorageConnectionID],$A224)</f>
        <v>#REF!</v>
      </c>
      <c r="X224" s="31" t="e">
        <f>"StorageTariffFixed_"&amp;RIGHT($W224,11)</f>
        <v>#REF!</v>
      </c>
    </row>
    <row r="225" spans="1:24" x14ac:dyDescent="0.25">
      <c r="A225" s="94">
        <f t="shared" si="288"/>
        <v>55</v>
      </c>
      <c r="B225" s="119"/>
      <c r="C225" s="93" t="str">
        <f t="shared" ref="C225:D225" si="296">IF($B222&lt;&gt;"",C221,"")</f>
        <v/>
      </c>
      <c r="D225" s="93" t="str">
        <f t="shared" si="296"/>
        <v/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6"/>
      <c r="W225" s="31" t="e">
        <f>INDEX(TBL_STORAGE_CONNECTIONS[StorageConnectionID],$A225)</f>
        <v>#REF!</v>
      </c>
      <c r="X225" s="31" t="e">
        <f>"StorageTariffVar_"&amp;RIGHT($W225,11)</f>
        <v>#REF!</v>
      </c>
    </row>
    <row r="226" spans="1:24" x14ac:dyDescent="0.25">
      <c r="A226" s="94">
        <f t="shared" ref="A226" si="297">$A222+1</f>
        <v>56</v>
      </c>
      <c r="B226" s="117" t="str">
        <f>IFERROR(INDEX(TBL_STORAGE_CONNECTIONS[Name],$A226),"")</f>
        <v/>
      </c>
      <c r="C226" s="93" t="str">
        <f t="shared" ref="C226:D226" si="298">IF($B226&lt;&gt;"",C222,"")</f>
        <v/>
      </c>
      <c r="D226" s="93" t="str">
        <f t="shared" si="298"/>
        <v/>
      </c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5"/>
      <c r="W226" s="31" t="e">
        <f>INDEX(TBL_STORAGE_CONNECTIONS[StorageConnectionID],$A226)</f>
        <v>#REF!</v>
      </c>
      <c r="X226" s="31" t="e">
        <f>"StorageCapMin_"&amp;RIGHT($W226,11)</f>
        <v>#REF!</v>
      </c>
    </row>
    <row r="227" spans="1:24" x14ac:dyDescent="0.25">
      <c r="A227" s="94">
        <f t="shared" si="288"/>
        <v>56</v>
      </c>
      <c r="B227" s="118"/>
      <c r="C227" s="93" t="str">
        <f t="shared" ref="C227:D227" si="299">IF($B226&lt;&gt;"",C223,"")</f>
        <v/>
      </c>
      <c r="D227" s="93" t="str">
        <f t="shared" si="299"/>
        <v/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6"/>
      <c r="W227" s="31" t="e">
        <f>INDEX(TBL_STORAGE_CONNECTIONS[StorageConnectionID],$A227)</f>
        <v>#REF!</v>
      </c>
      <c r="X227" s="31" t="e">
        <f>"StorageCapMax_"&amp;RIGHT($W227,11)</f>
        <v>#REF!</v>
      </c>
    </row>
    <row r="228" spans="1:24" x14ac:dyDescent="0.25">
      <c r="A228" s="94">
        <f t="shared" si="288"/>
        <v>56</v>
      </c>
      <c r="B228" s="118"/>
      <c r="C228" s="93" t="str">
        <f t="shared" ref="C228:D228" si="300">IF($B226&lt;&gt;"",C224,"")</f>
        <v/>
      </c>
      <c r="D228" s="93" t="str">
        <f t="shared" si="300"/>
        <v/>
      </c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5"/>
      <c r="W228" s="31" t="e">
        <f>INDEX(TBL_STORAGE_CONNECTIONS[StorageConnectionID],$A228)</f>
        <v>#REF!</v>
      </c>
      <c r="X228" s="31" t="e">
        <f>"StorageTariffFixed_"&amp;RIGHT($W228,11)</f>
        <v>#REF!</v>
      </c>
    </row>
    <row r="229" spans="1:24" x14ac:dyDescent="0.25">
      <c r="A229" s="94">
        <f t="shared" si="288"/>
        <v>56</v>
      </c>
      <c r="B229" s="119"/>
      <c r="C229" s="93" t="str">
        <f t="shared" ref="C229:D229" si="301">IF($B226&lt;&gt;"",C225,"")</f>
        <v/>
      </c>
      <c r="D229" s="93" t="str">
        <f t="shared" si="301"/>
        <v/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6"/>
      <c r="W229" s="31" t="e">
        <f>INDEX(TBL_STORAGE_CONNECTIONS[StorageConnectionID],$A229)</f>
        <v>#REF!</v>
      </c>
      <c r="X229" s="31" t="e">
        <f>"StorageTariffVar_"&amp;RIGHT($W229,11)</f>
        <v>#REF!</v>
      </c>
    </row>
    <row r="230" spans="1:24" x14ac:dyDescent="0.25">
      <c r="A230" s="94">
        <f t="shared" ref="A230" si="302">$A226+1</f>
        <v>57</v>
      </c>
      <c r="B230" s="117" t="str">
        <f>IFERROR(INDEX(TBL_STORAGE_CONNECTIONS[Name],$A230),"")</f>
        <v/>
      </c>
      <c r="C230" s="93" t="str">
        <f t="shared" ref="C230:D230" si="303">IF($B230&lt;&gt;"",C226,"")</f>
        <v/>
      </c>
      <c r="D230" s="93" t="str">
        <f t="shared" si="303"/>
        <v/>
      </c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5"/>
      <c r="W230" s="31" t="e">
        <f>INDEX(TBL_STORAGE_CONNECTIONS[StorageConnectionID],$A230)</f>
        <v>#REF!</v>
      </c>
      <c r="X230" s="31" t="e">
        <f>"StorageCapMin_"&amp;RIGHT($W230,11)</f>
        <v>#REF!</v>
      </c>
    </row>
    <row r="231" spans="1:24" x14ac:dyDescent="0.25">
      <c r="A231" s="94">
        <f t="shared" si="288"/>
        <v>57</v>
      </c>
      <c r="B231" s="118"/>
      <c r="C231" s="93" t="str">
        <f t="shared" ref="C231:D231" si="304">IF($B230&lt;&gt;"",C227,"")</f>
        <v/>
      </c>
      <c r="D231" s="93" t="str">
        <f t="shared" si="304"/>
        <v/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6"/>
      <c r="W231" s="31" t="e">
        <f>INDEX(TBL_STORAGE_CONNECTIONS[StorageConnectionID],$A231)</f>
        <v>#REF!</v>
      </c>
      <c r="X231" s="31" t="e">
        <f>"StorageCapMax_"&amp;RIGHT($W231,11)</f>
        <v>#REF!</v>
      </c>
    </row>
    <row r="232" spans="1:24" x14ac:dyDescent="0.25">
      <c r="A232" s="94">
        <f t="shared" si="288"/>
        <v>57</v>
      </c>
      <c r="B232" s="118"/>
      <c r="C232" s="93" t="str">
        <f t="shared" ref="C232:D232" si="305">IF($B230&lt;&gt;"",C228,"")</f>
        <v/>
      </c>
      <c r="D232" s="93" t="str">
        <f t="shared" si="305"/>
        <v/>
      </c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5"/>
      <c r="W232" s="31" t="e">
        <f>INDEX(TBL_STORAGE_CONNECTIONS[StorageConnectionID],$A232)</f>
        <v>#REF!</v>
      </c>
      <c r="X232" s="31" t="e">
        <f>"StorageTariffFixed_"&amp;RIGHT($W232,11)</f>
        <v>#REF!</v>
      </c>
    </row>
    <row r="233" spans="1:24" x14ac:dyDescent="0.25">
      <c r="A233" s="94">
        <f t="shared" si="288"/>
        <v>57</v>
      </c>
      <c r="B233" s="119"/>
      <c r="C233" s="93" t="str">
        <f t="shared" ref="C233:D233" si="306">IF($B230&lt;&gt;"",C229,"")</f>
        <v/>
      </c>
      <c r="D233" s="93" t="str">
        <f t="shared" si="306"/>
        <v/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6"/>
      <c r="W233" s="31" t="e">
        <f>INDEX(TBL_STORAGE_CONNECTIONS[StorageConnectionID],$A233)</f>
        <v>#REF!</v>
      </c>
      <c r="X233" s="31" t="e">
        <f>"StorageTariffVar_"&amp;RIGHT($W233,11)</f>
        <v>#REF!</v>
      </c>
    </row>
    <row r="234" spans="1:24" x14ac:dyDescent="0.25">
      <c r="A234" s="94">
        <f t="shared" ref="A234" si="307">$A230+1</f>
        <v>58</v>
      </c>
      <c r="B234" s="117" t="str">
        <f>IFERROR(INDEX(TBL_STORAGE_CONNECTIONS[Name],$A234),"")</f>
        <v/>
      </c>
      <c r="C234" s="93" t="str">
        <f t="shared" ref="C234:D234" si="308">IF($B234&lt;&gt;"",C230,"")</f>
        <v/>
      </c>
      <c r="D234" s="93" t="str">
        <f t="shared" si="308"/>
        <v/>
      </c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5"/>
      <c r="W234" s="31" t="e">
        <f>INDEX(TBL_STORAGE_CONNECTIONS[StorageConnectionID],$A234)</f>
        <v>#REF!</v>
      </c>
      <c r="X234" s="31" t="e">
        <f>"StorageCapMin_"&amp;RIGHT($W234,11)</f>
        <v>#REF!</v>
      </c>
    </row>
    <row r="235" spans="1:24" x14ac:dyDescent="0.25">
      <c r="A235" s="94">
        <f t="shared" si="288"/>
        <v>58</v>
      </c>
      <c r="B235" s="118"/>
      <c r="C235" s="93" t="str">
        <f t="shared" ref="C235:D235" si="309">IF($B234&lt;&gt;"",C231,"")</f>
        <v/>
      </c>
      <c r="D235" s="93" t="str">
        <f t="shared" si="309"/>
        <v/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6"/>
      <c r="W235" s="31" t="e">
        <f>INDEX(TBL_STORAGE_CONNECTIONS[StorageConnectionID],$A235)</f>
        <v>#REF!</v>
      </c>
      <c r="X235" s="31" t="e">
        <f>"StorageCapMax_"&amp;RIGHT($W235,11)</f>
        <v>#REF!</v>
      </c>
    </row>
    <row r="236" spans="1:24" x14ac:dyDescent="0.25">
      <c r="A236" s="94">
        <f t="shared" si="288"/>
        <v>58</v>
      </c>
      <c r="B236" s="118"/>
      <c r="C236" s="93" t="str">
        <f t="shared" ref="C236:D236" si="310">IF($B234&lt;&gt;"",C232,"")</f>
        <v/>
      </c>
      <c r="D236" s="93" t="str">
        <f t="shared" si="310"/>
        <v/>
      </c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5"/>
      <c r="W236" s="31" t="e">
        <f>INDEX(TBL_STORAGE_CONNECTIONS[StorageConnectionID],$A236)</f>
        <v>#REF!</v>
      </c>
      <c r="X236" s="31" t="e">
        <f>"StorageTariffFixed_"&amp;RIGHT($W236,11)</f>
        <v>#REF!</v>
      </c>
    </row>
    <row r="237" spans="1:24" x14ac:dyDescent="0.25">
      <c r="A237" s="94">
        <f t="shared" si="288"/>
        <v>58</v>
      </c>
      <c r="B237" s="119"/>
      <c r="C237" s="93" t="str">
        <f t="shared" ref="C237:D237" si="311">IF($B234&lt;&gt;"",C233,"")</f>
        <v/>
      </c>
      <c r="D237" s="93" t="str">
        <f t="shared" si="311"/>
        <v/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6"/>
      <c r="W237" s="31" t="e">
        <f>INDEX(TBL_STORAGE_CONNECTIONS[StorageConnectionID],$A237)</f>
        <v>#REF!</v>
      </c>
      <c r="X237" s="31" t="e">
        <f>"StorageTariffVar_"&amp;RIGHT($W237,11)</f>
        <v>#REF!</v>
      </c>
    </row>
    <row r="238" spans="1:24" x14ac:dyDescent="0.25">
      <c r="A238" s="94">
        <f t="shared" ref="A238" si="312">$A234+1</f>
        <v>59</v>
      </c>
      <c r="B238" s="117" t="str">
        <f>IFERROR(INDEX(TBL_STORAGE_CONNECTIONS[Name],$A238),"")</f>
        <v/>
      </c>
      <c r="C238" s="93" t="str">
        <f t="shared" ref="C238:D238" si="313">IF($B238&lt;&gt;"",C234,"")</f>
        <v/>
      </c>
      <c r="D238" s="93" t="str">
        <f t="shared" si="313"/>
        <v/>
      </c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5"/>
      <c r="W238" s="31" t="e">
        <f>INDEX(TBL_STORAGE_CONNECTIONS[StorageConnectionID],$A238)</f>
        <v>#REF!</v>
      </c>
      <c r="X238" s="31" t="e">
        <f>"StorageCapMin_"&amp;RIGHT($W238,11)</f>
        <v>#REF!</v>
      </c>
    </row>
    <row r="239" spans="1:24" x14ac:dyDescent="0.25">
      <c r="A239" s="94">
        <f t="shared" ref="A239:A241" si="314">$A238</f>
        <v>59</v>
      </c>
      <c r="B239" s="118"/>
      <c r="C239" s="93" t="str">
        <f t="shared" ref="C239:D239" si="315">IF($B238&lt;&gt;"",C235,"")</f>
        <v/>
      </c>
      <c r="D239" s="93" t="str">
        <f t="shared" si="315"/>
        <v/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6"/>
      <c r="W239" s="31" t="e">
        <f>INDEX(TBL_STORAGE_CONNECTIONS[StorageConnectionID],$A239)</f>
        <v>#REF!</v>
      </c>
      <c r="X239" s="31" t="e">
        <f>"StorageCapMax_"&amp;RIGHT($W239,11)</f>
        <v>#REF!</v>
      </c>
    </row>
    <row r="240" spans="1:24" x14ac:dyDescent="0.25">
      <c r="A240" s="94">
        <f t="shared" si="314"/>
        <v>59</v>
      </c>
      <c r="B240" s="118"/>
      <c r="C240" s="93" t="str">
        <f t="shared" ref="C240:D240" si="316">IF($B238&lt;&gt;"",C236,"")</f>
        <v/>
      </c>
      <c r="D240" s="93" t="str">
        <f t="shared" si="316"/>
        <v/>
      </c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5"/>
      <c r="W240" s="31" t="e">
        <f>INDEX(TBL_STORAGE_CONNECTIONS[StorageConnectionID],$A240)</f>
        <v>#REF!</v>
      </c>
      <c r="X240" s="31" t="e">
        <f>"StorageTariffFixed_"&amp;RIGHT($W240,11)</f>
        <v>#REF!</v>
      </c>
    </row>
    <row r="241" spans="1:24" x14ac:dyDescent="0.25">
      <c r="A241" s="94">
        <f t="shared" si="314"/>
        <v>59</v>
      </c>
      <c r="B241" s="119"/>
      <c r="C241" s="93" t="str">
        <f t="shared" ref="C241:D241" si="317">IF($B238&lt;&gt;"",C237,"")</f>
        <v/>
      </c>
      <c r="D241" s="93" t="str">
        <f t="shared" si="317"/>
        <v/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6"/>
      <c r="W241" s="31" t="e">
        <f>INDEX(TBL_STORAGE_CONNECTIONS[StorageConnectionID],$A241)</f>
        <v>#REF!</v>
      </c>
      <c r="X241" s="31" t="e">
        <f>"StorageTariffVar_"&amp;RIGHT($W241,11)</f>
        <v>#REF!</v>
      </c>
    </row>
    <row r="242" spans="1:24" x14ac:dyDescent="0.25">
      <c r="A242" s="94">
        <f t="shared" ref="A242" si="318">$A238+1</f>
        <v>60</v>
      </c>
      <c r="B242" s="117" t="str">
        <f>IFERROR(INDEX(TBL_STORAGE_CONNECTIONS[Name],$A242),"")</f>
        <v/>
      </c>
      <c r="C242" s="93" t="str">
        <f t="shared" ref="C242:D242" si="319">IF($B242&lt;&gt;"",C238,"")</f>
        <v/>
      </c>
      <c r="D242" s="93" t="str">
        <f t="shared" si="319"/>
        <v/>
      </c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5"/>
      <c r="W242" s="31" t="e">
        <f>INDEX(TBL_STORAGE_CONNECTIONS[StorageConnectionID],$A242)</f>
        <v>#REF!</v>
      </c>
      <c r="X242" s="31" t="e">
        <f>"StorageCapMin_"&amp;RIGHT($W242,11)</f>
        <v>#REF!</v>
      </c>
    </row>
    <row r="243" spans="1:24" x14ac:dyDescent="0.25">
      <c r="A243" s="94">
        <f t="shared" ref="A243:A245" si="320">$A242</f>
        <v>60</v>
      </c>
      <c r="B243" s="118"/>
      <c r="C243" s="93" t="str">
        <f t="shared" ref="C243:D243" si="321">IF($B242&lt;&gt;"",C239,"")</f>
        <v/>
      </c>
      <c r="D243" s="93" t="str">
        <f t="shared" si="321"/>
        <v/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6"/>
      <c r="W243" s="31" t="e">
        <f>INDEX(TBL_STORAGE_CONNECTIONS[StorageConnectionID],$A243)</f>
        <v>#REF!</v>
      </c>
      <c r="X243" s="31" t="e">
        <f>"StorageCapMax_"&amp;RIGHT($W243,11)</f>
        <v>#REF!</v>
      </c>
    </row>
    <row r="244" spans="1:24" x14ac:dyDescent="0.25">
      <c r="A244" s="94">
        <f t="shared" si="320"/>
        <v>60</v>
      </c>
      <c r="B244" s="118"/>
      <c r="C244" s="93" t="str">
        <f t="shared" ref="C244:D244" si="322">IF($B242&lt;&gt;"",C240,"")</f>
        <v/>
      </c>
      <c r="D244" s="93" t="str">
        <f t="shared" si="322"/>
        <v/>
      </c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5"/>
      <c r="W244" s="31" t="e">
        <f>INDEX(TBL_STORAGE_CONNECTIONS[StorageConnectionID],$A244)</f>
        <v>#REF!</v>
      </c>
      <c r="X244" s="31" t="e">
        <f>"StorageTariffFixed_"&amp;RIGHT($W244,11)</f>
        <v>#REF!</v>
      </c>
    </row>
    <row r="245" spans="1:24" x14ac:dyDescent="0.25">
      <c r="A245" s="94">
        <f t="shared" si="320"/>
        <v>60</v>
      </c>
      <c r="B245" s="119"/>
      <c r="C245" s="93" t="str">
        <f t="shared" ref="C245:D245" si="323">IF($B242&lt;&gt;"",C241,"")</f>
        <v/>
      </c>
      <c r="D245" s="93" t="str">
        <f t="shared" si="323"/>
        <v/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6"/>
      <c r="W245" s="31" t="e">
        <f>INDEX(TBL_STORAGE_CONNECTIONS[StorageConnectionID],$A245)</f>
        <v>#REF!</v>
      </c>
      <c r="X245" s="31" t="e">
        <f>"StorageTariffVar_"&amp;RIGHT($W245,11)</f>
        <v>#REF!</v>
      </c>
    </row>
    <row r="246" spans="1:24" x14ac:dyDescent="0.25">
      <c r="A246" s="94">
        <f t="shared" ref="A246" si="324">$A242+1</f>
        <v>61</v>
      </c>
      <c r="B246" s="117" t="str">
        <f>IFERROR(INDEX(TBL_STORAGE_CONNECTIONS[Name],$A246),"")</f>
        <v/>
      </c>
      <c r="C246" s="93" t="str">
        <f t="shared" ref="C246:D246" si="325">IF($B246&lt;&gt;"",C242,"")</f>
        <v/>
      </c>
      <c r="D246" s="93" t="str">
        <f t="shared" si="325"/>
        <v/>
      </c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5"/>
      <c r="W246" s="31" t="e">
        <f>INDEX(TBL_STORAGE_CONNECTIONS[StorageConnectionID],$A246)</f>
        <v>#REF!</v>
      </c>
      <c r="X246" s="31" t="e">
        <f>"StorageCapMin_"&amp;RIGHT($W246,11)</f>
        <v>#REF!</v>
      </c>
    </row>
    <row r="247" spans="1:24" x14ac:dyDescent="0.25">
      <c r="A247" s="94">
        <f t="shared" ref="A247:A249" si="326">$A246</f>
        <v>61</v>
      </c>
      <c r="B247" s="118"/>
      <c r="C247" s="93" t="str">
        <f t="shared" ref="C247:D247" si="327">IF($B246&lt;&gt;"",C243,"")</f>
        <v/>
      </c>
      <c r="D247" s="93" t="str">
        <f t="shared" si="327"/>
        <v/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6"/>
      <c r="W247" s="31" t="e">
        <f>INDEX(TBL_STORAGE_CONNECTIONS[StorageConnectionID],$A247)</f>
        <v>#REF!</v>
      </c>
      <c r="X247" s="31" t="e">
        <f>"StorageCapMax_"&amp;RIGHT($W247,11)</f>
        <v>#REF!</v>
      </c>
    </row>
    <row r="248" spans="1:24" x14ac:dyDescent="0.25">
      <c r="A248" s="94">
        <f t="shared" si="326"/>
        <v>61</v>
      </c>
      <c r="B248" s="118"/>
      <c r="C248" s="93" t="str">
        <f t="shared" ref="C248:D248" si="328">IF($B246&lt;&gt;"",C244,"")</f>
        <v/>
      </c>
      <c r="D248" s="93" t="str">
        <f t="shared" si="328"/>
        <v/>
      </c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5"/>
      <c r="W248" s="31" t="e">
        <f>INDEX(TBL_STORAGE_CONNECTIONS[StorageConnectionID],$A248)</f>
        <v>#REF!</v>
      </c>
      <c r="X248" s="31" t="e">
        <f>"StorageTariffFixed_"&amp;RIGHT($W248,11)</f>
        <v>#REF!</v>
      </c>
    </row>
    <row r="249" spans="1:24" x14ac:dyDescent="0.25">
      <c r="A249" s="94">
        <f t="shared" si="326"/>
        <v>61</v>
      </c>
      <c r="B249" s="119"/>
      <c r="C249" s="93" t="str">
        <f t="shared" ref="C249:D249" si="329">IF($B246&lt;&gt;"",C245,"")</f>
        <v/>
      </c>
      <c r="D249" s="93" t="str">
        <f t="shared" si="329"/>
        <v/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6"/>
      <c r="W249" s="31" t="e">
        <f>INDEX(TBL_STORAGE_CONNECTIONS[StorageConnectionID],$A249)</f>
        <v>#REF!</v>
      </c>
      <c r="X249" s="31" t="e">
        <f>"StorageTariffVar_"&amp;RIGHT($W249,11)</f>
        <v>#REF!</v>
      </c>
    </row>
    <row r="250" spans="1:24" x14ac:dyDescent="0.25">
      <c r="A250" s="94">
        <f t="shared" ref="A250" si="330">$A246+1</f>
        <v>62</v>
      </c>
      <c r="B250" s="117" t="str">
        <f>IFERROR(INDEX(TBL_STORAGE_CONNECTIONS[Name],$A250),"")</f>
        <v/>
      </c>
      <c r="C250" s="93" t="str">
        <f t="shared" ref="C250:D250" si="331">IF($B250&lt;&gt;"",C246,"")</f>
        <v/>
      </c>
      <c r="D250" s="93" t="str">
        <f t="shared" si="331"/>
        <v/>
      </c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5"/>
      <c r="W250" s="31" t="e">
        <f>INDEX(TBL_STORAGE_CONNECTIONS[StorageConnectionID],$A250)</f>
        <v>#REF!</v>
      </c>
      <c r="X250" s="31" t="e">
        <f>"StorageCapMin_"&amp;RIGHT($W250,11)</f>
        <v>#REF!</v>
      </c>
    </row>
    <row r="251" spans="1:24" x14ac:dyDescent="0.25">
      <c r="A251" s="94">
        <f t="shared" ref="A251:A253" si="332">$A250</f>
        <v>62</v>
      </c>
      <c r="B251" s="118"/>
      <c r="C251" s="93" t="str">
        <f t="shared" ref="C251:D251" si="333">IF($B250&lt;&gt;"",C247,"")</f>
        <v/>
      </c>
      <c r="D251" s="93" t="str">
        <f t="shared" si="333"/>
        <v/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6"/>
      <c r="W251" s="31" t="e">
        <f>INDEX(TBL_STORAGE_CONNECTIONS[StorageConnectionID],$A251)</f>
        <v>#REF!</v>
      </c>
      <c r="X251" s="31" t="e">
        <f>"StorageCapMax_"&amp;RIGHT($W251,11)</f>
        <v>#REF!</v>
      </c>
    </row>
    <row r="252" spans="1:24" x14ac:dyDescent="0.25">
      <c r="A252" s="94">
        <f t="shared" si="332"/>
        <v>62</v>
      </c>
      <c r="B252" s="118"/>
      <c r="C252" s="93" t="str">
        <f t="shared" ref="C252:D252" si="334">IF($B250&lt;&gt;"",C248,"")</f>
        <v/>
      </c>
      <c r="D252" s="93" t="str">
        <f t="shared" si="334"/>
        <v/>
      </c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5"/>
      <c r="W252" s="31" t="e">
        <f>INDEX(TBL_STORAGE_CONNECTIONS[StorageConnectionID],$A252)</f>
        <v>#REF!</v>
      </c>
      <c r="X252" s="31" t="e">
        <f>"StorageTariffFixed_"&amp;RIGHT($W252,11)</f>
        <v>#REF!</v>
      </c>
    </row>
    <row r="253" spans="1:24" x14ac:dyDescent="0.25">
      <c r="A253" s="94">
        <f t="shared" si="332"/>
        <v>62</v>
      </c>
      <c r="B253" s="119"/>
      <c r="C253" s="93" t="str">
        <f t="shared" ref="C253:D253" si="335">IF($B250&lt;&gt;"",C249,"")</f>
        <v/>
      </c>
      <c r="D253" s="93" t="str">
        <f t="shared" si="335"/>
        <v/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6"/>
      <c r="W253" s="31" t="e">
        <f>INDEX(TBL_STORAGE_CONNECTIONS[StorageConnectionID],$A253)</f>
        <v>#REF!</v>
      </c>
      <c r="X253" s="31" t="e">
        <f>"StorageTariffVar_"&amp;RIGHT($W253,11)</f>
        <v>#REF!</v>
      </c>
    </row>
    <row r="254" spans="1:24" x14ac:dyDescent="0.25">
      <c r="A254" s="94">
        <f t="shared" ref="A254" si="336">$A250+1</f>
        <v>63</v>
      </c>
      <c r="B254" s="117" t="str">
        <f>IFERROR(INDEX(TBL_STORAGE_CONNECTIONS[Name],$A254),"")</f>
        <v/>
      </c>
      <c r="C254" s="93" t="str">
        <f t="shared" ref="C254:D254" si="337">IF($B254&lt;&gt;"",C250,"")</f>
        <v/>
      </c>
      <c r="D254" s="93" t="str">
        <f t="shared" si="337"/>
        <v/>
      </c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5"/>
      <c r="W254" s="31" t="e">
        <f>INDEX(TBL_STORAGE_CONNECTIONS[StorageConnectionID],$A254)</f>
        <v>#REF!</v>
      </c>
      <c r="X254" s="31" t="e">
        <f>"StorageCapMin_"&amp;RIGHT($W254,11)</f>
        <v>#REF!</v>
      </c>
    </row>
    <row r="255" spans="1:24" x14ac:dyDescent="0.25">
      <c r="A255" s="94">
        <f t="shared" ref="A255:A273" si="338">$A254</f>
        <v>63</v>
      </c>
      <c r="B255" s="118"/>
      <c r="C255" s="93" t="str">
        <f t="shared" ref="C255:D255" si="339">IF($B254&lt;&gt;"",C251,"")</f>
        <v/>
      </c>
      <c r="D255" s="93" t="str">
        <f t="shared" si="339"/>
        <v/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6"/>
      <c r="W255" s="31" t="e">
        <f>INDEX(TBL_STORAGE_CONNECTIONS[StorageConnectionID],$A255)</f>
        <v>#REF!</v>
      </c>
      <c r="X255" s="31" t="e">
        <f>"StorageCapMax_"&amp;RIGHT($W255,11)</f>
        <v>#REF!</v>
      </c>
    </row>
    <row r="256" spans="1:24" x14ac:dyDescent="0.25">
      <c r="A256" s="94">
        <f t="shared" si="338"/>
        <v>63</v>
      </c>
      <c r="B256" s="118"/>
      <c r="C256" s="93" t="str">
        <f t="shared" ref="C256:D256" si="340">IF($B254&lt;&gt;"",C252,"")</f>
        <v/>
      </c>
      <c r="D256" s="93" t="str">
        <f t="shared" si="340"/>
        <v/>
      </c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5"/>
      <c r="W256" s="31" t="e">
        <f>INDEX(TBL_STORAGE_CONNECTIONS[StorageConnectionID],$A256)</f>
        <v>#REF!</v>
      </c>
      <c r="X256" s="31" t="e">
        <f>"StorageTariffFixed_"&amp;RIGHT($W256,11)</f>
        <v>#REF!</v>
      </c>
    </row>
    <row r="257" spans="1:24" x14ac:dyDescent="0.25">
      <c r="A257" s="94">
        <f t="shared" si="338"/>
        <v>63</v>
      </c>
      <c r="B257" s="119"/>
      <c r="C257" s="93" t="str">
        <f t="shared" ref="C257:D257" si="341">IF($B254&lt;&gt;"",C253,"")</f>
        <v/>
      </c>
      <c r="D257" s="93" t="str">
        <f t="shared" si="341"/>
        <v/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6"/>
      <c r="W257" s="31" t="e">
        <f>INDEX(TBL_STORAGE_CONNECTIONS[StorageConnectionID],$A257)</f>
        <v>#REF!</v>
      </c>
      <c r="X257" s="31" t="e">
        <f>"StorageTariffVar_"&amp;RIGHT($W257,11)</f>
        <v>#REF!</v>
      </c>
    </row>
    <row r="258" spans="1:24" x14ac:dyDescent="0.25">
      <c r="A258" s="94">
        <f t="shared" ref="A258" si="342">$A254+1</f>
        <v>64</v>
      </c>
      <c r="B258" s="117" t="str">
        <f>IFERROR(INDEX(TBL_STORAGE_CONNECTIONS[Name],$A258),"")</f>
        <v/>
      </c>
      <c r="C258" s="93" t="str">
        <f t="shared" ref="C258:D258" si="343">IF($B258&lt;&gt;"",C254,"")</f>
        <v/>
      </c>
      <c r="D258" s="93" t="str">
        <f t="shared" si="343"/>
        <v/>
      </c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5"/>
      <c r="W258" s="31" t="e">
        <f>INDEX(TBL_STORAGE_CONNECTIONS[StorageConnectionID],$A258)</f>
        <v>#REF!</v>
      </c>
      <c r="X258" s="31" t="e">
        <f>"StorageCapMin_"&amp;RIGHT($W258,11)</f>
        <v>#REF!</v>
      </c>
    </row>
    <row r="259" spans="1:24" x14ac:dyDescent="0.25">
      <c r="A259" s="94">
        <f t="shared" si="338"/>
        <v>64</v>
      </c>
      <c r="B259" s="118"/>
      <c r="C259" s="93" t="str">
        <f t="shared" ref="C259:D259" si="344">IF($B258&lt;&gt;"",C255,"")</f>
        <v/>
      </c>
      <c r="D259" s="93" t="str">
        <f t="shared" si="344"/>
        <v/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6"/>
      <c r="W259" s="31" t="e">
        <f>INDEX(TBL_STORAGE_CONNECTIONS[StorageConnectionID],$A259)</f>
        <v>#REF!</v>
      </c>
      <c r="X259" s="31" t="e">
        <f>"StorageCapMax_"&amp;RIGHT($W259,11)</f>
        <v>#REF!</v>
      </c>
    </row>
    <row r="260" spans="1:24" x14ac:dyDescent="0.25">
      <c r="A260" s="94">
        <f t="shared" si="338"/>
        <v>64</v>
      </c>
      <c r="B260" s="118"/>
      <c r="C260" s="93" t="str">
        <f t="shared" ref="C260:D260" si="345">IF($B258&lt;&gt;"",C256,"")</f>
        <v/>
      </c>
      <c r="D260" s="93" t="str">
        <f t="shared" si="345"/>
        <v/>
      </c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5"/>
      <c r="W260" s="31" t="e">
        <f>INDEX(TBL_STORAGE_CONNECTIONS[StorageConnectionID],$A260)</f>
        <v>#REF!</v>
      </c>
      <c r="X260" s="31" t="e">
        <f>"StorageTariffFixed_"&amp;RIGHT($W260,11)</f>
        <v>#REF!</v>
      </c>
    </row>
    <row r="261" spans="1:24" x14ac:dyDescent="0.25">
      <c r="A261" s="94">
        <f t="shared" si="338"/>
        <v>64</v>
      </c>
      <c r="B261" s="119"/>
      <c r="C261" s="93" t="str">
        <f t="shared" ref="C261:D261" si="346">IF($B258&lt;&gt;"",C257,"")</f>
        <v/>
      </c>
      <c r="D261" s="93" t="str">
        <f t="shared" si="346"/>
        <v/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6"/>
      <c r="W261" s="31" t="e">
        <f>INDEX(TBL_STORAGE_CONNECTIONS[StorageConnectionID],$A261)</f>
        <v>#REF!</v>
      </c>
      <c r="X261" s="31" t="e">
        <f>"StorageTariffVar_"&amp;RIGHT($W261,11)</f>
        <v>#REF!</v>
      </c>
    </row>
    <row r="262" spans="1:24" x14ac:dyDescent="0.25">
      <c r="A262" s="94">
        <f t="shared" ref="A262" si="347">$A258+1</f>
        <v>65</v>
      </c>
      <c r="B262" s="117" t="str">
        <f>IFERROR(INDEX(TBL_STORAGE_CONNECTIONS[Name],$A262),"")</f>
        <v/>
      </c>
      <c r="C262" s="93" t="str">
        <f t="shared" ref="C262:D262" si="348">IF($B262&lt;&gt;"",C258,"")</f>
        <v/>
      </c>
      <c r="D262" s="93" t="str">
        <f t="shared" si="348"/>
        <v/>
      </c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5"/>
      <c r="W262" s="31" t="e">
        <f>INDEX(TBL_STORAGE_CONNECTIONS[StorageConnectionID],$A262)</f>
        <v>#REF!</v>
      </c>
      <c r="X262" s="31" t="e">
        <f>"StorageCapMin_"&amp;RIGHT($W262,11)</f>
        <v>#REF!</v>
      </c>
    </row>
    <row r="263" spans="1:24" x14ac:dyDescent="0.25">
      <c r="A263" s="94">
        <f t="shared" si="338"/>
        <v>65</v>
      </c>
      <c r="B263" s="118"/>
      <c r="C263" s="93" t="str">
        <f t="shared" ref="C263:D263" si="349">IF($B262&lt;&gt;"",C259,"")</f>
        <v/>
      </c>
      <c r="D263" s="93" t="str">
        <f t="shared" si="349"/>
        <v/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6"/>
      <c r="W263" s="31" t="e">
        <f>INDEX(TBL_STORAGE_CONNECTIONS[StorageConnectionID],$A263)</f>
        <v>#REF!</v>
      </c>
      <c r="X263" s="31" t="e">
        <f>"StorageCapMax_"&amp;RIGHT($W263,11)</f>
        <v>#REF!</v>
      </c>
    </row>
    <row r="264" spans="1:24" x14ac:dyDescent="0.25">
      <c r="A264" s="94">
        <f t="shared" si="338"/>
        <v>65</v>
      </c>
      <c r="B264" s="118"/>
      <c r="C264" s="93" t="str">
        <f t="shared" ref="C264:D264" si="350">IF($B262&lt;&gt;"",C260,"")</f>
        <v/>
      </c>
      <c r="D264" s="93" t="str">
        <f t="shared" si="350"/>
        <v/>
      </c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5"/>
      <c r="W264" s="31" t="e">
        <f>INDEX(TBL_STORAGE_CONNECTIONS[StorageConnectionID],$A264)</f>
        <v>#REF!</v>
      </c>
      <c r="X264" s="31" t="e">
        <f>"StorageTariffFixed_"&amp;RIGHT($W264,11)</f>
        <v>#REF!</v>
      </c>
    </row>
    <row r="265" spans="1:24" x14ac:dyDescent="0.25">
      <c r="A265" s="94">
        <f t="shared" si="338"/>
        <v>65</v>
      </c>
      <c r="B265" s="119"/>
      <c r="C265" s="93" t="str">
        <f t="shared" ref="C265:D265" si="351">IF($B262&lt;&gt;"",C261,"")</f>
        <v/>
      </c>
      <c r="D265" s="93" t="str">
        <f t="shared" si="351"/>
        <v/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6"/>
      <c r="W265" s="31" t="e">
        <f>INDEX(TBL_STORAGE_CONNECTIONS[StorageConnectionID],$A265)</f>
        <v>#REF!</v>
      </c>
      <c r="X265" s="31" t="e">
        <f>"StorageTariffVar_"&amp;RIGHT($W265,11)</f>
        <v>#REF!</v>
      </c>
    </row>
    <row r="266" spans="1:24" x14ac:dyDescent="0.25">
      <c r="A266" s="94">
        <f t="shared" ref="A266" si="352">$A262+1</f>
        <v>66</v>
      </c>
      <c r="B266" s="117" t="str">
        <f>IFERROR(INDEX(TBL_STORAGE_CONNECTIONS[Name],$A266),"")</f>
        <v/>
      </c>
      <c r="C266" s="93" t="str">
        <f t="shared" ref="C266:D266" si="353">IF($B266&lt;&gt;"",C262,"")</f>
        <v/>
      </c>
      <c r="D266" s="93" t="str">
        <f t="shared" si="353"/>
        <v/>
      </c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5"/>
      <c r="W266" s="31" t="e">
        <f>INDEX(TBL_STORAGE_CONNECTIONS[StorageConnectionID],$A266)</f>
        <v>#REF!</v>
      </c>
      <c r="X266" s="31" t="e">
        <f>"StorageCapMin_"&amp;RIGHT($W266,11)</f>
        <v>#REF!</v>
      </c>
    </row>
    <row r="267" spans="1:24" x14ac:dyDescent="0.25">
      <c r="A267" s="94">
        <f t="shared" si="338"/>
        <v>66</v>
      </c>
      <c r="B267" s="118"/>
      <c r="C267" s="93" t="str">
        <f t="shared" ref="C267:D267" si="354">IF($B266&lt;&gt;"",C263,"")</f>
        <v/>
      </c>
      <c r="D267" s="93" t="str">
        <f t="shared" si="354"/>
        <v/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6"/>
      <c r="W267" s="31" t="e">
        <f>INDEX(TBL_STORAGE_CONNECTIONS[StorageConnectionID],$A267)</f>
        <v>#REF!</v>
      </c>
      <c r="X267" s="31" t="e">
        <f>"StorageCapMax_"&amp;RIGHT($W267,11)</f>
        <v>#REF!</v>
      </c>
    </row>
    <row r="268" spans="1:24" x14ac:dyDescent="0.25">
      <c r="A268" s="94">
        <f t="shared" si="338"/>
        <v>66</v>
      </c>
      <c r="B268" s="118"/>
      <c r="C268" s="93" t="str">
        <f t="shared" ref="C268:D268" si="355">IF($B266&lt;&gt;"",C264,"")</f>
        <v/>
      </c>
      <c r="D268" s="93" t="str">
        <f t="shared" si="355"/>
        <v/>
      </c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5"/>
      <c r="W268" s="31" t="e">
        <f>INDEX(TBL_STORAGE_CONNECTIONS[StorageConnectionID],$A268)</f>
        <v>#REF!</v>
      </c>
      <c r="X268" s="31" t="e">
        <f>"StorageTariffFixed_"&amp;RIGHT($W268,11)</f>
        <v>#REF!</v>
      </c>
    </row>
    <row r="269" spans="1:24" x14ac:dyDescent="0.25">
      <c r="A269" s="94">
        <f t="shared" si="338"/>
        <v>66</v>
      </c>
      <c r="B269" s="119"/>
      <c r="C269" s="93" t="str">
        <f t="shared" ref="C269:D269" si="356">IF($B266&lt;&gt;"",C265,"")</f>
        <v/>
      </c>
      <c r="D269" s="93" t="str">
        <f t="shared" si="356"/>
        <v/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6"/>
      <c r="W269" s="31" t="e">
        <f>INDEX(TBL_STORAGE_CONNECTIONS[StorageConnectionID],$A269)</f>
        <v>#REF!</v>
      </c>
      <c r="X269" s="31" t="e">
        <f>"StorageTariffVar_"&amp;RIGHT($W269,11)</f>
        <v>#REF!</v>
      </c>
    </row>
    <row r="270" spans="1:24" x14ac:dyDescent="0.25">
      <c r="A270" s="94">
        <f t="shared" ref="A270" si="357">$A266+1</f>
        <v>67</v>
      </c>
      <c r="B270" s="117" t="str">
        <f>IFERROR(INDEX(TBL_STORAGE_CONNECTIONS[Name],$A270),"")</f>
        <v/>
      </c>
      <c r="C270" s="93" t="str">
        <f t="shared" ref="C270:D270" si="358">IF($B270&lt;&gt;"",C266,"")</f>
        <v/>
      </c>
      <c r="D270" s="93" t="str">
        <f t="shared" si="358"/>
        <v/>
      </c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5"/>
      <c r="W270" s="31" t="e">
        <f>INDEX(TBL_STORAGE_CONNECTIONS[StorageConnectionID],$A270)</f>
        <v>#REF!</v>
      </c>
      <c r="X270" s="31" t="e">
        <f>"StorageCapMin_"&amp;RIGHT($W270,11)</f>
        <v>#REF!</v>
      </c>
    </row>
    <row r="271" spans="1:24" x14ac:dyDescent="0.25">
      <c r="A271" s="94">
        <f t="shared" si="338"/>
        <v>67</v>
      </c>
      <c r="B271" s="118"/>
      <c r="C271" s="93" t="str">
        <f t="shared" ref="C271:D271" si="359">IF($B270&lt;&gt;"",C267,"")</f>
        <v/>
      </c>
      <c r="D271" s="93" t="str">
        <f t="shared" si="359"/>
        <v/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6"/>
      <c r="W271" s="31" t="e">
        <f>INDEX(TBL_STORAGE_CONNECTIONS[StorageConnectionID],$A271)</f>
        <v>#REF!</v>
      </c>
      <c r="X271" s="31" t="e">
        <f>"StorageCapMax_"&amp;RIGHT($W271,11)</f>
        <v>#REF!</v>
      </c>
    </row>
    <row r="272" spans="1:24" x14ac:dyDescent="0.25">
      <c r="A272" s="94">
        <f t="shared" si="338"/>
        <v>67</v>
      </c>
      <c r="B272" s="118"/>
      <c r="C272" s="93" t="str">
        <f t="shared" ref="C272:D272" si="360">IF($B270&lt;&gt;"",C268,"")</f>
        <v/>
      </c>
      <c r="D272" s="93" t="str">
        <f t="shared" si="360"/>
        <v/>
      </c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5"/>
      <c r="W272" s="31" t="e">
        <f>INDEX(TBL_STORAGE_CONNECTIONS[StorageConnectionID],$A272)</f>
        <v>#REF!</v>
      </c>
      <c r="X272" s="31" t="e">
        <f>"StorageTariffFixed_"&amp;RIGHT($W272,11)</f>
        <v>#REF!</v>
      </c>
    </row>
    <row r="273" spans="1:24" x14ac:dyDescent="0.25">
      <c r="A273" s="94">
        <f t="shared" si="338"/>
        <v>67</v>
      </c>
      <c r="B273" s="119"/>
      <c r="C273" s="93" t="str">
        <f t="shared" ref="C273:D273" si="361">IF($B270&lt;&gt;"",C269,"")</f>
        <v/>
      </c>
      <c r="D273" s="93" t="str">
        <f t="shared" si="361"/>
        <v/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6"/>
      <c r="W273" s="31" t="e">
        <f>INDEX(TBL_STORAGE_CONNECTIONS[StorageConnectionID],$A273)</f>
        <v>#REF!</v>
      </c>
      <c r="X273" s="31" t="e">
        <f>"StorageTariffVar_"&amp;RIGHT($W273,11)</f>
        <v>#REF!</v>
      </c>
    </row>
    <row r="274" spans="1:24" x14ac:dyDescent="0.25">
      <c r="A274" s="94">
        <f t="shared" ref="A274" si="362">$A270+1</f>
        <v>68</v>
      </c>
      <c r="B274" s="117" t="str">
        <f>IFERROR(INDEX(TBL_STORAGE_CONNECTIONS[Name],$A274),"")</f>
        <v/>
      </c>
      <c r="C274" s="93" t="str">
        <f t="shared" ref="C274:D274" si="363">IF($B274&lt;&gt;"",C270,"")</f>
        <v/>
      </c>
      <c r="D274" s="93" t="str">
        <f t="shared" si="363"/>
        <v/>
      </c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5"/>
      <c r="W274" s="31" t="e">
        <f>INDEX(TBL_STORAGE_CONNECTIONS[StorageConnectionID],$A274)</f>
        <v>#REF!</v>
      </c>
      <c r="X274" s="31" t="e">
        <f>"StorageCapMin_"&amp;RIGHT($W274,11)</f>
        <v>#REF!</v>
      </c>
    </row>
    <row r="275" spans="1:24" x14ac:dyDescent="0.25">
      <c r="A275" s="94">
        <f t="shared" ref="A275:A277" si="364">$A274</f>
        <v>68</v>
      </c>
      <c r="B275" s="118"/>
      <c r="C275" s="93" t="str">
        <f t="shared" ref="C275:D275" si="365">IF($B274&lt;&gt;"",C271,"")</f>
        <v/>
      </c>
      <c r="D275" s="93" t="str">
        <f t="shared" si="365"/>
        <v/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6"/>
      <c r="W275" s="31" t="e">
        <f>INDEX(TBL_STORAGE_CONNECTIONS[StorageConnectionID],$A275)</f>
        <v>#REF!</v>
      </c>
      <c r="X275" s="31" t="e">
        <f>"StorageCapMax_"&amp;RIGHT($W275,11)</f>
        <v>#REF!</v>
      </c>
    </row>
    <row r="276" spans="1:24" x14ac:dyDescent="0.25">
      <c r="A276" s="94">
        <f t="shared" si="364"/>
        <v>68</v>
      </c>
      <c r="B276" s="118"/>
      <c r="C276" s="93" t="str">
        <f t="shared" ref="C276:D276" si="366">IF($B274&lt;&gt;"",C272,"")</f>
        <v/>
      </c>
      <c r="D276" s="93" t="str">
        <f t="shared" si="366"/>
        <v/>
      </c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5"/>
      <c r="W276" s="31" t="e">
        <f>INDEX(TBL_STORAGE_CONNECTIONS[StorageConnectionID],$A276)</f>
        <v>#REF!</v>
      </c>
      <c r="X276" s="31" t="e">
        <f>"StorageTariffFixed_"&amp;RIGHT($W276,11)</f>
        <v>#REF!</v>
      </c>
    </row>
    <row r="277" spans="1:24" x14ac:dyDescent="0.25">
      <c r="A277" s="94">
        <f t="shared" si="364"/>
        <v>68</v>
      </c>
      <c r="B277" s="119"/>
      <c r="C277" s="93" t="str">
        <f t="shared" ref="C277:D277" si="367">IF($B274&lt;&gt;"",C273,"")</f>
        <v/>
      </c>
      <c r="D277" s="93" t="str">
        <f t="shared" si="367"/>
        <v/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6"/>
      <c r="W277" s="31" t="e">
        <f>INDEX(TBL_STORAGE_CONNECTIONS[StorageConnectionID],$A277)</f>
        <v>#REF!</v>
      </c>
      <c r="X277" s="31" t="e">
        <f>"StorageTariffVar_"&amp;RIGHT($W277,11)</f>
        <v>#REF!</v>
      </c>
    </row>
    <row r="278" spans="1:24" x14ac:dyDescent="0.25">
      <c r="A278" s="94">
        <f t="shared" ref="A278" si="368">$A274+1</f>
        <v>69</v>
      </c>
      <c r="B278" s="117" t="str">
        <f>IFERROR(INDEX(TBL_STORAGE_CONNECTIONS[Name],$A278),"")</f>
        <v/>
      </c>
      <c r="C278" s="93" t="str">
        <f t="shared" ref="C278:D278" si="369">IF($B278&lt;&gt;"",C274,"")</f>
        <v/>
      </c>
      <c r="D278" s="93" t="str">
        <f t="shared" si="369"/>
        <v/>
      </c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5"/>
      <c r="W278" s="31" t="e">
        <f>INDEX(TBL_STORAGE_CONNECTIONS[StorageConnectionID],$A278)</f>
        <v>#REF!</v>
      </c>
      <c r="X278" s="31" t="e">
        <f>"StorageCapMin_"&amp;RIGHT($W278,11)</f>
        <v>#REF!</v>
      </c>
    </row>
    <row r="279" spans="1:24" x14ac:dyDescent="0.25">
      <c r="A279" s="94">
        <f t="shared" ref="A279:A281" si="370">$A278</f>
        <v>69</v>
      </c>
      <c r="B279" s="118"/>
      <c r="C279" s="93" t="str">
        <f t="shared" ref="C279:D279" si="371">IF($B278&lt;&gt;"",C275,"")</f>
        <v/>
      </c>
      <c r="D279" s="93" t="str">
        <f t="shared" si="371"/>
        <v/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6"/>
      <c r="W279" s="31" t="e">
        <f>INDEX(TBL_STORAGE_CONNECTIONS[StorageConnectionID],$A279)</f>
        <v>#REF!</v>
      </c>
      <c r="X279" s="31" t="e">
        <f>"StorageCapMax_"&amp;RIGHT($W279,11)</f>
        <v>#REF!</v>
      </c>
    </row>
    <row r="280" spans="1:24" x14ac:dyDescent="0.25">
      <c r="A280" s="94">
        <f t="shared" si="370"/>
        <v>69</v>
      </c>
      <c r="B280" s="118"/>
      <c r="C280" s="93" t="str">
        <f t="shared" ref="C280:D280" si="372">IF($B278&lt;&gt;"",C276,"")</f>
        <v/>
      </c>
      <c r="D280" s="93" t="str">
        <f t="shared" si="372"/>
        <v/>
      </c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5"/>
      <c r="W280" s="31" t="e">
        <f>INDEX(TBL_STORAGE_CONNECTIONS[StorageConnectionID],$A280)</f>
        <v>#REF!</v>
      </c>
      <c r="X280" s="31" t="e">
        <f>"StorageTariffFixed_"&amp;RIGHT($W280,11)</f>
        <v>#REF!</v>
      </c>
    </row>
    <row r="281" spans="1:24" x14ac:dyDescent="0.25">
      <c r="A281" s="94">
        <f t="shared" si="370"/>
        <v>69</v>
      </c>
      <c r="B281" s="119"/>
      <c r="C281" s="93" t="str">
        <f t="shared" ref="C281:D281" si="373">IF($B278&lt;&gt;"",C277,"")</f>
        <v/>
      </c>
      <c r="D281" s="93" t="str">
        <f t="shared" si="373"/>
        <v/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6"/>
      <c r="W281" s="31" t="e">
        <f>INDEX(TBL_STORAGE_CONNECTIONS[StorageConnectionID],$A281)</f>
        <v>#REF!</v>
      </c>
      <c r="X281" s="31" t="e">
        <f>"StorageTariffVar_"&amp;RIGHT($W281,11)</f>
        <v>#REF!</v>
      </c>
    </row>
    <row r="282" spans="1:24" x14ac:dyDescent="0.25">
      <c r="A282" s="94">
        <f t="shared" ref="A282" si="374">$A278+1</f>
        <v>70</v>
      </c>
      <c r="B282" s="117" t="str">
        <f>IFERROR(INDEX(TBL_STORAGE_CONNECTIONS[Name],$A282),"")</f>
        <v/>
      </c>
      <c r="C282" s="93" t="str">
        <f t="shared" ref="C282:D282" si="375">IF($B282&lt;&gt;"",C278,"")</f>
        <v/>
      </c>
      <c r="D282" s="93" t="str">
        <f t="shared" si="375"/>
        <v/>
      </c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5"/>
      <c r="W282" s="31" t="e">
        <f>INDEX(TBL_STORAGE_CONNECTIONS[StorageConnectionID],$A282)</f>
        <v>#REF!</v>
      </c>
      <c r="X282" s="31" t="e">
        <f>"StorageCapMin_"&amp;RIGHT($W282,11)</f>
        <v>#REF!</v>
      </c>
    </row>
    <row r="283" spans="1:24" x14ac:dyDescent="0.25">
      <c r="A283" s="94">
        <f t="shared" ref="A283:A285" si="376">$A282</f>
        <v>70</v>
      </c>
      <c r="B283" s="118"/>
      <c r="C283" s="93" t="str">
        <f t="shared" ref="C283:D283" si="377">IF($B282&lt;&gt;"",C279,"")</f>
        <v/>
      </c>
      <c r="D283" s="93" t="str">
        <f t="shared" si="377"/>
        <v/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6"/>
      <c r="W283" s="31" t="e">
        <f>INDEX(TBL_STORAGE_CONNECTIONS[StorageConnectionID],$A283)</f>
        <v>#REF!</v>
      </c>
      <c r="X283" s="31" t="e">
        <f>"StorageCapMax_"&amp;RIGHT($W283,11)</f>
        <v>#REF!</v>
      </c>
    </row>
    <row r="284" spans="1:24" x14ac:dyDescent="0.25">
      <c r="A284" s="94">
        <f t="shared" si="376"/>
        <v>70</v>
      </c>
      <c r="B284" s="118"/>
      <c r="C284" s="93" t="str">
        <f t="shared" ref="C284:D284" si="378">IF($B282&lt;&gt;"",C280,"")</f>
        <v/>
      </c>
      <c r="D284" s="93" t="str">
        <f t="shared" si="378"/>
        <v/>
      </c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5"/>
      <c r="W284" s="31" t="e">
        <f>INDEX(TBL_STORAGE_CONNECTIONS[StorageConnectionID],$A284)</f>
        <v>#REF!</v>
      </c>
      <c r="X284" s="31" t="e">
        <f>"StorageTariffFixed_"&amp;RIGHT($W284,11)</f>
        <v>#REF!</v>
      </c>
    </row>
    <row r="285" spans="1:24" x14ac:dyDescent="0.25">
      <c r="A285" s="94">
        <f t="shared" si="376"/>
        <v>70</v>
      </c>
      <c r="B285" s="119"/>
      <c r="C285" s="93" t="str">
        <f t="shared" ref="C285:D285" si="379">IF($B282&lt;&gt;"",C281,"")</f>
        <v/>
      </c>
      <c r="D285" s="93" t="str">
        <f t="shared" si="379"/>
        <v/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6"/>
      <c r="W285" s="31" t="e">
        <f>INDEX(TBL_STORAGE_CONNECTIONS[StorageConnectionID],$A285)</f>
        <v>#REF!</v>
      </c>
      <c r="X285" s="31" t="e">
        <f>"StorageTariffVar_"&amp;RIGHT($W285,11)</f>
        <v>#REF!</v>
      </c>
    </row>
    <row r="286" spans="1:24" x14ac:dyDescent="0.25">
      <c r="A286" s="94">
        <f t="shared" ref="A286" si="380">$A282+1</f>
        <v>71</v>
      </c>
      <c r="B286" s="117" t="str">
        <f>IFERROR(INDEX(TBL_STORAGE_CONNECTIONS[Name],$A286),"")</f>
        <v/>
      </c>
      <c r="C286" s="93" t="str">
        <f t="shared" ref="C286:D286" si="381">IF($B286&lt;&gt;"",C282,"")</f>
        <v/>
      </c>
      <c r="D286" s="93" t="str">
        <f t="shared" si="381"/>
        <v/>
      </c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5"/>
      <c r="W286" s="31" t="e">
        <f>INDEX(TBL_STORAGE_CONNECTIONS[StorageConnectionID],$A286)</f>
        <v>#REF!</v>
      </c>
      <c r="X286" s="31" t="e">
        <f>"StorageCapMin_"&amp;RIGHT($W286,11)</f>
        <v>#REF!</v>
      </c>
    </row>
    <row r="287" spans="1:24" x14ac:dyDescent="0.25">
      <c r="A287" s="94">
        <f t="shared" ref="A287:A289" si="382">$A286</f>
        <v>71</v>
      </c>
      <c r="B287" s="118"/>
      <c r="C287" s="93" t="str">
        <f t="shared" ref="C287:D287" si="383">IF($B286&lt;&gt;"",C283,"")</f>
        <v/>
      </c>
      <c r="D287" s="93" t="str">
        <f t="shared" si="383"/>
        <v/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6"/>
      <c r="W287" s="31" t="e">
        <f>INDEX(TBL_STORAGE_CONNECTIONS[StorageConnectionID],$A287)</f>
        <v>#REF!</v>
      </c>
      <c r="X287" s="31" t="e">
        <f>"StorageCapMax_"&amp;RIGHT($W287,11)</f>
        <v>#REF!</v>
      </c>
    </row>
    <row r="288" spans="1:24" x14ac:dyDescent="0.25">
      <c r="A288" s="94">
        <f t="shared" si="382"/>
        <v>71</v>
      </c>
      <c r="B288" s="118"/>
      <c r="C288" s="93" t="str">
        <f t="shared" ref="C288:D288" si="384">IF($B286&lt;&gt;"",C284,"")</f>
        <v/>
      </c>
      <c r="D288" s="93" t="str">
        <f t="shared" si="384"/>
        <v/>
      </c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5"/>
      <c r="W288" s="31" t="e">
        <f>INDEX(TBL_STORAGE_CONNECTIONS[StorageConnectionID],$A288)</f>
        <v>#REF!</v>
      </c>
      <c r="X288" s="31" t="e">
        <f>"StorageTariffFixed_"&amp;RIGHT($W288,11)</f>
        <v>#REF!</v>
      </c>
    </row>
    <row r="289" spans="1:24" x14ac:dyDescent="0.25">
      <c r="A289" s="94">
        <f t="shared" si="382"/>
        <v>71</v>
      </c>
      <c r="B289" s="119"/>
      <c r="C289" s="93" t="str">
        <f t="shared" ref="C289:D289" si="385">IF($B286&lt;&gt;"",C285,"")</f>
        <v/>
      </c>
      <c r="D289" s="93" t="str">
        <f t="shared" si="385"/>
        <v/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6"/>
      <c r="W289" s="31" t="e">
        <f>INDEX(TBL_STORAGE_CONNECTIONS[StorageConnectionID],$A289)</f>
        <v>#REF!</v>
      </c>
      <c r="X289" s="31" t="e">
        <f>"StorageTariffVar_"&amp;RIGHT($W289,11)</f>
        <v>#REF!</v>
      </c>
    </row>
    <row r="290" spans="1:24" x14ac:dyDescent="0.25">
      <c r="A290" s="94">
        <f t="shared" ref="A290" si="386">$A286+1</f>
        <v>72</v>
      </c>
      <c r="B290" s="117" t="str">
        <f>IFERROR(INDEX(TBL_STORAGE_CONNECTIONS[Name],$A290),"")</f>
        <v/>
      </c>
      <c r="C290" s="93" t="str">
        <f t="shared" ref="C290:D290" si="387">IF($B290&lt;&gt;"",C286,"")</f>
        <v/>
      </c>
      <c r="D290" s="93" t="str">
        <f t="shared" si="387"/>
        <v/>
      </c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5"/>
      <c r="W290" s="31" t="e">
        <f>INDEX(TBL_STORAGE_CONNECTIONS[StorageConnectionID],$A290)</f>
        <v>#REF!</v>
      </c>
      <c r="X290" s="31" t="e">
        <f>"StorageCapMin_"&amp;RIGHT($W290,11)</f>
        <v>#REF!</v>
      </c>
    </row>
    <row r="291" spans="1:24" x14ac:dyDescent="0.25">
      <c r="A291" s="94">
        <f t="shared" ref="A291:A309" si="388">$A290</f>
        <v>72</v>
      </c>
      <c r="B291" s="118"/>
      <c r="C291" s="93" t="str">
        <f t="shared" ref="C291:D291" si="389">IF($B290&lt;&gt;"",C287,"")</f>
        <v/>
      </c>
      <c r="D291" s="93" t="str">
        <f t="shared" si="389"/>
        <v/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6"/>
      <c r="W291" s="31" t="e">
        <f>INDEX(TBL_STORAGE_CONNECTIONS[StorageConnectionID],$A291)</f>
        <v>#REF!</v>
      </c>
      <c r="X291" s="31" t="e">
        <f>"StorageCapMax_"&amp;RIGHT($W291,11)</f>
        <v>#REF!</v>
      </c>
    </row>
    <row r="292" spans="1:24" x14ac:dyDescent="0.25">
      <c r="A292" s="94">
        <f t="shared" si="388"/>
        <v>72</v>
      </c>
      <c r="B292" s="118"/>
      <c r="C292" s="93" t="str">
        <f t="shared" ref="C292:D292" si="390">IF($B290&lt;&gt;"",C288,"")</f>
        <v/>
      </c>
      <c r="D292" s="93" t="str">
        <f t="shared" si="390"/>
        <v/>
      </c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5"/>
      <c r="W292" s="31" t="e">
        <f>INDEX(TBL_STORAGE_CONNECTIONS[StorageConnectionID],$A292)</f>
        <v>#REF!</v>
      </c>
      <c r="X292" s="31" t="e">
        <f>"StorageTariffFixed_"&amp;RIGHT($W292,11)</f>
        <v>#REF!</v>
      </c>
    </row>
    <row r="293" spans="1:24" x14ac:dyDescent="0.25">
      <c r="A293" s="94">
        <f t="shared" si="388"/>
        <v>72</v>
      </c>
      <c r="B293" s="119"/>
      <c r="C293" s="93" t="str">
        <f t="shared" ref="C293:D293" si="391">IF($B290&lt;&gt;"",C289,"")</f>
        <v/>
      </c>
      <c r="D293" s="93" t="str">
        <f t="shared" si="391"/>
        <v/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6"/>
      <c r="W293" s="31" t="e">
        <f>INDEX(TBL_STORAGE_CONNECTIONS[StorageConnectionID],$A293)</f>
        <v>#REF!</v>
      </c>
      <c r="X293" s="31" t="e">
        <f>"StorageTariffVar_"&amp;RIGHT($W293,11)</f>
        <v>#REF!</v>
      </c>
    </row>
    <row r="294" spans="1:24" x14ac:dyDescent="0.25">
      <c r="A294" s="94">
        <f t="shared" ref="A294" si="392">$A290+1</f>
        <v>73</v>
      </c>
      <c r="B294" s="117" t="str">
        <f>IFERROR(INDEX(TBL_STORAGE_CONNECTIONS[Name],$A294),"")</f>
        <v/>
      </c>
      <c r="C294" s="93" t="str">
        <f t="shared" ref="C294:D294" si="393">IF($B294&lt;&gt;"",C290,"")</f>
        <v/>
      </c>
      <c r="D294" s="93" t="str">
        <f t="shared" si="393"/>
        <v/>
      </c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5"/>
      <c r="W294" s="31" t="e">
        <f>INDEX(TBL_STORAGE_CONNECTIONS[StorageConnectionID],$A294)</f>
        <v>#REF!</v>
      </c>
      <c r="X294" s="31" t="e">
        <f>"StorageCapMin_"&amp;RIGHT($W294,11)</f>
        <v>#REF!</v>
      </c>
    </row>
    <row r="295" spans="1:24" x14ac:dyDescent="0.25">
      <c r="A295" s="94">
        <f t="shared" si="388"/>
        <v>73</v>
      </c>
      <c r="B295" s="118"/>
      <c r="C295" s="93" t="str">
        <f t="shared" ref="C295:D295" si="394">IF($B294&lt;&gt;"",C291,"")</f>
        <v/>
      </c>
      <c r="D295" s="93" t="str">
        <f t="shared" si="394"/>
        <v/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6"/>
      <c r="W295" s="31" t="e">
        <f>INDEX(TBL_STORAGE_CONNECTIONS[StorageConnectionID],$A295)</f>
        <v>#REF!</v>
      </c>
      <c r="X295" s="31" t="e">
        <f>"StorageCapMax_"&amp;RIGHT($W295,11)</f>
        <v>#REF!</v>
      </c>
    </row>
    <row r="296" spans="1:24" x14ac:dyDescent="0.25">
      <c r="A296" s="94">
        <f t="shared" si="388"/>
        <v>73</v>
      </c>
      <c r="B296" s="118"/>
      <c r="C296" s="93" t="str">
        <f t="shared" ref="C296:D296" si="395">IF($B294&lt;&gt;"",C292,"")</f>
        <v/>
      </c>
      <c r="D296" s="93" t="str">
        <f t="shared" si="395"/>
        <v/>
      </c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5"/>
      <c r="W296" s="31" t="e">
        <f>INDEX(TBL_STORAGE_CONNECTIONS[StorageConnectionID],$A296)</f>
        <v>#REF!</v>
      </c>
      <c r="X296" s="31" t="e">
        <f>"StorageTariffFixed_"&amp;RIGHT($W296,11)</f>
        <v>#REF!</v>
      </c>
    </row>
    <row r="297" spans="1:24" x14ac:dyDescent="0.25">
      <c r="A297" s="94">
        <f t="shared" si="388"/>
        <v>73</v>
      </c>
      <c r="B297" s="119"/>
      <c r="C297" s="93" t="str">
        <f t="shared" ref="C297:D297" si="396">IF($B294&lt;&gt;"",C293,"")</f>
        <v/>
      </c>
      <c r="D297" s="93" t="str">
        <f t="shared" si="396"/>
        <v/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6"/>
      <c r="W297" s="31" t="e">
        <f>INDEX(TBL_STORAGE_CONNECTIONS[StorageConnectionID],$A297)</f>
        <v>#REF!</v>
      </c>
      <c r="X297" s="31" t="e">
        <f>"StorageTariffVar_"&amp;RIGHT($W297,11)</f>
        <v>#REF!</v>
      </c>
    </row>
    <row r="298" spans="1:24" x14ac:dyDescent="0.25">
      <c r="A298" s="94">
        <f t="shared" ref="A298" si="397">$A294+1</f>
        <v>74</v>
      </c>
      <c r="B298" s="117" t="str">
        <f>IFERROR(INDEX(TBL_STORAGE_CONNECTIONS[Name],$A298),"")</f>
        <v/>
      </c>
      <c r="C298" s="93" t="str">
        <f t="shared" ref="C298:D298" si="398">IF($B298&lt;&gt;"",C294,"")</f>
        <v/>
      </c>
      <c r="D298" s="93" t="str">
        <f t="shared" si="398"/>
        <v/>
      </c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5"/>
      <c r="W298" s="31" t="e">
        <f>INDEX(TBL_STORAGE_CONNECTIONS[StorageConnectionID],$A298)</f>
        <v>#REF!</v>
      </c>
      <c r="X298" s="31" t="e">
        <f>"StorageCapMin_"&amp;RIGHT($W298,11)</f>
        <v>#REF!</v>
      </c>
    </row>
    <row r="299" spans="1:24" x14ac:dyDescent="0.25">
      <c r="A299" s="94">
        <f t="shared" si="388"/>
        <v>74</v>
      </c>
      <c r="B299" s="118"/>
      <c r="C299" s="93" t="str">
        <f t="shared" ref="C299:D299" si="399">IF($B298&lt;&gt;"",C295,"")</f>
        <v/>
      </c>
      <c r="D299" s="93" t="str">
        <f t="shared" si="399"/>
        <v/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6"/>
      <c r="W299" s="31" t="e">
        <f>INDEX(TBL_STORAGE_CONNECTIONS[StorageConnectionID],$A299)</f>
        <v>#REF!</v>
      </c>
      <c r="X299" s="31" t="e">
        <f>"StorageCapMax_"&amp;RIGHT($W299,11)</f>
        <v>#REF!</v>
      </c>
    </row>
    <row r="300" spans="1:24" x14ac:dyDescent="0.25">
      <c r="A300" s="94">
        <f t="shared" si="388"/>
        <v>74</v>
      </c>
      <c r="B300" s="118"/>
      <c r="C300" s="93" t="str">
        <f t="shared" ref="C300:D300" si="400">IF($B298&lt;&gt;"",C296,"")</f>
        <v/>
      </c>
      <c r="D300" s="93" t="str">
        <f t="shared" si="400"/>
        <v/>
      </c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5"/>
      <c r="W300" s="31" t="e">
        <f>INDEX(TBL_STORAGE_CONNECTIONS[StorageConnectionID],$A300)</f>
        <v>#REF!</v>
      </c>
      <c r="X300" s="31" t="e">
        <f>"StorageTariffFixed_"&amp;RIGHT($W300,11)</f>
        <v>#REF!</v>
      </c>
    </row>
    <row r="301" spans="1:24" x14ac:dyDescent="0.25">
      <c r="A301" s="94">
        <f t="shared" si="388"/>
        <v>74</v>
      </c>
      <c r="B301" s="119"/>
      <c r="C301" s="93" t="str">
        <f t="shared" ref="C301:D301" si="401">IF($B298&lt;&gt;"",C297,"")</f>
        <v/>
      </c>
      <c r="D301" s="93" t="str">
        <f t="shared" si="401"/>
        <v/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6"/>
      <c r="W301" s="31" t="e">
        <f>INDEX(TBL_STORAGE_CONNECTIONS[StorageConnectionID],$A301)</f>
        <v>#REF!</v>
      </c>
      <c r="X301" s="31" t="e">
        <f>"StorageTariffVar_"&amp;RIGHT($W301,11)</f>
        <v>#REF!</v>
      </c>
    </row>
    <row r="302" spans="1:24" x14ac:dyDescent="0.25">
      <c r="A302" s="94">
        <f t="shared" ref="A302" si="402">$A298+1</f>
        <v>75</v>
      </c>
      <c r="B302" s="117" t="str">
        <f>IFERROR(INDEX(TBL_STORAGE_CONNECTIONS[Name],$A302),"")</f>
        <v/>
      </c>
      <c r="C302" s="93" t="str">
        <f t="shared" ref="C302:D302" si="403">IF($B302&lt;&gt;"",C298,"")</f>
        <v/>
      </c>
      <c r="D302" s="93" t="str">
        <f t="shared" si="403"/>
        <v/>
      </c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5"/>
      <c r="W302" s="31" t="e">
        <f>INDEX(TBL_STORAGE_CONNECTIONS[StorageConnectionID],$A302)</f>
        <v>#REF!</v>
      </c>
      <c r="X302" s="31" t="e">
        <f>"StorageCapMin_"&amp;RIGHT($W302,11)</f>
        <v>#REF!</v>
      </c>
    </row>
    <row r="303" spans="1:24" x14ac:dyDescent="0.25">
      <c r="A303" s="94">
        <f t="shared" si="388"/>
        <v>75</v>
      </c>
      <c r="B303" s="118"/>
      <c r="C303" s="93" t="str">
        <f t="shared" ref="C303:D303" si="404">IF($B302&lt;&gt;"",C299,"")</f>
        <v/>
      </c>
      <c r="D303" s="93" t="str">
        <f t="shared" si="404"/>
        <v/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6"/>
      <c r="W303" s="31" t="e">
        <f>INDEX(TBL_STORAGE_CONNECTIONS[StorageConnectionID],$A303)</f>
        <v>#REF!</v>
      </c>
      <c r="X303" s="31" t="e">
        <f>"StorageCapMax_"&amp;RIGHT($W303,11)</f>
        <v>#REF!</v>
      </c>
    </row>
    <row r="304" spans="1:24" x14ac:dyDescent="0.25">
      <c r="A304" s="94">
        <f t="shared" si="388"/>
        <v>75</v>
      </c>
      <c r="B304" s="118"/>
      <c r="C304" s="93" t="str">
        <f t="shared" ref="C304:D304" si="405">IF($B302&lt;&gt;"",C300,"")</f>
        <v/>
      </c>
      <c r="D304" s="93" t="str">
        <f t="shared" si="405"/>
        <v/>
      </c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5"/>
      <c r="W304" s="31" t="e">
        <f>INDEX(TBL_STORAGE_CONNECTIONS[StorageConnectionID],$A304)</f>
        <v>#REF!</v>
      </c>
      <c r="X304" s="31" t="e">
        <f>"StorageTariffFixed_"&amp;RIGHT($W304,11)</f>
        <v>#REF!</v>
      </c>
    </row>
    <row r="305" spans="1:24" x14ac:dyDescent="0.25">
      <c r="A305" s="94">
        <f t="shared" si="388"/>
        <v>75</v>
      </c>
      <c r="B305" s="119"/>
      <c r="C305" s="93" t="str">
        <f t="shared" ref="C305:D305" si="406">IF($B302&lt;&gt;"",C301,"")</f>
        <v/>
      </c>
      <c r="D305" s="93" t="str">
        <f t="shared" si="406"/>
        <v/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6"/>
      <c r="W305" s="31" t="e">
        <f>INDEX(TBL_STORAGE_CONNECTIONS[StorageConnectionID],$A305)</f>
        <v>#REF!</v>
      </c>
      <c r="X305" s="31" t="e">
        <f>"StorageTariffVar_"&amp;RIGHT($W305,11)</f>
        <v>#REF!</v>
      </c>
    </row>
    <row r="306" spans="1:24" x14ac:dyDescent="0.25">
      <c r="A306" s="94">
        <f t="shared" ref="A306" si="407">$A302+1</f>
        <v>76</v>
      </c>
      <c r="B306" s="117" t="str">
        <f>IFERROR(INDEX(TBL_STORAGE_CONNECTIONS[Name],$A306),"")</f>
        <v/>
      </c>
      <c r="C306" s="93" t="str">
        <f t="shared" ref="C306:D306" si="408">IF($B306&lt;&gt;"",C302,"")</f>
        <v/>
      </c>
      <c r="D306" s="93" t="str">
        <f t="shared" si="408"/>
        <v/>
      </c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5"/>
      <c r="W306" s="31" t="e">
        <f>INDEX(TBL_STORAGE_CONNECTIONS[StorageConnectionID],$A306)</f>
        <v>#REF!</v>
      </c>
      <c r="X306" s="31" t="e">
        <f>"StorageCapMin_"&amp;RIGHT($W306,11)</f>
        <v>#REF!</v>
      </c>
    </row>
    <row r="307" spans="1:24" x14ac:dyDescent="0.25">
      <c r="A307" s="94">
        <f t="shared" si="388"/>
        <v>76</v>
      </c>
      <c r="B307" s="118"/>
      <c r="C307" s="93" t="str">
        <f t="shared" ref="C307:D307" si="409">IF($B306&lt;&gt;"",C303,"")</f>
        <v/>
      </c>
      <c r="D307" s="93" t="str">
        <f t="shared" si="409"/>
        <v/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6"/>
      <c r="W307" s="31" t="e">
        <f>INDEX(TBL_STORAGE_CONNECTIONS[StorageConnectionID],$A307)</f>
        <v>#REF!</v>
      </c>
      <c r="X307" s="31" t="e">
        <f>"StorageCapMax_"&amp;RIGHT($W307,11)</f>
        <v>#REF!</v>
      </c>
    </row>
    <row r="308" spans="1:24" x14ac:dyDescent="0.25">
      <c r="A308" s="94">
        <f t="shared" si="388"/>
        <v>76</v>
      </c>
      <c r="B308" s="118"/>
      <c r="C308" s="93" t="str">
        <f t="shared" ref="C308:D308" si="410">IF($B306&lt;&gt;"",C304,"")</f>
        <v/>
      </c>
      <c r="D308" s="93" t="str">
        <f t="shared" si="410"/>
        <v/>
      </c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5"/>
      <c r="W308" s="31" t="e">
        <f>INDEX(TBL_STORAGE_CONNECTIONS[StorageConnectionID],$A308)</f>
        <v>#REF!</v>
      </c>
      <c r="X308" s="31" t="e">
        <f>"StorageTariffFixed_"&amp;RIGHT($W308,11)</f>
        <v>#REF!</v>
      </c>
    </row>
    <row r="309" spans="1:24" x14ac:dyDescent="0.25">
      <c r="A309" s="94">
        <f t="shared" si="388"/>
        <v>76</v>
      </c>
      <c r="B309" s="119"/>
      <c r="C309" s="93" t="str">
        <f t="shared" ref="C309:D309" si="411">IF($B306&lt;&gt;"",C305,"")</f>
        <v/>
      </c>
      <c r="D309" s="93" t="str">
        <f t="shared" si="411"/>
        <v/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6"/>
      <c r="W309" s="31" t="e">
        <f>INDEX(TBL_STORAGE_CONNECTIONS[StorageConnectionID],$A309)</f>
        <v>#REF!</v>
      </c>
      <c r="X309" s="31" t="e">
        <f>"StorageTariffVar_"&amp;RIGHT($W309,11)</f>
        <v>#REF!</v>
      </c>
    </row>
    <row r="310" spans="1:24" x14ac:dyDescent="0.25">
      <c r="A310" s="94">
        <f t="shared" ref="A310" si="412">$A306+1</f>
        <v>77</v>
      </c>
      <c r="B310" s="117" t="str">
        <f>IFERROR(INDEX(TBL_STORAGE_CONNECTIONS[Name],$A310),"")</f>
        <v/>
      </c>
      <c r="C310" s="93" t="str">
        <f t="shared" ref="C310:D310" si="413">IF($B310&lt;&gt;"",C306,"")</f>
        <v/>
      </c>
      <c r="D310" s="93" t="str">
        <f t="shared" si="413"/>
        <v/>
      </c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5"/>
      <c r="W310" s="31" t="e">
        <f>INDEX(TBL_STORAGE_CONNECTIONS[StorageConnectionID],$A310)</f>
        <v>#REF!</v>
      </c>
      <c r="X310" s="31" t="e">
        <f>"StorageCapMin_"&amp;RIGHT($W310,11)</f>
        <v>#REF!</v>
      </c>
    </row>
    <row r="311" spans="1:24" x14ac:dyDescent="0.25">
      <c r="A311" s="94">
        <f t="shared" ref="A311:A313" si="414">$A310</f>
        <v>77</v>
      </c>
      <c r="B311" s="118"/>
      <c r="C311" s="93" t="str">
        <f t="shared" ref="C311:D311" si="415">IF($B310&lt;&gt;"",C307,"")</f>
        <v/>
      </c>
      <c r="D311" s="93" t="str">
        <f t="shared" si="415"/>
        <v/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6"/>
      <c r="W311" s="31" t="e">
        <f>INDEX(TBL_STORAGE_CONNECTIONS[StorageConnectionID],$A311)</f>
        <v>#REF!</v>
      </c>
      <c r="X311" s="31" t="e">
        <f>"StorageCapMax_"&amp;RIGHT($W311,11)</f>
        <v>#REF!</v>
      </c>
    </row>
    <row r="312" spans="1:24" x14ac:dyDescent="0.25">
      <c r="A312" s="94">
        <f t="shared" si="414"/>
        <v>77</v>
      </c>
      <c r="B312" s="118"/>
      <c r="C312" s="93" t="str">
        <f t="shared" ref="C312:D312" si="416">IF($B310&lt;&gt;"",C308,"")</f>
        <v/>
      </c>
      <c r="D312" s="93" t="str">
        <f t="shared" si="416"/>
        <v/>
      </c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5"/>
      <c r="W312" s="31" t="e">
        <f>INDEX(TBL_STORAGE_CONNECTIONS[StorageConnectionID],$A312)</f>
        <v>#REF!</v>
      </c>
      <c r="X312" s="31" t="e">
        <f>"StorageTariffFixed_"&amp;RIGHT($W312,11)</f>
        <v>#REF!</v>
      </c>
    </row>
    <row r="313" spans="1:24" x14ac:dyDescent="0.25">
      <c r="A313" s="94">
        <f t="shared" si="414"/>
        <v>77</v>
      </c>
      <c r="B313" s="119"/>
      <c r="C313" s="93" t="str">
        <f t="shared" ref="C313:D313" si="417">IF($B310&lt;&gt;"",C309,"")</f>
        <v/>
      </c>
      <c r="D313" s="93" t="str">
        <f t="shared" si="417"/>
        <v/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6"/>
      <c r="W313" s="31" t="e">
        <f>INDEX(TBL_STORAGE_CONNECTIONS[StorageConnectionID],$A313)</f>
        <v>#REF!</v>
      </c>
      <c r="X313" s="31" t="e">
        <f>"StorageTariffVar_"&amp;RIGHT($W313,11)</f>
        <v>#REF!</v>
      </c>
    </row>
    <row r="314" spans="1:24" x14ac:dyDescent="0.25">
      <c r="A314" s="94">
        <f t="shared" ref="A314" si="418">$A310+1</f>
        <v>78</v>
      </c>
      <c r="B314" s="117" t="str">
        <f>IFERROR(INDEX(TBL_STORAGE_CONNECTIONS[Name],$A314),"")</f>
        <v/>
      </c>
      <c r="C314" s="93" t="str">
        <f t="shared" ref="C314:D314" si="419">IF($B314&lt;&gt;"",C310,"")</f>
        <v/>
      </c>
      <c r="D314" s="93" t="str">
        <f t="shared" si="419"/>
        <v/>
      </c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5"/>
      <c r="W314" s="31" t="e">
        <f>INDEX(TBL_STORAGE_CONNECTIONS[StorageConnectionID],$A314)</f>
        <v>#REF!</v>
      </c>
      <c r="X314" s="31" t="e">
        <f>"StorageCapMin_"&amp;RIGHT($W314,11)</f>
        <v>#REF!</v>
      </c>
    </row>
    <row r="315" spans="1:24" x14ac:dyDescent="0.25">
      <c r="A315" s="94">
        <f t="shared" ref="A315:A317" si="420">$A314</f>
        <v>78</v>
      </c>
      <c r="B315" s="118"/>
      <c r="C315" s="93" t="str">
        <f t="shared" ref="C315:D315" si="421">IF($B314&lt;&gt;"",C311,"")</f>
        <v/>
      </c>
      <c r="D315" s="93" t="str">
        <f t="shared" si="421"/>
        <v/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6"/>
      <c r="W315" s="31" t="e">
        <f>INDEX(TBL_STORAGE_CONNECTIONS[StorageConnectionID],$A315)</f>
        <v>#REF!</v>
      </c>
      <c r="X315" s="31" t="e">
        <f>"StorageCapMax_"&amp;RIGHT($W315,11)</f>
        <v>#REF!</v>
      </c>
    </row>
    <row r="316" spans="1:24" x14ac:dyDescent="0.25">
      <c r="A316" s="94">
        <f t="shared" si="420"/>
        <v>78</v>
      </c>
      <c r="B316" s="118"/>
      <c r="C316" s="93" t="str">
        <f t="shared" ref="C316:D316" si="422">IF($B314&lt;&gt;"",C312,"")</f>
        <v/>
      </c>
      <c r="D316" s="93" t="str">
        <f t="shared" si="422"/>
        <v/>
      </c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5"/>
      <c r="W316" s="31" t="e">
        <f>INDEX(TBL_STORAGE_CONNECTIONS[StorageConnectionID],$A316)</f>
        <v>#REF!</v>
      </c>
      <c r="X316" s="31" t="e">
        <f>"StorageTariffFixed_"&amp;RIGHT($W316,11)</f>
        <v>#REF!</v>
      </c>
    </row>
    <row r="317" spans="1:24" x14ac:dyDescent="0.25">
      <c r="A317" s="94">
        <f t="shared" si="420"/>
        <v>78</v>
      </c>
      <c r="B317" s="119"/>
      <c r="C317" s="93" t="str">
        <f t="shared" ref="C317:D317" si="423">IF($B314&lt;&gt;"",C313,"")</f>
        <v/>
      </c>
      <c r="D317" s="93" t="str">
        <f t="shared" si="423"/>
        <v/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6"/>
      <c r="W317" s="31" t="e">
        <f>INDEX(TBL_STORAGE_CONNECTIONS[StorageConnectionID],$A317)</f>
        <v>#REF!</v>
      </c>
      <c r="X317" s="31" t="e">
        <f>"StorageTariffVar_"&amp;RIGHT($W317,11)</f>
        <v>#REF!</v>
      </c>
    </row>
    <row r="318" spans="1:24" x14ac:dyDescent="0.25">
      <c r="A318" s="94">
        <f t="shared" ref="A318" si="424">$A314+1</f>
        <v>79</v>
      </c>
      <c r="B318" s="117" t="str">
        <f>IFERROR(INDEX(TBL_STORAGE_CONNECTIONS[Name],$A318),"")</f>
        <v/>
      </c>
      <c r="C318" s="93" t="str">
        <f t="shared" ref="C318:D318" si="425">IF($B318&lt;&gt;"",C314,"")</f>
        <v/>
      </c>
      <c r="D318" s="93" t="str">
        <f t="shared" si="425"/>
        <v/>
      </c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5"/>
      <c r="W318" s="31" t="e">
        <f>INDEX(TBL_STORAGE_CONNECTIONS[StorageConnectionID],$A318)</f>
        <v>#REF!</v>
      </c>
      <c r="X318" s="31" t="e">
        <f>"StorageCapMin_"&amp;RIGHT($W318,11)</f>
        <v>#REF!</v>
      </c>
    </row>
    <row r="319" spans="1:24" x14ac:dyDescent="0.25">
      <c r="A319" s="94">
        <f t="shared" ref="A319:A321" si="426">$A318</f>
        <v>79</v>
      </c>
      <c r="B319" s="118"/>
      <c r="C319" s="93" t="str">
        <f t="shared" ref="C319:D319" si="427">IF($B318&lt;&gt;"",C315,"")</f>
        <v/>
      </c>
      <c r="D319" s="93" t="str">
        <f t="shared" si="427"/>
        <v/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6"/>
      <c r="W319" s="31" t="e">
        <f>INDEX(TBL_STORAGE_CONNECTIONS[StorageConnectionID],$A319)</f>
        <v>#REF!</v>
      </c>
      <c r="X319" s="31" t="e">
        <f>"StorageCapMax_"&amp;RIGHT($W319,11)</f>
        <v>#REF!</v>
      </c>
    </row>
    <row r="320" spans="1:24" x14ac:dyDescent="0.25">
      <c r="A320" s="94">
        <f t="shared" si="426"/>
        <v>79</v>
      </c>
      <c r="B320" s="118"/>
      <c r="C320" s="93" t="str">
        <f t="shared" ref="C320:D320" si="428">IF($B318&lt;&gt;"",C316,"")</f>
        <v/>
      </c>
      <c r="D320" s="93" t="str">
        <f t="shared" si="428"/>
        <v/>
      </c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5"/>
      <c r="W320" s="31" t="e">
        <f>INDEX(TBL_STORAGE_CONNECTIONS[StorageConnectionID],$A320)</f>
        <v>#REF!</v>
      </c>
      <c r="X320" s="31" t="e">
        <f>"StorageTariffFixed_"&amp;RIGHT($W320,11)</f>
        <v>#REF!</v>
      </c>
    </row>
    <row r="321" spans="1:24" x14ac:dyDescent="0.25">
      <c r="A321" s="94">
        <f t="shared" si="426"/>
        <v>79</v>
      </c>
      <c r="B321" s="119"/>
      <c r="C321" s="93" t="str">
        <f t="shared" ref="C321:D321" si="429">IF($B318&lt;&gt;"",C317,"")</f>
        <v/>
      </c>
      <c r="D321" s="93" t="str">
        <f t="shared" si="429"/>
        <v/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6"/>
      <c r="W321" s="31" t="e">
        <f>INDEX(TBL_STORAGE_CONNECTIONS[StorageConnectionID],$A321)</f>
        <v>#REF!</v>
      </c>
      <c r="X321" s="31" t="e">
        <f>"StorageTariffVar_"&amp;RIGHT($W321,11)</f>
        <v>#REF!</v>
      </c>
    </row>
    <row r="322" spans="1:24" x14ac:dyDescent="0.25">
      <c r="A322" s="94">
        <f t="shared" ref="A322" si="430">$A318+1</f>
        <v>80</v>
      </c>
      <c r="B322" s="117" t="str">
        <f>IFERROR(INDEX(TBL_STORAGE_CONNECTIONS[Name],$A322),"")</f>
        <v/>
      </c>
      <c r="C322" s="93" t="str">
        <f t="shared" ref="C322:D322" si="431">IF($B322&lt;&gt;"",C318,"")</f>
        <v/>
      </c>
      <c r="D322" s="93" t="str">
        <f t="shared" si="431"/>
        <v/>
      </c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5"/>
      <c r="W322" s="31" t="e">
        <f>INDEX(TBL_STORAGE_CONNECTIONS[StorageConnectionID],$A322)</f>
        <v>#REF!</v>
      </c>
      <c r="X322" s="31" t="e">
        <f>"StorageCapMin_"&amp;RIGHT($W322,11)</f>
        <v>#REF!</v>
      </c>
    </row>
    <row r="323" spans="1:24" x14ac:dyDescent="0.25">
      <c r="A323" s="94">
        <f t="shared" ref="A323:A325" si="432">$A322</f>
        <v>80</v>
      </c>
      <c r="B323" s="118"/>
      <c r="C323" s="93" t="str">
        <f t="shared" ref="C323:D323" si="433">IF($B322&lt;&gt;"",C319,"")</f>
        <v/>
      </c>
      <c r="D323" s="93" t="str">
        <f t="shared" si="433"/>
        <v/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6"/>
      <c r="W323" s="31" t="e">
        <f>INDEX(TBL_STORAGE_CONNECTIONS[StorageConnectionID],$A323)</f>
        <v>#REF!</v>
      </c>
      <c r="X323" s="31" t="e">
        <f>"StorageCapMax_"&amp;RIGHT($W323,11)</f>
        <v>#REF!</v>
      </c>
    </row>
    <row r="324" spans="1:24" x14ac:dyDescent="0.25">
      <c r="A324" s="94">
        <f t="shared" si="432"/>
        <v>80</v>
      </c>
      <c r="B324" s="118"/>
      <c r="C324" s="93" t="str">
        <f t="shared" ref="C324:D324" si="434">IF($B322&lt;&gt;"",C320,"")</f>
        <v/>
      </c>
      <c r="D324" s="93" t="str">
        <f t="shared" si="434"/>
        <v/>
      </c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5"/>
      <c r="W324" s="31" t="e">
        <f>INDEX(TBL_STORAGE_CONNECTIONS[StorageConnectionID],$A324)</f>
        <v>#REF!</v>
      </c>
      <c r="X324" s="31" t="e">
        <f>"StorageTariffFixed_"&amp;RIGHT($W324,11)</f>
        <v>#REF!</v>
      </c>
    </row>
    <row r="325" spans="1:24" x14ac:dyDescent="0.25">
      <c r="A325" s="94">
        <f t="shared" si="432"/>
        <v>80</v>
      </c>
      <c r="B325" s="119"/>
      <c r="C325" s="93" t="str">
        <f t="shared" ref="C325:D325" si="435">IF($B322&lt;&gt;"",C321,"")</f>
        <v/>
      </c>
      <c r="D325" s="93" t="str">
        <f t="shared" si="435"/>
        <v/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6"/>
      <c r="W325" s="31" t="e">
        <f>INDEX(TBL_STORAGE_CONNECTIONS[StorageConnectionID],$A325)</f>
        <v>#REF!</v>
      </c>
      <c r="X325" s="31" t="e">
        <f>"StorageTariffVar_"&amp;RIGHT($W325,11)</f>
        <v>#REF!</v>
      </c>
    </row>
    <row r="326" spans="1:24" x14ac:dyDescent="0.25">
      <c r="A326" s="94">
        <f t="shared" ref="A326" si="436">$A322+1</f>
        <v>81</v>
      </c>
      <c r="B326" s="117" t="str">
        <f>IFERROR(INDEX(TBL_STORAGE_CONNECTIONS[Name],$A326),"")</f>
        <v/>
      </c>
      <c r="C326" s="93" t="str">
        <f t="shared" ref="C326:D326" si="437">IF($B326&lt;&gt;"",C322,"")</f>
        <v/>
      </c>
      <c r="D326" s="93" t="str">
        <f t="shared" si="437"/>
        <v/>
      </c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5"/>
      <c r="W326" s="31" t="e">
        <f>INDEX(TBL_STORAGE_CONNECTIONS[StorageConnectionID],$A326)</f>
        <v>#REF!</v>
      </c>
      <c r="X326" s="31" t="e">
        <f>"StorageCapMin_"&amp;RIGHT($W326,11)</f>
        <v>#REF!</v>
      </c>
    </row>
    <row r="327" spans="1:24" x14ac:dyDescent="0.25">
      <c r="A327" s="94">
        <f t="shared" ref="A327:A345" si="438">$A326</f>
        <v>81</v>
      </c>
      <c r="B327" s="118"/>
      <c r="C327" s="93" t="str">
        <f t="shared" ref="C327:D327" si="439">IF($B326&lt;&gt;"",C323,"")</f>
        <v/>
      </c>
      <c r="D327" s="93" t="str">
        <f t="shared" si="439"/>
        <v/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6"/>
      <c r="W327" s="31" t="e">
        <f>INDEX(TBL_STORAGE_CONNECTIONS[StorageConnectionID],$A327)</f>
        <v>#REF!</v>
      </c>
      <c r="X327" s="31" t="e">
        <f>"StorageCapMax_"&amp;RIGHT($W327,11)</f>
        <v>#REF!</v>
      </c>
    </row>
    <row r="328" spans="1:24" x14ac:dyDescent="0.25">
      <c r="A328" s="94">
        <f t="shared" si="438"/>
        <v>81</v>
      </c>
      <c r="B328" s="118"/>
      <c r="C328" s="93" t="str">
        <f t="shared" ref="C328:D328" si="440">IF($B326&lt;&gt;"",C324,"")</f>
        <v/>
      </c>
      <c r="D328" s="93" t="str">
        <f t="shared" si="440"/>
        <v/>
      </c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5"/>
      <c r="W328" s="31" t="e">
        <f>INDEX(TBL_STORAGE_CONNECTIONS[StorageConnectionID],$A328)</f>
        <v>#REF!</v>
      </c>
      <c r="X328" s="31" t="e">
        <f>"StorageTariffFixed_"&amp;RIGHT($W328,11)</f>
        <v>#REF!</v>
      </c>
    </row>
    <row r="329" spans="1:24" x14ac:dyDescent="0.25">
      <c r="A329" s="94">
        <f t="shared" si="438"/>
        <v>81</v>
      </c>
      <c r="B329" s="119"/>
      <c r="C329" s="93" t="str">
        <f t="shared" ref="C329:D329" si="441">IF($B326&lt;&gt;"",C325,"")</f>
        <v/>
      </c>
      <c r="D329" s="93" t="str">
        <f t="shared" si="441"/>
        <v/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6"/>
      <c r="W329" s="31" t="e">
        <f>INDEX(TBL_STORAGE_CONNECTIONS[StorageConnectionID],$A329)</f>
        <v>#REF!</v>
      </c>
      <c r="X329" s="31" t="e">
        <f>"StorageTariffVar_"&amp;RIGHT($W329,11)</f>
        <v>#REF!</v>
      </c>
    </row>
    <row r="330" spans="1:24" x14ac:dyDescent="0.25">
      <c r="A330" s="94">
        <f t="shared" ref="A330" si="442">$A326+1</f>
        <v>82</v>
      </c>
      <c r="B330" s="117" t="str">
        <f>IFERROR(INDEX(TBL_STORAGE_CONNECTIONS[Name],$A330),"")</f>
        <v/>
      </c>
      <c r="C330" s="93" t="str">
        <f t="shared" ref="C330:D330" si="443">IF($B330&lt;&gt;"",C326,"")</f>
        <v/>
      </c>
      <c r="D330" s="93" t="str">
        <f t="shared" si="443"/>
        <v/>
      </c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5"/>
      <c r="W330" s="31" t="e">
        <f>INDEX(TBL_STORAGE_CONNECTIONS[StorageConnectionID],$A330)</f>
        <v>#REF!</v>
      </c>
      <c r="X330" s="31" t="e">
        <f>"StorageCapMin_"&amp;RIGHT($W330,11)</f>
        <v>#REF!</v>
      </c>
    </row>
    <row r="331" spans="1:24" x14ac:dyDescent="0.25">
      <c r="A331" s="94">
        <f t="shared" si="438"/>
        <v>82</v>
      </c>
      <c r="B331" s="118"/>
      <c r="C331" s="93" t="str">
        <f t="shared" ref="C331:D331" si="444">IF($B330&lt;&gt;"",C327,"")</f>
        <v/>
      </c>
      <c r="D331" s="93" t="str">
        <f t="shared" si="444"/>
        <v/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6"/>
      <c r="W331" s="31" t="e">
        <f>INDEX(TBL_STORAGE_CONNECTIONS[StorageConnectionID],$A331)</f>
        <v>#REF!</v>
      </c>
      <c r="X331" s="31" t="e">
        <f>"StorageCapMax_"&amp;RIGHT($W331,11)</f>
        <v>#REF!</v>
      </c>
    </row>
    <row r="332" spans="1:24" x14ac:dyDescent="0.25">
      <c r="A332" s="94">
        <f t="shared" si="438"/>
        <v>82</v>
      </c>
      <c r="B332" s="118"/>
      <c r="C332" s="93" t="str">
        <f t="shared" ref="C332:D332" si="445">IF($B330&lt;&gt;"",C328,"")</f>
        <v/>
      </c>
      <c r="D332" s="93" t="str">
        <f t="shared" si="445"/>
        <v/>
      </c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5"/>
      <c r="W332" s="31" t="e">
        <f>INDEX(TBL_STORAGE_CONNECTIONS[StorageConnectionID],$A332)</f>
        <v>#REF!</v>
      </c>
      <c r="X332" s="31" t="e">
        <f>"StorageTariffFixed_"&amp;RIGHT($W332,11)</f>
        <v>#REF!</v>
      </c>
    </row>
    <row r="333" spans="1:24" x14ac:dyDescent="0.25">
      <c r="A333" s="94">
        <f t="shared" si="438"/>
        <v>82</v>
      </c>
      <c r="B333" s="119"/>
      <c r="C333" s="93" t="str">
        <f t="shared" ref="C333:D333" si="446">IF($B330&lt;&gt;"",C329,"")</f>
        <v/>
      </c>
      <c r="D333" s="93" t="str">
        <f t="shared" si="446"/>
        <v/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6"/>
      <c r="W333" s="31" t="e">
        <f>INDEX(TBL_STORAGE_CONNECTIONS[StorageConnectionID],$A333)</f>
        <v>#REF!</v>
      </c>
      <c r="X333" s="31" t="e">
        <f>"StorageTariffVar_"&amp;RIGHT($W333,11)</f>
        <v>#REF!</v>
      </c>
    </row>
    <row r="334" spans="1:24" x14ac:dyDescent="0.25">
      <c r="A334" s="94">
        <f t="shared" ref="A334" si="447">$A330+1</f>
        <v>83</v>
      </c>
      <c r="B334" s="117" t="str">
        <f>IFERROR(INDEX(TBL_STORAGE_CONNECTIONS[Name],$A334),"")</f>
        <v/>
      </c>
      <c r="C334" s="93" t="str">
        <f t="shared" ref="C334:D334" si="448">IF($B334&lt;&gt;"",C330,"")</f>
        <v/>
      </c>
      <c r="D334" s="93" t="str">
        <f t="shared" si="448"/>
        <v/>
      </c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5"/>
      <c r="W334" s="31" t="e">
        <f>INDEX(TBL_STORAGE_CONNECTIONS[StorageConnectionID],$A334)</f>
        <v>#REF!</v>
      </c>
      <c r="X334" s="31" t="e">
        <f>"StorageCapMin_"&amp;RIGHT($W334,11)</f>
        <v>#REF!</v>
      </c>
    </row>
    <row r="335" spans="1:24" x14ac:dyDescent="0.25">
      <c r="A335" s="94">
        <f t="shared" si="438"/>
        <v>83</v>
      </c>
      <c r="B335" s="118"/>
      <c r="C335" s="93" t="str">
        <f t="shared" ref="C335:D335" si="449">IF($B334&lt;&gt;"",C331,"")</f>
        <v/>
      </c>
      <c r="D335" s="93" t="str">
        <f t="shared" si="449"/>
        <v/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6"/>
      <c r="W335" s="31" t="e">
        <f>INDEX(TBL_STORAGE_CONNECTIONS[StorageConnectionID],$A335)</f>
        <v>#REF!</v>
      </c>
      <c r="X335" s="31" t="e">
        <f>"StorageCapMax_"&amp;RIGHT($W335,11)</f>
        <v>#REF!</v>
      </c>
    </row>
    <row r="336" spans="1:24" x14ac:dyDescent="0.25">
      <c r="A336" s="94">
        <f t="shared" si="438"/>
        <v>83</v>
      </c>
      <c r="B336" s="118"/>
      <c r="C336" s="93" t="str">
        <f t="shared" ref="C336:D336" si="450">IF($B334&lt;&gt;"",C332,"")</f>
        <v/>
      </c>
      <c r="D336" s="93" t="str">
        <f t="shared" si="450"/>
        <v/>
      </c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5"/>
      <c r="W336" s="31" t="e">
        <f>INDEX(TBL_STORAGE_CONNECTIONS[StorageConnectionID],$A336)</f>
        <v>#REF!</v>
      </c>
      <c r="X336" s="31" t="e">
        <f>"StorageTariffFixed_"&amp;RIGHT($W336,11)</f>
        <v>#REF!</v>
      </c>
    </row>
    <row r="337" spans="1:24" x14ac:dyDescent="0.25">
      <c r="A337" s="94">
        <f t="shared" si="438"/>
        <v>83</v>
      </c>
      <c r="B337" s="119"/>
      <c r="C337" s="93" t="str">
        <f t="shared" ref="C337:D337" si="451">IF($B334&lt;&gt;"",C333,"")</f>
        <v/>
      </c>
      <c r="D337" s="93" t="str">
        <f t="shared" si="451"/>
        <v/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6"/>
      <c r="W337" s="31" t="e">
        <f>INDEX(TBL_STORAGE_CONNECTIONS[StorageConnectionID],$A337)</f>
        <v>#REF!</v>
      </c>
      <c r="X337" s="31" t="e">
        <f>"StorageTariffVar_"&amp;RIGHT($W337,11)</f>
        <v>#REF!</v>
      </c>
    </row>
    <row r="338" spans="1:24" x14ac:dyDescent="0.25">
      <c r="A338" s="94">
        <f t="shared" ref="A338" si="452">$A334+1</f>
        <v>84</v>
      </c>
      <c r="B338" s="117" t="str">
        <f>IFERROR(INDEX(TBL_STORAGE_CONNECTIONS[Name],$A338),"")</f>
        <v/>
      </c>
      <c r="C338" s="93" t="str">
        <f t="shared" ref="C338:D338" si="453">IF($B338&lt;&gt;"",C334,"")</f>
        <v/>
      </c>
      <c r="D338" s="93" t="str">
        <f t="shared" si="453"/>
        <v/>
      </c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5"/>
      <c r="W338" s="31" t="e">
        <f>INDEX(TBL_STORAGE_CONNECTIONS[StorageConnectionID],$A338)</f>
        <v>#REF!</v>
      </c>
      <c r="X338" s="31" t="e">
        <f>"StorageCapMin_"&amp;RIGHT($W338,11)</f>
        <v>#REF!</v>
      </c>
    </row>
    <row r="339" spans="1:24" x14ac:dyDescent="0.25">
      <c r="A339" s="94">
        <f t="shared" si="438"/>
        <v>84</v>
      </c>
      <c r="B339" s="118"/>
      <c r="C339" s="93" t="str">
        <f t="shared" ref="C339:D339" si="454">IF($B338&lt;&gt;"",C335,"")</f>
        <v/>
      </c>
      <c r="D339" s="93" t="str">
        <f t="shared" si="454"/>
        <v/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6"/>
      <c r="W339" s="31" t="e">
        <f>INDEX(TBL_STORAGE_CONNECTIONS[StorageConnectionID],$A339)</f>
        <v>#REF!</v>
      </c>
      <c r="X339" s="31" t="e">
        <f>"StorageCapMax_"&amp;RIGHT($W339,11)</f>
        <v>#REF!</v>
      </c>
    </row>
    <row r="340" spans="1:24" x14ac:dyDescent="0.25">
      <c r="A340" s="94">
        <f t="shared" si="438"/>
        <v>84</v>
      </c>
      <c r="B340" s="118"/>
      <c r="C340" s="93" t="str">
        <f t="shared" ref="C340:D340" si="455">IF($B338&lt;&gt;"",C336,"")</f>
        <v/>
      </c>
      <c r="D340" s="93" t="str">
        <f t="shared" si="455"/>
        <v/>
      </c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5"/>
      <c r="W340" s="31" t="e">
        <f>INDEX(TBL_STORAGE_CONNECTIONS[StorageConnectionID],$A340)</f>
        <v>#REF!</v>
      </c>
      <c r="X340" s="31" t="e">
        <f>"StorageTariffFixed_"&amp;RIGHT($W340,11)</f>
        <v>#REF!</v>
      </c>
    </row>
    <row r="341" spans="1:24" x14ac:dyDescent="0.25">
      <c r="A341" s="94">
        <f t="shared" si="438"/>
        <v>84</v>
      </c>
      <c r="B341" s="119"/>
      <c r="C341" s="93" t="str">
        <f t="shared" ref="C341:D341" si="456">IF($B338&lt;&gt;"",C337,"")</f>
        <v/>
      </c>
      <c r="D341" s="93" t="str">
        <f t="shared" si="456"/>
        <v/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6"/>
      <c r="W341" s="31" t="e">
        <f>INDEX(TBL_STORAGE_CONNECTIONS[StorageConnectionID],$A341)</f>
        <v>#REF!</v>
      </c>
      <c r="X341" s="31" t="e">
        <f>"StorageTariffVar_"&amp;RIGHT($W341,11)</f>
        <v>#REF!</v>
      </c>
    </row>
    <row r="342" spans="1:24" x14ac:dyDescent="0.25">
      <c r="A342" s="94">
        <f t="shared" ref="A342" si="457">$A338+1</f>
        <v>85</v>
      </c>
      <c r="B342" s="117" t="str">
        <f>IFERROR(INDEX(TBL_STORAGE_CONNECTIONS[Name],$A342),"")</f>
        <v/>
      </c>
      <c r="C342" s="93" t="str">
        <f t="shared" ref="C342:D342" si="458">IF($B342&lt;&gt;"",C338,"")</f>
        <v/>
      </c>
      <c r="D342" s="93" t="str">
        <f t="shared" si="458"/>
        <v/>
      </c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5"/>
      <c r="W342" s="31" t="e">
        <f>INDEX(TBL_STORAGE_CONNECTIONS[StorageConnectionID],$A342)</f>
        <v>#REF!</v>
      </c>
      <c r="X342" s="31" t="e">
        <f>"StorageCapMin_"&amp;RIGHT($W342,11)</f>
        <v>#REF!</v>
      </c>
    </row>
    <row r="343" spans="1:24" x14ac:dyDescent="0.25">
      <c r="A343" s="94">
        <f t="shared" si="438"/>
        <v>85</v>
      </c>
      <c r="B343" s="118"/>
      <c r="C343" s="93" t="str">
        <f t="shared" ref="C343:D343" si="459">IF($B342&lt;&gt;"",C339,"")</f>
        <v/>
      </c>
      <c r="D343" s="93" t="str">
        <f t="shared" si="459"/>
        <v/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6"/>
      <c r="W343" s="31" t="e">
        <f>INDEX(TBL_STORAGE_CONNECTIONS[StorageConnectionID],$A343)</f>
        <v>#REF!</v>
      </c>
      <c r="X343" s="31" t="e">
        <f>"StorageCapMax_"&amp;RIGHT($W343,11)</f>
        <v>#REF!</v>
      </c>
    </row>
    <row r="344" spans="1:24" x14ac:dyDescent="0.25">
      <c r="A344" s="94">
        <f t="shared" si="438"/>
        <v>85</v>
      </c>
      <c r="B344" s="118"/>
      <c r="C344" s="93" t="str">
        <f t="shared" ref="C344:D344" si="460">IF($B342&lt;&gt;"",C340,"")</f>
        <v/>
      </c>
      <c r="D344" s="93" t="str">
        <f t="shared" si="460"/>
        <v/>
      </c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5"/>
      <c r="W344" s="31" t="e">
        <f>INDEX(TBL_STORAGE_CONNECTIONS[StorageConnectionID],$A344)</f>
        <v>#REF!</v>
      </c>
      <c r="X344" s="31" t="e">
        <f>"StorageTariffFixed_"&amp;RIGHT($W344,11)</f>
        <v>#REF!</v>
      </c>
    </row>
    <row r="345" spans="1:24" x14ac:dyDescent="0.25">
      <c r="A345" s="94">
        <f t="shared" si="438"/>
        <v>85</v>
      </c>
      <c r="B345" s="119"/>
      <c r="C345" s="93" t="str">
        <f t="shared" ref="C345:D345" si="461">IF($B342&lt;&gt;"",C341,"")</f>
        <v/>
      </c>
      <c r="D345" s="93" t="str">
        <f t="shared" si="461"/>
        <v/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6"/>
      <c r="W345" s="31" t="e">
        <f>INDEX(TBL_STORAGE_CONNECTIONS[StorageConnectionID],$A345)</f>
        <v>#REF!</v>
      </c>
      <c r="X345" s="31" t="e">
        <f>"StorageTariffVar_"&amp;RIGHT($W345,11)</f>
        <v>#REF!</v>
      </c>
    </row>
    <row r="346" spans="1:24" x14ac:dyDescent="0.25">
      <c r="A346" s="94">
        <f t="shared" ref="A346" si="462">$A342+1</f>
        <v>86</v>
      </c>
      <c r="B346" s="117" t="str">
        <f>IFERROR(INDEX(TBL_STORAGE_CONNECTIONS[Name],$A346),"")</f>
        <v/>
      </c>
      <c r="C346" s="93" t="str">
        <f t="shared" ref="C346:D346" si="463">IF($B346&lt;&gt;"",C342,"")</f>
        <v/>
      </c>
      <c r="D346" s="93" t="str">
        <f t="shared" si="463"/>
        <v/>
      </c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5"/>
      <c r="W346" s="31" t="e">
        <f>INDEX(TBL_STORAGE_CONNECTIONS[StorageConnectionID],$A346)</f>
        <v>#REF!</v>
      </c>
      <c r="X346" s="31" t="e">
        <f>"StorageCapMin_"&amp;RIGHT($W346,11)</f>
        <v>#REF!</v>
      </c>
    </row>
    <row r="347" spans="1:24" x14ac:dyDescent="0.25">
      <c r="A347" s="94">
        <f t="shared" ref="A347:A349" si="464">$A346</f>
        <v>86</v>
      </c>
      <c r="B347" s="118"/>
      <c r="C347" s="93" t="str">
        <f t="shared" ref="C347:D347" si="465">IF($B346&lt;&gt;"",C343,"")</f>
        <v/>
      </c>
      <c r="D347" s="93" t="str">
        <f t="shared" si="465"/>
        <v/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6"/>
      <c r="W347" s="31" t="e">
        <f>INDEX(TBL_STORAGE_CONNECTIONS[StorageConnectionID],$A347)</f>
        <v>#REF!</v>
      </c>
      <c r="X347" s="31" t="e">
        <f>"StorageCapMax_"&amp;RIGHT($W347,11)</f>
        <v>#REF!</v>
      </c>
    </row>
    <row r="348" spans="1:24" x14ac:dyDescent="0.25">
      <c r="A348" s="94">
        <f t="shared" si="464"/>
        <v>86</v>
      </c>
      <c r="B348" s="118"/>
      <c r="C348" s="93" t="str">
        <f t="shared" ref="C348:D348" si="466">IF($B346&lt;&gt;"",C344,"")</f>
        <v/>
      </c>
      <c r="D348" s="93" t="str">
        <f t="shared" si="466"/>
        <v/>
      </c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5"/>
      <c r="W348" s="31" t="e">
        <f>INDEX(TBL_STORAGE_CONNECTIONS[StorageConnectionID],$A348)</f>
        <v>#REF!</v>
      </c>
      <c r="X348" s="31" t="e">
        <f>"StorageTariffFixed_"&amp;RIGHT($W348,11)</f>
        <v>#REF!</v>
      </c>
    </row>
    <row r="349" spans="1:24" x14ac:dyDescent="0.25">
      <c r="A349" s="94">
        <f t="shared" si="464"/>
        <v>86</v>
      </c>
      <c r="B349" s="119"/>
      <c r="C349" s="93" t="str">
        <f t="shared" ref="C349:D349" si="467">IF($B346&lt;&gt;"",C345,"")</f>
        <v/>
      </c>
      <c r="D349" s="93" t="str">
        <f t="shared" si="467"/>
        <v/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6"/>
      <c r="W349" s="31" t="e">
        <f>INDEX(TBL_STORAGE_CONNECTIONS[StorageConnectionID],$A349)</f>
        <v>#REF!</v>
      </c>
      <c r="X349" s="31" t="e">
        <f>"StorageTariffVar_"&amp;RIGHT($W349,11)</f>
        <v>#REF!</v>
      </c>
    </row>
    <row r="350" spans="1:24" x14ac:dyDescent="0.25">
      <c r="A350" s="94">
        <f t="shared" ref="A350" si="468">$A346+1</f>
        <v>87</v>
      </c>
      <c r="B350" s="117" t="str">
        <f>IFERROR(INDEX(TBL_STORAGE_CONNECTIONS[Name],$A350),"")</f>
        <v/>
      </c>
      <c r="C350" s="93" t="str">
        <f t="shared" ref="C350:D350" si="469">IF($B350&lt;&gt;"",C346,"")</f>
        <v/>
      </c>
      <c r="D350" s="93" t="str">
        <f t="shared" si="469"/>
        <v/>
      </c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5"/>
      <c r="W350" s="31" t="e">
        <f>INDEX(TBL_STORAGE_CONNECTIONS[StorageConnectionID],$A350)</f>
        <v>#REF!</v>
      </c>
      <c r="X350" s="31" t="e">
        <f>"StorageCapMin_"&amp;RIGHT($W350,11)</f>
        <v>#REF!</v>
      </c>
    </row>
    <row r="351" spans="1:24" x14ac:dyDescent="0.25">
      <c r="A351" s="94">
        <f t="shared" ref="A351:A353" si="470">$A350</f>
        <v>87</v>
      </c>
      <c r="B351" s="118"/>
      <c r="C351" s="93" t="str">
        <f t="shared" ref="C351:D351" si="471">IF($B350&lt;&gt;"",C347,"")</f>
        <v/>
      </c>
      <c r="D351" s="93" t="str">
        <f t="shared" si="471"/>
        <v/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6"/>
      <c r="W351" s="31" t="e">
        <f>INDEX(TBL_STORAGE_CONNECTIONS[StorageConnectionID],$A351)</f>
        <v>#REF!</v>
      </c>
      <c r="X351" s="31" t="e">
        <f>"StorageCapMax_"&amp;RIGHT($W351,11)</f>
        <v>#REF!</v>
      </c>
    </row>
    <row r="352" spans="1:24" x14ac:dyDescent="0.25">
      <c r="A352" s="94">
        <f t="shared" si="470"/>
        <v>87</v>
      </c>
      <c r="B352" s="118"/>
      <c r="C352" s="93" t="str">
        <f t="shared" ref="C352:D352" si="472">IF($B350&lt;&gt;"",C348,"")</f>
        <v/>
      </c>
      <c r="D352" s="93" t="str">
        <f t="shared" si="472"/>
        <v/>
      </c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5"/>
      <c r="W352" s="31" t="e">
        <f>INDEX(TBL_STORAGE_CONNECTIONS[StorageConnectionID],$A352)</f>
        <v>#REF!</v>
      </c>
      <c r="X352" s="31" t="e">
        <f>"StorageTariffFixed_"&amp;RIGHT($W352,11)</f>
        <v>#REF!</v>
      </c>
    </row>
    <row r="353" spans="1:24" x14ac:dyDescent="0.25">
      <c r="A353" s="94">
        <f t="shared" si="470"/>
        <v>87</v>
      </c>
      <c r="B353" s="119"/>
      <c r="C353" s="93" t="str">
        <f t="shared" ref="C353:D353" si="473">IF($B350&lt;&gt;"",C349,"")</f>
        <v/>
      </c>
      <c r="D353" s="93" t="str">
        <f t="shared" si="473"/>
        <v/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6"/>
      <c r="W353" s="31" t="e">
        <f>INDEX(TBL_STORAGE_CONNECTIONS[StorageConnectionID],$A353)</f>
        <v>#REF!</v>
      </c>
      <c r="X353" s="31" t="e">
        <f>"StorageTariffVar_"&amp;RIGHT($W353,11)</f>
        <v>#REF!</v>
      </c>
    </row>
    <row r="354" spans="1:24" x14ac:dyDescent="0.25">
      <c r="A354" s="94">
        <f t="shared" ref="A354" si="474">$A350+1</f>
        <v>88</v>
      </c>
      <c r="B354" s="117" t="str">
        <f>IFERROR(INDEX(TBL_STORAGE_CONNECTIONS[Name],$A354),"")</f>
        <v/>
      </c>
      <c r="C354" s="93" t="str">
        <f t="shared" ref="C354:D354" si="475">IF($B354&lt;&gt;"",C350,"")</f>
        <v/>
      </c>
      <c r="D354" s="93" t="str">
        <f t="shared" si="475"/>
        <v/>
      </c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5"/>
      <c r="W354" s="31" t="e">
        <f>INDEX(TBL_STORAGE_CONNECTIONS[StorageConnectionID],$A354)</f>
        <v>#REF!</v>
      </c>
      <c r="X354" s="31" t="e">
        <f>"StorageCapMin_"&amp;RIGHT($W354,11)</f>
        <v>#REF!</v>
      </c>
    </row>
    <row r="355" spans="1:24" x14ac:dyDescent="0.25">
      <c r="A355" s="94">
        <f t="shared" ref="A355:A357" si="476">$A354</f>
        <v>88</v>
      </c>
      <c r="B355" s="118"/>
      <c r="C355" s="93" t="str">
        <f t="shared" ref="C355:D355" si="477">IF($B354&lt;&gt;"",C351,"")</f>
        <v/>
      </c>
      <c r="D355" s="93" t="str">
        <f t="shared" si="477"/>
        <v/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6"/>
      <c r="W355" s="31" t="e">
        <f>INDEX(TBL_STORAGE_CONNECTIONS[StorageConnectionID],$A355)</f>
        <v>#REF!</v>
      </c>
      <c r="X355" s="31" t="e">
        <f>"StorageCapMax_"&amp;RIGHT($W355,11)</f>
        <v>#REF!</v>
      </c>
    </row>
    <row r="356" spans="1:24" x14ac:dyDescent="0.25">
      <c r="A356" s="94">
        <f t="shared" si="476"/>
        <v>88</v>
      </c>
      <c r="B356" s="118"/>
      <c r="C356" s="93" t="str">
        <f t="shared" ref="C356:D356" si="478">IF($B354&lt;&gt;"",C352,"")</f>
        <v/>
      </c>
      <c r="D356" s="93" t="str">
        <f t="shared" si="478"/>
        <v/>
      </c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5"/>
      <c r="W356" s="31" t="e">
        <f>INDEX(TBL_STORAGE_CONNECTIONS[StorageConnectionID],$A356)</f>
        <v>#REF!</v>
      </c>
      <c r="X356" s="31" t="e">
        <f>"StorageTariffFixed_"&amp;RIGHT($W356,11)</f>
        <v>#REF!</v>
      </c>
    </row>
    <row r="357" spans="1:24" x14ac:dyDescent="0.25">
      <c r="A357" s="94">
        <f t="shared" si="476"/>
        <v>88</v>
      </c>
      <c r="B357" s="119"/>
      <c r="C357" s="93" t="str">
        <f t="shared" ref="C357:D357" si="479">IF($B354&lt;&gt;"",C353,"")</f>
        <v/>
      </c>
      <c r="D357" s="93" t="str">
        <f t="shared" si="479"/>
        <v/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6"/>
      <c r="W357" s="31" t="e">
        <f>INDEX(TBL_STORAGE_CONNECTIONS[StorageConnectionID],$A357)</f>
        <v>#REF!</v>
      </c>
      <c r="X357" s="31" t="e">
        <f>"StorageTariffVar_"&amp;RIGHT($W357,11)</f>
        <v>#REF!</v>
      </c>
    </row>
    <row r="358" spans="1:24" x14ac:dyDescent="0.25">
      <c r="A358" s="94">
        <f t="shared" ref="A358" si="480">$A354+1</f>
        <v>89</v>
      </c>
      <c r="B358" s="117" t="str">
        <f>IFERROR(INDEX(TBL_STORAGE_CONNECTIONS[Name],$A358),"")</f>
        <v/>
      </c>
      <c r="C358" s="93" t="str">
        <f t="shared" ref="C358:D358" si="481">IF($B358&lt;&gt;"",C354,"")</f>
        <v/>
      </c>
      <c r="D358" s="93" t="str">
        <f t="shared" si="481"/>
        <v/>
      </c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5"/>
      <c r="W358" s="31" t="e">
        <f>INDEX(TBL_STORAGE_CONNECTIONS[StorageConnectionID],$A358)</f>
        <v>#REF!</v>
      </c>
      <c r="X358" s="31" t="e">
        <f>"StorageCapMin_"&amp;RIGHT($W358,11)</f>
        <v>#REF!</v>
      </c>
    </row>
    <row r="359" spans="1:24" x14ac:dyDescent="0.25">
      <c r="A359" s="94">
        <f t="shared" ref="A359:A361" si="482">$A358</f>
        <v>89</v>
      </c>
      <c r="B359" s="118"/>
      <c r="C359" s="93" t="str">
        <f t="shared" ref="C359:D359" si="483">IF($B358&lt;&gt;"",C355,"")</f>
        <v/>
      </c>
      <c r="D359" s="93" t="str">
        <f t="shared" si="483"/>
        <v/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6"/>
      <c r="W359" s="31" t="e">
        <f>INDEX(TBL_STORAGE_CONNECTIONS[StorageConnectionID],$A359)</f>
        <v>#REF!</v>
      </c>
      <c r="X359" s="31" t="e">
        <f>"StorageCapMax_"&amp;RIGHT($W359,11)</f>
        <v>#REF!</v>
      </c>
    </row>
    <row r="360" spans="1:24" x14ac:dyDescent="0.25">
      <c r="A360" s="94">
        <f t="shared" si="482"/>
        <v>89</v>
      </c>
      <c r="B360" s="118"/>
      <c r="C360" s="93" t="str">
        <f t="shared" ref="C360:D360" si="484">IF($B358&lt;&gt;"",C356,"")</f>
        <v/>
      </c>
      <c r="D360" s="93" t="str">
        <f t="shared" si="484"/>
        <v/>
      </c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5"/>
      <c r="W360" s="31" t="e">
        <f>INDEX(TBL_STORAGE_CONNECTIONS[StorageConnectionID],$A360)</f>
        <v>#REF!</v>
      </c>
      <c r="X360" s="31" t="e">
        <f>"StorageTariffFixed_"&amp;RIGHT($W360,11)</f>
        <v>#REF!</v>
      </c>
    </row>
    <row r="361" spans="1:24" x14ac:dyDescent="0.25">
      <c r="A361" s="94">
        <f t="shared" si="482"/>
        <v>89</v>
      </c>
      <c r="B361" s="119"/>
      <c r="C361" s="93" t="str">
        <f t="shared" ref="C361:D361" si="485">IF($B358&lt;&gt;"",C357,"")</f>
        <v/>
      </c>
      <c r="D361" s="93" t="str">
        <f t="shared" si="485"/>
        <v/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6"/>
      <c r="W361" s="31" t="e">
        <f>INDEX(TBL_STORAGE_CONNECTIONS[StorageConnectionID],$A361)</f>
        <v>#REF!</v>
      </c>
      <c r="X361" s="31" t="e">
        <f>"StorageTariffVar_"&amp;RIGHT($W361,11)</f>
        <v>#REF!</v>
      </c>
    </row>
    <row r="362" spans="1:24" x14ac:dyDescent="0.25">
      <c r="A362" s="94">
        <f t="shared" ref="A362" si="486">$A358+1</f>
        <v>90</v>
      </c>
      <c r="B362" s="117" t="str">
        <f>IFERROR(INDEX(TBL_STORAGE_CONNECTIONS[Name],$A362),"")</f>
        <v/>
      </c>
      <c r="C362" s="93" t="str">
        <f t="shared" ref="C362:D362" si="487">IF($B362&lt;&gt;"",C358,"")</f>
        <v/>
      </c>
      <c r="D362" s="93" t="str">
        <f t="shared" si="487"/>
        <v/>
      </c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5"/>
      <c r="W362" s="31" t="e">
        <f>INDEX(TBL_STORAGE_CONNECTIONS[StorageConnectionID],$A362)</f>
        <v>#REF!</v>
      </c>
      <c r="X362" s="31" t="e">
        <f>"StorageCapMin_"&amp;RIGHT($W362,11)</f>
        <v>#REF!</v>
      </c>
    </row>
    <row r="363" spans="1:24" x14ac:dyDescent="0.25">
      <c r="A363" s="94">
        <f t="shared" ref="A363:A381" si="488">$A362</f>
        <v>90</v>
      </c>
      <c r="B363" s="118"/>
      <c r="C363" s="93" t="str">
        <f t="shared" ref="C363:D363" si="489">IF($B362&lt;&gt;"",C359,"")</f>
        <v/>
      </c>
      <c r="D363" s="93" t="str">
        <f t="shared" si="489"/>
        <v/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6"/>
      <c r="W363" s="31" t="e">
        <f>INDEX(TBL_STORAGE_CONNECTIONS[StorageConnectionID],$A363)</f>
        <v>#REF!</v>
      </c>
      <c r="X363" s="31" t="e">
        <f>"StorageCapMax_"&amp;RIGHT($W363,11)</f>
        <v>#REF!</v>
      </c>
    </row>
    <row r="364" spans="1:24" x14ac:dyDescent="0.25">
      <c r="A364" s="94">
        <f t="shared" si="488"/>
        <v>90</v>
      </c>
      <c r="B364" s="118"/>
      <c r="C364" s="93" t="str">
        <f t="shared" ref="C364:D364" si="490">IF($B362&lt;&gt;"",C360,"")</f>
        <v/>
      </c>
      <c r="D364" s="93" t="str">
        <f t="shared" si="490"/>
        <v/>
      </c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5"/>
      <c r="W364" s="31" t="e">
        <f>INDEX(TBL_STORAGE_CONNECTIONS[StorageConnectionID],$A364)</f>
        <v>#REF!</v>
      </c>
      <c r="X364" s="31" t="e">
        <f>"StorageTariffFixed_"&amp;RIGHT($W364,11)</f>
        <v>#REF!</v>
      </c>
    </row>
    <row r="365" spans="1:24" x14ac:dyDescent="0.25">
      <c r="A365" s="94">
        <f t="shared" si="488"/>
        <v>90</v>
      </c>
      <c r="B365" s="119"/>
      <c r="C365" s="93" t="str">
        <f t="shared" ref="C365:D365" si="491">IF($B362&lt;&gt;"",C361,"")</f>
        <v/>
      </c>
      <c r="D365" s="93" t="str">
        <f t="shared" si="491"/>
        <v/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6"/>
      <c r="W365" s="31" t="e">
        <f>INDEX(TBL_STORAGE_CONNECTIONS[StorageConnectionID],$A365)</f>
        <v>#REF!</v>
      </c>
      <c r="X365" s="31" t="e">
        <f>"StorageTariffVar_"&amp;RIGHT($W365,11)</f>
        <v>#REF!</v>
      </c>
    </row>
    <row r="366" spans="1:24" x14ac:dyDescent="0.25">
      <c r="A366" s="94">
        <f t="shared" ref="A366" si="492">$A362+1</f>
        <v>91</v>
      </c>
      <c r="B366" s="117" t="str">
        <f>IFERROR(INDEX(TBL_STORAGE_CONNECTIONS[Name],$A366),"")</f>
        <v/>
      </c>
      <c r="C366" s="93" t="str">
        <f t="shared" ref="C366:D366" si="493">IF($B366&lt;&gt;"",C362,"")</f>
        <v/>
      </c>
      <c r="D366" s="93" t="str">
        <f t="shared" si="493"/>
        <v/>
      </c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5"/>
      <c r="W366" s="31" t="e">
        <f>INDEX(TBL_STORAGE_CONNECTIONS[StorageConnectionID],$A366)</f>
        <v>#REF!</v>
      </c>
      <c r="X366" s="31" t="e">
        <f>"StorageCapMin_"&amp;RIGHT($W366,11)</f>
        <v>#REF!</v>
      </c>
    </row>
    <row r="367" spans="1:24" x14ac:dyDescent="0.25">
      <c r="A367" s="94">
        <f t="shared" si="488"/>
        <v>91</v>
      </c>
      <c r="B367" s="118"/>
      <c r="C367" s="93" t="str">
        <f t="shared" ref="C367:D367" si="494">IF($B366&lt;&gt;"",C363,"")</f>
        <v/>
      </c>
      <c r="D367" s="93" t="str">
        <f t="shared" si="494"/>
        <v/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6"/>
      <c r="W367" s="31" t="e">
        <f>INDEX(TBL_STORAGE_CONNECTIONS[StorageConnectionID],$A367)</f>
        <v>#REF!</v>
      </c>
      <c r="X367" s="31" t="e">
        <f>"StorageCapMax_"&amp;RIGHT($W367,11)</f>
        <v>#REF!</v>
      </c>
    </row>
    <row r="368" spans="1:24" x14ac:dyDescent="0.25">
      <c r="A368" s="94">
        <f t="shared" si="488"/>
        <v>91</v>
      </c>
      <c r="B368" s="118"/>
      <c r="C368" s="93" t="str">
        <f t="shared" ref="C368:D368" si="495">IF($B366&lt;&gt;"",C364,"")</f>
        <v/>
      </c>
      <c r="D368" s="93" t="str">
        <f t="shared" si="495"/>
        <v/>
      </c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5"/>
      <c r="W368" s="31" t="e">
        <f>INDEX(TBL_STORAGE_CONNECTIONS[StorageConnectionID],$A368)</f>
        <v>#REF!</v>
      </c>
      <c r="X368" s="31" t="e">
        <f>"StorageTariffFixed_"&amp;RIGHT($W368,11)</f>
        <v>#REF!</v>
      </c>
    </row>
    <row r="369" spans="1:24" x14ac:dyDescent="0.25">
      <c r="A369" s="94">
        <f t="shared" si="488"/>
        <v>91</v>
      </c>
      <c r="B369" s="119"/>
      <c r="C369" s="93" t="str">
        <f t="shared" ref="C369:D369" si="496">IF($B366&lt;&gt;"",C365,"")</f>
        <v/>
      </c>
      <c r="D369" s="93" t="str">
        <f t="shared" si="496"/>
        <v/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6"/>
      <c r="W369" s="31" t="e">
        <f>INDEX(TBL_STORAGE_CONNECTIONS[StorageConnectionID],$A369)</f>
        <v>#REF!</v>
      </c>
      <c r="X369" s="31" t="e">
        <f>"StorageTariffVar_"&amp;RIGHT($W369,11)</f>
        <v>#REF!</v>
      </c>
    </row>
    <row r="370" spans="1:24" x14ac:dyDescent="0.25">
      <c r="A370" s="94">
        <f t="shared" ref="A370" si="497">$A366+1</f>
        <v>92</v>
      </c>
      <c r="B370" s="117" t="str">
        <f>IFERROR(INDEX(TBL_STORAGE_CONNECTIONS[Name],$A370),"")</f>
        <v/>
      </c>
      <c r="C370" s="93" t="str">
        <f t="shared" ref="C370:D370" si="498">IF($B370&lt;&gt;"",C366,"")</f>
        <v/>
      </c>
      <c r="D370" s="93" t="str">
        <f t="shared" si="498"/>
        <v/>
      </c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5"/>
      <c r="W370" s="31" t="e">
        <f>INDEX(TBL_STORAGE_CONNECTIONS[StorageConnectionID],$A370)</f>
        <v>#REF!</v>
      </c>
      <c r="X370" s="31" t="e">
        <f>"StorageCapMin_"&amp;RIGHT($W370,11)</f>
        <v>#REF!</v>
      </c>
    </row>
    <row r="371" spans="1:24" x14ac:dyDescent="0.25">
      <c r="A371" s="94">
        <f t="shared" si="488"/>
        <v>92</v>
      </c>
      <c r="B371" s="118"/>
      <c r="C371" s="93" t="str">
        <f t="shared" ref="C371:D371" si="499">IF($B370&lt;&gt;"",C367,"")</f>
        <v/>
      </c>
      <c r="D371" s="93" t="str">
        <f t="shared" si="499"/>
        <v/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6"/>
      <c r="W371" s="31" t="e">
        <f>INDEX(TBL_STORAGE_CONNECTIONS[StorageConnectionID],$A371)</f>
        <v>#REF!</v>
      </c>
      <c r="X371" s="31" t="e">
        <f>"StorageCapMax_"&amp;RIGHT($W371,11)</f>
        <v>#REF!</v>
      </c>
    </row>
    <row r="372" spans="1:24" x14ac:dyDescent="0.25">
      <c r="A372" s="94">
        <f t="shared" si="488"/>
        <v>92</v>
      </c>
      <c r="B372" s="118"/>
      <c r="C372" s="93" t="str">
        <f t="shared" ref="C372:D372" si="500">IF($B370&lt;&gt;"",C368,"")</f>
        <v/>
      </c>
      <c r="D372" s="93" t="str">
        <f t="shared" si="500"/>
        <v/>
      </c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5"/>
      <c r="W372" s="31" t="e">
        <f>INDEX(TBL_STORAGE_CONNECTIONS[StorageConnectionID],$A372)</f>
        <v>#REF!</v>
      </c>
      <c r="X372" s="31" t="e">
        <f>"StorageTariffFixed_"&amp;RIGHT($W372,11)</f>
        <v>#REF!</v>
      </c>
    </row>
    <row r="373" spans="1:24" x14ac:dyDescent="0.25">
      <c r="A373" s="94">
        <f t="shared" si="488"/>
        <v>92</v>
      </c>
      <c r="B373" s="119"/>
      <c r="C373" s="93" t="str">
        <f t="shared" ref="C373:D373" si="501">IF($B370&lt;&gt;"",C369,"")</f>
        <v/>
      </c>
      <c r="D373" s="93" t="str">
        <f t="shared" si="501"/>
        <v/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6"/>
      <c r="W373" s="31" t="e">
        <f>INDEX(TBL_STORAGE_CONNECTIONS[StorageConnectionID],$A373)</f>
        <v>#REF!</v>
      </c>
      <c r="X373" s="31" t="e">
        <f>"StorageTariffVar_"&amp;RIGHT($W373,11)</f>
        <v>#REF!</v>
      </c>
    </row>
    <row r="374" spans="1:24" x14ac:dyDescent="0.25">
      <c r="A374" s="94">
        <f t="shared" ref="A374" si="502">$A370+1</f>
        <v>93</v>
      </c>
      <c r="B374" s="117" t="str">
        <f>IFERROR(INDEX(TBL_STORAGE_CONNECTIONS[Name],$A374),"")</f>
        <v/>
      </c>
      <c r="C374" s="93" t="str">
        <f t="shared" ref="C374:D374" si="503">IF($B374&lt;&gt;"",C370,"")</f>
        <v/>
      </c>
      <c r="D374" s="93" t="str">
        <f t="shared" si="503"/>
        <v/>
      </c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5"/>
      <c r="W374" s="31" t="e">
        <f>INDEX(TBL_STORAGE_CONNECTIONS[StorageConnectionID],$A374)</f>
        <v>#REF!</v>
      </c>
      <c r="X374" s="31" t="e">
        <f>"StorageCapMin_"&amp;RIGHT($W374,11)</f>
        <v>#REF!</v>
      </c>
    </row>
    <row r="375" spans="1:24" x14ac:dyDescent="0.25">
      <c r="A375" s="94">
        <f t="shared" si="488"/>
        <v>93</v>
      </c>
      <c r="B375" s="118"/>
      <c r="C375" s="93" t="str">
        <f t="shared" ref="C375:D375" si="504">IF($B374&lt;&gt;"",C371,"")</f>
        <v/>
      </c>
      <c r="D375" s="93" t="str">
        <f t="shared" si="504"/>
        <v/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6"/>
      <c r="W375" s="31" t="e">
        <f>INDEX(TBL_STORAGE_CONNECTIONS[StorageConnectionID],$A375)</f>
        <v>#REF!</v>
      </c>
      <c r="X375" s="31" t="e">
        <f>"StorageCapMax_"&amp;RIGHT($W375,11)</f>
        <v>#REF!</v>
      </c>
    </row>
    <row r="376" spans="1:24" x14ac:dyDescent="0.25">
      <c r="A376" s="94">
        <f t="shared" si="488"/>
        <v>93</v>
      </c>
      <c r="B376" s="118"/>
      <c r="C376" s="93" t="str">
        <f t="shared" ref="C376:D376" si="505">IF($B374&lt;&gt;"",C372,"")</f>
        <v/>
      </c>
      <c r="D376" s="93" t="str">
        <f t="shared" si="505"/>
        <v/>
      </c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5"/>
      <c r="W376" s="31" t="e">
        <f>INDEX(TBL_STORAGE_CONNECTIONS[StorageConnectionID],$A376)</f>
        <v>#REF!</v>
      </c>
      <c r="X376" s="31" t="e">
        <f>"StorageTariffFixed_"&amp;RIGHT($W376,11)</f>
        <v>#REF!</v>
      </c>
    </row>
    <row r="377" spans="1:24" x14ac:dyDescent="0.25">
      <c r="A377" s="94">
        <f t="shared" si="488"/>
        <v>93</v>
      </c>
      <c r="B377" s="119"/>
      <c r="C377" s="93" t="str">
        <f t="shared" ref="C377:D377" si="506">IF($B374&lt;&gt;"",C373,"")</f>
        <v/>
      </c>
      <c r="D377" s="93" t="str">
        <f t="shared" si="506"/>
        <v/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6"/>
      <c r="W377" s="31" t="e">
        <f>INDEX(TBL_STORAGE_CONNECTIONS[StorageConnectionID],$A377)</f>
        <v>#REF!</v>
      </c>
      <c r="X377" s="31" t="e">
        <f>"StorageTariffVar_"&amp;RIGHT($W377,11)</f>
        <v>#REF!</v>
      </c>
    </row>
    <row r="378" spans="1:24" x14ac:dyDescent="0.25">
      <c r="A378" s="94">
        <f t="shared" ref="A378" si="507">$A374+1</f>
        <v>94</v>
      </c>
      <c r="B378" s="117" t="str">
        <f>IFERROR(INDEX(TBL_STORAGE_CONNECTIONS[Name],$A378),"")</f>
        <v/>
      </c>
      <c r="C378" s="93" t="str">
        <f t="shared" ref="C378:D378" si="508">IF($B378&lt;&gt;"",C374,"")</f>
        <v/>
      </c>
      <c r="D378" s="93" t="str">
        <f t="shared" si="508"/>
        <v/>
      </c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5"/>
      <c r="W378" s="31" t="e">
        <f>INDEX(TBL_STORAGE_CONNECTIONS[StorageConnectionID],$A378)</f>
        <v>#REF!</v>
      </c>
      <c r="X378" s="31" t="e">
        <f>"StorageCapMin_"&amp;RIGHT($W378,11)</f>
        <v>#REF!</v>
      </c>
    </row>
    <row r="379" spans="1:24" x14ac:dyDescent="0.25">
      <c r="A379" s="94">
        <f t="shared" si="488"/>
        <v>94</v>
      </c>
      <c r="B379" s="118"/>
      <c r="C379" s="93" t="str">
        <f t="shared" ref="C379:D379" si="509">IF($B378&lt;&gt;"",C375,"")</f>
        <v/>
      </c>
      <c r="D379" s="93" t="str">
        <f t="shared" si="509"/>
        <v/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6"/>
      <c r="W379" s="31" t="e">
        <f>INDEX(TBL_STORAGE_CONNECTIONS[StorageConnectionID],$A379)</f>
        <v>#REF!</v>
      </c>
      <c r="X379" s="31" t="e">
        <f>"StorageCapMax_"&amp;RIGHT($W379,11)</f>
        <v>#REF!</v>
      </c>
    </row>
    <row r="380" spans="1:24" x14ac:dyDescent="0.25">
      <c r="A380" s="94">
        <f t="shared" si="488"/>
        <v>94</v>
      </c>
      <c r="B380" s="118"/>
      <c r="C380" s="93" t="str">
        <f t="shared" ref="C380:D380" si="510">IF($B378&lt;&gt;"",C376,"")</f>
        <v/>
      </c>
      <c r="D380" s="93" t="str">
        <f t="shared" si="510"/>
        <v/>
      </c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5"/>
      <c r="W380" s="31" t="e">
        <f>INDEX(TBL_STORAGE_CONNECTIONS[StorageConnectionID],$A380)</f>
        <v>#REF!</v>
      </c>
      <c r="X380" s="31" t="e">
        <f>"StorageTariffFixed_"&amp;RIGHT($W380,11)</f>
        <v>#REF!</v>
      </c>
    </row>
    <row r="381" spans="1:24" x14ac:dyDescent="0.25">
      <c r="A381" s="94">
        <f t="shared" si="488"/>
        <v>94</v>
      </c>
      <c r="B381" s="119"/>
      <c r="C381" s="93" t="str">
        <f t="shared" ref="C381:D381" si="511">IF($B378&lt;&gt;"",C377,"")</f>
        <v/>
      </c>
      <c r="D381" s="93" t="str">
        <f t="shared" si="511"/>
        <v/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6"/>
      <c r="W381" s="31" t="e">
        <f>INDEX(TBL_STORAGE_CONNECTIONS[StorageConnectionID],$A381)</f>
        <v>#REF!</v>
      </c>
      <c r="X381" s="31" t="e">
        <f>"StorageTariffVar_"&amp;RIGHT($W381,11)</f>
        <v>#REF!</v>
      </c>
    </row>
    <row r="382" spans="1:24" x14ac:dyDescent="0.25">
      <c r="A382" s="94">
        <f t="shared" ref="A382" si="512">$A378+1</f>
        <v>95</v>
      </c>
      <c r="B382" s="117" t="str">
        <f>IFERROR(INDEX(TBL_STORAGE_CONNECTIONS[Name],$A382),"")</f>
        <v/>
      </c>
      <c r="C382" s="93" t="str">
        <f t="shared" ref="C382:D382" si="513">IF($B382&lt;&gt;"",C378,"")</f>
        <v/>
      </c>
      <c r="D382" s="93" t="str">
        <f t="shared" si="513"/>
        <v/>
      </c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5"/>
      <c r="W382" s="31" t="e">
        <f>INDEX(TBL_STORAGE_CONNECTIONS[StorageConnectionID],$A382)</f>
        <v>#REF!</v>
      </c>
      <c r="X382" s="31" t="e">
        <f>"StorageCapMin_"&amp;RIGHT($W382,11)</f>
        <v>#REF!</v>
      </c>
    </row>
    <row r="383" spans="1:24" x14ac:dyDescent="0.25">
      <c r="A383" s="94">
        <f t="shared" ref="A383:A385" si="514">$A382</f>
        <v>95</v>
      </c>
      <c r="B383" s="118"/>
      <c r="C383" s="93" t="str">
        <f t="shared" ref="C383:D383" si="515">IF($B382&lt;&gt;"",C379,"")</f>
        <v/>
      </c>
      <c r="D383" s="93" t="str">
        <f t="shared" si="515"/>
        <v/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6"/>
      <c r="W383" s="31" t="e">
        <f>INDEX(TBL_STORAGE_CONNECTIONS[StorageConnectionID],$A383)</f>
        <v>#REF!</v>
      </c>
      <c r="X383" s="31" t="e">
        <f>"StorageCapMax_"&amp;RIGHT($W383,11)</f>
        <v>#REF!</v>
      </c>
    </row>
    <row r="384" spans="1:24" x14ac:dyDescent="0.25">
      <c r="A384" s="94">
        <f t="shared" si="514"/>
        <v>95</v>
      </c>
      <c r="B384" s="118"/>
      <c r="C384" s="93" t="str">
        <f t="shared" ref="C384:D384" si="516">IF($B382&lt;&gt;"",C380,"")</f>
        <v/>
      </c>
      <c r="D384" s="93" t="str">
        <f t="shared" si="516"/>
        <v/>
      </c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5"/>
      <c r="W384" s="31" t="e">
        <f>INDEX(TBL_STORAGE_CONNECTIONS[StorageConnectionID],$A384)</f>
        <v>#REF!</v>
      </c>
      <c r="X384" s="31" t="e">
        <f>"StorageTariffFixed_"&amp;RIGHT($W384,11)</f>
        <v>#REF!</v>
      </c>
    </row>
    <row r="385" spans="1:24" x14ac:dyDescent="0.25">
      <c r="A385" s="94">
        <f t="shared" si="514"/>
        <v>95</v>
      </c>
      <c r="B385" s="119"/>
      <c r="C385" s="93" t="str">
        <f t="shared" ref="C385:D385" si="517">IF($B382&lt;&gt;"",C381,"")</f>
        <v/>
      </c>
      <c r="D385" s="93" t="str">
        <f t="shared" si="517"/>
        <v/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6"/>
      <c r="W385" s="31" t="e">
        <f>INDEX(TBL_STORAGE_CONNECTIONS[StorageConnectionID],$A385)</f>
        <v>#REF!</v>
      </c>
      <c r="X385" s="31" t="e">
        <f>"StorageTariffVar_"&amp;RIGHT($W385,11)</f>
        <v>#REF!</v>
      </c>
    </row>
    <row r="386" spans="1:24" x14ac:dyDescent="0.25">
      <c r="A386" s="94">
        <f t="shared" ref="A386" si="518">$A382+1</f>
        <v>96</v>
      </c>
      <c r="B386" s="117" t="str">
        <f>IFERROR(INDEX(TBL_STORAGE_CONNECTIONS[Name],$A386),"")</f>
        <v/>
      </c>
      <c r="C386" s="93" t="str">
        <f t="shared" ref="C386:D386" si="519">IF($B386&lt;&gt;"",C382,"")</f>
        <v/>
      </c>
      <c r="D386" s="93" t="str">
        <f t="shared" si="519"/>
        <v/>
      </c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5"/>
      <c r="W386" s="31" t="e">
        <f>INDEX(TBL_STORAGE_CONNECTIONS[StorageConnectionID],$A386)</f>
        <v>#REF!</v>
      </c>
      <c r="X386" s="31" t="e">
        <f>"StorageCapMin_"&amp;RIGHT($W386,11)</f>
        <v>#REF!</v>
      </c>
    </row>
    <row r="387" spans="1:24" x14ac:dyDescent="0.25">
      <c r="A387" s="94">
        <f t="shared" ref="A387:A389" si="520">$A386</f>
        <v>96</v>
      </c>
      <c r="B387" s="118"/>
      <c r="C387" s="93" t="str">
        <f t="shared" ref="C387:D387" si="521">IF($B386&lt;&gt;"",C383,"")</f>
        <v/>
      </c>
      <c r="D387" s="93" t="str">
        <f t="shared" si="521"/>
        <v/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6"/>
      <c r="W387" s="31" t="e">
        <f>INDEX(TBL_STORAGE_CONNECTIONS[StorageConnectionID],$A387)</f>
        <v>#REF!</v>
      </c>
      <c r="X387" s="31" t="e">
        <f>"StorageCapMax_"&amp;RIGHT($W387,11)</f>
        <v>#REF!</v>
      </c>
    </row>
    <row r="388" spans="1:24" x14ac:dyDescent="0.25">
      <c r="A388" s="94">
        <f t="shared" si="520"/>
        <v>96</v>
      </c>
      <c r="B388" s="118"/>
      <c r="C388" s="93" t="str">
        <f t="shared" ref="C388:D388" si="522">IF($B386&lt;&gt;"",C384,"")</f>
        <v/>
      </c>
      <c r="D388" s="93" t="str">
        <f t="shared" si="522"/>
        <v/>
      </c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5"/>
      <c r="W388" s="31" t="e">
        <f>INDEX(TBL_STORAGE_CONNECTIONS[StorageConnectionID],$A388)</f>
        <v>#REF!</v>
      </c>
      <c r="X388" s="31" t="e">
        <f>"StorageTariffFixed_"&amp;RIGHT($W388,11)</f>
        <v>#REF!</v>
      </c>
    </row>
    <row r="389" spans="1:24" x14ac:dyDescent="0.25">
      <c r="A389" s="94">
        <f t="shared" si="520"/>
        <v>96</v>
      </c>
      <c r="B389" s="119"/>
      <c r="C389" s="93" t="str">
        <f t="shared" ref="C389:D389" si="523">IF($B386&lt;&gt;"",C385,"")</f>
        <v/>
      </c>
      <c r="D389" s="93" t="str">
        <f t="shared" si="523"/>
        <v/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6"/>
      <c r="W389" s="31" t="e">
        <f>INDEX(TBL_STORAGE_CONNECTIONS[StorageConnectionID],$A389)</f>
        <v>#REF!</v>
      </c>
      <c r="X389" s="31" t="e">
        <f>"StorageTariffVar_"&amp;RIGHT($W389,11)</f>
        <v>#REF!</v>
      </c>
    </row>
    <row r="390" spans="1:24" x14ac:dyDescent="0.25">
      <c r="A390" s="94">
        <f t="shared" ref="A390" si="524">$A386+1</f>
        <v>97</v>
      </c>
      <c r="B390" s="117" t="str">
        <f>IFERROR(INDEX(TBL_STORAGE_CONNECTIONS[Name],$A390),"")</f>
        <v/>
      </c>
      <c r="C390" s="93" t="str">
        <f t="shared" ref="C390:D390" si="525">IF($B390&lt;&gt;"",C386,"")</f>
        <v/>
      </c>
      <c r="D390" s="93" t="str">
        <f t="shared" si="525"/>
        <v/>
      </c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5"/>
      <c r="W390" s="31" t="e">
        <f>INDEX(TBL_STORAGE_CONNECTIONS[StorageConnectionID],$A390)</f>
        <v>#REF!</v>
      </c>
      <c r="X390" s="31" t="e">
        <f>"StorageCapMin_"&amp;RIGHT($W390,11)</f>
        <v>#REF!</v>
      </c>
    </row>
    <row r="391" spans="1:24" x14ac:dyDescent="0.25">
      <c r="A391" s="94">
        <f t="shared" ref="A391:A393" si="526">$A390</f>
        <v>97</v>
      </c>
      <c r="B391" s="118"/>
      <c r="C391" s="93" t="str">
        <f t="shared" ref="C391:D391" si="527">IF($B390&lt;&gt;"",C387,"")</f>
        <v/>
      </c>
      <c r="D391" s="93" t="str">
        <f t="shared" si="527"/>
        <v/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6"/>
      <c r="W391" s="31" t="e">
        <f>INDEX(TBL_STORAGE_CONNECTIONS[StorageConnectionID],$A391)</f>
        <v>#REF!</v>
      </c>
      <c r="X391" s="31" t="e">
        <f>"StorageCapMax_"&amp;RIGHT($W391,11)</f>
        <v>#REF!</v>
      </c>
    </row>
    <row r="392" spans="1:24" x14ac:dyDescent="0.25">
      <c r="A392" s="94">
        <f t="shared" si="526"/>
        <v>97</v>
      </c>
      <c r="B392" s="118"/>
      <c r="C392" s="93" t="str">
        <f t="shared" ref="C392:D392" si="528">IF($B390&lt;&gt;"",C388,"")</f>
        <v/>
      </c>
      <c r="D392" s="93" t="str">
        <f t="shared" si="528"/>
        <v/>
      </c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5"/>
      <c r="W392" s="31" t="e">
        <f>INDEX(TBL_STORAGE_CONNECTIONS[StorageConnectionID],$A392)</f>
        <v>#REF!</v>
      </c>
      <c r="X392" s="31" t="e">
        <f>"StorageTariffFixed_"&amp;RIGHT($W392,11)</f>
        <v>#REF!</v>
      </c>
    </row>
    <row r="393" spans="1:24" x14ac:dyDescent="0.25">
      <c r="A393" s="94">
        <f t="shared" si="526"/>
        <v>97</v>
      </c>
      <c r="B393" s="119"/>
      <c r="C393" s="93" t="str">
        <f t="shared" ref="C393:D393" si="529">IF($B390&lt;&gt;"",C389,"")</f>
        <v/>
      </c>
      <c r="D393" s="93" t="str">
        <f t="shared" si="529"/>
        <v/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6"/>
      <c r="W393" s="31" t="e">
        <f>INDEX(TBL_STORAGE_CONNECTIONS[StorageConnectionID],$A393)</f>
        <v>#REF!</v>
      </c>
      <c r="X393" s="31" t="e">
        <f>"StorageTariffVar_"&amp;RIGHT($W393,11)</f>
        <v>#REF!</v>
      </c>
    </row>
    <row r="394" spans="1:24" x14ac:dyDescent="0.25">
      <c r="A394" s="94">
        <f t="shared" ref="A394" si="530">$A390+1</f>
        <v>98</v>
      </c>
      <c r="B394" s="117" t="str">
        <f>IFERROR(INDEX(TBL_STORAGE_CONNECTIONS[Name],$A394),"")</f>
        <v/>
      </c>
      <c r="C394" s="93" t="str">
        <f t="shared" ref="C394:D394" si="531">IF($B394&lt;&gt;"",C390,"")</f>
        <v/>
      </c>
      <c r="D394" s="93" t="str">
        <f t="shared" si="531"/>
        <v/>
      </c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5"/>
      <c r="W394" s="31" t="e">
        <f>INDEX(TBL_STORAGE_CONNECTIONS[StorageConnectionID],$A394)</f>
        <v>#REF!</v>
      </c>
      <c r="X394" s="31" t="e">
        <f>"StorageCapMin_"&amp;RIGHT($W394,11)</f>
        <v>#REF!</v>
      </c>
    </row>
    <row r="395" spans="1:24" x14ac:dyDescent="0.25">
      <c r="A395" s="94">
        <f t="shared" ref="A395:A397" si="532">$A394</f>
        <v>98</v>
      </c>
      <c r="B395" s="118"/>
      <c r="C395" s="93" t="str">
        <f t="shared" ref="C395:D395" si="533">IF($B394&lt;&gt;"",C391,"")</f>
        <v/>
      </c>
      <c r="D395" s="93" t="str">
        <f t="shared" si="533"/>
        <v/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6"/>
      <c r="W395" s="31" t="e">
        <f>INDEX(TBL_STORAGE_CONNECTIONS[StorageConnectionID],$A395)</f>
        <v>#REF!</v>
      </c>
      <c r="X395" s="31" t="e">
        <f>"StorageCapMax_"&amp;RIGHT($W395,11)</f>
        <v>#REF!</v>
      </c>
    </row>
    <row r="396" spans="1:24" x14ac:dyDescent="0.25">
      <c r="A396" s="94">
        <f t="shared" si="532"/>
        <v>98</v>
      </c>
      <c r="B396" s="118"/>
      <c r="C396" s="93" t="str">
        <f t="shared" ref="C396:D396" si="534">IF($B394&lt;&gt;"",C392,"")</f>
        <v/>
      </c>
      <c r="D396" s="93" t="str">
        <f t="shared" si="534"/>
        <v/>
      </c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5"/>
      <c r="W396" s="31" t="e">
        <f>INDEX(TBL_STORAGE_CONNECTIONS[StorageConnectionID],$A396)</f>
        <v>#REF!</v>
      </c>
      <c r="X396" s="31" t="e">
        <f>"StorageTariffFixed_"&amp;RIGHT($W396,11)</f>
        <v>#REF!</v>
      </c>
    </row>
    <row r="397" spans="1:24" x14ac:dyDescent="0.25">
      <c r="A397" s="94">
        <f t="shared" si="532"/>
        <v>98</v>
      </c>
      <c r="B397" s="119"/>
      <c r="C397" s="93" t="str">
        <f t="shared" ref="C397:D397" si="535">IF($B394&lt;&gt;"",C393,"")</f>
        <v/>
      </c>
      <c r="D397" s="93" t="str">
        <f t="shared" si="535"/>
        <v/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6"/>
      <c r="W397" s="31" t="e">
        <f>INDEX(TBL_STORAGE_CONNECTIONS[StorageConnectionID],$A397)</f>
        <v>#REF!</v>
      </c>
      <c r="X397" s="31" t="e">
        <f>"StorageTariffVar_"&amp;RIGHT($W397,11)</f>
        <v>#REF!</v>
      </c>
    </row>
    <row r="398" spans="1:24" x14ac:dyDescent="0.25">
      <c r="A398" s="94">
        <f t="shared" ref="A398" si="536">$A394+1</f>
        <v>99</v>
      </c>
      <c r="B398" s="117" t="str">
        <f>IFERROR(INDEX(TBL_STORAGE_CONNECTIONS[Name],$A398),"")</f>
        <v/>
      </c>
      <c r="C398" s="93" t="str">
        <f t="shared" ref="C398:D398" si="537">IF($B398&lt;&gt;"",C394,"")</f>
        <v/>
      </c>
      <c r="D398" s="93" t="str">
        <f t="shared" si="537"/>
        <v/>
      </c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5"/>
      <c r="W398" s="31" t="e">
        <f>INDEX(TBL_STORAGE_CONNECTIONS[StorageConnectionID],$A398)</f>
        <v>#REF!</v>
      </c>
      <c r="X398" s="31" t="e">
        <f>"StorageCapMin_"&amp;RIGHT($W398,11)</f>
        <v>#REF!</v>
      </c>
    </row>
    <row r="399" spans="1:24" x14ac:dyDescent="0.25">
      <c r="A399" s="94">
        <f t="shared" ref="A399:A417" si="538">$A398</f>
        <v>99</v>
      </c>
      <c r="B399" s="118"/>
      <c r="C399" s="93" t="str">
        <f t="shared" ref="C399:D399" si="539">IF($B398&lt;&gt;"",C395,"")</f>
        <v/>
      </c>
      <c r="D399" s="93" t="str">
        <f t="shared" si="539"/>
        <v/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6"/>
      <c r="W399" s="31" t="e">
        <f>INDEX(TBL_STORAGE_CONNECTIONS[StorageConnectionID],$A399)</f>
        <v>#REF!</v>
      </c>
      <c r="X399" s="31" t="e">
        <f>"StorageCapMax_"&amp;RIGHT($W399,11)</f>
        <v>#REF!</v>
      </c>
    </row>
    <row r="400" spans="1:24" x14ac:dyDescent="0.25">
      <c r="A400" s="94">
        <f t="shared" si="538"/>
        <v>99</v>
      </c>
      <c r="B400" s="118"/>
      <c r="C400" s="93" t="str">
        <f t="shared" ref="C400:D400" si="540">IF($B398&lt;&gt;"",C396,"")</f>
        <v/>
      </c>
      <c r="D400" s="93" t="str">
        <f t="shared" si="540"/>
        <v/>
      </c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5"/>
      <c r="W400" s="31" t="e">
        <f>INDEX(TBL_STORAGE_CONNECTIONS[StorageConnectionID],$A400)</f>
        <v>#REF!</v>
      </c>
      <c r="X400" s="31" t="e">
        <f>"StorageTariffFixed_"&amp;RIGHT($W400,11)</f>
        <v>#REF!</v>
      </c>
    </row>
    <row r="401" spans="1:24" x14ac:dyDescent="0.25">
      <c r="A401" s="94">
        <f t="shared" si="538"/>
        <v>99</v>
      </c>
      <c r="B401" s="119"/>
      <c r="C401" s="93" t="str">
        <f t="shared" ref="C401:D401" si="541">IF($B398&lt;&gt;"",C397,"")</f>
        <v/>
      </c>
      <c r="D401" s="93" t="str">
        <f t="shared" si="541"/>
        <v/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6"/>
      <c r="W401" s="31" t="e">
        <f>INDEX(TBL_STORAGE_CONNECTIONS[StorageConnectionID],$A401)</f>
        <v>#REF!</v>
      </c>
      <c r="X401" s="31" t="e">
        <f>"StorageTariffVar_"&amp;RIGHT($W401,11)</f>
        <v>#REF!</v>
      </c>
    </row>
    <row r="402" spans="1:24" x14ac:dyDescent="0.25">
      <c r="A402" s="94">
        <f t="shared" ref="A402" si="542">$A398+1</f>
        <v>100</v>
      </c>
      <c r="B402" s="117" t="str">
        <f>IFERROR(INDEX(TBL_STORAGE_CONNECTIONS[Name],$A402),"")</f>
        <v/>
      </c>
      <c r="C402" s="93" t="str">
        <f t="shared" ref="C402:D402" si="543">IF($B402&lt;&gt;"",C398,"")</f>
        <v/>
      </c>
      <c r="D402" s="93" t="str">
        <f t="shared" si="543"/>
        <v/>
      </c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5"/>
      <c r="W402" s="31" t="e">
        <f>INDEX(TBL_STORAGE_CONNECTIONS[StorageConnectionID],$A402)</f>
        <v>#REF!</v>
      </c>
      <c r="X402" s="31" t="e">
        <f>"StorageCapMin_"&amp;RIGHT($W402,11)</f>
        <v>#REF!</v>
      </c>
    </row>
    <row r="403" spans="1:24" x14ac:dyDescent="0.25">
      <c r="A403" s="94">
        <f t="shared" si="538"/>
        <v>100</v>
      </c>
      <c r="B403" s="118"/>
      <c r="C403" s="93" t="str">
        <f t="shared" ref="C403:D403" si="544">IF($B402&lt;&gt;"",C399,"")</f>
        <v/>
      </c>
      <c r="D403" s="93" t="str">
        <f t="shared" si="544"/>
        <v/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6"/>
      <c r="W403" s="31" t="e">
        <f>INDEX(TBL_STORAGE_CONNECTIONS[StorageConnectionID],$A403)</f>
        <v>#REF!</v>
      </c>
      <c r="X403" s="31" t="e">
        <f>"StorageCapMax_"&amp;RIGHT($W403,11)</f>
        <v>#REF!</v>
      </c>
    </row>
    <row r="404" spans="1:24" x14ac:dyDescent="0.25">
      <c r="A404" s="94">
        <f t="shared" si="538"/>
        <v>100</v>
      </c>
      <c r="B404" s="118"/>
      <c r="C404" s="93" t="str">
        <f t="shared" ref="C404:D404" si="545">IF($B402&lt;&gt;"",C400,"")</f>
        <v/>
      </c>
      <c r="D404" s="93" t="str">
        <f t="shared" si="545"/>
        <v/>
      </c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5"/>
      <c r="W404" s="31" t="e">
        <f>INDEX(TBL_STORAGE_CONNECTIONS[StorageConnectionID],$A404)</f>
        <v>#REF!</v>
      </c>
      <c r="X404" s="31" t="e">
        <f>"StorageTariffFixed_"&amp;RIGHT($W404,11)</f>
        <v>#REF!</v>
      </c>
    </row>
    <row r="405" spans="1:24" x14ac:dyDescent="0.25">
      <c r="A405" s="94">
        <f t="shared" si="538"/>
        <v>100</v>
      </c>
      <c r="B405" s="119"/>
      <c r="C405" s="93" t="str">
        <f t="shared" ref="C405:D405" si="546">IF($B402&lt;&gt;"",C401,"")</f>
        <v/>
      </c>
      <c r="D405" s="93" t="str">
        <f t="shared" si="546"/>
        <v/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6"/>
      <c r="W405" s="31" t="e">
        <f>INDEX(TBL_STORAGE_CONNECTIONS[StorageConnectionID],$A405)</f>
        <v>#REF!</v>
      </c>
      <c r="X405" s="31" t="e">
        <f>"StorageTariffVar_"&amp;RIGHT($W405,11)</f>
        <v>#REF!</v>
      </c>
    </row>
    <row r="406" spans="1:24" x14ac:dyDescent="0.25">
      <c r="A406" s="94">
        <f t="shared" ref="A406" si="547">$A402+1</f>
        <v>101</v>
      </c>
      <c r="B406" s="117" t="str">
        <f>IFERROR(INDEX(TBL_STORAGE_CONNECTIONS[Name],$A406),"")</f>
        <v/>
      </c>
      <c r="C406" s="93" t="str">
        <f t="shared" ref="C406:D406" si="548">IF($B406&lt;&gt;"",C402,"")</f>
        <v/>
      </c>
      <c r="D406" s="93" t="str">
        <f t="shared" si="548"/>
        <v/>
      </c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5"/>
      <c r="W406" s="31" t="e">
        <f>INDEX(TBL_STORAGE_CONNECTIONS[StorageConnectionID],$A406)</f>
        <v>#REF!</v>
      </c>
      <c r="X406" s="31" t="e">
        <f>"StorageCapMin_"&amp;RIGHT($W406,11)</f>
        <v>#REF!</v>
      </c>
    </row>
    <row r="407" spans="1:24" x14ac:dyDescent="0.25">
      <c r="A407" s="94">
        <f t="shared" si="538"/>
        <v>101</v>
      </c>
      <c r="B407" s="118"/>
      <c r="C407" s="93" t="str">
        <f t="shared" ref="C407:D407" si="549">IF($B406&lt;&gt;"",C403,"")</f>
        <v/>
      </c>
      <c r="D407" s="93" t="str">
        <f t="shared" si="549"/>
        <v/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6"/>
      <c r="W407" s="31" t="e">
        <f>INDEX(TBL_STORAGE_CONNECTIONS[StorageConnectionID],$A407)</f>
        <v>#REF!</v>
      </c>
      <c r="X407" s="31" t="e">
        <f>"StorageCapMax_"&amp;RIGHT($W407,11)</f>
        <v>#REF!</v>
      </c>
    </row>
    <row r="408" spans="1:24" x14ac:dyDescent="0.25">
      <c r="A408" s="94">
        <f t="shared" si="538"/>
        <v>101</v>
      </c>
      <c r="B408" s="118"/>
      <c r="C408" s="93" t="str">
        <f t="shared" ref="C408:D408" si="550">IF($B406&lt;&gt;"",C404,"")</f>
        <v/>
      </c>
      <c r="D408" s="93" t="str">
        <f t="shared" si="550"/>
        <v/>
      </c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5"/>
      <c r="W408" s="31" t="e">
        <f>INDEX(TBL_STORAGE_CONNECTIONS[StorageConnectionID],$A408)</f>
        <v>#REF!</v>
      </c>
      <c r="X408" s="31" t="e">
        <f>"StorageTariffFixed_"&amp;RIGHT($W408,11)</f>
        <v>#REF!</v>
      </c>
    </row>
    <row r="409" spans="1:24" x14ac:dyDescent="0.25">
      <c r="A409" s="94">
        <f t="shared" si="538"/>
        <v>101</v>
      </c>
      <c r="B409" s="119"/>
      <c r="C409" s="93" t="str">
        <f t="shared" ref="C409:D409" si="551">IF($B406&lt;&gt;"",C405,"")</f>
        <v/>
      </c>
      <c r="D409" s="93" t="str">
        <f t="shared" si="551"/>
        <v/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6"/>
      <c r="W409" s="31" t="e">
        <f>INDEX(TBL_STORAGE_CONNECTIONS[StorageConnectionID],$A409)</f>
        <v>#REF!</v>
      </c>
      <c r="X409" s="31" t="e">
        <f>"StorageTariffVar_"&amp;RIGHT($W409,11)</f>
        <v>#REF!</v>
      </c>
    </row>
    <row r="410" spans="1:24" x14ac:dyDescent="0.25">
      <c r="A410" s="94">
        <f t="shared" ref="A410" si="552">$A406+1</f>
        <v>102</v>
      </c>
      <c r="B410" s="117" t="str">
        <f>IFERROR(INDEX(TBL_STORAGE_CONNECTIONS[Name],$A410),"")</f>
        <v/>
      </c>
      <c r="C410" s="93" t="str">
        <f t="shared" ref="C410:D410" si="553">IF($B410&lt;&gt;"",C406,"")</f>
        <v/>
      </c>
      <c r="D410" s="93" t="str">
        <f t="shared" si="553"/>
        <v/>
      </c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5"/>
      <c r="W410" s="31" t="e">
        <f>INDEX(TBL_STORAGE_CONNECTIONS[StorageConnectionID],$A410)</f>
        <v>#REF!</v>
      </c>
      <c r="X410" s="31" t="e">
        <f>"StorageCapMin_"&amp;RIGHT($W410,11)</f>
        <v>#REF!</v>
      </c>
    </row>
    <row r="411" spans="1:24" x14ac:dyDescent="0.25">
      <c r="A411" s="94">
        <f t="shared" si="538"/>
        <v>102</v>
      </c>
      <c r="B411" s="118"/>
      <c r="C411" s="93" t="str">
        <f t="shared" ref="C411:D411" si="554">IF($B410&lt;&gt;"",C407,"")</f>
        <v/>
      </c>
      <c r="D411" s="93" t="str">
        <f t="shared" si="554"/>
        <v/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6"/>
      <c r="W411" s="31" t="e">
        <f>INDEX(TBL_STORAGE_CONNECTIONS[StorageConnectionID],$A411)</f>
        <v>#REF!</v>
      </c>
      <c r="X411" s="31" t="e">
        <f>"StorageCapMax_"&amp;RIGHT($W411,11)</f>
        <v>#REF!</v>
      </c>
    </row>
    <row r="412" spans="1:24" x14ac:dyDescent="0.25">
      <c r="A412" s="94">
        <f t="shared" si="538"/>
        <v>102</v>
      </c>
      <c r="B412" s="118"/>
      <c r="C412" s="93" t="str">
        <f t="shared" ref="C412:D412" si="555">IF($B410&lt;&gt;"",C408,"")</f>
        <v/>
      </c>
      <c r="D412" s="93" t="str">
        <f t="shared" si="555"/>
        <v/>
      </c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5"/>
      <c r="W412" s="31" t="e">
        <f>INDEX(TBL_STORAGE_CONNECTIONS[StorageConnectionID],$A412)</f>
        <v>#REF!</v>
      </c>
      <c r="X412" s="31" t="e">
        <f>"StorageTariffFixed_"&amp;RIGHT($W412,11)</f>
        <v>#REF!</v>
      </c>
    </row>
    <row r="413" spans="1:24" x14ac:dyDescent="0.25">
      <c r="A413" s="94">
        <f t="shared" si="538"/>
        <v>102</v>
      </c>
      <c r="B413" s="119"/>
      <c r="C413" s="93" t="str">
        <f t="shared" ref="C413:D413" si="556">IF($B410&lt;&gt;"",C409,"")</f>
        <v/>
      </c>
      <c r="D413" s="93" t="str">
        <f t="shared" si="556"/>
        <v/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6"/>
      <c r="W413" s="31" t="e">
        <f>INDEX(TBL_STORAGE_CONNECTIONS[StorageConnectionID],$A413)</f>
        <v>#REF!</v>
      </c>
      <c r="X413" s="31" t="e">
        <f>"StorageTariffVar_"&amp;RIGHT($W413,11)</f>
        <v>#REF!</v>
      </c>
    </row>
    <row r="414" spans="1:24" x14ac:dyDescent="0.25">
      <c r="A414" s="94">
        <f t="shared" ref="A414" si="557">$A410+1</f>
        <v>103</v>
      </c>
      <c r="B414" s="117" t="str">
        <f>IFERROR(INDEX(TBL_STORAGE_CONNECTIONS[Name],$A414),"")</f>
        <v/>
      </c>
      <c r="C414" s="93" t="str">
        <f t="shared" ref="C414:D414" si="558">IF($B414&lt;&gt;"",C410,"")</f>
        <v/>
      </c>
      <c r="D414" s="93" t="str">
        <f t="shared" si="558"/>
        <v/>
      </c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5"/>
      <c r="W414" s="31" t="e">
        <f>INDEX(TBL_STORAGE_CONNECTIONS[StorageConnectionID],$A414)</f>
        <v>#REF!</v>
      </c>
      <c r="X414" s="31" t="e">
        <f>"StorageCapMin_"&amp;RIGHT($W414,11)</f>
        <v>#REF!</v>
      </c>
    </row>
    <row r="415" spans="1:24" x14ac:dyDescent="0.25">
      <c r="A415" s="94">
        <f t="shared" si="538"/>
        <v>103</v>
      </c>
      <c r="B415" s="118"/>
      <c r="C415" s="93" t="str">
        <f t="shared" ref="C415:D415" si="559">IF($B414&lt;&gt;"",C411,"")</f>
        <v/>
      </c>
      <c r="D415" s="93" t="str">
        <f t="shared" si="559"/>
        <v/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6"/>
      <c r="W415" s="31" t="e">
        <f>INDEX(TBL_STORAGE_CONNECTIONS[StorageConnectionID],$A415)</f>
        <v>#REF!</v>
      </c>
      <c r="X415" s="31" t="e">
        <f>"StorageCapMax_"&amp;RIGHT($W415,11)</f>
        <v>#REF!</v>
      </c>
    </row>
    <row r="416" spans="1:24" x14ac:dyDescent="0.25">
      <c r="A416" s="94">
        <f t="shared" si="538"/>
        <v>103</v>
      </c>
      <c r="B416" s="118"/>
      <c r="C416" s="93" t="str">
        <f t="shared" ref="C416:D416" si="560">IF($B414&lt;&gt;"",C412,"")</f>
        <v/>
      </c>
      <c r="D416" s="93" t="str">
        <f t="shared" si="560"/>
        <v/>
      </c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5"/>
      <c r="W416" s="31" t="e">
        <f>INDEX(TBL_STORAGE_CONNECTIONS[StorageConnectionID],$A416)</f>
        <v>#REF!</v>
      </c>
      <c r="X416" s="31" t="e">
        <f>"StorageTariffFixed_"&amp;RIGHT($W416,11)</f>
        <v>#REF!</v>
      </c>
    </row>
    <row r="417" spans="1:24" x14ac:dyDescent="0.25">
      <c r="A417" s="94">
        <f t="shared" si="538"/>
        <v>103</v>
      </c>
      <c r="B417" s="119"/>
      <c r="C417" s="93" t="str">
        <f t="shared" ref="C417:D417" si="561">IF($B414&lt;&gt;"",C413,"")</f>
        <v/>
      </c>
      <c r="D417" s="93" t="str">
        <f t="shared" si="561"/>
        <v/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6"/>
      <c r="W417" s="31" t="e">
        <f>INDEX(TBL_STORAGE_CONNECTIONS[StorageConnectionID],$A417)</f>
        <v>#REF!</v>
      </c>
      <c r="X417" s="31" t="e">
        <f>"StorageTariffVar_"&amp;RIGHT($W417,11)</f>
        <v>#REF!</v>
      </c>
    </row>
    <row r="418" spans="1:24" x14ac:dyDescent="0.25">
      <c r="A418" s="94">
        <f t="shared" ref="A418" si="562">$A414+1</f>
        <v>104</v>
      </c>
      <c r="B418" s="117" t="str">
        <f>IFERROR(INDEX(TBL_STORAGE_CONNECTIONS[Name],$A418),"")</f>
        <v/>
      </c>
      <c r="C418" s="93" t="str">
        <f t="shared" ref="C418:D418" si="563">IF($B418&lt;&gt;"",C414,"")</f>
        <v/>
      </c>
      <c r="D418" s="93" t="str">
        <f t="shared" si="563"/>
        <v/>
      </c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5"/>
      <c r="W418" s="31" t="e">
        <f>INDEX(TBL_STORAGE_CONNECTIONS[StorageConnectionID],$A418)</f>
        <v>#REF!</v>
      </c>
      <c r="X418" s="31" t="e">
        <f>"StorageCapMin_"&amp;RIGHT($W418,11)</f>
        <v>#REF!</v>
      </c>
    </row>
    <row r="419" spans="1:24" x14ac:dyDescent="0.25">
      <c r="A419" s="94">
        <f t="shared" ref="A419:A421" si="564">$A418</f>
        <v>104</v>
      </c>
      <c r="B419" s="118"/>
      <c r="C419" s="93" t="str">
        <f t="shared" ref="C419:D419" si="565">IF($B418&lt;&gt;"",C415,"")</f>
        <v/>
      </c>
      <c r="D419" s="93" t="str">
        <f t="shared" si="565"/>
        <v/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6"/>
      <c r="W419" s="31" t="e">
        <f>INDEX(TBL_STORAGE_CONNECTIONS[StorageConnectionID],$A419)</f>
        <v>#REF!</v>
      </c>
      <c r="X419" s="31" t="e">
        <f>"StorageCapMax_"&amp;RIGHT($W419,11)</f>
        <v>#REF!</v>
      </c>
    </row>
    <row r="420" spans="1:24" x14ac:dyDescent="0.25">
      <c r="A420" s="94">
        <f t="shared" si="564"/>
        <v>104</v>
      </c>
      <c r="B420" s="118"/>
      <c r="C420" s="93" t="str">
        <f t="shared" ref="C420:D420" si="566">IF($B418&lt;&gt;"",C416,"")</f>
        <v/>
      </c>
      <c r="D420" s="93" t="str">
        <f t="shared" si="566"/>
        <v/>
      </c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5"/>
      <c r="W420" s="31" t="e">
        <f>INDEX(TBL_STORAGE_CONNECTIONS[StorageConnectionID],$A420)</f>
        <v>#REF!</v>
      </c>
      <c r="X420" s="31" t="e">
        <f>"StorageTariffFixed_"&amp;RIGHT($W420,11)</f>
        <v>#REF!</v>
      </c>
    </row>
    <row r="421" spans="1:24" x14ac:dyDescent="0.25">
      <c r="A421" s="94">
        <f t="shared" si="564"/>
        <v>104</v>
      </c>
      <c r="B421" s="119"/>
      <c r="C421" s="93" t="str">
        <f t="shared" ref="C421:D421" si="567">IF($B418&lt;&gt;"",C417,"")</f>
        <v/>
      </c>
      <c r="D421" s="93" t="str">
        <f t="shared" si="567"/>
        <v/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6"/>
      <c r="W421" s="31" t="e">
        <f>INDEX(TBL_STORAGE_CONNECTIONS[StorageConnectionID],$A421)</f>
        <v>#REF!</v>
      </c>
      <c r="X421" s="31" t="e">
        <f>"StorageTariffVar_"&amp;RIGHT($W421,11)</f>
        <v>#REF!</v>
      </c>
    </row>
    <row r="422" spans="1:24" x14ac:dyDescent="0.25">
      <c r="A422" s="94">
        <f t="shared" ref="A422" si="568">$A418+1</f>
        <v>105</v>
      </c>
      <c r="B422" s="117" t="str">
        <f>IFERROR(INDEX(TBL_STORAGE_CONNECTIONS[Name],$A422),"")</f>
        <v/>
      </c>
      <c r="C422" s="93" t="str">
        <f t="shared" ref="C422:D422" si="569">IF($B422&lt;&gt;"",C418,"")</f>
        <v/>
      </c>
      <c r="D422" s="93" t="str">
        <f t="shared" si="569"/>
        <v/>
      </c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5"/>
      <c r="W422" s="31" t="e">
        <f>INDEX(TBL_STORAGE_CONNECTIONS[StorageConnectionID],$A422)</f>
        <v>#REF!</v>
      </c>
      <c r="X422" s="31" t="e">
        <f>"StorageCapMin_"&amp;RIGHT($W422,11)</f>
        <v>#REF!</v>
      </c>
    </row>
    <row r="423" spans="1:24" x14ac:dyDescent="0.25">
      <c r="A423" s="94">
        <f t="shared" ref="A423:A425" si="570">$A422</f>
        <v>105</v>
      </c>
      <c r="B423" s="118"/>
      <c r="C423" s="93" t="str">
        <f t="shared" ref="C423:D423" si="571">IF($B422&lt;&gt;"",C419,"")</f>
        <v/>
      </c>
      <c r="D423" s="93" t="str">
        <f t="shared" si="571"/>
        <v/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6"/>
      <c r="W423" s="31" t="e">
        <f>INDEX(TBL_STORAGE_CONNECTIONS[StorageConnectionID],$A423)</f>
        <v>#REF!</v>
      </c>
      <c r="X423" s="31" t="e">
        <f>"StorageCapMax_"&amp;RIGHT($W423,11)</f>
        <v>#REF!</v>
      </c>
    </row>
    <row r="424" spans="1:24" x14ac:dyDescent="0.25">
      <c r="A424" s="94">
        <f t="shared" si="570"/>
        <v>105</v>
      </c>
      <c r="B424" s="118"/>
      <c r="C424" s="93" t="str">
        <f t="shared" ref="C424:D424" si="572">IF($B422&lt;&gt;"",C420,"")</f>
        <v/>
      </c>
      <c r="D424" s="93" t="str">
        <f t="shared" si="572"/>
        <v/>
      </c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5"/>
      <c r="W424" s="31" t="e">
        <f>INDEX(TBL_STORAGE_CONNECTIONS[StorageConnectionID],$A424)</f>
        <v>#REF!</v>
      </c>
      <c r="X424" s="31" t="e">
        <f>"StorageTariffFixed_"&amp;RIGHT($W424,11)</f>
        <v>#REF!</v>
      </c>
    </row>
    <row r="425" spans="1:24" x14ac:dyDescent="0.25">
      <c r="A425" s="94">
        <f t="shared" si="570"/>
        <v>105</v>
      </c>
      <c r="B425" s="119"/>
      <c r="C425" s="93" t="str">
        <f t="shared" ref="C425:D425" si="573">IF($B422&lt;&gt;"",C421,"")</f>
        <v/>
      </c>
      <c r="D425" s="93" t="str">
        <f t="shared" si="573"/>
        <v/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6"/>
      <c r="W425" s="31" t="e">
        <f>INDEX(TBL_STORAGE_CONNECTIONS[StorageConnectionID],$A425)</f>
        <v>#REF!</v>
      </c>
      <c r="X425" s="31" t="e">
        <f>"StorageTariffVar_"&amp;RIGHT($W425,11)</f>
        <v>#REF!</v>
      </c>
    </row>
    <row r="426" spans="1:24" x14ac:dyDescent="0.25">
      <c r="A426" s="94">
        <f t="shared" ref="A426" si="574">$A422+1</f>
        <v>106</v>
      </c>
      <c r="B426" s="117" t="str">
        <f>IFERROR(INDEX(TBL_STORAGE_CONNECTIONS[Name],$A426),"")</f>
        <v/>
      </c>
      <c r="C426" s="93" t="str">
        <f t="shared" ref="C426:D426" si="575">IF($B426&lt;&gt;"",C422,"")</f>
        <v/>
      </c>
      <c r="D426" s="93" t="str">
        <f t="shared" si="575"/>
        <v/>
      </c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5"/>
      <c r="W426" s="31" t="e">
        <f>INDEX(TBL_STORAGE_CONNECTIONS[StorageConnectionID],$A426)</f>
        <v>#REF!</v>
      </c>
      <c r="X426" s="31" t="e">
        <f>"StorageCapMin_"&amp;RIGHT($W426,11)</f>
        <v>#REF!</v>
      </c>
    </row>
    <row r="427" spans="1:24" x14ac:dyDescent="0.25">
      <c r="A427" s="94">
        <f t="shared" ref="A427:A429" si="576">$A426</f>
        <v>106</v>
      </c>
      <c r="B427" s="118"/>
      <c r="C427" s="93" t="str">
        <f t="shared" ref="C427:D427" si="577">IF($B426&lt;&gt;"",C423,"")</f>
        <v/>
      </c>
      <c r="D427" s="93" t="str">
        <f t="shared" si="577"/>
        <v/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6"/>
      <c r="W427" s="31" t="e">
        <f>INDEX(TBL_STORAGE_CONNECTIONS[StorageConnectionID],$A427)</f>
        <v>#REF!</v>
      </c>
      <c r="X427" s="31" t="e">
        <f>"StorageCapMax_"&amp;RIGHT($W427,11)</f>
        <v>#REF!</v>
      </c>
    </row>
    <row r="428" spans="1:24" x14ac:dyDescent="0.25">
      <c r="A428" s="94">
        <f t="shared" si="576"/>
        <v>106</v>
      </c>
      <c r="B428" s="118"/>
      <c r="C428" s="93" t="str">
        <f t="shared" ref="C428:D428" si="578">IF($B426&lt;&gt;"",C424,"")</f>
        <v/>
      </c>
      <c r="D428" s="93" t="str">
        <f t="shared" si="578"/>
        <v/>
      </c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5"/>
      <c r="W428" s="31" t="e">
        <f>INDEX(TBL_STORAGE_CONNECTIONS[StorageConnectionID],$A428)</f>
        <v>#REF!</v>
      </c>
      <c r="X428" s="31" t="e">
        <f>"StorageTariffFixed_"&amp;RIGHT($W428,11)</f>
        <v>#REF!</v>
      </c>
    </row>
    <row r="429" spans="1:24" x14ac:dyDescent="0.25">
      <c r="A429" s="94">
        <f t="shared" si="576"/>
        <v>106</v>
      </c>
      <c r="B429" s="119"/>
      <c r="C429" s="93" t="str">
        <f t="shared" ref="C429:D429" si="579">IF($B426&lt;&gt;"",C425,"")</f>
        <v/>
      </c>
      <c r="D429" s="93" t="str">
        <f t="shared" si="579"/>
        <v/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6"/>
      <c r="W429" s="31" t="e">
        <f>INDEX(TBL_STORAGE_CONNECTIONS[StorageConnectionID],$A429)</f>
        <v>#REF!</v>
      </c>
      <c r="X429" s="31" t="e">
        <f>"StorageTariffVar_"&amp;RIGHT($W429,11)</f>
        <v>#REF!</v>
      </c>
    </row>
    <row r="430" spans="1:24" x14ac:dyDescent="0.25">
      <c r="A430" s="94">
        <f t="shared" ref="A430" si="580">$A426+1</f>
        <v>107</v>
      </c>
      <c r="B430" s="117" t="str">
        <f>IFERROR(INDEX(TBL_STORAGE_CONNECTIONS[Name],$A430),"")</f>
        <v/>
      </c>
      <c r="C430" s="93" t="str">
        <f t="shared" ref="C430:D430" si="581">IF($B430&lt;&gt;"",C426,"")</f>
        <v/>
      </c>
      <c r="D430" s="93" t="str">
        <f t="shared" si="581"/>
        <v/>
      </c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5"/>
      <c r="W430" s="31" t="e">
        <f>INDEX(TBL_STORAGE_CONNECTIONS[StorageConnectionID],$A430)</f>
        <v>#REF!</v>
      </c>
      <c r="X430" s="31" t="e">
        <f>"StorageCapMin_"&amp;RIGHT($W430,11)</f>
        <v>#REF!</v>
      </c>
    </row>
    <row r="431" spans="1:24" x14ac:dyDescent="0.25">
      <c r="A431" s="94">
        <f t="shared" ref="A431:A433" si="582">$A430</f>
        <v>107</v>
      </c>
      <c r="B431" s="118"/>
      <c r="C431" s="93" t="str">
        <f t="shared" ref="C431:D431" si="583">IF($B430&lt;&gt;"",C427,"")</f>
        <v/>
      </c>
      <c r="D431" s="93" t="str">
        <f t="shared" si="583"/>
        <v/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6"/>
      <c r="W431" s="31" t="e">
        <f>INDEX(TBL_STORAGE_CONNECTIONS[StorageConnectionID],$A431)</f>
        <v>#REF!</v>
      </c>
      <c r="X431" s="31" t="e">
        <f>"StorageCapMax_"&amp;RIGHT($W431,11)</f>
        <v>#REF!</v>
      </c>
    </row>
    <row r="432" spans="1:24" x14ac:dyDescent="0.25">
      <c r="A432" s="94">
        <f t="shared" si="582"/>
        <v>107</v>
      </c>
      <c r="B432" s="118"/>
      <c r="C432" s="93" t="str">
        <f t="shared" ref="C432:D432" si="584">IF($B430&lt;&gt;"",C428,"")</f>
        <v/>
      </c>
      <c r="D432" s="93" t="str">
        <f t="shared" si="584"/>
        <v/>
      </c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5"/>
      <c r="W432" s="31" t="e">
        <f>INDEX(TBL_STORAGE_CONNECTIONS[StorageConnectionID],$A432)</f>
        <v>#REF!</v>
      </c>
      <c r="X432" s="31" t="e">
        <f>"StorageTariffFixed_"&amp;RIGHT($W432,11)</f>
        <v>#REF!</v>
      </c>
    </row>
    <row r="433" spans="1:24" x14ac:dyDescent="0.25">
      <c r="A433" s="94">
        <f t="shared" si="582"/>
        <v>107</v>
      </c>
      <c r="B433" s="119"/>
      <c r="C433" s="93" t="str">
        <f t="shared" ref="C433:D433" si="585">IF($B430&lt;&gt;"",C429,"")</f>
        <v/>
      </c>
      <c r="D433" s="93" t="str">
        <f t="shared" si="585"/>
        <v/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6"/>
      <c r="W433" s="31" t="e">
        <f>INDEX(TBL_STORAGE_CONNECTIONS[StorageConnectionID],$A433)</f>
        <v>#REF!</v>
      </c>
      <c r="X433" s="31" t="e">
        <f>"StorageTariffVar_"&amp;RIGHT($W433,11)</f>
        <v>#REF!</v>
      </c>
    </row>
    <row r="434" spans="1:24" x14ac:dyDescent="0.25">
      <c r="A434" s="94">
        <f t="shared" ref="A434" si="586">$A430+1</f>
        <v>108</v>
      </c>
      <c r="B434" s="117" t="str">
        <f>IFERROR(INDEX(TBL_STORAGE_CONNECTIONS[Name],$A434),"")</f>
        <v/>
      </c>
      <c r="C434" s="93" t="str">
        <f t="shared" ref="C434:D434" si="587">IF($B434&lt;&gt;"",C430,"")</f>
        <v/>
      </c>
      <c r="D434" s="93" t="str">
        <f t="shared" si="587"/>
        <v/>
      </c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5"/>
      <c r="W434" s="31" t="e">
        <f>INDEX(TBL_STORAGE_CONNECTIONS[StorageConnectionID],$A434)</f>
        <v>#REF!</v>
      </c>
      <c r="X434" s="31" t="e">
        <f>"StorageCapMin_"&amp;RIGHT($W434,11)</f>
        <v>#REF!</v>
      </c>
    </row>
    <row r="435" spans="1:24" x14ac:dyDescent="0.25">
      <c r="A435" s="94">
        <f t="shared" ref="A435:A445" si="588">$A434</f>
        <v>108</v>
      </c>
      <c r="B435" s="118"/>
      <c r="C435" s="93" t="str">
        <f t="shared" ref="C435:D435" si="589">IF($B434&lt;&gt;"",C431,"")</f>
        <v/>
      </c>
      <c r="D435" s="93" t="str">
        <f t="shared" si="589"/>
        <v/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6"/>
      <c r="W435" s="31" t="e">
        <f>INDEX(TBL_STORAGE_CONNECTIONS[StorageConnectionID],$A435)</f>
        <v>#REF!</v>
      </c>
      <c r="X435" s="31" t="e">
        <f>"StorageCapMax_"&amp;RIGHT($W435,11)</f>
        <v>#REF!</v>
      </c>
    </row>
    <row r="436" spans="1:24" x14ac:dyDescent="0.25">
      <c r="A436" s="94">
        <f t="shared" si="588"/>
        <v>108</v>
      </c>
      <c r="B436" s="118"/>
      <c r="C436" s="93" t="str">
        <f t="shared" ref="C436:D436" si="590">IF($B434&lt;&gt;"",C432,"")</f>
        <v/>
      </c>
      <c r="D436" s="93" t="str">
        <f t="shared" si="590"/>
        <v/>
      </c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5"/>
      <c r="W436" s="31" t="e">
        <f>INDEX(TBL_STORAGE_CONNECTIONS[StorageConnectionID],$A436)</f>
        <v>#REF!</v>
      </c>
      <c r="X436" s="31" t="e">
        <f>"StorageTariffFixed_"&amp;RIGHT($W436,11)</f>
        <v>#REF!</v>
      </c>
    </row>
    <row r="437" spans="1:24" x14ac:dyDescent="0.25">
      <c r="A437" s="94">
        <f t="shared" si="588"/>
        <v>108</v>
      </c>
      <c r="B437" s="119"/>
      <c r="C437" s="93" t="str">
        <f t="shared" ref="C437:D437" si="591">IF($B434&lt;&gt;"",C433,"")</f>
        <v/>
      </c>
      <c r="D437" s="93" t="str">
        <f t="shared" si="591"/>
        <v/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6"/>
      <c r="W437" s="31" t="e">
        <f>INDEX(TBL_STORAGE_CONNECTIONS[StorageConnectionID],$A437)</f>
        <v>#REF!</v>
      </c>
      <c r="X437" s="31" t="e">
        <f>"StorageTariffVar_"&amp;RIGHT($W437,11)</f>
        <v>#REF!</v>
      </c>
    </row>
    <row r="438" spans="1:24" x14ac:dyDescent="0.25">
      <c r="A438" s="94">
        <f t="shared" ref="A438" si="592">$A434+1</f>
        <v>109</v>
      </c>
      <c r="B438" s="117" t="str">
        <f>IFERROR(INDEX(TBL_STORAGE_CONNECTIONS[Name],$A438),"")</f>
        <v/>
      </c>
      <c r="C438" s="93" t="str">
        <f t="shared" ref="C438:D438" si="593">IF($B438&lt;&gt;"",C434,"")</f>
        <v/>
      </c>
      <c r="D438" s="93" t="str">
        <f t="shared" si="593"/>
        <v/>
      </c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5"/>
      <c r="W438" s="31" t="e">
        <f>INDEX(TBL_STORAGE_CONNECTIONS[StorageConnectionID],$A438)</f>
        <v>#REF!</v>
      </c>
      <c r="X438" s="31" t="e">
        <f>"StorageCapMin_"&amp;RIGHT($W438,11)</f>
        <v>#REF!</v>
      </c>
    </row>
    <row r="439" spans="1:24" x14ac:dyDescent="0.25">
      <c r="A439" s="94">
        <f t="shared" si="588"/>
        <v>109</v>
      </c>
      <c r="B439" s="118"/>
      <c r="C439" s="93" t="str">
        <f t="shared" ref="C439:D439" si="594">IF($B438&lt;&gt;"",C435,"")</f>
        <v/>
      </c>
      <c r="D439" s="93" t="str">
        <f t="shared" si="594"/>
        <v/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6"/>
      <c r="W439" s="31" t="e">
        <f>INDEX(TBL_STORAGE_CONNECTIONS[StorageConnectionID],$A439)</f>
        <v>#REF!</v>
      </c>
      <c r="X439" s="31" t="e">
        <f>"StorageCapMax_"&amp;RIGHT($W439,11)</f>
        <v>#REF!</v>
      </c>
    </row>
    <row r="440" spans="1:24" x14ac:dyDescent="0.25">
      <c r="A440" s="94">
        <f t="shared" si="588"/>
        <v>109</v>
      </c>
      <c r="B440" s="118"/>
      <c r="C440" s="93" t="str">
        <f t="shared" ref="C440:D440" si="595">IF($B438&lt;&gt;"",C436,"")</f>
        <v/>
      </c>
      <c r="D440" s="93" t="str">
        <f t="shared" si="595"/>
        <v/>
      </c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5"/>
      <c r="W440" s="31" t="e">
        <f>INDEX(TBL_STORAGE_CONNECTIONS[StorageConnectionID],$A440)</f>
        <v>#REF!</v>
      </c>
      <c r="X440" s="31" t="e">
        <f>"StorageTariffFixed_"&amp;RIGHT($W440,11)</f>
        <v>#REF!</v>
      </c>
    </row>
    <row r="441" spans="1:24" x14ac:dyDescent="0.25">
      <c r="A441" s="94">
        <f t="shared" si="588"/>
        <v>109</v>
      </c>
      <c r="B441" s="119"/>
      <c r="C441" s="93" t="str">
        <f t="shared" ref="C441:D441" si="596">IF($B438&lt;&gt;"",C437,"")</f>
        <v/>
      </c>
      <c r="D441" s="93" t="str">
        <f t="shared" si="596"/>
        <v/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6"/>
      <c r="W441" s="31" t="e">
        <f>INDEX(TBL_STORAGE_CONNECTIONS[StorageConnectionID],$A441)</f>
        <v>#REF!</v>
      </c>
      <c r="X441" s="31" t="e">
        <f>"StorageTariffVar_"&amp;RIGHT($W441,11)</f>
        <v>#REF!</v>
      </c>
    </row>
    <row r="442" spans="1:24" x14ac:dyDescent="0.25">
      <c r="A442" s="94">
        <f t="shared" ref="A442" si="597">$A438+1</f>
        <v>110</v>
      </c>
      <c r="B442" s="117" t="str">
        <f>IFERROR(INDEX(TBL_STORAGE_CONNECTIONS[Name],$A442),"")</f>
        <v/>
      </c>
      <c r="C442" s="93" t="str">
        <f t="shared" ref="C442:D442" si="598">IF($B442&lt;&gt;"",C438,"")</f>
        <v/>
      </c>
      <c r="D442" s="93" t="str">
        <f t="shared" si="598"/>
        <v/>
      </c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5"/>
      <c r="W442" s="31" t="e">
        <f>INDEX(TBL_STORAGE_CONNECTIONS[StorageConnectionID],$A442)</f>
        <v>#REF!</v>
      </c>
      <c r="X442" s="31" t="e">
        <f>"StorageCapMin_"&amp;RIGHT($W442,11)</f>
        <v>#REF!</v>
      </c>
    </row>
    <row r="443" spans="1:24" x14ac:dyDescent="0.25">
      <c r="A443" s="94">
        <f t="shared" si="588"/>
        <v>110</v>
      </c>
      <c r="B443" s="118"/>
      <c r="C443" s="93" t="str">
        <f t="shared" ref="C443:D443" si="599">IF($B442&lt;&gt;"",C439,"")</f>
        <v/>
      </c>
      <c r="D443" s="93" t="str">
        <f t="shared" si="599"/>
        <v/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6"/>
      <c r="W443" s="31" t="e">
        <f>INDEX(TBL_STORAGE_CONNECTIONS[StorageConnectionID],$A443)</f>
        <v>#REF!</v>
      </c>
      <c r="X443" s="31" t="e">
        <f>"StorageCapMax_"&amp;RIGHT($W443,11)</f>
        <v>#REF!</v>
      </c>
    </row>
    <row r="444" spans="1:24" x14ac:dyDescent="0.25">
      <c r="A444" s="94">
        <f t="shared" si="588"/>
        <v>110</v>
      </c>
      <c r="B444" s="118"/>
      <c r="C444" s="93" t="str">
        <f t="shared" ref="C444:D444" si="600">IF($B442&lt;&gt;"",C440,"")</f>
        <v/>
      </c>
      <c r="D444" s="93" t="str">
        <f t="shared" si="600"/>
        <v/>
      </c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5"/>
      <c r="W444" s="31" t="e">
        <f>INDEX(TBL_STORAGE_CONNECTIONS[StorageConnectionID],$A444)</f>
        <v>#REF!</v>
      </c>
      <c r="X444" s="31" t="e">
        <f>"StorageTariffFixed_"&amp;RIGHT($W444,11)</f>
        <v>#REF!</v>
      </c>
    </row>
    <row r="445" spans="1:24" x14ac:dyDescent="0.25">
      <c r="A445" s="94">
        <f t="shared" si="588"/>
        <v>110</v>
      </c>
      <c r="B445" s="119"/>
      <c r="C445" s="93" t="str">
        <f t="shared" ref="C445:D445" si="601">IF($B442&lt;&gt;"",C441,"")</f>
        <v/>
      </c>
      <c r="D445" s="93" t="str">
        <f t="shared" si="601"/>
        <v/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6"/>
      <c r="W445" s="31" t="e">
        <f>INDEX(TBL_STORAGE_CONNECTIONS[StorageConnectionID],$A445)</f>
        <v>#REF!</v>
      </c>
      <c r="X445" s="31" t="e">
        <f>"StorageTariffVar_"&amp;RIGHT($W445,11)</f>
        <v>#REF!</v>
      </c>
    </row>
  </sheetData>
  <mergeCells count="110"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5" priority="2" operator="equal">
      <formula>#REF!</formula>
    </cfRule>
  </conditionalFormatting>
  <conditionalFormatting sqref="D8:D9">
    <cfRule type="cellIs" dxfId="4" priority="1" operator="equal">
      <formula>#REF!</formula>
    </cfRule>
  </conditionalFormatting>
  <dataValidations count="2">
    <dataValidation type="decimal" allowBlank="1" showInputMessage="1" showErrorMessage="1" sqref="E6:U445" xr:uid="{D3BEDB9D-2C6B-4A03-AF15-CB2949D7C7A6}">
      <formula1>-1000</formula1>
      <formula2>1000</formula2>
    </dataValidation>
    <dataValidation operator="greaterThanOrEqual" allowBlank="1" showInputMessage="1" showErrorMessage="1" sqref="V6:V445" xr:uid="{2263180F-0A98-4A1F-8FE8-1BEBF31372C9}"/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DCB9A-E5BB-4134-B6F0-C7CA1E459CB2}">
  <sheetPr>
    <tabColor theme="9"/>
  </sheetPr>
  <dimension ref="A1"/>
  <sheetViews>
    <sheetView workbookViewId="0">
      <selection activeCell="A2" sqref="A2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" x14ac:dyDescent="0.25">
      <c r="A1" s="1" t="s">
        <v>175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68A2-8BC4-4F8C-A084-0FE83555B215}">
  <sheetPr>
    <tabColor theme="1"/>
  </sheetPr>
  <dimension ref="A1:J16"/>
  <sheetViews>
    <sheetView workbookViewId="0"/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85</v>
      </c>
    </row>
    <row r="2" spans="1:10" x14ac:dyDescent="0.25">
      <c r="A2" s="1" t="str">
        <f>"Tabelle liest sich: ""1 bcm entspricht "&amp;TEXT($H$8,"0,00")&amp;" TWh."""</f>
        <v>Tabelle liest sich: "1 bcm entspricht 9,77 TWh."</v>
      </c>
    </row>
    <row r="3" spans="1:10" x14ac:dyDescent="0.25">
      <c r="A3" s="1"/>
    </row>
    <row r="4" spans="1:10" x14ac:dyDescent="0.25">
      <c r="A4" s="18" t="s">
        <v>84</v>
      </c>
      <c r="B4" s="33">
        <v>35.17</v>
      </c>
    </row>
    <row r="5" spans="1:10" x14ac:dyDescent="0.25">
      <c r="A5" s="34" t="s">
        <v>132</v>
      </c>
      <c r="B5" s="55">
        <v>1330</v>
      </c>
    </row>
    <row r="6" spans="1:10" ht="15.75" thickBot="1" x14ac:dyDescent="0.3"/>
    <row r="7" spans="1:10" ht="15.75" thickBot="1" x14ac:dyDescent="0.3">
      <c r="A7" s="41"/>
      <c r="B7" s="39" t="str">
        <f t="array" ref="B7:J7">TRANSPOSE($A$8:$A$16)</f>
        <v>bcm</v>
      </c>
      <c r="C7" s="38" t="str">
        <v>mcm</v>
      </c>
      <c r="D7" s="38" t="str">
        <v>cm</v>
      </c>
      <c r="E7" s="38" t="str">
        <v>kWh</v>
      </c>
      <c r="F7" s="38" t="str">
        <v>MWh</v>
      </c>
      <c r="G7" s="38" t="str">
        <v>GWh</v>
      </c>
      <c r="H7" s="38" t="str">
        <v>TWh</v>
      </c>
      <c r="I7" s="63" t="str">
        <v>MMBTU</v>
      </c>
      <c r="J7" s="64" t="str">
        <v>Mt LNG</v>
      </c>
    </row>
    <row r="8" spans="1:10" x14ac:dyDescent="0.25">
      <c r="A8" s="40" t="s">
        <v>77</v>
      </c>
      <c r="B8" s="42">
        <v>1</v>
      </c>
      <c r="C8" s="43">
        <f>B8*1000</f>
        <v>1000</v>
      </c>
      <c r="D8" s="43">
        <f>C8*1000000</f>
        <v>1000000000</v>
      </c>
      <c r="E8" s="49">
        <f>E9*1000</f>
        <v>9769444444.4444466</v>
      </c>
      <c r="F8" s="49">
        <f>E8/1000</f>
        <v>9769444.4444444459</v>
      </c>
      <c r="G8" s="49">
        <f t="shared" ref="G8:H10" si="0">F8/1000</f>
        <v>9769.4444444444453</v>
      </c>
      <c r="H8" s="49">
        <f t="shared" si="0"/>
        <v>9.7694444444444457</v>
      </c>
      <c r="I8" s="62">
        <f>1/B15</f>
        <v>33334728.121419374</v>
      </c>
      <c r="J8" s="65">
        <f>J9*1000</f>
        <v>0.75187969924812037</v>
      </c>
    </row>
    <row r="9" spans="1:10" x14ac:dyDescent="0.25">
      <c r="A9" s="37" t="s">
        <v>78</v>
      </c>
      <c r="B9" s="44">
        <f>1/C8</f>
        <v>1E-3</v>
      </c>
      <c r="C9" s="45">
        <v>1</v>
      </c>
      <c r="D9" s="45">
        <f>C9*1000000</f>
        <v>1000000</v>
      </c>
      <c r="E9" s="48">
        <f>E10*1000000</f>
        <v>9769444.4444444459</v>
      </c>
      <c r="F9" s="48">
        <f>E9/1000</f>
        <v>9769.4444444444453</v>
      </c>
      <c r="G9" s="48">
        <f t="shared" si="0"/>
        <v>9.7694444444444457</v>
      </c>
      <c r="H9" s="48">
        <f t="shared" si="0"/>
        <v>9.7694444444444452E-3</v>
      </c>
      <c r="I9" s="56">
        <f>1/C15</f>
        <v>33334.728121419372</v>
      </c>
      <c r="J9" s="66">
        <f>1/$B$5</f>
        <v>7.5187969924812035E-4</v>
      </c>
    </row>
    <row r="10" spans="1:10" x14ac:dyDescent="0.25">
      <c r="A10" s="37" t="s">
        <v>79</v>
      </c>
      <c r="B10" s="44">
        <f>1/D8</f>
        <v>1.0000000000000001E-9</v>
      </c>
      <c r="C10" s="45">
        <f>1/D9</f>
        <v>9.9999999999999995E-7</v>
      </c>
      <c r="D10" s="45">
        <v>1</v>
      </c>
      <c r="E10" s="48">
        <f>D_GCV/3600*1000</f>
        <v>9.7694444444444457</v>
      </c>
      <c r="F10" s="48">
        <f>E10/1000</f>
        <v>9.7694444444444452E-3</v>
      </c>
      <c r="G10" s="48">
        <f t="shared" si="0"/>
        <v>9.7694444444444457E-6</v>
      </c>
      <c r="H10" s="48">
        <f t="shared" si="0"/>
        <v>9.7694444444444464E-9</v>
      </c>
      <c r="I10" s="56">
        <f>1/D15</f>
        <v>3.3334728121419369E-2</v>
      </c>
      <c r="J10" s="66">
        <f>J9/1000000</f>
        <v>7.5187969924812033E-10</v>
      </c>
    </row>
    <row r="11" spans="1:10" x14ac:dyDescent="0.25">
      <c r="A11" s="37" t="s">
        <v>80</v>
      </c>
      <c r="B11" s="47">
        <f>C11/1000</f>
        <v>1.0235996588001136E-7</v>
      </c>
      <c r="C11" s="48">
        <f>D11/1000</f>
        <v>1.0235996588001136E-4</v>
      </c>
      <c r="D11" s="48">
        <f>1/E10</f>
        <v>0.10235996588001137</v>
      </c>
      <c r="E11" s="46">
        <v>1</v>
      </c>
      <c r="F11" s="46">
        <f>E11/1000</f>
        <v>1E-3</v>
      </c>
      <c r="G11" s="46">
        <f>F11/1000</f>
        <v>9.9999999999999995E-7</v>
      </c>
      <c r="H11" s="46">
        <f>G11/1000</f>
        <v>9.9999999999999986E-10</v>
      </c>
      <c r="I11" s="57">
        <f>1/E15</f>
        <v>3.412141633127942E-3</v>
      </c>
      <c r="J11" s="67">
        <f>1/E16</f>
        <v>7.6962380360910794E-11</v>
      </c>
    </row>
    <row r="12" spans="1:10" x14ac:dyDescent="0.25">
      <c r="A12" s="37" t="s">
        <v>81</v>
      </c>
      <c r="B12" s="47">
        <f t="shared" ref="B12:E14" si="1">B11/1000</f>
        <v>1.0235996588001135E-10</v>
      </c>
      <c r="C12" s="48">
        <f t="shared" si="1"/>
        <v>1.0235996588001136E-7</v>
      </c>
      <c r="D12" s="48">
        <f t="shared" si="1"/>
        <v>1.0235996588001136E-4</v>
      </c>
      <c r="E12" s="46">
        <f t="shared" si="1"/>
        <v>1E-3</v>
      </c>
      <c r="F12" s="46">
        <v>1</v>
      </c>
      <c r="G12" s="46">
        <f>F12/1000</f>
        <v>1E-3</v>
      </c>
      <c r="H12" s="46">
        <f>G12/1000</f>
        <v>9.9999999999999995E-7</v>
      </c>
      <c r="I12" s="57">
        <f>1/F15</f>
        <v>3.4121416331279417</v>
      </c>
      <c r="J12" s="67">
        <f>1/F16</f>
        <v>7.6962380360910799E-8</v>
      </c>
    </row>
    <row r="13" spans="1:10" x14ac:dyDescent="0.25">
      <c r="A13" s="37" t="s">
        <v>82</v>
      </c>
      <c r="B13" s="47">
        <f t="shared" si="1"/>
        <v>1.0235996588001135E-13</v>
      </c>
      <c r="C13" s="48">
        <f t="shared" si="1"/>
        <v>1.0235996588001135E-10</v>
      </c>
      <c r="D13" s="48">
        <f t="shared" si="1"/>
        <v>1.0235996588001136E-7</v>
      </c>
      <c r="E13" s="46">
        <f t="shared" si="1"/>
        <v>9.9999999999999995E-7</v>
      </c>
      <c r="F13" s="46">
        <f>F12/1000</f>
        <v>1E-3</v>
      </c>
      <c r="G13" s="46">
        <v>1</v>
      </c>
      <c r="H13" s="46">
        <f>G13/1000</f>
        <v>1E-3</v>
      </c>
      <c r="I13" s="57">
        <f>1/G15</f>
        <v>3412.141633127942</v>
      </c>
      <c r="J13" s="67">
        <f>1/G16</f>
        <v>7.6962380360910804E-5</v>
      </c>
    </row>
    <row r="14" spans="1:10" x14ac:dyDescent="0.25">
      <c r="A14" s="37" t="s">
        <v>83</v>
      </c>
      <c r="B14" s="47">
        <f t="shared" si="1"/>
        <v>1.0235996588001135E-16</v>
      </c>
      <c r="C14" s="48">
        <f t="shared" si="1"/>
        <v>1.0235996588001135E-13</v>
      </c>
      <c r="D14" s="48">
        <f t="shared" si="1"/>
        <v>1.0235996588001135E-10</v>
      </c>
      <c r="E14" s="46">
        <f t="shared" si="1"/>
        <v>9.9999999999999986E-10</v>
      </c>
      <c r="F14" s="46">
        <f>F13/1000</f>
        <v>9.9999999999999995E-7</v>
      </c>
      <c r="G14" s="46">
        <f>G13/1000</f>
        <v>1E-3</v>
      </c>
      <c r="H14" s="46">
        <v>1</v>
      </c>
      <c r="I14" s="57">
        <f>1/H15</f>
        <v>3412141.6331279422</v>
      </c>
      <c r="J14" s="67">
        <f>1/H16</f>
        <v>7.6962380360910798E-2</v>
      </c>
    </row>
    <row r="15" spans="1:10" x14ac:dyDescent="0.25">
      <c r="A15" s="59" t="s">
        <v>86</v>
      </c>
      <c r="B15" s="58">
        <f>C15/1000</f>
        <v>2.9998744743247079E-8</v>
      </c>
      <c r="C15" s="56">
        <f>D15/1000000</f>
        <v>2.9998744743247079E-5</v>
      </c>
      <c r="D15" s="56">
        <f>D9/E9*E15</f>
        <v>29.99874474324708</v>
      </c>
      <c r="E15" s="57">
        <f>F15*1000</f>
        <v>293.07107017222222</v>
      </c>
      <c r="F15" s="57">
        <f>1055.05585262/3600</f>
        <v>0.29307107017222223</v>
      </c>
      <c r="G15" s="57">
        <f>F15/1000</f>
        <v>2.930710701722222E-4</v>
      </c>
      <c r="H15" s="57">
        <f>G15/1000</f>
        <v>2.9307107017222221E-7</v>
      </c>
      <c r="I15" s="61">
        <v>1</v>
      </c>
      <c r="J15" s="68">
        <f>1/I16</f>
        <v>2.2555447175373747E-8</v>
      </c>
    </row>
    <row r="16" spans="1:10" ht="15.75" thickBot="1" x14ac:dyDescent="0.3">
      <c r="A16" s="60" t="s">
        <v>133</v>
      </c>
      <c r="B16" s="71">
        <f>1/J8</f>
        <v>1.3299999999999998</v>
      </c>
      <c r="C16" s="72">
        <f>1/J9</f>
        <v>1330</v>
      </c>
      <c r="D16" s="72">
        <f>1/J10</f>
        <v>1330000000</v>
      </c>
      <c r="E16" s="70">
        <f>E8/D8*D16</f>
        <v>12993361111.111113</v>
      </c>
      <c r="F16" s="70">
        <f>E16/1000</f>
        <v>12993361.111111112</v>
      </c>
      <c r="G16" s="70">
        <f t="shared" ref="G16" si="2">F16/1000</f>
        <v>12993.361111111111</v>
      </c>
      <c r="H16" s="70">
        <f t="shared" ref="H16" si="3">G16/1000</f>
        <v>12.993361111111112</v>
      </c>
      <c r="I16" s="69">
        <f>I8/H8*H16</f>
        <v>44335188.40148776</v>
      </c>
      <c r="J16" s="36">
        <v>1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C22A0-F5EE-472C-A9C6-148BFED26AE6}">
  <sheetPr>
    <tabColor theme="1"/>
  </sheetPr>
  <dimension ref="A1:S7"/>
  <sheetViews>
    <sheetView workbookViewId="0">
      <selection activeCell="J18" sqref="J18"/>
    </sheetView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130</v>
      </c>
    </row>
    <row r="5" spans="1:19" x14ac:dyDescent="0.25">
      <c r="A5" t="s">
        <v>122</v>
      </c>
      <c r="B5" t="s">
        <v>5</v>
      </c>
      <c r="C5" t="s">
        <v>6</v>
      </c>
      <c r="D5" t="s">
        <v>7</v>
      </c>
      <c r="E5" t="s">
        <v>8</v>
      </c>
      <c r="F5" t="s">
        <v>9</v>
      </c>
      <c r="G5" t="s">
        <v>10</v>
      </c>
      <c r="H5" t="s">
        <v>11</v>
      </c>
      <c r="I5" t="s">
        <v>12</v>
      </c>
      <c r="J5" t="s">
        <v>13</v>
      </c>
      <c r="K5" t="s">
        <v>14</v>
      </c>
      <c r="L5" t="s">
        <v>15</v>
      </c>
      <c r="M5" t="s">
        <v>16</v>
      </c>
      <c r="N5" t="s">
        <v>17</v>
      </c>
      <c r="O5" t="s">
        <v>18</v>
      </c>
      <c r="P5" t="s">
        <v>19</v>
      </c>
      <c r="Q5" t="s">
        <v>20</v>
      </c>
      <c r="R5" t="s">
        <v>21</v>
      </c>
      <c r="S5" t="s">
        <v>28</v>
      </c>
    </row>
    <row r="6" spans="1:19" x14ac:dyDescent="0.25">
      <c r="A6" t="s">
        <v>123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1.158342</v>
      </c>
      <c r="E6">
        <f>IFERROR(GETPIVOTDATA("Interbank Rate",'External Data'!$A$3,"Month",MONTH(E$5),"Year",YEAR(E$5),"Currency",TBL_FOREX[[#This Row],[Currency]]),D6)</f>
        <v>1.158342</v>
      </c>
      <c r="F6">
        <f>IFERROR(GETPIVOTDATA("Interbank Rate",'External Data'!$A$3,"Month",MONTH(F$5),"Year",YEAR(F$5),"Currency",TBL_FOREX[[#This Row],[Currency]]),E6)</f>
        <v>1.158342</v>
      </c>
      <c r="G6">
        <f>IFERROR(GETPIVOTDATA("Interbank Rate",'External Data'!$A$3,"Month",MONTH(G$5),"Year",YEAR(G$5),"Currency",TBL_FOREX[[#This Row],[Currency]]),F6)</f>
        <v>1.158342</v>
      </c>
      <c r="H6">
        <f>IFERROR(GETPIVOTDATA("Interbank Rate",'External Data'!$A$3,"Month",MONTH(H$5),"Year",YEAR(H$5),"Currency",TBL_FOREX[[#This Row],[Currency]]),G6)</f>
        <v>1.158342</v>
      </c>
      <c r="I6">
        <f>IFERROR(GETPIVOTDATA("Interbank Rate",'External Data'!$A$3,"Month",MONTH(I$5),"Year",YEAR(I$5),"Currency",TBL_FOREX[[#This Row],[Currency]]),H6)</f>
        <v>1.158342</v>
      </c>
      <c r="J6">
        <f>IFERROR(GETPIVOTDATA("Interbank Rate",'External Data'!$A$3,"Month",MONTH(J$5),"Year",YEAR(J$5),"Currency",TBL_FOREX[[#This Row],[Currency]]),I6)</f>
        <v>1.158342</v>
      </c>
      <c r="K6">
        <f>IFERROR(GETPIVOTDATA("Interbank Rate",'External Data'!$A$3,"Month",MONTH(K$5),"Year",YEAR(K$5),"Currency",TBL_FOREX[[#This Row],[Currency]]),J6)</f>
        <v>1.158342</v>
      </c>
      <c r="L6">
        <f>IFERROR(GETPIVOTDATA("Interbank Rate",'External Data'!$A$3,"Month",MONTH(L$5),"Year",YEAR(L$5),"Currency",TBL_FOREX[[#This Row],[Currency]]),K6)</f>
        <v>1.158342</v>
      </c>
      <c r="M6">
        <f>IFERROR(GETPIVOTDATA("Interbank Rate",'External Data'!$A$3,"Month",MONTH(M$5),"Year",YEAR(M$5),"Currency",TBL_FOREX[[#This Row],[Currency]]),L6)</f>
        <v>1.158342</v>
      </c>
      <c r="N6">
        <f>IFERROR(GETPIVOTDATA("Interbank Rate",'External Data'!$A$3,"Month",MONTH(N$5),"Year",YEAR(N$5),"Currency",TBL_FOREX[[#This Row],[Currency]]),M6)</f>
        <v>1.158342</v>
      </c>
      <c r="O6">
        <f>IFERROR(GETPIVOTDATA("Interbank Rate",'External Data'!$A$3,"Month",MONTH(O$5),"Year",YEAR(O$5),"Currency",TBL_FOREX[[#This Row],[Currency]]),N6)</f>
        <v>1.158342</v>
      </c>
      <c r="P6">
        <f>IFERROR(GETPIVOTDATA("Interbank Rate",'External Data'!$A$3,"Month",MONTH(P$5),"Year",YEAR(P$5),"Currency",TBL_FOREX[[#This Row],[Currency]]),O6)</f>
        <v>1.158342</v>
      </c>
      <c r="Q6">
        <f>IFERROR(GETPIVOTDATA("Interbank Rate",'External Data'!$A$3,"Month",MONTH(Q$5),"Year",YEAR(Q$5),"Currency",TBL_FOREX[[#This Row],[Currency]]),P6)</f>
        <v>1.158342</v>
      </c>
      <c r="R6">
        <f>IFERROR(GETPIVOTDATA("Interbank Rate",'External Data'!$A$3,"Month",MONTH(R$5),"Year",YEAR(R$5),"Currency",TBL_FOREX[[#This Row],[Currency]]),Q6)</f>
        <v>1.158342</v>
      </c>
      <c r="S6" t="s">
        <v>129</v>
      </c>
    </row>
    <row r="7" spans="1:19" x14ac:dyDescent="0.25">
      <c r="A7" t="s">
        <v>124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0.84920600000000002</v>
      </c>
      <c r="E7">
        <f>IFERROR(GETPIVOTDATA("Interbank Rate",'External Data'!$A$3,"Month",MONTH(E$5),"Year",YEAR(E$5),"Currency",TBL_FOREX[[#This Row],[Currency]]),D7)</f>
        <v>0.84920600000000002</v>
      </c>
      <c r="F7">
        <f>IFERROR(GETPIVOTDATA("Interbank Rate",'External Data'!$A$3,"Month",MONTH(F$5),"Year",YEAR(F$5),"Currency",TBL_FOREX[[#This Row],[Currency]]),E7)</f>
        <v>0.84920600000000002</v>
      </c>
      <c r="G7">
        <f>IFERROR(GETPIVOTDATA("Interbank Rate",'External Data'!$A$3,"Month",MONTH(G$5),"Year",YEAR(G$5),"Currency",TBL_FOREX[[#This Row],[Currency]]),F7)</f>
        <v>0.84920600000000002</v>
      </c>
      <c r="H7">
        <f>IFERROR(GETPIVOTDATA("Interbank Rate",'External Data'!$A$3,"Month",MONTH(H$5),"Year",YEAR(H$5),"Currency",TBL_FOREX[[#This Row],[Currency]]),G7)</f>
        <v>0.84920600000000002</v>
      </c>
      <c r="I7">
        <f>IFERROR(GETPIVOTDATA("Interbank Rate",'External Data'!$A$3,"Month",MONTH(I$5),"Year",YEAR(I$5),"Currency",TBL_FOREX[[#This Row],[Currency]]),H7)</f>
        <v>0.84920600000000002</v>
      </c>
      <c r="J7">
        <f>IFERROR(GETPIVOTDATA("Interbank Rate",'External Data'!$A$3,"Month",MONTH(J$5),"Year",YEAR(J$5),"Currency",TBL_FOREX[[#This Row],[Currency]]),I7)</f>
        <v>0.84920600000000002</v>
      </c>
      <c r="K7">
        <f>IFERROR(GETPIVOTDATA("Interbank Rate",'External Data'!$A$3,"Month",MONTH(K$5),"Year",YEAR(K$5),"Currency",TBL_FOREX[[#This Row],[Currency]]),J7)</f>
        <v>0.84920600000000002</v>
      </c>
      <c r="L7">
        <f>IFERROR(GETPIVOTDATA("Interbank Rate",'External Data'!$A$3,"Month",MONTH(L$5),"Year",YEAR(L$5),"Currency",TBL_FOREX[[#This Row],[Currency]]),K7)</f>
        <v>0.84920600000000002</v>
      </c>
      <c r="M7">
        <f>IFERROR(GETPIVOTDATA("Interbank Rate",'External Data'!$A$3,"Month",MONTH(M$5),"Year",YEAR(M$5),"Currency",TBL_FOREX[[#This Row],[Currency]]),L7)</f>
        <v>0.84920600000000002</v>
      </c>
      <c r="N7">
        <f>IFERROR(GETPIVOTDATA("Interbank Rate",'External Data'!$A$3,"Month",MONTH(N$5),"Year",YEAR(N$5),"Currency",TBL_FOREX[[#This Row],[Currency]]),M7)</f>
        <v>0.84920600000000002</v>
      </c>
      <c r="O7">
        <f>IFERROR(GETPIVOTDATA("Interbank Rate",'External Data'!$A$3,"Month",MONTH(O$5),"Year",YEAR(O$5),"Currency",TBL_FOREX[[#This Row],[Currency]]),N7)</f>
        <v>0.84920600000000002</v>
      </c>
      <c r="P7">
        <f>IFERROR(GETPIVOTDATA("Interbank Rate",'External Data'!$A$3,"Month",MONTH(P$5),"Year",YEAR(P$5),"Currency",TBL_FOREX[[#This Row],[Currency]]),O7)</f>
        <v>0.84920600000000002</v>
      </c>
      <c r="Q7">
        <f>IFERROR(GETPIVOTDATA("Interbank Rate",'External Data'!$A$3,"Month",MONTH(Q$5),"Year",YEAR(Q$5),"Currency",TBL_FOREX[[#This Row],[Currency]]),P7)</f>
        <v>0.84920600000000002</v>
      </c>
      <c r="R7">
        <f>IFERROR(GETPIVOTDATA("Interbank Rate",'External Data'!$A$3,"Month",MONTH(R$5),"Year",YEAR(R$5),"Currency",TBL_FOREX[[#This Row],[Currency]]),Q7)</f>
        <v>0.84920600000000002</v>
      </c>
      <c r="S7" t="s">
        <v>129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9321F-2D2B-4A9E-902E-C40595B8556C}">
  <sheetPr>
    <tabColor theme="1"/>
  </sheetPr>
  <dimension ref="A5:R6"/>
  <sheetViews>
    <sheetView workbookViewId="0">
      <selection activeCell="H6" sqref="H6"/>
    </sheetView>
  </sheetViews>
  <sheetFormatPr defaultRowHeight="15" x14ac:dyDescent="0.25"/>
  <sheetData>
    <row r="5" spans="1:18" x14ac:dyDescent="0.25">
      <c r="A5" s="5" t="s">
        <v>183</v>
      </c>
      <c r="B5" s="101" t="s">
        <v>5</v>
      </c>
      <c r="C5" s="101" t="s">
        <v>6</v>
      </c>
      <c r="D5" s="101" t="s">
        <v>7</v>
      </c>
      <c r="E5" s="101" t="s">
        <v>8</v>
      </c>
      <c r="F5" s="101" t="s">
        <v>9</v>
      </c>
      <c r="G5" s="101" t="s">
        <v>10</v>
      </c>
      <c r="H5" s="101" t="s">
        <v>11</v>
      </c>
      <c r="I5" s="101" t="s">
        <v>12</v>
      </c>
      <c r="J5" s="101" t="s">
        <v>13</v>
      </c>
      <c r="K5" s="101" t="s">
        <v>14</v>
      </c>
      <c r="L5" s="101" t="s">
        <v>15</v>
      </c>
      <c r="M5" s="101" t="s">
        <v>16</v>
      </c>
      <c r="N5" s="101" t="s">
        <v>17</v>
      </c>
      <c r="O5" s="101" t="s">
        <v>18</v>
      </c>
      <c r="P5" s="101" t="s">
        <v>19</v>
      </c>
      <c r="Q5" s="101" t="s">
        <v>20</v>
      </c>
      <c r="R5" s="101" t="s">
        <v>21</v>
      </c>
    </row>
    <row r="6" spans="1:18" x14ac:dyDescent="0.25">
      <c r="A6" s="5" t="s">
        <v>184</v>
      </c>
      <c r="B6" s="102">
        <v>31</v>
      </c>
      <c r="C6" s="102">
        <v>30</v>
      </c>
      <c r="D6" s="102">
        <v>31</v>
      </c>
      <c r="E6" s="102">
        <v>30</v>
      </c>
      <c r="F6" s="102">
        <v>31</v>
      </c>
      <c r="G6" s="102">
        <v>31</v>
      </c>
      <c r="H6" s="102">
        <v>28</v>
      </c>
      <c r="I6" s="102">
        <v>31</v>
      </c>
      <c r="J6" s="102">
        <v>30</v>
      </c>
      <c r="K6" s="102">
        <v>31</v>
      </c>
      <c r="L6" s="102">
        <v>30</v>
      </c>
      <c r="M6" s="102">
        <v>31</v>
      </c>
      <c r="N6" s="102">
        <v>31</v>
      </c>
      <c r="O6" s="102">
        <v>30</v>
      </c>
      <c r="P6" s="102">
        <v>31</v>
      </c>
      <c r="Q6" s="102">
        <v>30</v>
      </c>
      <c r="R6" s="102">
        <v>31</v>
      </c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B1920-16B7-4691-9FEE-27BAD382BB08}">
  <dimension ref="A1:C11"/>
  <sheetViews>
    <sheetView workbookViewId="0"/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125</v>
      </c>
    </row>
    <row r="3" spans="1:3" x14ac:dyDescent="0.25">
      <c r="A3" s="52" t="s">
        <v>128</v>
      </c>
      <c r="B3" s="52" t="s">
        <v>126</v>
      </c>
    </row>
    <row r="4" spans="1:3" x14ac:dyDescent="0.25">
      <c r="A4" s="52" t="s">
        <v>127</v>
      </c>
      <c r="B4" t="s">
        <v>124</v>
      </c>
      <c r="C4" t="s">
        <v>123</v>
      </c>
    </row>
    <row r="5" spans="1:3" x14ac:dyDescent="0.25">
      <c r="A5" s="53">
        <v>2021</v>
      </c>
      <c r="B5" s="50"/>
      <c r="C5" s="50"/>
    </row>
    <row r="6" spans="1:3" x14ac:dyDescent="0.25">
      <c r="A6" s="54">
        <v>5</v>
      </c>
      <c r="B6" s="50">
        <v>0.86335700000000004</v>
      </c>
      <c r="C6" s="50">
        <v>1.2146490000000001</v>
      </c>
    </row>
    <row r="7" spans="1:3" x14ac:dyDescent="0.25">
      <c r="A7" s="54">
        <v>6</v>
      </c>
      <c r="B7" s="50">
        <v>0.85900900000000002</v>
      </c>
      <c r="C7" s="50">
        <v>1.2039260000000001</v>
      </c>
    </row>
    <row r="8" spans="1:3" x14ac:dyDescent="0.25">
      <c r="A8" s="54">
        <v>7</v>
      </c>
      <c r="B8" s="50">
        <v>0.85619400000000001</v>
      </c>
      <c r="C8" s="50">
        <v>1.1825410000000001</v>
      </c>
    </row>
    <row r="9" spans="1:3" x14ac:dyDescent="0.25">
      <c r="A9" s="54">
        <v>8</v>
      </c>
      <c r="B9" s="50">
        <v>0.85315600000000003</v>
      </c>
      <c r="C9" s="50">
        <v>1.1770229999999999</v>
      </c>
    </row>
    <row r="10" spans="1:3" x14ac:dyDescent="0.25">
      <c r="A10" s="54">
        <v>9</v>
      </c>
      <c r="B10" s="50">
        <v>0.85644299999999995</v>
      </c>
      <c r="C10" s="50">
        <v>1.1773579999999999</v>
      </c>
    </row>
    <row r="11" spans="1:3" x14ac:dyDescent="0.25">
      <c r="A11" s="54">
        <v>10</v>
      </c>
      <c r="B11" s="50">
        <v>0.84920600000000002</v>
      </c>
      <c r="C11" s="50">
        <v>1.158342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6F05C-63F4-42A4-839F-B2FD46A40E51}">
  <sheetPr>
    <tabColor rgb="FFFFB9B9"/>
  </sheetPr>
  <dimension ref="A1:C2"/>
  <sheetViews>
    <sheetView workbookViewId="0">
      <selection activeCell="C2" sqref="C2"/>
    </sheetView>
  </sheetViews>
  <sheetFormatPr defaultRowHeight="15" x14ac:dyDescent="0.25"/>
  <cols>
    <col min="1" max="1" width="10" customWidth="1"/>
    <col min="2" max="2" width="10.140625" bestFit="1" customWidth="1"/>
    <col min="3" max="3" width="52.7109375" customWidth="1"/>
  </cols>
  <sheetData>
    <row r="1" spans="1:3" x14ac:dyDescent="0.25">
      <c r="A1" t="s">
        <v>185</v>
      </c>
      <c r="B1" t="s">
        <v>186</v>
      </c>
      <c r="C1" t="s">
        <v>3</v>
      </c>
    </row>
    <row r="2" spans="1:3" x14ac:dyDescent="0.25">
      <c r="A2" s="104" t="s">
        <v>187</v>
      </c>
      <c r="B2" s="103">
        <v>44493</v>
      </c>
      <c r="C2" t="s">
        <v>188</v>
      </c>
    </row>
  </sheetData>
  <sheetProtection algorithmName="SHA-512" hashValue="aP590nLPDVmGxqpwyiZ+Cnw8KsIZ6SIJZPK6ylFNVu2Ov/epWH/lD/2hVDyHFDfQ2Bv1Y1PCnyB8+26wVy+XKQ==" saltValue="CyxDQWhBCYHW8dTPtB2Kb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B4014B-2C1E-4689-8118-3B59828B63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5</vt:i4>
      </vt:variant>
    </vt:vector>
  </HeadingPairs>
  <TitlesOfParts>
    <vt:vector size="31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Storage &gt; Index</vt:lpstr>
      <vt:lpstr>Storage &gt; Connections</vt:lpstr>
      <vt:lpstr>Storage &gt; Data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2021-10-27T10:29:28Z</dcterms:modified>
</cp:coreProperties>
</file>