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externalLinks/externalLink1.xml" ContentType="application/vnd.openxmlformats-officedocument.spreadsheetml.externalLink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drawings/drawing1.xml" ContentType="application/vnd.openxmlformats-officedocument.drawing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tables/table7.xml" ContentType="application/vnd.openxmlformats-officedocument.spreadsheetml.table+xml"/>
  <Override PartName="/xl/tables/table8.xml" ContentType="application/vnd.openxmlformats-officedocument.spreadsheetml.table+xml"/>
  <Override PartName="/xl/tables/table9.xml" ContentType="application/vnd.openxmlformats-officedocument.spreadsheetml.table+xml"/>
  <Override PartName="/xl/tables/table10.xml" ContentType="application/vnd.openxmlformats-officedocument.spreadsheetml.table+xml"/>
  <Override PartName="/xl/tables/table11.xml" ContentType="application/vnd.openxmlformats-officedocument.spreadsheetml.table+xml"/>
  <Override PartName="/xl/tables/table12.xml" ContentType="application/vnd.openxmlformats-officedocument.spreadsheetml.table+xml"/>
  <Override PartName="/xl/tables/table13.xml" ContentType="application/vnd.openxmlformats-officedocument.spreadsheetml.table+xml"/>
  <Override PartName="/xl/tables/table14.xml" ContentType="application/vnd.openxmlformats-officedocument.spreadsheetml.table+xml"/>
  <Override PartName="/xl/tables/table15.xml" ContentType="application/vnd.openxmlformats-officedocument.spreadsheetml.table+xml"/>
  <Override PartName="/xl/tables/table16.xml" ContentType="application/vnd.openxmlformats-officedocument.spreadsheetml.table+xml"/>
  <Override PartName="/xl/tables/table17.xml" ContentType="application/vnd.openxmlformats-officedocument.spreadsheetml.table+xml"/>
  <Override PartName="/xl/pivotTables/pivotTable1.xml" ContentType="application/vnd.openxmlformats-officedocument.spreadsheetml.pivot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527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\\wsl$\Ubuntu\home\flo\code\freichel\gasmarketmodel\gasmarketmodel\data\scenarios\"/>
    </mc:Choice>
  </mc:AlternateContent>
  <xr:revisionPtr revIDLastSave="0" documentId="13_ncr:1_{DC29FA4C-88DD-495C-9A41-2537632062C9}" xr6:coauthVersionLast="47" xr6:coauthVersionMax="47" xr10:uidLastSave="{00000000-0000-0000-0000-000000000000}"/>
  <bookViews>
    <workbookView xWindow="-120" yWindow="-120" windowWidth="29040" windowHeight="15990" tabRatio="703" firstSheet="12" activeTab="17" xr2:uid="{35972E5C-DBFD-4285-A5D4-7060776B8027}"/>
  </bookViews>
  <sheets>
    <sheet name="Instructions" sheetId="3" r:id="rId1"/>
    <sheet name="Proposed Data Collection" sheetId="27" r:id="rId2"/>
    <sheet name="Scenario" sheetId="4" r:id="rId3"/>
    <sheet name="LNG &gt; Price Curve" sheetId="24" r:id="rId4"/>
    <sheet name="LNG &gt; Other Demand" sheetId="28" r:id="rId5"/>
    <sheet name="Regions &gt; Index" sheetId="2" r:id="rId6"/>
    <sheet name="Regions &gt; Demand" sheetId="1" r:id="rId7"/>
    <sheet name="Regions &gt; Production" sheetId="5" r:id="rId8"/>
    <sheet name="Piped Importers &gt; Index" sheetId="6" r:id="rId9"/>
    <sheet name="Piped Importers &gt; Production" sheetId="8" r:id="rId10"/>
    <sheet name="Piped Importers &gt; Connections" sheetId="9" r:id="rId11"/>
    <sheet name="Piped Importers &gt; Data" sheetId="10" r:id="rId12"/>
    <sheet name="LNG Importers &gt; Index" sheetId="17" r:id="rId13"/>
    <sheet name="LNG Importers &gt; Connections" sheetId="18" r:id="rId14"/>
    <sheet name="LNG Importers &gt; Data" sheetId="19" r:id="rId15"/>
    <sheet name="Piped Exporters &gt; Index" sheetId="34" r:id="rId16"/>
    <sheet name="Piped Exporters &gt; Demand" sheetId="35" r:id="rId17"/>
    <sheet name="Piped Exporters &gt; Connections" sheetId="36" r:id="rId18"/>
    <sheet name="Connections &gt; Index" sheetId="12" r:id="rId19"/>
    <sheet name="Connections &gt; Data" sheetId="15" r:id="rId20"/>
    <sheet name="Storage &gt; Index" sheetId="32" r:id="rId21"/>
    <sheet name="Storage &gt; Target Balance" sheetId="33" r:id="rId22"/>
    <sheet name="Unit Conversions" sheetId="16" r:id="rId23"/>
    <sheet name="Forex Conversions" sheetId="25" r:id="rId24"/>
    <sheet name="Cycles" sheetId="30" r:id="rId25"/>
    <sheet name="External Data" sheetId="26" r:id="rId26"/>
  </sheets>
  <externalReferences>
    <externalReference r:id="rId27"/>
  </externalReferences>
  <definedNames>
    <definedName name="CYCLE_LIST">Cycles!$B$5:$R$5</definedName>
    <definedName name="D_GCV" localSheetId="17">'[1]Unit Conversions'!$B$4</definedName>
    <definedName name="D_GCV" localSheetId="16">'[1]Unit Conversions'!$B$4</definedName>
    <definedName name="D_GCV" localSheetId="15">'[1]Unit Conversions'!$B$4</definedName>
    <definedName name="D_GCV" localSheetId="20">'[1]Unit Conversions'!$B$4</definedName>
    <definedName name="D_GCV" localSheetId="21">'[1]Unit Conversions'!$B$4</definedName>
    <definedName name="D_GCV">'Unit Conversions'!$B$4</definedName>
    <definedName name="D_LNG_CONV">'Unit Conversions'!$B$5</definedName>
    <definedName name="D_SCENARIO">Scenario!$B$4</definedName>
    <definedName name="D_SCENARIO_COMMENTS">Scenario!$A$7</definedName>
  </definedNames>
  <calcPr calcId="191029"/>
  <pivotCaches>
    <pivotCache cacheId="3" r:id="rId28"/>
  </pivotCaches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D6" i="36" l="1"/>
  <c r="B6" i="36"/>
  <c r="B6" i="35"/>
  <c r="U6" i="35" s="1"/>
  <c r="B6" i="34"/>
  <c r="D6" i="34" s="1"/>
  <c r="U7" i="32"/>
  <c r="U6" i="32"/>
  <c r="B10" i="5"/>
  <c r="U10" i="5" s="1"/>
  <c r="B10" i="1"/>
  <c r="U10" i="1" s="1"/>
  <c r="B11" i="2"/>
  <c r="E11" i="2" s="1"/>
  <c r="B10" i="2"/>
  <c r="E10" i="2"/>
  <c r="B6" i="2"/>
  <c r="B7" i="2"/>
  <c r="B8" i="2"/>
  <c r="B9" i="2"/>
  <c r="B15" i="12"/>
  <c r="D15" i="12"/>
  <c r="G6" i="18"/>
  <c r="B11" i="9"/>
  <c r="D11" i="9"/>
  <c r="E8" i="2"/>
  <c r="D10" i="9"/>
  <c r="A29" i="24"/>
  <c r="A30" i="24"/>
  <c r="A31" i="24" s="1"/>
  <c r="A32" i="24" s="1"/>
  <c r="A33" i="24" s="1"/>
  <c r="A34" i="24" s="1"/>
  <c r="A35" i="24" s="1"/>
  <c r="A36" i="24" s="1"/>
  <c r="A37" i="24" s="1"/>
  <c r="A38" i="24" s="1"/>
  <c r="A39" i="24" s="1"/>
  <c r="A40" i="24" s="1"/>
  <c r="A41" i="24" s="1"/>
  <c r="A42" i="24" s="1"/>
  <c r="A43" i="24" s="1"/>
  <c r="A44" i="24" s="1"/>
  <c r="A45" i="24" s="1"/>
  <c r="A7" i="24"/>
  <c r="A8" i="24" s="1"/>
  <c r="A9" i="24" s="1"/>
  <c r="A10" i="24" s="1"/>
  <c r="A11" i="24" s="1"/>
  <c r="A12" i="24" s="1"/>
  <c r="A13" i="24" s="1"/>
  <c r="A14" i="24" s="1"/>
  <c r="A15" i="24" s="1"/>
  <c r="A16" i="24" s="1"/>
  <c r="A17" i="24" s="1"/>
  <c r="A18" i="24" s="1"/>
  <c r="A19" i="24" s="1"/>
  <c r="A20" i="24" s="1"/>
  <c r="A21" i="24" s="1"/>
  <c r="A22" i="24" s="1"/>
  <c r="A23" i="24" s="1"/>
  <c r="A24" i="24" s="1"/>
  <c r="A25" i="24" s="1"/>
  <c r="A26" i="24" s="1"/>
  <c r="A27" i="24" s="1"/>
  <c r="A28" i="24" s="1"/>
  <c r="E10" i="16"/>
  <c r="E9" i="16" s="1"/>
  <c r="D9" i="16"/>
  <c r="J9" i="16"/>
  <c r="C16" i="16" s="1"/>
  <c r="J8" i="16"/>
  <c r="B16" i="16" s="1"/>
  <c r="D8" i="16"/>
  <c r="B7" i="16" a="1"/>
  <c r="B7" i="16" s="1"/>
  <c r="B6" i="19"/>
  <c r="A10" i="19"/>
  <c r="B10" i="19" s="1"/>
  <c r="A7" i="19"/>
  <c r="A8" i="19" s="1"/>
  <c r="D6" i="17"/>
  <c r="B7" i="17"/>
  <c r="D7" i="17" s="1"/>
  <c r="B6" i="17"/>
  <c r="B6" i="18" s="1"/>
  <c r="F15" i="16"/>
  <c r="I12" i="16" s="1"/>
  <c r="H13" i="16"/>
  <c r="G12" i="16"/>
  <c r="H12" i="16" s="1"/>
  <c r="F11" i="16"/>
  <c r="G11" i="16" s="1"/>
  <c r="H11" i="16" s="1"/>
  <c r="C10" i="16"/>
  <c r="C8" i="16"/>
  <c r="B9" i="16" s="1"/>
  <c r="G14" i="16"/>
  <c r="F13" i="16"/>
  <c r="F14" i="16" s="1"/>
  <c r="E12" i="16"/>
  <c r="E13" i="16" s="1"/>
  <c r="E14" i="16" s="1"/>
  <c r="B6" i="15"/>
  <c r="A10" i="15"/>
  <c r="B10" i="15" s="1"/>
  <c r="D10" i="15" s="1"/>
  <c r="A7" i="15"/>
  <c r="A8" i="15" s="1"/>
  <c r="B6" i="10"/>
  <c r="B7" i="6"/>
  <c r="D7" i="6" s="1"/>
  <c r="B8" i="12"/>
  <c r="D6" i="12"/>
  <c r="B6" i="12"/>
  <c r="F6" i="12" s="1"/>
  <c r="G6" i="12" s="1"/>
  <c r="A7" i="10"/>
  <c r="A8" i="10" s="1"/>
  <c r="A9" i="10" s="1"/>
  <c r="A10" i="10"/>
  <c r="A11" i="10" s="1"/>
  <c r="A12" i="10" s="1"/>
  <c r="A13" i="10" s="1"/>
  <c r="E7" i="2"/>
  <c r="B6" i="6"/>
  <c r="D6" i="6" s="1"/>
  <c r="B6" i="5"/>
  <c r="U6" i="5" s="1"/>
  <c r="E6" i="2"/>
  <c r="C6" i="25"/>
  <c r="C7" i="25"/>
  <c r="D6" i="25"/>
  <c r="D7" i="25"/>
  <c r="E6" i="25"/>
  <c r="E7" i="25"/>
  <c r="F7" i="25" s="1"/>
  <c r="F6" i="25"/>
  <c r="G6" i="25"/>
  <c r="G7" i="25"/>
  <c r="H6" i="25"/>
  <c r="H7" i="25"/>
  <c r="I6" i="25"/>
  <c r="J6" i="25" s="1"/>
  <c r="K6" i="25" s="1"/>
  <c r="L6" i="25" s="1"/>
  <c r="M6" i="25" s="1"/>
  <c r="N6" i="25" s="1"/>
  <c r="O6" i="25" s="1"/>
  <c r="P6" i="25" s="1"/>
  <c r="Q6" i="25"/>
  <c r="R6" i="25" s="1"/>
  <c r="I7" i="25"/>
  <c r="J7" i="25" s="1"/>
  <c r="K7" i="25" s="1"/>
  <c r="L7" i="25" s="1"/>
  <c r="M7" i="25" s="1"/>
  <c r="N7" i="25" s="1"/>
  <c r="O7" i="25" s="1"/>
  <c r="P7" i="25" s="1"/>
  <c r="Q7" i="25"/>
  <c r="R7" i="25"/>
  <c r="B6" i="25"/>
  <c r="B7" i="25"/>
  <c r="F6" i="36" l="1"/>
  <c r="G6" i="36" s="1"/>
  <c r="I6" i="36" s="1"/>
  <c r="F15" i="12"/>
  <c r="I6" i="12"/>
  <c r="W6" i="15" s="1"/>
  <c r="X6" i="15" s="1"/>
  <c r="F10" i="16"/>
  <c r="G10" i="16" s="1"/>
  <c r="H10" i="16" s="1"/>
  <c r="B7" i="18"/>
  <c r="B8" i="18"/>
  <c r="F11" i="9"/>
  <c r="E9" i="2"/>
  <c r="D10" i="12"/>
  <c r="B9" i="1"/>
  <c r="U9" i="1" s="1"/>
  <c r="D7" i="12"/>
  <c r="D13" i="12"/>
  <c r="B8" i="9"/>
  <c r="D7" i="18"/>
  <c r="B6" i="9"/>
  <c r="B6" i="1"/>
  <c r="U6" i="1" s="1"/>
  <c r="B7" i="5"/>
  <c r="U7" i="5" s="1"/>
  <c r="B9" i="5"/>
  <c r="U9" i="5" s="1"/>
  <c r="B7" i="12"/>
  <c r="B14" i="12"/>
  <c r="B10" i="12"/>
  <c r="D6" i="9"/>
  <c r="B6" i="8"/>
  <c r="U6" i="8" s="1"/>
  <c r="D9" i="12"/>
  <c r="B7" i="9"/>
  <c r="B8" i="1"/>
  <c r="U8" i="1" s="1"/>
  <c r="D8" i="12"/>
  <c r="D11" i="12"/>
  <c r="D8" i="9"/>
  <c r="B8" i="5"/>
  <c r="U8" i="5" s="1"/>
  <c r="B9" i="12"/>
  <c r="B12" i="12"/>
  <c r="D6" i="18"/>
  <c r="F6" i="18" s="1"/>
  <c r="G7" i="18" s="1"/>
  <c r="B10" i="9"/>
  <c r="D7" i="9"/>
  <c r="D9" i="9"/>
  <c r="B11" i="12"/>
  <c r="B13" i="12"/>
  <c r="B9" i="9"/>
  <c r="D8" i="18"/>
  <c r="B7" i="1"/>
  <c r="U7" i="1" s="1"/>
  <c r="D12" i="12"/>
  <c r="D14" i="12"/>
  <c r="B7" i="8"/>
  <c r="U7" i="8" s="1"/>
  <c r="J10" i="16"/>
  <c r="D16" i="16" s="1"/>
  <c r="H7" i="16"/>
  <c r="G7" i="16"/>
  <c r="F7" i="16"/>
  <c r="E7" i="16"/>
  <c r="D7" i="16"/>
  <c r="C7" i="16"/>
  <c r="I7" i="16"/>
  <c r="J7" i="16"/>
  <c r="A9" i="15"/>
  <c r="A11" i="19"/>
  <c r="B10" i="10"/>
  <c r="A14" i="10"/>
  <c r="A9" i="19"/>
  <c r="D10" i="19"/>
  <c r="C12" i="19"/>
  <c r="D13" i="19"/>
  <c r="C10" i="19"/>
  <c r="C13" i="19"/>
  <c r="D11" i="19"/>
  <c r="C11" i="19"/>
  <c r="D12" i="19"/>
  <c r="A14" i="19"/>
  <c r="E15" i="16"/>
  <c r="I11" i="16" s="1"/>
  <c r="G15" i="16"/>
  <c r="B10" i="16"/>
  <c r="D11" i="16"/>
  <c r="D15" i="16"/>
  <c r="C15" i="16" s="1"/>
  <c r="C10" i="15"/>
  <c r="D13" i="15"/>
  <c r="C13" i="15"/>
  <c r="C11" i="15"/>
  <c r="D12" i="15"/>
  <c r="C12" i="15"/>
  <c r="D11" i="15"/>
  <c r="A11" i="15"/>
  <c r="A14" i="15"/>
  <c r="F12" i="12" l="1"/>
  <c r="F7" i="12"/>
  <c r="F13" i="12"/>
  <c r="F14" i="12"/>
  <c r="F9" i="12"/>
  <c r="F11" i="12"/>
  <c r="F10" i="12"/>
  <c r="F8" i="12"/>
  <c r="G8" i="12" s="1"/>
  <c r="I8" i="12" s="1"/>
  <c r="W14" i="15" s="1"/>
  <c r="X14" i="15" s="1"/>
  <c r="F8" i="18"/>
  <c r="I7" i="18"/>
  <c r="W10" i="19" s="1"/>
  <c r="X10" i="19" s="1"/>
  <c r="F7" i="18"/>
  <c r="G8" i="18" s="1"/>
  <c r="I8" i="18" s="1"/>
  <c r="W14" i="19" s="1"/>
  <c r="X14" i="19" s="1"/>
  <c r="I6" i="18"/>
  <c r="W6" i="19" s="1"/>
  <c r="X6" i="19" s="1"/>
  <c r="F10" i="9"/>
  <c r="F7" i="9"/>
  <c r="F8" i="9"/>
  <c r="F9" i="9"/>
  <c r="F6" i="9"/>
  <c r="W8" i="15"/>
  <c r="X8" i="15" s="1"/>
  <c r="W9" i="15"/>
  <c r="X9" i="15" s="1"/>
  <c r="W7" i="15"/>
  <c r="X7" i="15" s="1"/>
  <c r="B14" i="15"/>
  <c r="B14" i="19"/>
  <c r="A12" i="19"/>
  <c r="A15" i="10"/>
  <c r="B14" i="10"/>
  <c r="A18" i="10"/>
  <c r="C13" i="10"/>
  <c r="C10" i="10"/>
  <c r="D12" i="10"/>
  <c r="D13" i="10"/>
  <c r="C12" i="10"/>
  <c r="D11" i="10"/>
  <c r="D10" i="10"/>
  <c r="C11" i="10"/>
  <c r="A15" i="19"/>
  <c r="A18" i="19"/>
  <c r="I13" i="16"/>
  <c r="H15" i="16"/>
  <c r="I14" i="16" s="1"/>
  <c r="I10" i="16"/>
  <c r="C11" i="16"/>
  <c r="D12" i="16"/>
  <c r="D13" i="16" s="1"/>
  <c r="D14" i="16" s="1"/>
  <c r="F9" i="16"/>
  <c r="G9" i="16" s="1"/>
  <c r="H9" i="16" s="1"/>
  <c r="E8" i="16"/>
  <c r="A15" i="15"/>
  <c r="A18" i="15"/>
  <c r="A12" i="15"/>
  <c r="G11" i="12" l="1"/>
  <c r="I11" i="12" s="1"/>
  <c r="G10" i="12"/>
  <c r="I10" i="12" s="1"/>
  <c r="G9" i="12"/>
  <c r="I9" i="12" s="1"/>
  <c r="W18" i="15" s="1"/>
  <c r="X18" i="15" s="1"/>
  <c r="G14" i="12"/>
  <c r="I14" i="12" s="1"/>
  <c r="G13" i="12"/>
  <c r="I13" i="12" s="1"/>
  <c r="W15" i="15"/>
  <c r="X15" i="15" s="1"/>
  <c r="G7" i="12"/>
  <c r="I7" i="12" s="1"/>
  <c r="W10" i="15" s="1"/>
  <c r="X10" i="15" s="1"/>
  <c r="G15" i="12"/>
  <c r="I15" i="12" s="1"/>
  <c r="G12" i="12"/>
  <c r="I12" i="12" s="1"/>
  <c r="W7" i="19"/>
  <c r="X7" i="19" s="1"/>
  <c r="W9" i="19"/>
  <c r="X9" i="19" s="1"/>
  <c r="W8" i="19"/>
  <c r="X8" i="19" s="1"/>
  <c r="W11" i="19"/>
  <c r="X11" i="19" s="1"/>
  <c r="W15" i="19"/>
  <c r="X15" i="19" s="1"/>
  <c r="G8" i="9"/>
  <c r="I8" i="9" s="1"/>
  <c r="W14" i="10" s="1"/>
  <c r="X14" i="10" s="1"/>
  <c r="G11" i="9"/>
  <c r="I11" i="9" s="1"/>
  <c r="G9" i="9"/>
  <c r="I9" i="9" s="1"/>
  <c r="W18" i="10" s="1"/>
  <c r="X18" i="10" s="1"/>
  <c r="G7" i="9"/>
  <c r="I7" i="9" s="1"/>
  <c r="W12" i="10" s="1"/>
  <c r="X12" i="10" s="1"/>
  <c r="G6" i="9"/>
  <c r="I6" i="9" s="1"/>
  <c r="G10" i="9"/>
  <c r="I10" i="9" s="1"/>
  <c r="D15" i="10"/>
  <c r="C16" i="10"/>
  <c r="C17" i="10"/>
  <c r="F8" i="16"/>
  <c r="G8" i="16" s="1"/>
  <c r="H8" i="16" s="1"/>
  <c r="A2" i="16" s="1"/>
  <c r="E16" i="16"/>
  <c r="B18" i="15"/>
  <c r="W12" i="19"/>
  <c r="X12" i="19" s="1"/>
  <c r="A13" i="19"/>
  <c r="W13" i="19" s="1"/>
  <c r="X13" i="19" s="1"/>
  <c r="W18" i="19"/>
  <c r="X18" i="19" s="1"/>
  <c r="B18" i="19"/>
  <c r="A22" i="10"/>
  <c r="A19" i="10"/>
  <c r="B18" i="10"/>
  <c r="D16" i="10"/>
  <c r="C15" i="10"/>
  <c r="C14" i="10"/>
  <c r="D14" i="10"/>
  <c r="D17" i="10"/>
  <c r="A16" i="10"/>
  <c r="C17" i="19"/>
  <c r="D16" i="19"/>
  <c r="C16" i="19"/>
  <c r="D14" i="19"/>
  <c r="D17" i="19"/>
  <c r="C14" i="19"/>
  <c r="D15" i="19"/>
  <c r="C15" i="19"/>
  <c r="A19" i="19"/>
  <c r="W19" i="19" s="1"/>
  <c r="X19" i="19" s="1"/>
  <c r="A22" i="19"/>
  <c r="A16" i="19"/>
  <c r="W16" i="19" s="1"/>
  <c r="X16" i="19" s="1"/>
  <c r="C12" i="16"/>
  <c r="C13" i="16" s="1"/>
  <c r="C14" i="16" s="1"/>
  <c r="B11" i="16"/>
  <c r="B12" i="16" s="1"/>
  <c r="B13" i="16" s="1"/>
  <c r="B14" i="16" s="1"/>
  <c r="I9" i="16"/>
  <c r="B15" i="16"/>
  <c r="I8" i="16" s="1"/>
  <c r="A13" i="15"/>
  <c r="A22" i="15"/>
  <c r="A19" i="15"/>
  <c r="A16" i="15"/>
  <c r="W16" i="15" s="1"/>
  <c r="X16" i="15" s="1"/>
  <c r="D17" i="15"/>
  <c r="C14" i="15"/>
  <c r="C17" i="15"/>
  <c r="D15" i="15"/>
  <c r="C15" i="15"/>
  <c r="D14" i="15"/>
  <c r="C16" i="15"/>
  <c r="D16" i="15"/>
  <c r="W15" i="10" l="1"/>
  <c r="X15" i="10" s="1"/>
  <c r="W12" i="15"/>
  <c r="X12" i="15" s="1"/>
  <c r="W13" i="15"/>
  <c r="X13" i="15" s="1"/>
  <c r="W19" i="15"/>
  <c r="X19" i="15" s="1"/>
  <c r="W11" i="15"/>
  <c r="X11" i="15" s="1"/>
  <c r="C20" i="10"/>
  <c r="W13" i="10"/>
  <c r="X13" i="10" s="1"/>
  <c r="W10" i="10"/>
  <c r="X10" i="10" s="1"/>
  <c r="W11" i="10"/>
  <c r="X11" i="10" s="1"/>
  <c r="W6" i="10"/>
  <c r="X6" i="10" s="1"/>
  <c r="W7" i="10"/>
  <c r="X7" i="10" s="1"/>
  <c r="W8" i="10"/>
  <c r="X8" i="10" s="1"/>
  <c r="W9" i="10"/>
  <c r="X9" i="10" s="1"/>
  <c r="J11" i="16"/>
  <c r="F16" i="16"/>
  <c r="W22" i="15"/>
  <c r="X22" i="15" s="1"/>
  <c r="B22" i="15"/>
  <c r="W22" i="19"/>
  <c r="X22" i="19" s="1"/>
  <c r="B22" i="19"/>
  <c r="A17" i="10"/>
  <c r="W17" i="10" s="1"/>
  <c r="X17" i="10" s="1"/>
  <c r="W16" i="10"/>
  <c r="X16" i="10" s="1"/>
  <c r="C18" i="10"/>
  <c r="C19" i="10"/>
  <c r="D20" i="10"/>
  <c r="D21" i="10"/>
  <c r="D19" i="10"/>
  <c r="A20" i="10"/>
  <c r="W19" i="10"/>
  <c r="X19" i="10" s="1"/>
  <c r="B22" i="10"/>
  <c r="W22" i="10"/>
  <c r="X22" i="10" s="1"/>
  <c r="A26" i="10"/>
  <c r="A23" i="10"/>
  <c r="D18" i="10"/>
  <c r="C21" i="10"/>
  <c r="A17" i="19"/>
  <c r="W17" i="19" s="1"/>
  <c r="X17" i="19" s="1"/>
  <c r="A26" i="19"/>
  <c r="A23" i="19"/>
  <c r="W23" i="19" s="1"/>
  <c r="X23" i="19" s="1"/>
  <c r="A20" i="19"/>
  <c r="W20" i="19" s="1"/>
  <c r="X20" i="19" s="1"/>
  <c r="C21" i="19"/>
  <c r="D19" i="19"/>
  <c r="C19" i="19"/>
  <c r="C20" i="19"/>
  <c r="D20" i="19"/>
  <c r="C18" i="19"/>
  <c r="D18" i="19"/>
  <c r="D21" i="19"/>
  <c r="D20" i="15"/>
  <c r="C20" i="15"/>
  <c r="D18" i="15"/>
  <c r="D21" i="15"/>
  <c r="C18" i="15"/>
  <c r="C19" i="15"/>
  <c r="C21" i="15"/>
  <c r="D19" i="15"/>
  <c r="A20" i="15"/>
  <c r="W20" i="15" s="1"/>
  <c r="X20" i="15" s="1"/>
  <c r="A23" i="15"/>
  <c r="W23" i="15" s="1"/>
  <c r="X23" i="15" s="1"/>
  <c r="A26" i="15"/>
  <c r="A17" i="15"/>
  <c r="W17" i="15" s="1"/>
  <c r="X17" i="15" s="1"/>
  <c r="C25" i="10" l="1"/>
  <c r="D22" i="10"/>
  <c r="D24" i="10"/>
  <c r="D23" i="10"/>
  <c r="G16" i="16"/>
  <c r="J12" i="16"/>
  <c r="B26" i="15"/>
  <c r="W26" i="15"/>
  <c r="X26" i="15" s="1"/>
  <c r="B26" i="19"/>
  <c r="W26" i="19"/>
  <c r="X26" i="19" s="1"/>
  <c r="W23" i="10"/>
  <c r="X23" i="10" s="1"/>
  <c r="A24" i="10"/>
  <c r="C23" i="10"/>
  <c r="D25" i="10"/>
  <c r="C22" i="10"/>
  <c r="A30" i="10"/>
  <c r="B26" i="10"/>
  <c r="W26" i="10"/>
  <c r="X26" i="10" s="1"/>
  <c r="A27" i="10"/>
  <c r="A21" i="10"/>
  <c r="W21" i="10" s="1"/>
  <c r="X21" i="10" s="1"/>
  <c r="W20" i="10"/>
  <c r="X20" i="10" s="1"/>
  <c r="C24" i="10"/>
  <c r="A21" i="19"/>
  <c r="W21" i="19" s="1"/>
  <c r="X21" i="19" s="1"/>
  <c r="A24" i="19"/>
  <c r="W24" i="19" s="1"/>
  <c r="X24" i="19" s="1"/>
  <c r="A27" i="19"/>
  <c r="W27" i="19" s="1"/>
  <c r="X27" i="19" s="1"/>
  <c r="A30" i="19"/>
  <c r="C24" i="19"/>
  <c r="D22" i="19"/>
  <c r="D25" i="19"/>
  <c r="C22" i="19"/>
  <c r="C25" i="19"/>
  <c r="D23" i="19"/>
  <c r="C23" i="19"/>
  <c r="D24" i="19"/>
  <c r="D23" i="15"/>
  <c r="C23" i="15"/>
  <c r="D24" i="15"/>
  <c r="C25" i="15"/>
  <c r="D25" i="15"/>
  <c r="C24" i="15"/>
  <c r="C22" i="15"/>
  <c r="D22" i="15"/>
  <c r="A27" i="15"/>
  <c r="W27" i="15" s="1"/>
  <c r="X27" i="15" s="1"/>
  <c r="A30" i="15"/>
  <c r="A24" i="15"/>
  <c r="W24" i="15" s="1"/>
  <c r="X24" i="15" s="1"/>
  <c r="A21" i="15"/>
  <c r="W21" i="15" s="1"/>
  <c r="X21" i="15" s="1"/>
  <c r="H16" i="16" l="1"/>
  <c r="J13" i="16"/>
  <c r="W30" i="15"/>
  <c r="X30" i="15" s="1"/>
  <c r="B30" i="15"/>
  <c r="W30" i="19"/>
  <c r="X30" i="19" s="1"/>
  <c r="B30" i="19"/>
  <c r="D26" i="10"/>
  <c r="C27" i="10"/>
  <c r="D27" i="10"/>
  <c r="C29" i="10"/>
  <c r="C28" i="10"/>
  <c r="D29" i="10"/>
  <c r="C26" i="10"/>
  <c r="D28" i="10"/>
  <c r="W30" i="10"/>
  <c r="X30" i="10" s="1"/>
  <c r="B30" i="10"/>
  <c r="A34" i="10"/>
  <c r="A31" i="10"/>
  <c r="A25" i="10"/>
  <c r="W25" i="10" s="1"/>
  <c r="X25" i="10" s="1"/>
  <c r="W24" i="10"/>
  <c r="X24" i="10" s="1"/>
  <c r="W27" i="10"/>
  <c r="X27" i="10" s="1"/>
  <c r="A28" i="10"/>
  <c r="A31" i="19"/>
  <c r="W31" i="19" s="1"/>
  <c r="X31" i="19" s="1"/>
  <c r="A34" i="19"/>
  <c r="A28" i="19"/>
  <c r="W28" i="19" s="1"/>
  <c r="X28" i="19" s="1"/>
  <c r="A25" i="19"/>
  <c r="W25" i="19" s="1"/>
  <c r="X25" i="19" s="1"/>
  <c r="C27" i="19"/>
  <c r="D28" i="19"/>
  <c r="C26" i="19"/>
  <c r="C28" i="19"/>
  <c r="D26" i="19"/>
  <c r="D29" i="19"/>
  <c r="D27" i="19"/>
  <c r="C29" i="19"/>
  <c r="A25" i="15"/>
  <c r="W25" i="15" s="1"/>
  <c r="X25" i="15" s="1"/>
  <c r="A31" i="15"/>
  <c r="W31" i="15" s="1"/>
  <c r="X31" i="15" s="1"/>
  <c r="A34" i="15"/>
  <c r="A28" i="15"/>
  <c r="W28" i="15" s="1"/>
  <c r="X28" i="15" s="1"/>
  <c r="D26" i="15"/>
  <c r="D29" i="15"/>
  <c r="C26" i="15"/>
  <c r="C27" i="15"/>
  <c r="C29" i="15"/>
  <c r="D27" i="15"/>
  <c r="D28" i="15"/>
  <c r="C28" i="15"/>
  <c r="J14" i="16" l="1"/>
  <c r="I16" i="16"/>
  <c r="J15" i="16" s="1"/>
  <c r="B34" i="15"/>
  <c r="W34" i="15"/>
  <c r="X34" i="15" s="1"/>
  <c r="W34" i="19"/>
  <c r="X34" i="19" s="1"/>
  <c r="B34" i="19"/>
  <c r="W34" i="10"/>
  <c r="X34" i="10" s="1"/>
  <c r="B34" i="10"/>
  <c r="A38" i="10"/>
  <c r="A35" i="10"/>
  <c r="A32" i="10"/>
  <c r="W31" i="10"/>
  <c r="X31" i="10" s="1"/>
  <c r="D30" i="10"/>
  <c r="C33" i="10"/>
  <c r="C31" i="10"/>
  <c r="D31" i="10"/>
  <c r="D33" i="10"/>
  <c r="C30" i="10"/>
  <c r="C32" i="10"/>
  <c r="D32" i="10"/>
  <c r="W28" i="10"/>
  <c r="X28" i="10" s="1"/>
  <c r="A29" i="10"/>
  <c r="W29" i="10" s="1"/>
  <c r="X29" i="10" s="1"/>
  <c r="A29" i="19"/>
  <c r="W29" i="19" s="1"/>
  <c r="X29" i="19" s="1"/>
  <c r="A38" i="19"/>
  <c r="A35" i="19"/>
  <c r="W35" i="19" s="1"/>
  <c r="X35" i="19" s="1"/>
  <c r="A32" i="19"/>
  <c r="W32" i="19" s="1"/>
  <c r="X32" i="19" s="1"/>
  <c r="D33" i="19"/>
  <c r="C30" i="19"/>
  <c r="C33" i="19"/>
  <c r="D31" i="19"/>
  <c r="C31" i="19"/>
  <c r="D32" i="19"/>
  <c r="C32" i="19"/>
  <c r="D30" i="19"/>
  <c r="A29" i="15"/>
  <c r="W29" i="15" s="1"/>
  <c r="X29" i="15" s="1"/>
  <c r="D32" i="15"/>
  <c r="D33" i="15"/>
  <c r="C30" i="15"/>
  <c r="C32" i="15"/>
  <c r="D30" i="15"/>
  <c r="C33" i="15"/>
  <c r="D31" i="15"/>
  <c r="C31" i="15"/>
  <c r="A38" i="15"/>
  <c r="A35" i="15"/>
  <c r="W35" i="15" s="1"/>
  <c r="X35" i="15" s="1"/>
  <c r="A32" i="15"/>
  <c r="W32" i="15" s="1"/>
  <c r="X32" i="15" s="1"/>
  <c r="W38" i="15" l="1"/>
  <c r="X38" i="15" s="1"/>
  <c r="B38" i="15"/>
  <c r="W38" i="19"/>
  <c r="X38" i="19" s="1"/>
  <c r="B38" i="19"/>
  <c r="A33" i="10"/>
  <c r="W33" i="10" s="1"/>
  <c r="X33" i="10" s="1"/>
  <c r="W32" i="10"/>
  <c r="X32" i="10" s="1"/>
  <c r="A36" i="10"/>
  <c r="W35" i="10"/>
  <c r="X35" i="10" s="1"/>
  <c r="A39" i="10"/>
  <c r="B38" i="10"/>
  <c r="A42" i="10"/>
  <c r="W38" i="10"/>
  <c r="X38" i="10" s="1"/>
  <c r="D37" i="10"/>
  <c r="C35" i="10"/>
  <c r="C37" i="10"/>
  <c r="C36" i="10"/>
  <c r="D35" i="10"/>
  <c r="C34" i="10"/>
  <c r="D34" i="10"/>
  <c r="D36" i="10"/>
  <c r="D36" i="19"/>
  <c r="C36" i="19"/>
  <c r="D34" i="19"/>
  <c r="D35" i="19"/>
  <c r="D37" i="19"/>
  <c r="C34" i="19"/>
  <c r="C37" i="19"/>
  <c r="C35" i="19"/>
  <c r="A36" i="19"/>
  <c r="W36" i="19" s="1"/>
  <c r="X36" i="19" s="1"/>
  <c r="A33" i="19"/>
  <c r="W33" i="19" s="1"/>
  <c r="X33" i="19" s="1"/>
  <c r="A39" i="19"/>
  <c r="W39" i="19" s="1"/>
  <c r="X39" i="19" s="1"/>
  <c r="A42" i="19"/>
  <c r="C37" i="15"/>
  <c r="D35" i="15"/>
  <c r="D36" i="15"/>
  <c r="C35" i="15"/>
  <c r="D37" i="15"/>
  <c r="C36" i="15"/>
  <c r="D34" i="15"/>
  <c r="C34" i="15"/>
  <c r="A33" i="15"/>
  <c r="W33" i="15" s="1"/>
  <c r="X33" i="15" s="1"/>
  <c r="A36" i="15"/>
  <c r="W36" i="15" s="1"/>
  <c r="X36" i="15" s="1"/>
  <c r="A39" i="15"/>
  <c r="W39" i="15" s="1"/>
  <c r="X39" i="15" s="1"/>
  <c r="A42" i="15"/>
  <c r="B42" i="15" l="1"/>
  <c r="W42" i="15"/>
  <c r="X42" i="15" s="1"/>
  <c r="B42" i="19"/>
  <c r="W42" i="19"/>
  <c r="X42" i="19" s="1"/>
  <c r="A37" i="10"/>
  <c r="W37" i="10" s="1"/>
  <c r="X37" i="10" s="1"/>
  <c r="W36" i="10"/>
  <c r="X36" i="10" s="1"/>
  <c r="D41" i="10"/>
  <c r="D38" i="10"/>
  <c r="C40" i="10"/>
  <c r="C38" i="10"/>
  <c r="D40" i="10"/>
  <c r="C41" i="10"/>
  <c r="C39" i="10"/>
  <c r="D39" i="10"/>
  <c r="A40" i="10"/>
  <c r="W39" i="10"/>
  <c r="X39" i="10" s="1"/>
  <c r="A43" i="10"/>
  <c r="A46" i="10"/>
  <c r="W42" i="10"/>
  <c r="X42" i="10" s="1"/>
  <c r="B42" i="10"/>
  <c r="A43" i="19"/>
  <c r="W43" i="19" s="1"/>
  <c r="X43" i="19" s="1"/>
  <c r="A46" i="19"/>
  <c r="D39" i="19"/>
  <c r="C39" i="19"/>
  <c r="C41" i="19"/>
  <c r="D40" i="19"/>
  <c r="C40" i="19"/>
  <c r="D38" i="19"/>
  <c r="D41" i="19"/>
  <c r="C38" i="19"/>
  <c r="A40" i="19"/>
  <c r="W40" i="19" s="1"/>
  <c r="X40" i="19" s="1"/>
  <c r="A37" i="19"/>
  <c r="W37" i="19" s="1"/>
  <c r="X37" i="19" s="1"/>
  <c r="A40" i="15"/>
  <c r="W40" i="15" s="1"/>
  <c r="X40" i="15" s="1"/>
  <c r="A37" i="15"/>
  <c r="W37" i="15" s="1"/>
  <c r="X37" i="15" s="1"/>
  <c r="C40" i="15"/>
  <c r="D38" i="15"/>
  <c r="D39" i="15"/>
  <c r="D41" i="15"/>
  <c r="C38" i="15"/>
  <c r="C41" i="15"/>
  <c r="D40" i="15"/>
  <c r="C39" i="15"/>
  <c r="A43" i="15"/>
  <c r="W43" i="15" s="1"/>
  <c r="X43" i="15" s="1"/>
  <c r="A46" i="15"/>
  <c r="B46" i="15" l="1"/>
  <c r="W46" i="15"/>
  <c r="X46" i="15" s="1"/>
  <c r="W46" i="19"/>
  <c r="X46" i="19" s="1"/>
  <c r="B46" i="19"/>
  <c r="A47" i="10"/>
  <c r="A50" i="10"/>
  <c r="W46" i="10"/>
  <c r="X46" i="10" s="1"/>
  <c r="B46" i="10"/>
  <c r="D45" i="10"/>
  <c r="C42" i="10"/>
  <c r="C43" i="10"/>
  <c r="C44" i="10"/>
  <c r="D42" i="10"/>
  <c r="D44" i="10"/>
  <c r="C45" i="10"/>
  <c r="D43" i="10"/>
  <c r="A44" i="10"/>
  <c r="W43" i="10"/>
  <c r="X43" i="10" s="1"/>
  <c r="A41" i="10"/>
  <c r="W41" i="10" s="1"/>
  <c r="X41" i="10" s="1"/>
  <c r="W40" i="10"/>
  <c r="X40" i="10" s="1"/>
  <c r="A41" i="19"/>
  <c r="W41" i="19" s="1"/>
  <c r="X41" i="19" s="1"/>
  <c r="A47" i="19"/>
  <c r="W47" i="19" s="1"/>
  <c r="X47" i="19" s="1"/>
  <c r="A50" i="19"/>
  <c r="A44" i="19"/>
  <c r="W44" i="19" s="1"/>
  <c r="X44" i="19" s="1"/>
  <c r="D42" i="19"/>
  <c r="D45" i="19"/>
  <c r="C42" i="19"/>
  <c r="C45" i="19"/>
  <c r="D43" i="19"/>
  <c r="C43" i="19"/>
  <c r="D44" i="19"/>
  <c r="C44" i="19"/>
  <c r="C43" i="15"/>
  <c r="D42" i="15"/>
  <c r="D44" i="15"/>
  <c r="C44" i="15"/>
  <c r="C45" i="15"/>
  <c r="D45" i="15"/>
  <c r="D43" i="15"/>
  <c r="C42" i="15"/>
  <c r="A47" i="15"/>
  <c r="W47" i="15" s="1"/>
  <c r="X47" i="15" s="1"/>
  <c r="A50" i="15"/>
  <c r="A44" i="15"/>
  <c r="W44" i="15" s="1"/>
  <c r="X44" i="15" s="1"/>
  <c r="A41" i="15"/>
  <c r="W41" i="15" s="1"/>
  <c r="X41" i="15" s="1"/>
  <c r="B50" i="15" l="1"/>
  <c r="W50" i="15"/>
  <c r="X50" i="15" s="1"/>
  <c r="W50" i="19"/>
  <c r="X50" i="19" s="1"/>
  <c r="B50" i="19"/>
  <c r="A45" i="10"/>
  <c r="W45" i="10" s="1"/>
  <c r="X45" i="10" s="1"/>
  <c r="W44" i="10"/>
  <c r="X44" i="10" s="1"/>
  <c r="A51" i="10"/>
  <c r="A54" i="10"/>
  <c r="B50" i="10"/>
  <c r="W50" i="10"/>
  <c r="X50" i="10" s="1"/>
  <c r="D49" i="10"/>
  <c r="C48" i="10"/>
  <c r="C46" i="10"/>
  <c r="D47" i="10"/>
  <c r="D48" i="10"/>
  <c r="D46" i="10"/>
  <c r="C47" i="10"/>
  <c r="C49" i="10"/>
  <c r="A48" i="10"/>
  <c r="W47" i="10"/>
  <c r="X47" i="10" s="1"/>
  <c r="C47" i="19"/>
  <c r="D48" i="19"/>
  <c r="C48" i="19"/>
  <c r="D46" i="19"/>
  <c r="D49" i="19"/>
  <c r="C46" i="19"/>
  <c r="C49" i="19"/>
  <c r="D47" i="19"/>
  <c r="A51" i="19"/>
  <c r="W51" i="19" s="1"/>
  <c r="X51" i="19" s="1"/>
  <c r="A54" i="19"/>
  <c r="A58" i="19" s="1"/>
  <c r="A45" i="19"/>
  <c r="W45" i="19" s="1"/>
  <c r="X45" i="19" s="1"/>
  <c r="A48" i="19"/>
  <c r="W48" i="19" s="1"/>
  <c r="X48" i="19" s="1"/>
  <c r="A45" i="15"/>
  <c r="W45" i="15" s="1"/>
  <c r="X45" i="15" s="1"/>
  <c r="A54" i="15"/>
  <c r="A58" i="15" s="1"/>
  <c r="A51" i="15"/>
  <c r="W51" i="15" s="1"/>
  <c r="X51" i="15" s="1"/>
  <c r="A48" i="15"/>
  <c r="W48" i="15" s="1"/>
  <c r="X48" i="15" s="1"/>
  <c r="D49" i="15"/>
  <c r="C46" i="15"/>
  <c r="C49" i="15"/>
  <c r="D47" i="15"/>
  <c r="C47" i="15"/>
  <c r="D48" i="15"/>
  <c r="C48" i="15"/>
  <c r="D46" i="15"/>
  <c r="A59" i="15" l="1"/>
  <c r="W58" i="15"/>
  <c r="X58" i="15" s="1"/>
  <c r="A62" i="15"/>
  <c r="B58" i="15"/>
  <c r="B58" i="19"/>
  <c r="W58" i="19"/>
  <c r="X58" i="19" s="1"/>
  <c r="A59" i="19"/>
  <c r="A62" i="19"/>
  <c r="A55" i="10"/>
  <c r="A56" i="10" s="1"/>
  <c r="A57" i="10" s="1"/>
  <c r="A58" i="10"/>
  <c r="B54" i="15"/>
  <c r="W54" i="15"/>
  <c r="X54" i="15" s="1"/>
  <c r="B54" i="19"/>
  <c r="W54" i="19"/>
  <c r="X54" i="19" s="1"/>
  <c r="D50" i="10"/>
  <c r="C50" i="10"/>
  <c r="D52" i="10"/>
  <c r="C52" i="10"/>
  <c r="C51" i="10"/>
  <c r="C53" i="10"/>
  <c r="D51" i="10"/>
  <c r="D53" i="10"/>
  <c r="A49" i="10"/>
  <c r="W49" i="10" s="1"/>
  <c r="X49" i="10" s="1"/>
  <c r="W48" i="10"/>
  <c r="X48" i="10" s="1"/>
  <c r="A52" i="10"/>
  <c r="W51" i="10"/>
  <c r="X51" i="10" s="1"/>
  <c r="A49" i="19"/>
  <c r="W49" i="19" s="1"/>
  <c r="X49" i="19" s="1"/>
  <c r="A52" i="19"/>
  <c r="W52" i="19" s="1"/>
  <c r="X52" i="19" s="1"/>
  <c r="A55" i="19"/>
  <c r="W55" i="19" s="1"/>
  <c r="X55" i="19" s="1"/>
  <c r="C53" i="19"/>
  <c r="D51" i="19"/>
  <c r="C51" i="19"/>
  <c r="D52" i="19"/>
  <c r="C52" i="19"/>
  <c r="C50" i="19"/>
  <c r="D50" i="19"/>
  <c r="D53" i="19"/>
  <c r="D52" i="15"/>
  <c r="C52" i="15"/>
  <c r="C53" i="15"/>
  <c r="D50" i="15"/>
  <c r="D53" i="15"/>
  <c r="C50" i="15"/>
  <c r="D51" i="15"/>
  <c r="C51" i="15"/>
  <c r="A55" i="15"/>
  <c r="W55" i="15" s="1"/>
  <c r="X55" i="15" s="1"/>
  <c r="A49" i="15"/>
  <c r="W49" i="15" s="1"/>
  <c r="X49" i="15" s="1"/>
  <c r="A52" i="15"/>
  <c r="W52" i="15" s="1"/>
  <c r="X52" i="15" s="1"/>
  <c r="W54" i="10"/>
  <c r="X54" i="10" s="1"/>
  <c r="B54" i="10"/>
  <c r="D59" i="15" l="1"/>
  <c r="D60" i="15"/>
  <c r="C60" i="15"/>
  <c r="D58" i="15"/>
  <c r="C59" i="15"/>
  <c r="D61" i="15"/>
  <c r="C58" i="15"/>
  <c r="C61" i="15"/>
  <c r="W62" i="15"/>
  <c r="X62" i="15" s="1"/>
  <c r="B62" i="15"/>
  <c r="A63" i="15"/>
  <c r="A66" i="15"/>
  <c r="A60" i="15"/>
  <c r="W59" i="15"/>
  <c r="X59" i="15" s="1"/>
  <c r="W62" i="19"/>
  <c r="X62" i="19" s="1"/>
  <c r="B62" i="19"/>
  <c r="A66" i="19"/>
  <c r="A63" i="19"/>
  <c r="W59" i="19"/>
  <c r="X59" i="19" s="1"/>
  <c r="A60" i="19"/>
  <c r="C58" i="19"/>
  <c r="D60" i="19"/>
  <c r="C60" i="19"/>
  <c r="D58" i="19"/>
  <c r="D61" i="19"/>
  <c r="C61" i="19"/>
  <c r="D59" i="19"/>
  <c r="C59" i="19"/>
  <c r="B58" i="10"/>
  <c r="A62" i="10"/>
  <c r="W58" i="10"/>
  <c r="X58" i="10" s="1"/>
  <c r="A59" i="10"/>
  <c r="A53" i="10"/>
  <c r="W53" i="10" s="1"/>
  <c r="X53" i="10" s="1"/>
  <c r="W52" i="10"/>
  <c r="X52" i="10" s="1"/>
  <c r="C56" i="19"/>
  <c r="D56" i="19"/>
  <c r="D54" i="19"/>
  <c r="D57" i="19"/>
  <c r="C54" i="19"/>
  <c r="C57" i="19"/>
  <c r="D55" i="19"/>
  <c r="C55" i="19"/>
  <c r="A53" i="19"/>
  <c r="W53" i="19" s="1"/>
  <c r="X53" i="19" s="1"/>
  <c r="A56" i="19"/>
  <c r="W56" i="19" s="1"/>
  <c r="X56" i="19" s="1"/>
  <c r="A53" i="15"/>
  <c r="W53" i="15" s="1"/>
  <c r="X53" i="15" s="1"/>
  <c r="D55" i="15"/>
  <c r="C55" i="15"/>
  <c r="C56" i="15"/>
  <c r="D56" i="15"/>
  <c r="D57" i="15"/>
  <c r="C57" i="15"/>
  <c r="D54" i="15"/>
  <c r="C54" i="15"/>
  <c r="A56" i="15"/>
  <c r="W56" i="15" s="1"/>
  <c r="X56" i="15" s="1"/>
  <c r="D57" i="10"/>
  <c r="C56" i="10"/>
  <c r="D54" i="10"/>
  <c r="C54" i="10"/>
  <c r="C55" i="10"/>
  <c r="D56" i="10"/>
  <c r="D55" i="10"/>
  <c r="C57" i="10"/>
  <c r="W55" i="10"/>
  <c r="X55" i="10" s="1"/>
  <c r="W60" i="15" l="1"/>
  <c r="X60" i="15" s="1"/>
  <c r="A61" i="15"/>
  <c r="W61" i="15" s="1"/>
  <c r="X61" i="15" s="1"/>
  <c r="A70" i="15"/>
  <c r="A67" i="15"/>
  <c r="W66" i="15"/>
  <c r="X66" i="15" s="1"/>
  <c r="B66" i="15"/>
  <c r="W63" i="15"/>
  <c r="X63" i="15" s="1"/>
  <c r="A64" i="15"/>
  <c r="D65" i="15"/>
  <c r="D64" i="15"/>
  <c r="C64" i="15"/>
  <c r="D62" i="15"/>
  <c r="C65" i="15"/>
  <c r="D63" i="15"/>
  <c r="C63" i="15"/>
  <c r="C62" i="15"/>
  <c r="A61" i="19"/>
  <c r="W61" i="19" s="1"/>
  <c r="X61" i="19" s="1"/>
  <c r="W60" i="19"/>
  <c r="X60" i="19" s="1"/>
  <c r="A64" i="19"/>
  <c r="W63" i="19"/>
  <c r="X63" i="19" s="1"/>
  <c r="A67" i="19"/>
  <c r="A70" i="19"/>
  <c r="W66" i="19"/>
  <c r="X66" i="19" s="1"/>
  <c r="B66" i="19"/>
  <c r="D62" i="19"/>
  <c r="D65" i="19"/>
  <c r="C62" i="19"/>
  <c r="C65" i="19"/>
  <c r="D64" i="19"/>
  <c r="D63" i="19"/>
  <c r="C63" i="19"/>
  <c r="C64" i="19"/>
  <c r="A60" i="10"/>
  <c r="W59" i="10"/>
  <c r="X59" i="10" s="1"/>
  <c r="A66" i="10"/>
  <c r="A63" i="10"/>
  <c r="W62" i="10"/>
  <c r="X62" i="10" s="1"/>
  <c r="B62" i="10"/>
  <c r="D58" i="10"/>
  <c r="D59" i="10"/>
  <c r="D60" i="10"/>
  <c r="C59" i="10"/>
  <c r="D61" i="10"/>
  <c r="C60" i="10"/>
  <c r="C58" i="10"/>
  <c r="C61" i="10"/>
  <c r="A57" i="19"/>
  <c r="W57" i="19" s="1"/>
  <c r="X57" i="19" s="1"/>
  <c r="A57" i="15"/>
  <c r="W57" i="15" s="1"/>
  <c r="X57" i="15" s="1"/>
  <c r="W56" i="10"/>
  <c r="X56" i="10" s="1"/>
  <c r="W57" i="10"/>
  <c r="X57" i="10" s="1"/>
  <c r="D69" i="15" l="1"/>
  <c r="C66" i="15"/>
  <c r="C69" i="15"/>
  <c r="D66" i="15"/>
  <c r="D67" i="15"/>
  <c r="C67" i="15"/>
  <c r="D68" i="15"/>
  <c r="C68" i="15"/>
  <c r="A65" i="15"/>
  <c r="W65" i="15" s="1"/>
  <c r="X65" i="15" s="1"/>
  <c r="W64" i="15"/>
  <c r="X64" i="15" s="1"/>
  <c r="A68" i="15"/>
  <c r="W67" i="15"/>
  <c r="X67" i="15" s="1"/>
  <c r="A74" i="15"/>
  <c r="A71" i="15"/>
  <c r="B70" i="15"/>
  <c r="W70" i="15"/>
  <c r="X70" i="15" s="1"/>
  <c r="C66" i="19"/>
  <c r="C69" i="19"/>
  <c r="C67" i="19"/>
  <c r="D68" i="19"/>
  <c r="C68" i="19"/>
  <c r="D67" i="19"/>
  <c r="D66" i="19"/>
  <c r="D69" i="19"/>
  <c r="W70" i="19"/>
  <c r="X70" i="19" s="1"/>
  <c r="B70" i="19"/>
  <c r="A71" i="19"/>
  <c r="A74" i="19"/>
  <c r="W67" i="19"/>
  <c r="X67" i="19" s="1"/>
  <c r="A68" i="19"/>
  <c r="A65" i="19"/>
  <c r="W65" i="19" s="1"/>
  <c r="X65" i="19" s="1"/>
  <c r="W64" i="19"/>
  <c r="X64" i="19" s="1"/>
  <c r="D64" i="10"/>
  <c r="C63" i="10"/>
  <c r="D63" i="10"/>
  <c r="C64" i="10"/>
  <c r="D62" i="10"/>
  <c r="D65" i="10"/>
  <c r="C62" i="10"/>
  <c r="C65" i="10"/>
  <c r="A64" i="10"/>
  <c r="W63" i="10"/>
  <c r="X63" i="10" s="1"/>
  <c r="B66" i="10"/>
  <c r="A67" i="10"/>
  <c r="W66" i="10"/>
  <c r="X66" i="10" s="1"/>
  <c r="A70" i="10"/>
  <c r="W60" i="10"/>
  <c r="X60" i="10" s="1"/>
  <c r="A61" i="10"/>
  <c r="W61" i="10" s="1"/>
  <c r="X61" i="10" s="1"/>
  <c r="C72" i="15" l="1"/>
  <c r="D70" i="15"/>
  <c r="D73" i="15"/>
  <c r="C70" i="15"/>
  <c r="D72" i="15"/>
  <c r="C73" i="15"/>
  <c r="D71" i="15"/>
  <c r="C71" i="15"/>
  <c r="A72" i="15"/>
  <c r="W71" i="15"/>
  <c r="X71" i="15" s="1"/>
  <c r="W74" i="15"/>
  <c r="X74" i="15" s="1"/>
  <c r="A75" i="15"/>
  <c r="A78" i="15"/>
  <c r="B74" i="15"/>
  <c r="W68" i="15"/>
  <c r="X68" i="15" s="1"/>
  <c r="A69" i="15"/>
  <c r="W69" i="15" s="1"/>
  <c r="X69" i="15" s="1"/>
  <c r="A69" i="19"/>
  <c r="W69" i="19" s="1"/>
  <c r="X69" i="19" s="1"/>
  <c r="W68" i="19"/>
  <c r="X68" i="19" s="1"/>
  <c r="A78" i="19"/>
  <c r="A75" i="19"/>
  <c r="W74" i="19"/>
  <c r="X74" i="19" s="1"/>
  <c r="B74" i="19"/>
  <c r="W71" i="19"/>
  <c r="X71" i="19" s="1"/>
  <c r="A72" i="19"/>
  <c r="D73" i="19"/>
  <c r="C72" i="19"/>
  <c r="C70" i="19"/>
  <c r="C73" i="19"/>
  <c r="D71" i="19"/>
  <c r="C71" i="19"/>
  <c r="D72" i="19"/>
  <c r="D70" i="19"/>
  <c r="B70" i="10"/>
  <c r="A71" i="10"/>
  <c r="A74" i="10"/>
  <c r="W70" i="10"/>
  <c r="X70" i="10" s="1"/>
  <c r="W67" i="10"/>
  <c r="X67" i="10" s="1"/>
  <c r="A68" i="10"/>
  <c r="C68" i="10"/>
  <c r="D68" i="10"/>
  <c r="D69" i="10"/>
  <c r="C66" i="10"/>
  <c r="C69" i="10"/>
  <c r="D67" i="10"/>
  <c r="C67" i="10"/>
  <c r="D66" i="10"/>
  <c r="A65" i="10"/>
  <c r="W65" i="10" s="1"/>
  <c r="X65" i="10" s="1"/>
  <c r="W64" i="10"/>
  <c r="X64" i="10" s="1"/>
  <c r="W78" i="15" l="1"/>
  <c r="X78" i="15" s="1"/>
  <c r="A79" i="15"/>
  <c r="A82" i="15"/>
  <c r="B78" i="15"/>
  <c r="W75" i="15"/>
  <c r="X75" i="15" s="1"/>
  <c r="A76" i="15"/>
  <c r="C75" i="15"/>
  <c r="D76" i="15"/>
  <c r="C76" i="15"/>
  <c r="D74" i="15"/>
  <c r="C77" i="15"/>
  <c r="D77" i="15"/>
  <c r="D75" i="15"/>
  <c r="C74" i="15"/>
  <c r="A73" i="15"/>
  <c r="W73" i="15" s="1"/>
  <c r="X73" i="15" s="1"/>
  <c r="W72" i="15"/>
  <c r="X72" i="15" s="1"/>
  <c r="A73" i="19"/>
  <c r="W73" i="19" s="1"/>
  <c r="X73" i="19" s="1"/>
  <c r="W72" i="19"/>
  <c r="X72" i="19" s="1"/>
  <c r="D75" i="19"/>
  <c r="C75" i="19"/>
  <c r="D76" i="19"/>
  <c r="C76" i="19"/>
  <c r="D74" i="19"/>
  <c r="D77" i="19"/>
  <c r="C74" i="19"/>
  <c r="C77" i="19"/>
  <c r="A76" i="19"/>
  <c r="W75" i="19"/>
  <c r="X75" i="19" s="1"/>
  <c r="A79" i="19"/>
  <c r="A82" i="19"/>
  <c r="W78" i="19"/>
  <c r="X78" i="19" s="1"/>
  <c r="B78" i="19"/>
  <c r="A69" i="10"/>
  <c r="W69" i="10" s="1"/>
  <c r="X69" i="10" s="1"/>
  <c r="W68" i="10"/>
  <c r="X68" i="10" s="1"/>
  <c r="A75" i="10"/>
  <c r="A78" i="10"/>
  <c r="W74" i="10"/>
  <c r="X74" i="10" s="1"/>
  <c r="B74" i="10"/>
  <c r="A72" i="10"/>
  <c r="W71" i="10"/>
  <c r="X71" i="10" s="1"/>
  <c r="D72" i="10"/>
  <c r="C72" i="10"/>
  <c r="D70" i="10"/>
  <c r="C71" i="10"/>
  <c r="D73" i="10"/>
  <c r="C70" i="10"/>
  <c r="C73" i="10"/>
  <c r="D71" i="10"/>
  <c r="A77" i="15" l="1"/>
  <c r="W77" i="15" s="1"/>
  <c r="X77" i="15" s="1"/>
  <c r="W76" i="15"/>
  <c r="X76" i="15" s="1"/>
  <c r="C78" i="15"/>
  <c r="C81" i="15"/>
  <c r="D79" i="15"/>
  <c r="D81" i="15"/>
  <c r="C80" i="15"/>
  <c r="C79" i="15"/>
  <c r="D80" i="15"/>
  <c r="D78" i="15"/>
  <c r="W82" i="15"/>
  <c r="X82" i="15" s="1"/>
  <c r="B82" i="15"/>
  <c r="A86" i="15"/>
  <c r="A83" i="15"/>
  <c r="A80" i="15"/>
  <c r="W79" i="15"/>
  <c r="X79" i="15" s="1"/>
  <c r="D79" i="19"/>
  <c r="C79" i="19"/>
  <c r="D80" i="19"/>
  <c r="C80" i="19"/>
  <c r="D78" i="19"/>
  <c r="D81" i="19"/>
  <c r="C78" i="19"/>
  <c r="C81" i="19"/>
  <c r="B82" i="19"/>
  <c r="A83" i="19"/>
  <c r="A86" i="19"/>
  <c r="W82" i="19"/>
  <c r="X82" i="19" s="1"/>
  <c r="W79" i="19"/>
  <c r="X79" i="19" s="1"/>
  <c r="A80" i="19"/>
  <c r="W76" i="19"/>
  <c r="X76" i="19" s="1"/>
  <c r="A77" i="19"/>
  <c r="W77" i="19" s="1"/>
  <c r="X77" i="19" s="1"/>
  <c r="A73" i="10"/>
  <c r="W73" i="10" s="1"/>
  <c r="X73" i="10" s="1"/>
  <c r="W72" i="10"/>
  <c r="X72" i="10" s="1"/>
  <c r="D74" i="10"/>
  <c r="D77" i="10"/>
  <c r="C76" i="10"/>
  <c r="C74" i="10"/>
  <c r="C77" i="10"/>
  <c r="D75" i="10"/>
  <c r="C75" i="10"/>
  <c r="D76" i="10"/>
  <c r="B78" i="10"/>
  <c r="A79" i="10"/>
  <c r="A82" i="10"/>
  <c r="W78" i="10"/>
  <c r="X78" i="10" s="1"/>
  <c r="A76" i="10"/>
  <c r="W75" i="10"/>
  <c r="X75" i="10" s="1"/>
  <c r="A81" i="15" l="1"/>
  <c r="W81" i="15" s="1"/>
  <c r="X81" i="15" s="1"/>
  <c r="W80" i="15"/>
  <c r="X80" i="15" s="1"/>
  <c r="A84" i="15"/>
  <c r="W83" i="15"/>
  <c r="X83" i="15" s="1"/>
  <c r="B86" i="15"/>
  <c r="A87" i="15"/>
  <c r="W86" i="15"/>
  <c r="X86" i="15" s="1"/>
  <c r="A90" i="15"/>
  <c r="D85" i="15"/>
  <c r="C82" i="15"/>
  <c r="C85" i="15"/>
  <c r="D83" i="15"/>
  <c r="D84" i="15"/>
  <c r="C84" i="15"/>
  <c r="C83" i="15"/>
  <c r="D82" i="15"/>
  <c r="A81" i="19"/>
  <c r="W81" i="19" s="1"/>
  <c r="X81" i="19" s="1"/>
  <c r="W80" i="19"/>
  <c r="X80" i="19" s="1"/>
  <c r="A87" i="19"/>
  <c r="A90" i="19"/>
  <c r="W86" i="19"/>
  <c r="X86" i="19" s="1"/>
  <c r="B86" i="19"/>
  <c r="A84" i="19"/>
  <c r="W83" i="19"/>
  <c r="X83" i="19" s="1"/>
  <c r="D82" i="19"/>
  <c r="D84" i="19"/>
  <c r="D85" i="19"/>
  <c r="C82" i="19"/>
  <c r="C85" i="19"/>
  <c r="D83" i="19"/>
  <c r="C83" i="19"/>
  <c r="C84" i="19"/>
  <c r="W76" i="10"/>
  <c r="X76" i="10" s="1"/>
  <c r="A77" i="10"/>
  <c r="W77" i="10" s="1"/>
  <c r="X77" i="10" s="1"/>
  <c r="A86" i="10"/>
  <c r="B82" i="10"/>
  <c r="W82" i="10"/>
  <c r="X82" i="10" s="1"/>
  <c r="A83" i="10"/>
  <c r="W79" i="10"/>
  <c r="X79" i="10" s="1"/>
  <c r="A80" i="10"/>
  <c r="D80" i="10"/>
  <c r="D78" i="10"/>
  <c r="D81" i="10"/>
  <c r="C78" i="10"/>
  <c r="D79" i="10"/>
  <c r="C81" i="10"/>
  <c r="C80" i="10"/>
  <c r="C79" i="10"/>
  <c r="A94" i="15" l="1"/>
  <c r="W90" i="15"/>
  <c r="X90" i="15" s="1"/>
  <c r="B90" i="15"/>
  <c r="A91" i="15"/>
  <c r="W87" i="15"/>
  <c r="X87" i="15" s="1"/>
  <c r="A88" i="15"/>
  <c r="D87" i="15"/>
  <c r="C87" i="15"/>
  <c r="D89" i="15"/>
  <c r="D88" i="15"/>
  <c r="C88" i="15"/>
  <c r="D86" i="15"/>
  <c r="C89" i="15"/>
  <c r="C86" i="15"/>
  <c r="W84" i="15"/>
  <c r="X84" i="15" s="1"/>
  <c r="A85" i="15"/>
  <c r="W85" i="15" s="1"/>
  <c r="X85" i="15" s="1"/>
  <c r="A85" i="19"/>
  <c r="W85" i="19" s="1"/>
  <c r="X85" i="19" s="1"/>
  <c r="W84" i="19"/>
  <c r="X84" i="19" s="1"/>
  <c r="D88" i="19"/>
  <c r="C88" i="19"/>
  <c r="D86" i="19"/>
  <c r="D87" i="19"/>
  <c r="D89" i="19"/>
  <c r="C86" i="19"/>
  <c r="C89" i="19"/>
  <c r="C87" i="19"/>
  <c r="B90" i="19"/>
  <c r="A91" i="19"/>
  <c r="A94" i="19"/>
  <c r="W90" i="19"/>
  <c r="X90" i="19" s="1"/>
  <c r="A88" i="19"/>
  <c r="W87" i="19"/>
  <c r="X87" i="19" s="1"/>
  <c r="A81" i="10"/>
  <c r="W81" i="10" s="1"/>
  <c r="X81" i="10" s="1"/>
  <c r="W80" i="10"/>
  <c r="X80" i="10" s="1"/>
  <c r="W83" i="10"/>
  <c r="X83" i="10" s="1"/>
  <c r="A84" i="10"/>
  <c r="C84" i="10"/>
  <c r="C83" i="10"/>
  <c r="D82" i="10"/>
  <c r="D84" i="10"/>
  <c r="D85" i="10"/>
  <c r="C82" i="10"/>
  <c r="C85" i="10"/>
  <c r="D83" i="10"/>
  <c r="B86" i="10"/>
  <c r="A90" i="10"/>
  <c r="W86" i="10"/>
  <c r="X86" i="10" s="1"/>
  <c r="A87" i="10"/>
  <c r="A89" i="15" l="1"/>
  <c r="W89" i="15" s="1"/>
  <c r="X89" i="15" s="1"/>
  <c r="W88" i="15"/>
  <c r="X88" i="15" s="1"/>
  <c r="A92" i="15"/>
  <c r="W91" i="15"/>
  <c r="X91" i="15" s="1"/>
  <c r="C93" i="15"/>
  <c r="D90" i="15"/>
  <c r="D91" i="15"/>
  <c r="D92" i="15"/>
  <c r="C91" i="15"/>
  <c r="C92" i="15"/>
  <c r="C90" i="15"/>
  <c r="D93" i="15"/>
  <c r="B94" i="15"/>
  <c r="A95" i="15"/>
  <c r="W94" i="15"/>
  <c r="X94" i="15" s="1"/>
  <c r="A98" i="15"/>
  <c r="A98" i="19"/>
  <c r="W94" i="19"/>
  <c r="X94" i="19" s="1"/>
  <c r="B94" i="19"/>
  <c r="A95" i="19"/>
  <c r="A92" i="19"/>
  <c r="W91" i="19"/>
  <c r="X91" i="19" s="1"/>
  <c r="D91" i="19"/>
  <c r="C91" i="19"/>
  <c r="D92" i="19"/>
  <c r="D93" i="19"/>
  <c r="C92" i="19"/>
  <c r="D90" i="19"/>
  <c r="C90" i="19"/>
  <c r="C93" i="19"/>
  <c r="W88" i="19"/>
  <c r="X88" i="19" s="1"/>
  <c r="A89" i="19"/>
  <c r="W89" i="19" s="1"/>
  <c r="X89" i="19" s="1"/>
  <c r="A94" i="10"/>
  <c r="A91" i="10"/>
  <c r="B90" i="10"/>
  <c r="W90" i="10"/>
  <c r="X90" i="10" s="1"/>
  <c r="C87" i="10"/>
  <c r="D88" i="10"/>
  <c r="C88" i="10"/>
  <c r="D89" i="10"/>
  <c r="C86" i="10"/>
  <c r="D86" i="10"/>
  <c r="C89" i="10"/>
  <c r="D87" i="10"/>
  <c r="A85" i="10"/>
  <c r="W85" i="10" s="1"/>
  <c r="X85" i="10" s="1"/>
  <c r="W84" i="10"/>
  <c r="X84" i="10" s="1"/>
  <c r="A88" i="10"/>
  <c r="W87" i="10"/>
  <c r="X87" i="10" s="1"/>
  <c r="A96" i="15" l="1"/>
  <c r="W95" i="15"/>
  <c r="X95" i="15" s="1"/>
  <c r="A99" i="15"/>
  <c r="A102" i="15"/>
  <c r="W98" i="15"/>
  <c r="X98" i="15" s="1"/>
  <c r="B98" i="15"/>
  <c r="D94" i="15"/>
  <c r="C96" i="15"/>
  <c r="D97" i="15"/>
  <c r="C94" i="15"/>
  <c r="C97" i="15"/>
  <c r="D95" i="15"/>
  <c r="C95" i="15"/>
  <c r="D96" i="15"/>
  <c r="A93" i="15"/>
  <c r="W93" i="15" s="1"/>
  <c r="X93" i="15" s="1"/>
  <c r="W92" i="15"/>
  <c r="X92" i="15" s="1"/>
  <c r="A93" i="19"/>
  <c r="W93" i="19" s="1"/>
  <c r="X93" i="19" s="1"/>
  <c r="W92" i="19"/>
  <c r="X92" i="19" s="1"/>
  <c r="A96" i="19"/>
  <c r="W95" i="19"/>
  <c r="X95" i="19" s="1"/>
  <c r="C97" i="19"/>
  <c r="D95" i="19"/>
  <c r="C95" i="19"/>
  <c r="D96" i="19"/>
  <c r="C96" i="19"/>
  <c r="D94" i="19"/>
  <c r="D97" i="19"/>
  <c r="C94" i="19"/>
  <c r="B98" i="19"/>
  <c r="W98" i="19"/>
  <c r="X98" i="19" s="1"/>
  <c r="A102" i="19"/>
  <c r="A99" i="19"/>
  <c r="A89" i="10"/>
  <c r="W89" i="10" s="1"/>
  <c r="X89" i="10" s="1"/>
  <c r="W88" i="10"/>
  <c r="X88" i="10" s="1"/>
  <c r="D92" i="10"/>
  <c r="C91" i="10"/>
  <c r="C92" i="10"/>
  <c r="D90" i="10"/>
  <c r="D93" i="10"/>
  <c r="C90" i="10"/>
  <c r="C93" i="10"/>
  <c r="D91" i="10"/>
  <c r="A92" i="10"/>
  <c r="W91" i="10"/>
  <c r="X91" i="10" s="1"/>
  <c r="A95" i="10"/>
  <c r="A98" i="10"/>
  <c r="W94" i="10"/>
  <c r="X94" i="10" s="1"/>
  <c r="B94" i="10"/>
  <c r="D100" i="15" l="1"/>
  <c r="C100" i="15"/>
  <c r="C99" i="15"/>
  <c r="D98" i="15"/>
  <c r="D101" i="15"/>
  <c r="C98" i="15"/>
  <c r="C101" i="15"/>
  <c r="D99" i="15"/>
  <c r="B102" i="15"/>
  <c r="A103" i="15"/>
  <c r="A106" i="15"/>
  <c r="W102" i="15"/>
  <c r="X102" i="15" s="1"/>
  <c r="A100" i="15"/>
  <c r="W99" i="15"/>
  <c r="X99" i="15" s="1"/>
  <c r="A97" i="15"/>
  <c r="W97" i="15" s="1"/>
  <c r="X97" i="15" s="1"/>
  <c r="W96" i="15"/>
  <c r="X96" i="15" s="1"/>
  <c r="W99" i="19"/>
  <c r="X99" i="19" s="1"/>
  <c r="A100" i="19"/>
  <c r="A106" i="19"/>
  <c r="B102" i="19"/>
  <c r="A103" i="19"/>
  <c r="W102" i="19"/>
  <c r="X102" i="19" s="1"/>
  <c r="D100" i="19"/>
  <c r="C100" i="19"/>
  <c r="C98" i="19"/>
  <c r="D98" i="19"/>
  <c r="C101" i="19"/>
  <c r="D101" i="19"/>
  <c r="D99" i="19"/>
  <c r="C99" i="19"/>
  <c r="A97" i="19"/>
  <c r="W97" i="19" s="1"/>
  <c r="X97" i="19" s="1"/>
  <c r="W96" i="19"/>
  <c r="X96" i="19" s="1"/>
  <c r="W95" i="10"/>
  <c r="X95" i="10" s="1"/>
  <c r="A96" i="10"/>
  <c r="A93" i="10"/>
  <c r="W93" i="10" s="1"/>
  <c r="X93" i="10" s="1"/>
  <c r="W92" i="10"/>
  <c r="X92" i="10" s="1"/>
  <c r="D95" i="10"/>
  <c r="C95" i="10"/>
  <c r="D96" i="10"/>
  <c r="C94" i="10"/>
  <c r="C96" i="10"/>
  <c r="C97" i="10"/>
  <c r="D94" i="10"/>
  <c r="D97" i="10"/>
  <c r="B98" i="10"/>
  <c r="W98" i="10"/>
  <c r="X98" i="10" s="1"/>
  <c r="A99" i="10"/>
  <c r="A102" i="10"/>
  <c r="W100" i="15" l="1"/>
  <c r="X100" i="15" s="1"/>
  <c r="A101" i="15"/>
  <c r="W101" i="15" s="1"/>
  <c r="X101" i="15" s="1"/>
  <c r="A107" i="15"/>
  <c r="W106" i="15"/>
  <c r="X106" i="15" s="1"/>
  <c r="A110" i="15"/>
  <c r="B106" i="15"/>
  <c r="W103" i="15"/>
  <c r="X103" i="15" s="1"/>
  <c r="A104" i="15"/>
  <c r="D102" i="15"/>
  <c r="D105" i="15"/>
  <c r="C105" i="15"/>
  <c r="C104" i="15"/>
  <c r="C102" i="15"/>
  <c r="D103" i="15"/>
  <c r="C103" i="15"/>
  <c r="D104" i="15"/>
  <c r="A104" i="19"/>
  <c r="W103" i="19"/>
  <c r="X103" i="19" s="1"/>
  <c r="D105" i="19"/>
  <c r="C102" i="19"/>
  <c r="C105" i="19"/>
  <c r="D103" i="19"/>
  <c r="D104" i="19"/>
  <c r="C104" i="19"/>
  <c r="D102" i="19"/>
  <c r="C103" i="19"/>
  <c r="B106" i="19"/>
  <c r="A107" i="19"/>
  <c r="A110" i="19"/>
  <c r="W106" i="19"/>
  <c r="X106" i="19" s="1"/>
  <c r="A101" i="19"/>
  <c r="W101" i="19" s="1"/>
  <c r="X101" i="19" s="1"/>
  <c r="W100" i="19"/>
  <c r="X100" i="19" s="1"/>
  <c r="W102" i="10"/>
  <c r="X102" i="10" s="1"/>
  <c r="A106" i="10"/>
  <c r="B102" i="10"/>
  <c r="A103" i="10"/>
  <c r="A100" i="10"/>
  <c r="W99" i="10"/>
  <c r="X99" i="10" s="1"/>
  <c r="C101" i="10"/>
  <c r="D99" i="10"/>
  <c r="C99" i="10"/>
  <c r="C98" i="10"/>
  <c r="D100" i="10"/>
  <c r="D98" i="10"/>
  <c r="C100" i="10"/>
  <c r="D101" i="10"/>
  <c r="A97" i="10"/>
  <c r="W97" i="10" s="1"/>
  <c r="X97" i="10" s="1"/>
  <c r="W96" i="10"/>
  <c r="X96" i="10" s="1"/>
  <c r="W104" i="15" l="1"/>
  <c r="X104" i="15" s="1"/>
  <c r="A105" i="15"/>
  <c r="W105" i="15" s="1"/>
  <c r="X105" i="15" s="1"/>
  <c r="D107" i="15"/>
  <c r="C107" i="15"/>
  <c r="C108" i="15"/>
  <c r="D108" i="15"/>
  <c r="D106" i="15"/>
  <c r="D109" i="15"/>
  <c r="C109" i="15"/>
  <c r="C106" i="15"/>
  <c r="A111" i="15"/>
  <c r="A114" i="15"/>
  <c r="W110" i="15"/>
  <c r="X110" i="15" s="1"/>
  <c r="B110" i="15"/>
  <c r="A108" i="15"/>
  <c r="W107" i="15"/>
  <c r="X107" i="15" s="1"/>
  <c r="W110" i="19"/>
  <c r="X110" i="19" s="1"/>
  <c r="B110" i="19"/>
  <c r="A111" i="19"/>
  <c r="A114" i="19"/>
  <c r="A108" i="19"/>
  <c r="W107" i="19"/>
  <c r="X107" i="19" s="1"/>
  <c r="C109" i="19"/>
  <c r="C106" i="19"/>
  <c r="D107" i="19"/>
  <c r="C107" i="19"/>
  <c r="D108" i="19"/>
  <c r="C108" i="19"/>
  <c r="D106" i="19"/>
  <c r="D109" i="19"/>
  <c r="W104" i="19"/>
  <c r="X104" i="19" s="1"/>
  <c r="A105" i="19"/>
  <c r="W105" i="19" s="1"/>
  <c r="X105" i="19" s="1"/>
  <c r="A104" i="10"/>
  <c r="W103" i="10"/>
  <c r="X103" i="10" s="1"/>
  <c r="W100" i="10"/>
  <c r="X100" i="10" s="1"/>
  <c r="A101" i="10"/>
  <c r="W101" i="10" s="1"/>
  <c r="X101" i="10" s="1"/>
  <c r="D104" i="10"/>
  <c r="C104" i="10"/>
  <c r="D102" i="10"/>
  <c r="D105" i="10"/>
  <c r="C102" i="10"/>
  <c r="C103" i="10"/>
  <c r="D103" i="10"/>
  <c r="C105" i="10"/>
  <c r="B106" i="10"/>
  <c r="A107" i="10"/>
  <c r="A110" i="10"/>
  <c r="W106" i="10"/>
  <c r="X106" i="10" s="1"/>
  <c r="W108" i="15" l="1"/>
  <c r="X108" i="15" s="1"/>
  <c r="A109" i="15"/>
  <c r="W109" i="15" s="1"/>
  <c r="X109" i="15" s="1"/>
  <c r="C111" i="15"/>
  <c r="D112" i="15"/>
  <c r="C112" i="15"/>
  <c r="D110" i="15"/>
  <c r="D111" i="15"/>
  <c r="D113" i="15"/>
  <c r="C110" i="15"/>
  <c r="C113" i="15"/>
  <c r="W114" i="15"/>
  <c r="X114" i="15" s="1"/>
  <c r="B114" i="15"/>
  <c r="A115" i="15"/>
  <c r="A118" i="15"/>
  <c r="A112" i="15"/>
  <c r="W111" i="15"/>
  <c r="X111" i="15" s="1"/>
  <c r="W108" i="19"/>
  <c r="X108" i="19" s="1"/>
  <c r="A109" i="19"/>
  <c r="W109" i="19" s="1"/>
  <c r="X109" i="19" s="1"/>
  <c r="A118" i="19"/>
  <c r="W114" i="19"/>
  <c r="X114" i="19" s="1"/>
  <c r="A115" i="19"/>
  <c r="B114" i="19"/>
  <c r="W111" i="19"/>
  <c r="X111" i="19" s="1"/>
  <c r="A112" i="19"/>
  <c r="C110" i="19"/>
  <c r="C113" i="19"/>
  <c r="D111" i="19"/>
  <c r="D112" i="19"/>
  <c r="C111" i="19"/>
  <c r="D110" i="19"/>
  <c r="C112" i="19"/>
  <c r="D113" i="19"/>
  <c r="C106" i="10"/>
  <c r="D107" i="10"/>
  <c r="C109" i="10"/>
  <c r="C107" i="10"/>
  <c r="D108" i="10"/>
  <c r="D109" i="10"/>
  <c r="C108" i="10"/>
  <c r="D106" i="10"/>
  <c r="A114" i="10"/>
  <c r="W110" i="10"/>
  <c r="X110" i="10" s="1"/>
  <c r="B110" i="10"/>
  <c r="A111" i="10"/>
  <c r="W107" i="10"/>
  <c r="X107" i="10" s="1"/>
  <c r="A108" i="10"/>
  <c r="W104" i="10"/>
  <c r="X104" i="10" s="1"/>
  <c r="A105" i="10"/>
  <c r="W105" i="10" s="1"/>
  <c r="X105" i="10" s="1"/>
  <c r="W112" i="15" l="1"/>
  <c r="X112" i="15" s="1"/>
  <c r="A113" i="15"/>
  <c r="W113" i="15" s="1"/>
  <c r="X113" i="15" s="1"/>
  <c r="A122" i="15"/>
  <c r="W118" i="15"/>
  <c r="X118" i="15" s="1"/>
  <c r="B118" i="15"/>
  <c r="A119" i="15"/>
  <c r="W115" i="15"/>
  <c r="X115" i="15" s="1"/>
  <c r="A116" i="15"/>
  <c r="C117" i="15"/>
  <c r="C114" i="15"/>
  <c r="D115" i="15"/>
  <c r="C115" i="15"/>
  <c r="D114" i="15"/>
  <c r="D116" i="15"/>
  <c r="C116" i="15"/>
  <c r="D117" i="15"/>
  <c r="A113" i="19"/>
  <c r="W113" i="19" s="1"/>
  <c r="X113" i="19" s="1"/>
  <c r="W112" i="19"/>
  <c r="X112" i="19" s="1"/>
  <c r="C114" i="19"/>
  <c r="C117" i="19"/>
  <c r="C115" i="19"/>
  <c r="D116" i="19"/>
  <c r="C116" i="19"/>
  <c r="D115" i="19"/>
  <c r="D114" i="19"/>
  <c r="D117" i="19"/>
  <c r="A116" i="19"/>
  <c r="W115" i="19"/>
  <c r="X115" i="19" s="1"/>
  <c r="B118" i="19"/>
  <c r="A119" i="19"/>
  <c r="A122" i="19"/>
  <c r="W118" i="19"/>
  <c r="X118" i="19" s="1"/>
  <c r="A109" i="10"/>
  <c r="W109" i="10" s="1"/>
  <c r="X109" i="10" s="1"/>
  <c r="W108" i="10"/>
  <c r="X108" i="10" s="1"/>
  <c r="D111" i="10"/>
  <c r="C111" i="10"/>
  <c r="C112" i="10"/>
  <c r="D112" i="10"/>
  <c r="C113" i="10"/>
  <c r="D110" i="10"/>
  <c r="D113" i="10"/>
  <c r="C110" i="10"/>
  <c r="A112" i="10"/>
  <c r="W111" i="10"/>
  <c r="X111" i="10" s="1"/>
  <c r="A115" i="10"/>
  <c r="B114" i="10"/>
  <c r="A118" i="10"/>
  <c r="W114" i="10"/>
  <c r="X114" i="10" s="1"/>
  <c r="A120" i="15" l="1"/>
  <c r="W119" i="15"/>
  <c r="X119" i="15" s="1"/>
  <c r="A117" i="15"/>
  <c r="W117" i="15" s="1"/>
  <c r="X117" i="15" s="1"/>
  <c r="W116" i="15"/>
  <c r="X116" i="15" s="1"/>
  <c r="D119" i="15"/>
  <c r="C119" i="15"/>
  <c r="D120" i="15"/>
  <c r="C121" i="15"/>
  <c r="C120" i="15"/>
  <c r="D118" i="15"/>
  <c r="D121" i="15"/>
  <c r="C118" i="15"/>
  <c r="A123" i="15"/>
  <c r="B122" i="15"/>
  <c r="A126" i="15"/>
  <c r="W122" i="15"/>
  <c r="X122" i="15" s="1"/>
  <c r="W119" i="19"/>
  <c r="X119" i="19" s="1"/>
  <c r="A120" i="19"/>
  <c r="D119" i="19"/>
  <c r="C119" i="19"/>
  <c r="D120" i="19"/>
  <c r="C120" i="19"/>
  <c r="D118" i="19"/>
  <c r="C121" i="19"/>
  <c r="D121" i="19"/>
  <c r="C118" i="19"/>
  <c r="W116" i="19"/>
  <c r="X116" i="19" s="1"/>
  <c r="A117" i="19"/>
  <c r="W117" i="19" s="1"/>
  <c r="X117" i="19" s="1"/>
  <c r="A126" i="19"/>
  <c r="A123" i="19"/>
  <c r="W122" i="19"/>
  <c r="X122" i="19" s="1"/>
  <c r="B122" i="19"/>
  <c r="D115" i="10"/>
  <c r="D116" i="10"/>
  <c r="C114" i="10"/>
  <c r="C115" i="10"/>
  <c r="D117" i="10"/>
  <c r="C117" i="10"/>
  <c r="D114" i="10"/>
  <c r="C116" i="10"/>
  <c r="B118" i="10"/>
  <c r="W118" i="10"/>
  <c r="X118" i="10" s="1"/>
  <c r="A119" i="10"/>
  <c r="A122" i="10"/>
  <c r="A113" i="10"/>
  <c r="W113" i="10" s="1"/>
  <c r="X113" i="10" s="1"/>
  <c r="W112" i="10"/>
  <c r="X112" i="10" s="1"/>
  <c r="A116" i="10"/>
  <c r="W115" i="10"/>
  <c r="X115" i="10" s="1"/>
  <c r="C124" i="15" l="1"/>
  <c r="D122" i="15"/>
  <c r="D125" i="15"/>
  <c r="C122" i="15"/>
  <c r="D123" i="15"/>
  <c r="C125" i="15"/>
  <c r="D124" i="15"/>
  <c r="C123" i="15"/>
  <c r="W123" i="15"/>
  <c r="X123" i="15" s="1"/>
  <c r="A124" i="15"/>
  <c r="B126" i="15"/>
  <c r="A127" i="15"/>
  <c r="W126" i="15"/>
  <c r="X126" i="15" s="1"/>
  <c r="A130" i="15"/>
  <c r="A121" i="15"/>
  <c r="W121" i="15" s="1"/>
  <c r="X121" i="15" s="1"/>
  <c r="W120" i="15"/>
  <c r="X120" i="15" s="1"/>
  <c r="D123" i="19"/>
  <c r="C123" i="19"/>
  <c r="D124" i="19"/>
  <c r="C124" i="19"/>
  <c r="D122" i="19"/>
  <c r="C122" i="19"/>
  <c r="D125" i="19"/>
  <c r="C125" i="19"/>
  <c r="A124" i="19"/>
  <c r="W123" i="19"/>
  <c r="X123" i="19" s="1"/>
  <c r="A127" i="19"/>
  <c r="A130" i="19"/>
  <c r="W126" i="19"/>
  <c r="X126" i="19" s="1"/>
  <c r="B126" i="19"/>
  <c r="A121" i="19"/>
  <c r="W121" i="19" s="1"/>
  <c r="X121" i="19" s="1"/>
  <c r="W120" i="19"/>
  <c r="X120" i="19" s="1"/>
  <c r="A117" i="10"/>
  <c r="W117" i="10" s="1"/>
  <c r="X117" i="10" s="1"/>
  <c r="W116" i="10"/>
  <c r="X116" i="10" s="1"/>
  <c r="A123" i="10"/>
  <c r="A126" i="10"/>
  <c r="W122" i="10"/>
  <c r="X122" i="10" s="1"/>
  <c r="B122" i="10"/>
  <c r="W119" i="10"/>
  <c r="X119" i="10" s="1"/>
  <c r="A120" i="10"/>
  <c r="D118" i="10"/>
  <c r="D121" i="10"/>
  <c r="C118" i="10"/>
  <c r="C120" i="10"/>
  <c r="C121" i="10"/>
  <c r="D119" i="10"/>
  <c r="C119" i="10"/>
  <c r="D120" i="10"/>
  <c r="A128" i="15" l="1"/>
  <c r="W127" i="15"/>
  <c r="X127" i="15" s="1"/>
  <c r="D126" i="15"/>
  <c r="D129" i="15"/>
  <c r="D128" i="15"/>
  <c r="C126" i="15"/>
  <c r="C129" i="15"/>
  <c r="D127" i="15"/>
  <c r="C127" i="15"/>
  <c r="C128" i="15"/>
  <c r="W124" i="15"/>
  <c r="X124" i="15" s="1"/>
  <c r="A125" i="15"/>
  <c r="W125" i="15" s="1"/>
  <c r="X125" i="15" s="1"/>
  <c r="A131" i="15"/>
  <c r="A134" i="15"/>
  <c r="W130" i="15"/>
  <c r="X130" i="15" s="1"/>
  <c r="B130" i="15"/>
  <c r="B130" i="19"/>
  <c r="W130" i="19"/>
  <c r="X130" i="19" s="1"/>
  <c r="A131" i="19"/>
  <c r="A134" i="19"/>
  <c r="W127" i="19"/>
  <c r="X127" i="19" s="1"/>
  <c r="A128" i="19"/>
  <c r="D127" i="19"/>
  <c r="C127" i="19"/>
  <c r="D128" i="19"/>
  <c r="C128" i="19"/>
  <c r="D126" i="19"/>
  <c r="C129" i="19"/>
  <c r="D129" i="19"/>
  <c r="C126" i="19"/>
  <c r="A125" i="19"/>
  <c r="W125" i="19" s="1"/>
  <c r="X125" i="19" s="1"/>
  <c r="W124" i="19"/>
  <c r="X124" i="19" s="1"/>
  <c r="A121" i="10"/>
  <c r="W121" i="10" s="1"/>
  <c r="X121" i="10" s="1"/>
  <c r="W120" i="10"/>
  <c r="X120" i="10" s="1"/>
  <c r="B126" i="10"/>
  <c r="A127" i="10"/>
  <c r="A130" i="10"/>
  <c r="W126" i="10"/>
  <c r="X126" i="10" s="1"/>
  <c r="C125" i="10"/>
  <c r="D123" i="10"/>
  <c r="D124" i="10"/>
  <c r="C124" i="10"/>
  <c r="D122" i="10"/>
  <c r="D125" i="10"/>
  <c r="C123" i="10"/>
  <c r="C122" i="10"/>
  <c r="W123" i="10"/>
  <c r="X123" i="10" s="1"/>
  <c r="A124" i="10"/>
  <c r="W131" i="15" l="1"/>
  <c r="X131" i="15" s="1"/>
  <c r="A132" i="15"/>
  <c r="D132" i="15"/>
  <c r="C132" i="15"/>
  <c r="C131" i="15"/>
  <c r="D130" i="15"/>
  <c r="D133" i="15"/>
  <c r="C130" i="15"/>
  <c r="C133" i="15"/>
  <c r="D131" i="15"/>
  <c r="B134" i="15"/>
  <c r="A135" i="15"/>
  <c r="A138" i="15"/>
  <c r="W134" i="15"/>
  <c r="X134" i="15" s="1"/>
  <c r="A129" i="15"/>
  <c r="W129" i="15" s="1"/>
  <c r="X129" i="15" s="1"/>
  <c r="W128" i="15"/>
  <c r="X128" i="15" s="1"/>
  <c r="A129" i="19"/>
  <c r="W129" i="19" s="1"/>
  <c r="X129" i="19" s="1"/>
  <c r="W128" i="19"/>
  <c r="X128" i="19" s="1"/>
  <c r="A135" i="19"/>
  <c r="A138" i="19"/>
  <c r="W134" i="19"/>
  <c r="X134" i="19" s="1"/>
  <c r="B134" i="19"/>
  <c r="A132" i="19"/>
  <c r="W131" i="19"/>
  <c r="X131" i="19" s="1"/>
  <c r="D130" i="19"/>
  <c r="D133" i="19"/>
  <c r="C130" i="19"/>
  <c r="C133" i="19"/>
  <c r="D131" i="19"/>
  <c r="D132" i="19"/>
  <c r="C131" i="19"/>
  <c r="C132" i="19"/>
  <c r="W124" i="10"/>
  <c r="X124" i="10" s="1"/>
  <c r="A125" i="10"/>
  <c r="W125" i="10" s="1"/>
  <c r="X125" i="10" s="1"/>
  <c r="C129" i="10"/>
  <c r="D127" i="10"/>
  <c r="C127" i="10"/>
  <c r="D129" i="10"/>
  <c r="D128" i="10"/>
  <c r="C126" i="10"/>
  <c r="C128" i="10"/>
  <c r="D126" i="10"/>
  <c r="W130" i="10"/>
  <c r="X130" i="10" s="1"/>
  <c r="B130" i="10"/>
  <c r="A131" i="10"/>
  <c r="A134" i="10"/>
  <c r="A128" i="10"/>
  <c r="W127" i="10"/>
  <c r="X127" i="10" s="1"/>
  <c r="A142" i="15" l="1"/>
  <c r="W138" i="15"/>
  <c r="X138" i="15" s="1"/>
  <c r="B138" i="15"/>
  <c r="A139" i="15"/>
  <c r="A136" i="15"/>
  <c r="W135" i="15"/>
  <c r="X135" i="15" s="1"/>
  <c r="D134" i="15"/>
  <c r="C137" i="15"/>
  <c r="D135" i="15"/>
  <c r="C136" i="15"/>
  <c r="C135" i="15"/>
  <c r="C134" i="15"/>
  <c r="D137" i="15"/>
  <c r="D136" i="15"/>
  <c r="W132" i="15"/>
  <c r="X132" i="15" s="1"/>
  <c r="A133" i="15"/>
  <c r="W133" i="15" s="1"/>
  <c r="X133" i="15" s="1"/>
  <c r="C137" i="19"/>
  <c r="D135" i="19"/>
  <c r="D136" i="19"/>
  <c r="C136" i="19"/>
  <c r="D134" i="19"/>
  <c r="D137" i="19"/>
  <c r="C134" i="19"/>
  <c r="C135" i="19"/>
  <c r="B138" i="19"/>
  <c r="A139" i="19"/>
  <c r="A142" i="19"/>
  <c r="W138" i="19"/>
  <c r="X138" i="19" s="1"/>
  <c r="A136" i="19"/>
  <c r="W135" i="19"/>
  <c r="X135" i="19" s="1"/>
  <c r="A133" i="19"/>
  <c r="W133" i="19" s="1"/>
  <c r="X133" i="19" s="1"/>
  <c r="W132" i="19"/>
  <c r="X132" i="19" s="1"/>
  <c r="W128" i="10"/>
  <c r="X128" i="10" s="1"/>
  <c r="A129" i="10"/>
  <c r="W129" i="10" s="1"/>
  <c r="X129" i="10" s="1"/>
  <c r="A135" i="10"/>
  <c r="A138" i="10"/>
  <c r="W134" i="10"/>
  <c r="X134" i="10" s="1"/>
  <c r="B134" i="10"/>
  <c r="A132" i="10"/>
  <c r="W131" i="10"/>
  <c r="X131" i="10" s="1"/>
  <c r="D133" i="10"/>
  <c r="C130" i="10"/>
  <c r="C133" i="10"/>
  <c r="D131" i="10"/>
  <c r="C131" i="10"/>
  <c r="D132" i="10"/>
  <c r="D130" i="10"/>
  <c r="C132" i="10"/>
  <c r="W136" i="15" l="1"/>
  <c r="X136" i="15" s="1"/>
  <c r="A137" i="15"/>
  <c r="W137" i="15" s="1"/>
  <c r="X137" i="15" s="1"/>
  <c r="A140" i="15"/>
  <c r="W139" i="15"/>
  <c r="X139" i="15" s="1"/>
  <c r="C139" i="15"/>
  <c r="C138" i="15"/>
  <c r="D140" i="15"/>
  <c r="C140" i="15"/>
  <c r="D138" i="15"/>
  <c r="D141" i="15"/>
  <c r="C141" i="15"/>
  <c r="D139" i="15"/>
  <c r="A143" i="15"/>
  <c r="A146" i="15"/>
  <c r="B142" i="15"/>
  <c r="W142" i="15"/>
  <c r="X142" i="15" s="1"/>
  <c r="W136" i="19"/>
  <c r="X136" i="19" s="1"/>
  <c r="A137" i="19"/>
  <c r="W137" i="19" s="1"/>
  <c r="X137" i="19" s="1"/>
  <c r="A143" i="19"/>
  <c r="A146" i="19"/>
  <c r="W142" i="19"/>
  <c r="X142" i="19" s="1"/>
  <c r="B142" i="19"/>
  <c r="W139" i="19"/>
  <c r="X139" i="19" s="1"/>
  <c r="A140" i="19"/>
  <c r="C140" i="19"/>
  <c r="D138" i="19"/>
  <c r="C141" i="19"/>
  <c r="D139" i="19"/>
  <c r="C139" i="19"/>
  <c r="C138" i="19"/>
  <c r="D140" i="19"/>
  <c r="D141" i="19"/>
  <c r="C134" i="10"/>
  <c r="C137" i="10"/>
  <c r="C135" i="10"/>
  <c r="D136" i="10"/>
  <c r="D137" i="10"/>
  <c r="D135" i="10"/>
  <c r="C136" i="10"/>
  <c r="D134" i="10"/>
  <c r="B138" i="10"/>
  <c r="A139" i="10"/>
  <c r="A142" i="10"/>
  <c r="W138" i="10"/>
  <c r="X138" i="10" s="1"/>
  <c r="A133" i="10"/>
  <c r="W133" i="10" s="1"/>
  <c r="X133" i="10" s="1"/>
  <c r="W132" i="10"/>
  <c r="X132" i="10" s="1"/>
  <c r="W135" i="10"/>
  <c r="X135" i="10" s="1"/>
  <c r="A136" i="10"/>
  <c r="C144" i="15" l="1"/>
  <c r="D145" i="15"/>
  <c r="D142" i="15"/>
  <c r="C145" i="15"/>
  <c r="C142" i="15"/>
  <c r="D143" i="15"/>
  <c r="C143" i="15"/>
  <c r="D144" i="15"/>
  <c r="A144" i="15"/>
  <c r="W143" i="15"/>
  <c r="X143" i="15" s="1"/>
  <c r="A141" i="15"/>
  <c r="W141" i="15" s="1"/>
  <c r="X141" i="15" s="1"/>
  <c r="W140" i="15"/>
  <c r="X140" i="15" s="1"/>
  <c r="B146" i="15"/>
  <c r="A147" i="15"/>
  <c r="W146" i="15"/>
  <c r="X146" i="15" s="1"/>
  <c r="A150" i="15"/>
  <c r="A141" i="19"/>
  <c r="W141" i="19" s="1"/>
  <c r="X141" i="19" s="1"/>
  <c r="W140" i="19"/>
  <c r="X140" i="19" s="1"/>
  <c r="D144" i="19"/>
  <c r="C145" i="19"/>
  <c r="D143" i="19"/>
  <c r="C143" i="19"/>
  <c r="C144" i="19"/>
  <c r="D145" i="19"/>
  <c r="D142" i="19"/>
  <c r="C142" i="19"/>
  <c r="W146" i="19"/>
  <c r="X146" i="19" s="1"/>
  <c r="B146" i="19"/>
  <c r="A147" i="19"/>
  <c r="A150" i="19"/>
  <c r="A144" i="19"/>
  <c r="W143" i="19"/>
  <c r="X143" i="19" s="1"/>
  <c r="A137" i="10"/>
  <c r="W137" i="10" s="1"/>
  <c r="X137" i="10" s="1"/>
  <c r="W136" i="10"/>
  <c r="X136" i="10" s="1"/>
  <c r="A146" i="10"/>
  <c r="W142" i="10"/>
  <c r="X142" i="10" s="1"/>
  <c r="B142" i="10"/>
  <c r="A143" i="10"/>
  <c r="W139" i="10"/>
  <c r="X139" i="10" s="1"/>
  <c r="A140" i="10"/>
  <c r="C141" i="10"/>
  <c r="D139" i="10"/>
  <c r="C139" i="10"/>
  <c r="D138" i="10"/>
  <c r="D140" i="10"/>
  <c r="C140" i="10"/>
  <c r="C138" i="10"/>
  <c r="D141" i="10"/>
  <c r="A154" i="15" l="1"/>
  <c r="W150" i="15"/>
  <c r="X150" i="15" s="1"/>
  <c r="B150" i="15"/>
  <c r="A151" i="15"/>
  <c r="C149" i="15"/>
  <c r="D146" i="15"/>
  <c r="D149" i="15"/>
  <c r="C148" i="15"/>
  <c r="C146" i="15"/>
  <c r="D147" i="15"/>
  <c r="C147" i="15"/>
  <c r="D148" i="15"/>
  <c r="W147" i="15"/>
  <c r="X147" i="15" s="1"/>
  <c r="A148" i="15"/>
  <c r="A145" i="15"/>
  <c r="W145" i="15" s="1"/>
  <c r="X145" i="15" s="1"/>
  <c r="W144" i="15"/>
  <c r="X144" i="15" s="1"/>
  <c r="A151" i="19"/>
  <c r="B150" i="19"/>
  <c r="A154" i="19"/>
  <c r="W150" i="19"/>
  <c r="X150" i="19" s="1"/>
  <c r="A148" i="19"/>
  <c r="W147" i="19"/>
  <c r="X147" i="19" s="1"/>
  <c r="C146" i="19"/>
  <c r="D146" i="19"/>
  <c r="C149" i="19"/>
  <c r="C147" i="19"/>
  <c r="D148" i="19"/>
  <c r="C148" i="19"/>
  <c r="D147" i="19"/>
  <c r="D149" i="19"/>
  <c r="A145" i="19"/>
  <c r="W145" i="19" s="1"/>
  <c r="X145" i="19" s="1"/>
  <c r="W144" i="19"/>
  <c r="X144" i="19" s="1"/>
  <c r="A144" i="10"/>
  <c r="W143" i="10"/>
  <c r="X143" i="10" s="1"/>
  <c r="A150" i="10"/>
  <c r="A147" i="10"/>
  <c r="W146" i="10"/>
  <c r="X146" i="10" s="1"/>
  <c r="B146" i="10"/>
  <c r="D143" i="10"/>
  <c r="C143" i="10"/>
  <c r="D144" i="10"/>
  <c r="C144" i="10"/>
  <c r="D145" i="10"/>
  <c r="D142" i="10"/>
  <c r="C145" i="10"/>
  <c r="C142" i="10"/>
  <c r="A141" i="10"/>
  <c r="W141" i="10" s="1"/>
  <c r="X141" i="10" s="1"/>
  <c r="W140" i="10"/>
  <c r="X140" i="10" s="1"/>
  <c r="A152" i="15" l="1"/>
  <c r="W151" i="15"/>
  <c r="X151" i="15" s="1"/>
  <c r="D150" i="15"/>
  <c r="C152" i="15"/>
  <c r="D153" i="15"/>
  <c r="C150" i="15"/>
  <c r="C153" i="15"/>
  <c r="D151" i="15"/>
  <c r="C151" i="15"/>
  <c r="D152" i="15"/>
  <c r="A149" i="15"/>
  <c r="W149" i="15" s="1"/>
  <c r="X149" i="15" s="1"/>
  <c r="W148" i="15"/>
  <c r="X148" i="15" s="1"/>
  <c r="W154" i="15"/>
  <c r="X154" i="15" s="1"/>
  <c r="B154" i="15"/>
  <c r="A158" i="15"/>
  <c r="A155" i="15"/>
  <c r="W148" i="19"/>
  <c r="X148" i="19" s="1"/>
  <c r="A149" i="19"/>
  <c r="W149" i="19" s="1"/>
  <c r="X149" i="19" s="1"/>
  <c r="W154" i="19"/>
  <c r="X154" i="19" s="1"/>
  <c r="A158" i="19"/>
  <c r="A155" i="19"/>
  <c r="B154" i="19"/>
  <c r="D153" i="19"/>
  <c r="C150" i="19"/>
  <c r="D151" i="19"/>
  <c r="C153" i="19"/>
  <c r="C151" i="19"/>
  <c r="C152" i="19"/>
  <c r="D152" i="19"/>
  <c r="D150" i="19"/>
  <c r="A152" i="19"/>
  <c r="W151" i="19"/>
  <c r="X151" i="19" s="1"/>
  <c r="D147" i="10"/>
  <c r="C147" i="10"/>
  <c r="C146" i="10"/>
  <c r="D148" i="10"/>
  <c r="C148" i="10"/>
  <c r="C149" i="10"/>
  <c r="D146" i="10"/>
  <c r="D149" i="10"/>
  <c r="A148" i="10"/>
  <c r="W147" i="10"/>
  <c r="X147" i="10" s="1"/>
  <c r="B150" i="10"/>
  <c r="W150" i="10"/>
  <c r="X150" i="10" s="1"/>
  <c r="A151" i="10"/>
  <c r="A154" i="10"/>
  <c r="W144" i="10"/>
  <c r="X144" i="10" s="1"/>
  <c r="A145" i="10"/>
  <c r="W145" i="10" s="1"/>
  <c r="X145" i="10" s="1"/>
  <c r="B158" i="15" l="1"/>
  <c r="A159" i="15"/>
  <c r="A162" i="15"/>
  <c r="W158" i="15"/>
  <c r="X158" i="15" s="1"/>
  <c r="A156" i="15"/>
  <c r="W155" i="15"/>
  <c r="X155" i="15" s="1"/>
  <c r="D154" i="15"/>
  <c r="D157" i="15"/>
  <c r="C154" i="15"/>
  <c r="C157" i="15"/>
  <c r="D155" i="15"/>
  <c r="C155" i="15"/>
  <c r="C156" i="15"/>
  <c r="D156" i="15"/>
  <c r="W152" i="15"/>
  <c r="X152" i="15" s="1"/>
  <c r="A153" i="15"/>
  <c r="W153" i="15" s="1"/>
  <c r="X153" i="15" s="1"/>
  <c r="C154" i="19"/>
  <c r="C156" i="19"/>
  <c r="C157" i="19"/>
  <c r="D156" i="19"/>
  <c r="D155" i="19"/>
  <c r="C155" i="19"/>
  <c r="D154" i="19"/>
  <c r="D157" i="19"/>
  <c r="A156" i="19"/>
  <c r="W155" i="19"/>
  <c r="X155" i="19" s="1"/>
  <c r="A162" i="19"/>
  <c r="B158" i="19"/>
  <c r="A159" i="19"/>
  <c r="W158" i="19"/>
  <c r="X158" i="19" s="1"/>
  <c r="A153" i="19"/>
  <c r="W153" i="19" s="1"/>
  <c r="X153" i="19" s="1"/>
  <c r="W152" i="19"/>
  <c r="X152" i="19" s="1"/>
  <c r="A155" i="10"/>
  <c r="A158" i="10"/>
  <c r="W154" i="10"/>
  <c r="X154" i="10" s="1"/>
  <c r="B154" i="10"/>
  <c r="W151" i="10"/>
  <c r="X151" i="10" s="1"/>
  <c r="A152" i="10"/>
  <c r="C150" i="10"/>
  <c r="D153" i="10"/>
  <c r="C153" i="10"/>
  <c r="C152" i="10"/>
  <c r="D151" i="10"/>
  <c r="C151" i="10"/>
  <c r="D152" i="10"/>
  <c r="D150" i="10"/>
  <c r="W148" i="10"/>
  <c r="X148" i="10" s="1"/>
  <c r="A149" i="10"/>
  <c r="W149" i="10" s="1"/>
  <c r="X149" i="10" s="1"/>
  <c r="A157" i="15" l="1"/>
  <c r="W157" i="15" s="1"/>
  <c r="X157" i="15" s="1"/>
  <c r="W156" i="15"/>
  <c r="X156" i="15" s="1"/>
  <c r="A163" i="15"/>
  <c r="A166" i="15"/>
  <c r="W162" i="15"/>
  <c r="X162" i="15" s="1"/>
  <c r="B162" i="15"/>
  <c r="W159" i="15"/>
  <c r="X159" i="15" s="1"/>
  <c r="A160" i="15"/>
  <c r="D158" i="15"/>
  <c r="D161" i="15"/>
  <c r="C160" i="15"/>
  <c r="C158" i="15"/>
  <c r="C161" i="15"/>
  <c r="D159" i="15"/>
  <c r="C159" i="15"/>
  <c r="D160" i="15"/>
  <c r="D159" i="19"/>
  <c r="C160" i="19"/>
  <c r="C158" i="19"/>
  <c r="C159" i="19"/>
  <c r="D160" i="19"/>
  <c r="D158" i="19"/>
  <c r="C161" i="19"/>
  <c r="D161" i="19"/>
  <c r="B162" i="19"/>
  <c r="W162" i="19"/>
  <c r="X162" i="19" s="1"/>
  <c r="A163" i="19"/>
  <c r="A166" i="19"/>
  <c r="A160" i="19"/>
  <c r="W159" i="19"/>
  <c r="X159" i="19" s="1"/>
  <c r="A157" i="19"/>
  <c r="W157" i="19" s="1"/>
  <c r="X157" i="19" s="1"/>
  <c r="W156" i="19"/>
  <c r="X156" i="19" s="1"/>
  <c r="A153" i="10"/>
  <c r="W153" i="10" s="1"/>
  <c r="X153" i="10" s="1"/>
  <c r="W152" i="10"/>
  <c r="X152" i="10" s="1"/>
  <c r="W158" i="10"/>
  <c r="X158" i="10" s="1"/>
  <c r="B158" i="10"/>
  <c r="A159" i="10"/>
  <c r="A162" i="10"/>
  <c r="C154" i="10"/>
  <c r="C156" i="10"/>
  <c r="C157" i="10"/>
  <c r="D157" i="10"/>
  <c r="C155" i="10"/>
  <c r="D155" i="10"/>
  <c r="D156" i="10"/>
  <c r="D154" i="10"/>
  <c r="A156" i="10"/>
  <c r="W155" i="10"/>
  <c r="X155" i="10" s="1"/>
  <c r="D163" i="15" l="1"/>
  <c r="C165" i="15"/>
  <c r="C163" i="15"/>
  <c r="D164" i="15"/>
  <c r="C164" i="15"/>
  <c r="D162" i="15"/>
  <c r="D165" i="15"/>
  <c r="C162" i="15"/>
  <c r="B166" i="15"/>
  <c r="A167" i="15"/>
  <c r="A170" i="15"/>
  <c r="W166" i="15"/>
  <c r="X166" i="15" s="1"/>
  <c r="W163" i="15"/>
  <c r="X163" i="15" s="1"/>
  <c r="A164" i="15"/>
  <c r="A161" i="15"/>
  <c r="W161" i="15" s="1"/>
  <c r="X161" i="15" s="1"/>
  <c r="W160" i="15"/>
  <c r="X160" i="15" s="1"/>
  <c r="A170" i="19"/>
  <c r="A167" i="19"/>
  <c r="W166" i="19"/>
  <c r="X166" i="19" s="1"/>
  <c r="B166" i="19"/>
  <c r="A164" i="19"/>
  <c r="W163" i="19"/>
  <c r="X163" i="19" s="1"/>
  <c r="A161" i="19"/>
  <c r="W161" i="19" s="1"/>
  <c r="X161" i="19" s="1"/>
  <c r="W160" i="19"/>
  <c r="X160" i="19" s="1"/>
  <c r="D162" i="19"/>
  <c r="D165" i="19"/>
  <c r="C163" i="19"/>
  <c r="C162" i="19"/>
  <c r="C165" i="19"/>
  <c r="D164" i="19"/>
  <c r="C164" i="19"/>
  <c r="D163" i="19"/>
  <c r="W159" i="10"/>
  <c r="X159" i="10" s="1"/>
  <c r="A160" i="10"/>
  <c r="D160" i="10"/>
  <c r="D161" i="10"/>
  <c r="C160" i="10"/>
  <c r="D158" i="10"/>
  <c r="C158" i="10"/>
  <c r="C161" i="10"/>
  <c r="D159" i="10"/>
  <c r="C159" i="10"/>
  <c r="B162" i="10"/>
  <c r="W162" i="10"/>
  <c r="X162" i="10" s="1"/>
  <c r="A166" i="10"/>
  <c r="A163" i="10"/>
  <c r="W156" i="10"/>
  <c r="X156" i="10" s="1"/>
  <c r="A157" i="10"/>
  <c r="W157" i="10" s="1"/>
  <c r="X157" i="10" s="1"/>
  <c r="W170" i="15" l="1"/>
  <c r="X170" i="15" s="1"/>
  <c r="B170" i="15"/>
  <c r="A171" i="15"/>
  <c r="A174" i="15"/>
  <c r="A168" i="15"/>
  <c r="W167" i="15"/>
  <c r="X167" i="15" s="1"/>
  <c r="W164" i="15"/>
  <c r="X164" i="15" s="1"/>
  <c r="A165" i="15"/>
  <c r="W165" i="15" s="1"/>
  <c r="X165" i="15" s="1"/>
  <c r="C169" i="15"/>
  <c r="C166" i="15"/>
  <c r="D167" i="15"/>
  <c r="C167" i="15"/>
  <c r="D168" i="15"/>
  <c r="C168" i="15"/>
  <c r="D166" i="15"/>
  <c r="D169" i="15"/>
  <c r="A165" i="19"/>
  <c r="W165" i="19" s="1"/>
  <c r="X165" i="19" s="1"/>
  <c r="W164" i="19"/>
  <c r="X164" i="19" s="1"/>
  <c r="D167" i="19"/>
  <c r="C169" i="19"/>
  <c r="C167" i="19"/>
  <c r="C166" i="19"/>
  <c r="D168" i="19"/>
  <c r="C168" i="19"/>
  <c r="D166" i="19"/>
  <c r="D169" i="19"/>
  <c r="W167" i="19"/>
  <c r="X167" i="19" s="1"/>
  <c r="A168" i="19"/>
  <c r="A174" i="19"/>
  <c r="W170" i="19"/>
  <c r="X170" i="19" s="1"/>
  <c r="B170" i="19"/>
  <c r="A171" i="19"/>
  <c r="A167" i="10"/>
  <c r="A170" i="10"/>
  <c r="W166" i="10"/>
  <c r="X166" i="10" s="1"/>
  <c r="B166" i="10"/>
  <c r="D165" i="10"/>
  <c r="D162" i="10"/>
  <c r="C162" i="10"/>
  <c r="C165" i="10"/>
  <c r="D164" i="10"/>
  <c r="D163" i="10"/>
  <c r="C163" i="10"/>
  <c r="C164" i="10"/>
  <c r="W160" i="10"/>
  <c r="X160" i="10" s="1"/>
  <c r="A161" i="10"/>
  <c r="W161" i="10" s="1"/>
  <c r="X161" i="10" s="1"/>
  <c r="A164" i="10"/>
  <c r="W163" i="10"/>
  <c r="X163" i="10" s="1"/>
  <c r="A169" i="15" l="1"/>
  <c r="W169" i="15" s="1"/>
  <c r="X169" i="15" s="1"/>
  <c r="W168" i="15"/>
  <c r="X168" i="15" s="1"/>
  <c r="A175" i="15"/>
  <c r="A178" i="15"/>
  <c r="W174" i="15"/>
  <c r="X174" i="15" s="1"/>
  <c r="B174" i="15"/>
  <c r="W171" i="15"/>
  <c r="X171" i="15" s="1"/>
  <c r="A172" i="15"/>
  <c r="C172" i="15"/>
  <c r="D172" i="15"/>
  <c r="D170" i="15"/>
  <c r="D173" i="15"/>
  <c r="C170" i="15"/>
  <c r="C173" i="15"/>
  <c r="D171" i="15"/>
  <c r="C171" i="15"/>
  <c r="W171" i="19"/>
  <c r="X171" i="19" s="1"/>
  <c r="A172" i="19"/>
  <c r="A178" i="19"/>
  <c r="W174" i="19"/>
  <c r="X174" i="19" s="1"/>
  <c r="B174" i="19"/>
  <c r="A175" i="19"/>
  <c r="W168" i="19"/>
  <c r="X168" i="19" s="1"/>
  <c r="A169" i="19"/>
  <c r="W169" i="19" s="1"/>
  <c r="X169" i="19" s="1"/>
  <c r="C172" i="19"/>
  <c r="D171" i="19"/>
  <c r="D170" i="19"/>
  <c r="C173" i="19"/>
  <c r="D172" i="19"/>
  <c r="C170" i="19"/>
  <c r="C171" i="19"/>
  <c r="D173" i="19"/>
  <c r="A165" i="10"/>
  <c r="W165" i="10" s="1"/>
  <c r="X165" i="10" s="1"/>
  <c r="W164" i="10"/>
  <c r="X164" i="10" s="1"/>
  <c r="D167" i="10"/>
  <c r="C169" i="10"/>
  <c r="C167" i="10"/>
  <c r="D168" i="10"/>
  <c r="C168" i="10"/>
  <c r="D166" i="10"/>
  <c r="D169" i="10"/>
  <c r="C166" i="10"/>
  <c r="B170" i="10"/>
  <c r="A171" i="10"/>
  <c r="A174" i="10"/>
  <c r="W170" i="10"/>
  <c r="X170" i="10" s="1"/>
  <c r="W167" i="10"/>
  <c r="X167" i="10" s="1"/>
  <c r="A168" i="10"/>
  <c r="C177" i="15" l="1"/>
  <c r="D175" i="15"/>
  <c r="C174" i="15"/>
  <c r="C175" i="15"/>
  <c r="D176" i="15"/>
  <c r="C176" i="15"/>
  <c r="D174" i="15"/>
  <c r="D177" i="15"/>
  <c r="B178" i="15"/>
  <c r="A179" i="15"/>
  <c r="A182" i="15"/>
  <c r="W178" i="15"/>
  <c r="X178" i="15" s="1"/>
  <c r="A173" i="15"/>
  <c r="W173" i="15" s="1"/>
  <c r="X173" i="15" s="1"/>
  <c r="W172" i="15"/>
  <c r="X172" i="15" s="1"/>
  <c r="W175" i="15"/>
  <c r="X175" i="15" s="1"/>
  <c r="A176" i="15"/>
  <c r="C175" i="19"/>
  <c r="D176" i="19"/>
  <c r="D174" i="19"/>
  <c r="C174" i="19"/>
  <c r="C177" i="19"/>
  <c r="C176" i="19"/>
  <c r="D177" i="19"/>
  <c r="D175" i="19"/>
  <c r="W175" i="19"/>
  <c r="X175" i="19" s="1"/>
  <c r="A176" i="19"/>
  <c r="A182" i="19"/>
  <c r="A179" i="19"/>
  <c r="B178" i="19"/>
  <c r="W178" i="19"/>
  <c r="X178" i="19" s="1"/>
  <c r="A173" i="19"/>
  <c r="W173" i="19" s="1"/>
  <c r="X173" i="19" s="1"/>
  <c r="W172" i="19"/>
  <c r="X172" i="19" s="1"/>
  <c r="W168" i="10"/>
  <c r="X168" i="10" s="1"/>
  <c r="A169" i="10"/>
  <c r="W169" i="10" s="1"/>
  <c r="X169" i="10" s="1"/>
  <c r="D173" i="10"/>
  <c r="C170" i="10"/>
  <c r="D171" i="10"/>
  <c r="C172" i="10"/>
  <c r="C173" i="10"/>
  <c r="C171" i="10"/>
  <c r="D170" i="10"/>
  <c r="D172" i="10"/>
  <c r="A178" i="10"/>
  <c r="B174" i="10"/>
  <c r="W174" i="10"/>
  <c r="X174" i="10" s="1"/>
  <c r="A175" i="10"/>
  <c r="W171" i="10"/>
  <c r="X171" i="10" s="1"/>
  <c r="A172" i="10"/>
  <c r="W176" i="15" l="1"/>
  <c r="X176" i="15" s="1"/>
  <c r="A177" i="15"/>
  <c r="W177" i="15" s="1"/>
  <c r="X177" i="15" s="1"/>
  <c r="A186" i="15"/>
  <c r="W182" i="15"/>
  <c r="X182" i="15" s="1"/>
  <c r="B182" i="15"/>
  <c r="A183" i="15"/>
  <c r="A180" i="15"/>
  <c r="W179" i="15"/>
  <c r="X179" i="15" s="1"/>
  <c r="D181" i="15"/>
  <c r="C178" i="15"/>
  <c r="C181" i="15"/>
  <c r="D179" i="15"/>
  <c r="C179" i="15"/>
  <c r="D178" i="15"/>
  <c r="D180" i="15"/>
  <c r="C180" i="15"/>
  <c r="A180" i="19"/>
  <c r="W179" i="19"/>
  <c r="X179" i="19" s="1"/>
  <c r="A183" i="19"/>
  <c r="A186" i="19"/>
  <c r="W182" i="19"/>
  <c r="X182" i="19" s="1"/>
  <c r="B182" i="19"/>
  <c r="D178" i="19"/>
  <c r="D181" i="19"/>
  <c r="C178" i="19"/>
  <c r="C181" i="19"/>
  <c r="C179" i="19"/>
  <c r="D179" i="19"/>
  <c r="D180" i="19"/>
  <c r="C180" i="19"/>
  <c r="A177" i="19"/>
  <c r="W177" i="19" s="1"/>
  <c r="X177" i="19" s="1"/>
  <c r="W176" i="19"/>
  <c r="X176" i="19" s="1"/>
  <c r="D176" i="10"/>
  <c r="C176" i="10"/>
  <c r="C174" i="10"/>
  <c r="C175" i="10"/>
  <c r="D174" i="10"/>
  <c r="C177" i="10"/>
  <c r="D177" i="10"/>
  <c r="D175" i="10"/>
  <c r="W175" i="10"/>
  <c r="X175" i="10" s="1"/>
  <c r="A176" i="10"/>
  <c r="B178" i="10"/>
  <c r="A179" i="10"/>
  <c r="A182" i="10"/>
  <c r="W178" i="10"/>
  <c r="X178" i="10" s="1"/>
  <c r="A173" i="10"/>
  <c r="W173" i="10" s="1"/>
  <c r="X173" i="10" s="1"/>
  <c r="W172" i="10"/>
  <c r="X172" i="10" s="1"/>
  <c r="A181" i="15" l="1"/>
  <c r="W181" i="15" s="1"/>
  <c r="X181" i="15" s="1"/>
  <c r="W180" i="15"/>
  <c r="X180" i="15" s="1"/>
  <c r="W183" i="15"/>
  <c r="X183" i="15" s="1"/>
  <c r="A184" i="15"/>
  <c r="D184" i="15"/>
  <c r="D182" i="15"/>
  <c r="C184" i="15"/>
  <c r="D185" i="15"/>
  <c r="C182" i="15"/>
  <c r="C185" i="15"/>
  <c r="D183" i="15"/>
  <c r="C183" i="15"/>
  <c r="A187" i="15"/>
  <c r="A190" i="15"/>
  <c r="W186" i="15"/>
  <c r="X186" i="15" s="1"/>
  <c r="B186" i="15"/>
  <c r="D184" i="19"/>
  <c r="C184" i="19"/>
  <c r="D182" i="19"/>
  <c r="D185" i="19"/>
  <c r="C185" i="19"/>
  <c r="C182" i="19"/>
  <c r="D183" i="19"/>
  <c r="C183" i="19"/>
  <c r="A187" i="19"/>
  <c r="A190" i="19"/>
  <c r="W186" i="19"/>
  <c r="X186" i="19" s="1"/>
  <c r="B186" i="19"/>
  <c r="W183" i="19"/>
  <c r="X183" i="19" s="1"/>
  <c r="A184" i="19"/>
  <c r="W180" i="19"/>
  <c r="X180" i="19" s="1"/>
  <c r="A181" i="19"/>
  <c r="W181" i="19" s="1"/>
  <c r="X181" i="19" s="1"/>
  <c r="A180" i="10"/>
  <c r="W179" i="10"/>
  <c r="X179" i="10" s="1"/>
  <c r="B182" i="10"/>
  <c r="A186" i="10"/>
  <c r="A183" i="10"/>
  <c r="W182" i="10"/>
  <c r="X182" i="10" s="1"/>
  <c r="C178" i="10"/>
  <c r="D180" i="10"/>
  <c r="C181" i="10"/>
  <c r="D179" i="10"/>
  <c r="C180" i="10"/>
  <c r="C179" i="10"/>
  <c r="D181" i="10"/>
  <c r="D178" i="10"/>
  <c r="W176" i="10"/>
  <c r="X176" i="10" s="1"/>
  <c r="A177" i="10"/>
  <c r="W177" i="10" s="1"/>
  <c r="X177" i="10" s="1"/>
  <c r="A194" i="15" l="1"/>
  <c r="A191" i="15"/>
  <c r="W190" i="15"/>
  <c r="X190" i="15" s="1"/>
  <c r="B190" i="15"/>
  <c r="A188" i="15"/>
  <c r="W187" i="15"/>
  <c r="X187" i="15" s="1"/>
  <c r="A185" i="15"/>
  <c r="W185" i="15" s="1"/>
  <c r="X185" i="15" s="1"/>
  <c r="W184" i="15"/>
  <c r="X184" i="15" s="1"/>
  <c r="D188" i="15"/>
  <c r="C188" i="15"/>
  <c r="D186" i="15"/>
  <c r="D189" i="15"/>
  <c r="C186" i="15"/>
  <c r="C189" i="15"/>
  <c r="D187" i="15"/>
  <c r="C187" i="15"/>
  <c r="W184" i="19"/>
  <c r="X184" i="19" s="1"/>
  <c r="A185" i="19"/>
  <c r="W185" i="19" s="1"/>
  <c r="X185" i="19" s="1"/>
  <c r="C186" i="19"/>
  <c r="C189" i="19"/>
  <c r="D187" i="19"/>
  <c r="C187" i="19"/>
  <c r="C188" i="19"/>
  <c r="D189" i="19"/>
  <c r="D188" i="19"/>
  <c r="D186" i="19"/>
  <c r="A191" i="19"/>
  <c r="A194" i="19"/>
  <c r="W190" i="19"/>
  <c r="X190" i="19" s="1"/>
  <c r="B190" i="19"/>
  <c r="A188" i="19"/>
  <c r="W187" i="19"/>
  <c r="X187" i="19" s="1"/>
  <c r="A184" i="10"/>
  <c r="W183" i="10"/>
  <c r="X183" i="10" s="1"/>
  <c r="A190" i="10"/>
  <c r="A187" i="10"/>
  <c r="W186" i="10"/>
  <c r="X186" i="10" s="1"/>
  <c r="B186" i="10"/>
  <c r="C182" i="10"/>
  <c r="C185" i="10"/>
  <c r="D183" i="10"/>
  <c r="D184" i="10"/>
  <c r="D182" i="10"/>
  <c r="C183" i="10"/>
  <c r="D185" i="10"/>
  <c r="C184" i="10"/>
  <c r="A181" i="10"/>
  <c r="W181" i="10" s="1"/>
  <c r="X181" i="10" s="1"/>
  <c r="W180" i="10"/>
  <c r="X180" i="10" s="1"/>
  <c r="A189" i="15" l="1"/>
  <c r="W189" i="15" s="1"/>
  <c r="X189" i="15" s="1"/>
  <c r="W188" i="15"/>
  <c r="X188" i="15" s="1"/>
  <c r="D190" i="15"/>
  <c r="D193" i="15"/>
  <c r="D191" i="15"/>
  <c r="C191" i="15"/>
  <c r="C190" i="15"/>
  <c r="D192" i="15"/>
  <c r="C193" i="15"/>
  <c r="C192" i="15"/>
  <c r="A192" i="15"/>
  <c r="W191" i="15"/>
  <c r="X191" i="15" s="1"/>
  <c r="A195" i="15"/>
  <c r="A198" i="15"/>
  <c r="W194" i="15"/>
  <c r="X194" i="15" s="1"/>
  <c r="B194" i="15"/>
  <c r="B194" i="19"/>
  <c r="A195" i="19"/>
  <c r="A198" i="19"/>
  <c r="W194" i="19"/>
  <c r="X194" i="19" s="1"/>
  <c r="A192" i="19"/>
  <c r="W191" i="19"/>
  <c r="X191" i="19" s="1"/>
  <c r="A189" i="19"/>
  <c r="W189" i="19" s="1"/>
  <c r="X189" i="19" s="1"/>
  <c r="W188" i="19"/>
  <c r="X188" i="19" s="1"/>
  <c r="D191" i="19"/>
  <c r="C191" i="19"/>
  <c r="D192" i="19"/>
  <c r="C192" i="19"/>
  <c r="D190" i="19"/>
  <c r="C193" i="19"/>
  <c r="D193" i="19"/>
  <c r="C190" i="19"/>
  <c r="C188" i="10"/>
  <c r="D186" i="10"/>
  <c r="C189" i="10"/>
  <c r="C187" i="10"/>
  <c r="D189" i="10"/>
  <c r="D187" i="10"/>
  <c r="C186" i="10"/>
  <c r="D188" i="10"/>
  <c r="W187" i="10"/>
  <c r="X187" i="10" s="1"/>
  <c r="A188" i="10"/>
  <c r="B190" i="10"/>
  <c r="W190" i="10"/>
  <c r="X190" i="10" s="1"/>
  <c r="A191" i="10"/>
  <c r="A194" i="10"/>
  <c r="W184" i="10"/>
  <c r="X184" i="10" s="1"/>
  <c r="A185" i="10"/>
  <c r="W185" i="10" s="1"/>
  <c r="X185" i="10" s="1"/>
  <c r="A199" i="15" l="1"/>
  <c r="W198" i="15"/>
  <c r="X198" i="15" s="1"/>
  <c r="B198" i="15"/>
  <c r="A202" i="15"/>
  <c r="A196" i="15"/>
  <c r="W195" i="15"/>
  <c r="X195" i="15" s="1"/>
  <c r="A193" i="15"/>
  <c r="W193" i="15" s="1"/>
  <c r="X193" i="15" s="1"/>
  <c r="W192" i="15"/>
  <c r="X192" i="15" s="1"/>
  <c r="D195" i="15"/>
  <c r="C195" i="15"/>
  <c r="C194" i="15"/>
  <c r="D196" i="15"/>
  <c r="C197" i="15"/>
  <c r="C196" i="15"/>
  <c r="D194" i="15"/>
  <c r="D197" i="15"/>
  <c r="W198" i="19"/>
  <c r="X198" i="19" s="1"/>
  <c r="A202" i="19"/>
  <c r="B198" i="19"/>
  <c r="A199" i="19"/>
  <c r="W195" i="19"/>
  <c r="X195" i="19" s="1"/>
  <c r="A196" i="19"/>
  <c r="W192" i="19"/>
  <c r="X192" i="19" s="1"/>
  <c r="A193" i="19"/>
  <c r="W193" i="19" s="1"/>
  <c r="X193" i="19" s="1"/>
  <c r="C197" i="19"/>
  <c r="D195" i="19"/>
  <c r="C195" i="19"/>
  <c r="D197" i="19"/>
  <c r="D196" i="19"/>
  <c r="C196" i="19"/>
  <c r="C194" i="19"/>
  <c r="D194" i="19"/>
  <c r="A198" i="10"/>
  <c r="W194" i="10"/>
  <c r="X194" i="10" s="1"/>
  <c r="B194" i="10"/>
  <c r="A195" i="10"/>
  <c r="A192" i="10"/>
  <c r="W191" i="10"/>
  <c r="X191" i="10" s="1"/>
  <c r="W188" i="10"/>
  <c r="X188" i="10" s="1"/>
  <c r="A189" i="10"/>
  <c r="W189" i="10" s="1"/>
  <c r="X189" i="10" s="1"/>
  <c r="D190" i="10"/>
  <c r="C190" i="10"/>
  <c r="D193" i="10"/>
  <c r="C192" i="10"/>
  <c r="C193" i="10"/>
  <c r="D191" i="10"/>
  <c r="C191" i="10"/>
  <c r="D192" i="10"/>
  <c r="W196" i="15" l="1"/>
  <c r="X196" i="15" s="1"/>
  <c r="A197" i="15"/>
  <c r="W197" i="15" s="1"/>
  <c r="X197" i="15" s="1"/>
  <c r="B202" i="15"/>
  <c r="A206" i="15"/>
  <c r="W202" i="15"/>
  <c r="X202" i="15" s="1"/>
  <c r="A203" i="15"/>
  <c r="C198" i="15"/>
  <c r="D201" i="15"/>
  <c r="C201" i="15"/>
  <c r="D199" i="15"/>
  <c r="D200" i="15"/>
  <c r="C199" i="15"/>
  <c r="C200" i="15"/>
  <c r="D198" i="15"/>
  <c r="W199" i="15"/>
  <c r="X199" i="15" s="1"/>
  <c r="A200" i="15"/>
  <c r="A197" i="19"/>
  <c r="W197" i="19" s="1"/>
  <c r="X197" i="19" s="1"/>
  <c r="W196" i="19"/>
  <c r="X196" i="19" s="1"/>
  <c r="A200" i="19"/>
  <c r="W199" i="19"/>
  <c r="X199" i="19" s="1"/>
  <c r="C199" i="19"/>
  <c r="D200" i="19"/>
  <c r="C200" i="19"/>
  <c r="D198" i="19"/>
  <c r="D201" i="19"/>
  <c r="C198" i="19"/>
  <c r="C201" i="19"/>
  <c r="D199" i="19"/>
  <c r="A203" i="19"/>
  <c r="A206" i="19"/>
  <c r="W202" i="19"/>
  <c r="X202" i="19" s="1"/>
  <c r="B202" i="19"/>
  <c r="D197" i="10"/>
  <c r="C194" i="10"/>
  <c r="D195" i="10"/>
  <c r="C196" i="10"/>
  <c r="C197" i="10"/>
  <c r="C195" i="10"/>
  <c r="D196" i="10"/>
  <c r="D194" i="10"/>
  <c r="A193" i="10"/>
  <c r="W193" i="10" s="1"/>
  <c r="X193" i="10" s="1"/>
  <c r="W192" i="10"/>
  <c r="X192" i="10" s="1"/>
  <c r="W195" i="10"/>
  <c r="X195" i="10" s="1"/>
  <c r="A196" i="10"/>
  <c r="A199" i="10"/>
  <c r="B198" i="10"/>
  <c r="W198" i="10"/>
  <c r="X198" i="10" s="1"/>
  <c r="A202" i="10"/>
  <c r="A204" i="15" l="1"/>
  <c r="W203" i="15"/>
  <c r="X203" i="15" s="1"/>
  <c r="A207" i="15"/>
  <c r="A210" i="15"/>
  <c r="B206" i="15"/>
  <c r="W206" i="15"/>
  <c r="X206" i="15" s="1"/>
  <c r="A201" i="15"/>
  <c r="W201" i="15" s="1"/>
  <c r="X201" i="15" s="1"/>
  <c r="W200" i="15"/>
  <c r="X200" i="15" s="1"/>
  <c r="C204" i="15"/>
  <c r="C203" i="15"/>
  <c r="D204" i="15"/>
  <c r="D202" i="15"/>
  <c r="D203" i="15"/>
  <c r="D205" i="15"/>
  <c r="C202" i="15"/>
  <c r="C205" i="15"/>
  <c r="C204" i="19"/>
  <c r="D202" i="19"/>
  <c r="D205" i="19"/>
  <c r="C202" i="19"/>
  <c r="D203" i="19"/>
  <c r="C205" i="19"/>
  <c r="C203" i="19"/>
  <c r="D204" i="19"/>
  <c r="A204" i="19"/>
  <c r="W203" i="19"/>
  <c r="X203" i="19" s="1"/>
  <c r="A201" i="19"/>
  <c r="W201" i="19" s="1"/>
  <c r="X201" i="19" s="1"/>
  <c r="W200" i="19"/>
  <c r="X200" i="19" s="1"/>
  <c r="A210" i="19"/>
  <c r="B206" i="19"/>
  <c r="A207" i="19"/>
  <c r="W206" i="19"/>
  <c r="X206" i="19" s="1"/>
  <c r="W199" i="10"/>
  <c r="X199" i="10" s="1"/>
  <c r="A200" i="10"/>
  <c r="W202" i="10"/>
  <c r="X202" i="10" s="1"/>
  <c r="B202" i="10"/>
  <c r="A206" i="10"/>
  <c r="A203" i="10"/>
  <c r="D199" i="10"/>
  <c r="D198" i="10"/>
  <c r="C199" i="10"/>
  <c r="C200" i="10"/>
  <c r="C201" i="10"/>
  <c r="D201" i="10"/>
  <c r="C198" i="10"/>
  <c r="D200" i="10"/>
  <c r="W196" i="10"/>
  <c r="X196" i="10" s="1"/>
  <c r="A197" i="10"/>
  <c r="W197" i="10" s="1"/>
  <c r="X197" i="10" s="1"/>
  <c r="C208" i="15" l="1"/>
  <c r="D206" i="15"/>
  <c r="C206" i="15"/>
  <c r="D209" i="15"/>
  <c r="D208" i="15"/>
  <c r="C209" i="15"/>
  <c r="D207" i="15"/>
  <c r="C207" i="15"/>
  <c r="B210" i="15"/>
  <c r="W210" i="15"/>
  <c r="X210" i="15" s="1"/>
  <c r="A211" i="15"/>
  <c r="A214" i="15"/>
  <c r="W207" i="15"/>
  <c r="X207" i="15" s="1"/>
  <c r="A208" i="15"/>
  <c r="A205" i="15"/>
  <c r="W205" i="15" s="1"/>
  <c r="X205" i="15" s="1"/>
  <c r="W204" i="15"/>
  <c r="X204" i="15" s="1"/>
  <c r="A211" i="19"/>
  <c r="W210" i="19"/>
  <c r="X210" i="19" s="1"/>
  <c r="A214" i="19"/>
  <c r="B210" i="19"/>
  <c r="W207" i="19"/>
  <c r="X207" i="19" s="1"/>
  <c r="A208" i="19"/>
  <c r="C207" i="19"/>
  <c r="D208" i="19"/>
  <c r="C208" i="19"/>
  <c r="D206" i="19"/>
  <c r="D209" i="19"/>
  <c r="C206" i="19"/>
  <c r="C209" i="19"/>
  <c r="D207" i="19"/>
  <c r="W204" i="19"/>
  <c r="X204" i="19" s="1"/>
  <c r="A205" i="19"/>
  <c r="W205" i="19" s="1"/>
  <c r="X205" i="19" s="1"/>
  <c r="A204" i="10"/>
  <c r="W203" i="10"/>
  <c r="X203" i="10" s="1"/>
  <c r="W206" i="10"/>
  <c r="X206" i="10" s="1"/>
  <c r="B206" i="10"/>
  <c r="A210" i="10"/>
  <c r="A207" i="10"/>
  <c r="D205" i="10"/>
  <c r="C202" i="10"/>
  <c r="D204" i="10"/>
  <c r="C205" i="10"/>
  <c r="D203" i="10"/>
  <c r="C203" i="10"/>
  <c r="C204" i="10"/>
  <c r="D202" i="10"/>
  <c r="W200" i="10"/>
  <c r="X200" i="10" s="1"/>
  <c r="A201" i="10"/>
  <c r="W201" i="10" s="1"/>
  <c r="X201" i="10" s="1"/>
  <c r="W208" i="15" l="1"/>
  <c r="X208" i="15" s="1"/>
  <c r="A209" i="15"/>
  <c r="W209" i="15" s="1"/>
  <c r="X209" i="15" s="1"/>
  <c r="A218" i="15"/>
  <c r="B214" i="15"/>
  <c r="W214" i="15"/>
  <c r="X214" i="15" s="1"/>
  <c r="A215" i="15"/>
  <c r="W211" i="15"/>
  <c r="X211" i="15" s="1"/>
  <c r="A212" i="15"/>
  <c r="C213" i="15"/>
  <c r="D211" i="15"/>
  <c r="D210" i="15"/>
  <c r="D212" i="15"/>
  <c r="C212" i="15"/>
  <c r="C211" i="15"/>
  <c r="D213" i="15"/>
  <c r="C210" i="15"/>
  <c r="A209" i="19"/>
  <c r="W209" i="19" s="1"/>
  <c r="X209" i="19" s="1"/>
  <c r="W208" i="19"/>
  <c r="X208" i="19" s="1"/>
  <c r="B214" i="19"/>
  <c r="A215" i="19"/>
  <c r="A218" i="19"/>
  <c r="W214" i="19"/>
  <c r="X214" i="19" s="1"/>
  <c r="C211" i="19"/>
  <c r="C212" i="19"/>
  <c r="D210" i="19"/>
  <c r="D213" i="19"/>
  <c r="C210" i="19"/>
  <c r="C213" i="19"/>
  <c r="D212" i="19"/>
  <c r="D211" i="19"/>
  <c r="A212" i="19"/>
  <c r="W211" i="19"/>
  <c r="X211" i="19" s="1"/>
  <c r="C207" i="10"/>
  <c r="D208" i="10"/>
  <c r="C208" i="10"/>
  <c r="D206" i="10"/>
  <c r="C209" i="10"/>
  <c r="D207" i="10"/>
  <c r="D209" i="10"/>
  <c r="C206" i="10"/>
  <c r="A208" i="10"/>
  <c r="W207" i="10"/>
  <c r="X207" i="10" s="1"/>
  <c r="B210" i="10"/>
  <c r="A211" i="10"/>
  <c r="A214" i="10"/>
  <c r="W210" i="10"/>
  <c r="X210" i="10" s="1"/>
  <c r="W204" i="10"/>
  <c r="X204" i="10" s="1"/>
  <c r="A205" i="10"/>
  <c r="W205" i="10" s="1"/>
  <c r="X205" i="10" s="1"/>
  <c r="D216" i="15" l="1"/>
  <c r="C215" i="15"/>
  <c r="C216" i="15"/>
  <c r="D217" i="15"/>
  <c r="D214" i="15"/>
  <c r="C214" i="15"/>
  <c r="C217" i="15"/>
  <c r="D215" i="15"/>
  <c r="W218" i="15"/>
  <c r="X218" i="15" s="1"/>
  <c r="B218" i="15"/>
  <c r="A219" i="15"/>
  <c r="A222" i="15"/>
  <c r="A213" i="15"/>
  <c r="W213" i="15" s="1"/>
  <c r="X213" i="15" s="1"/>
  <c r="W212" i="15"/>
  <c r="X212" i="15" s="1"/>
  <c r="A216" i="15"/>
  <c r="W215" i="15"/>
  <c r="X215" i="15" s="1"/>
  <c r="W212" i="19"/>
  <c r="X212" i="19" s="1"/>
  <c r="A213" i="19"/>
  <c r="W213" i="19" s="1"/>
  <c r="X213" i="19" s="1"/>
  <c r="A222" i="19"/>
  <c r="W218" i="19"/>
  <c r="X218" i="19" s="1"/>
  <c r="B218" i="19"/>
  <c r="A219" i="19"/>
  <c r="W215" i="19"/>
  <c r="X215" i="19" s="1"/>
  <c r="A216" i="19"/>
  <c r="D217" i="19"/>
  <c r="C214" i="19"/>
  <c r="C217" i="19"/>
  <c r="C215" i="19"/>
  <c r="D216" i="19"/>
  <c r="D215" i="19"/>
  <c r="C216" i="19"/>
  <c r="D214" i="19"/>
  <c r="C213" i="10"/>
  <c r="C212" i="10"/>
  <c r="D210" i="10"/>
  <c r="D211" i="10"/>
  <c r="D213" i="10"/>
  <c r="C211" i="10"/>
  <c r="C210" i="10"/>
  <c r="D212" i="10"/>
  <c r="W214" i="10"/>
  <c r="X214" i="10" s="1"/>
  <c r="A215" i="10"/>
  <c r="A218" i="10"/>
  <c r="B214" i="10"/>
  <c r="A212" i="10"/>
  <c r="W211" i="10"/>
  <c r="X211" i="10" s="1"/>
  <c r="W208" i="10"/>
  <c r="X208" i="10" s="1"/>
  <c r="A209" i="10"/>
  <c r="W209" i="10" s="1"/>
  <c r="X209" i="10" s="1"/>
  <c r="W216" i="15" l="1"/>
  <c r="X216" i="15" s="1"/>
  <c r="A217" i="15"/>
  <c r="W217" i="15" s="1"/>
  <c r="X217" i="15" s="1"/>
  <c r="W219" i="15"/>
  <c r="X219" i="15" s="1"/>
  <c r="A220" i="15"/>
  <c r="D221" i="15"/>
  <c r="C219" i="15"/>
  <c r="C220" i="15"/>
  <c r="C218" i="15"/>
  <c r="D218" i="15"/>
  <c r="D219" i="15"/>
  <c r="D220" i="15"/>
  <c r="C221" i="15"/>
  <c r="W222" i="15"/>
  <c r="X222" i="15" s="1"/>
  <c r="B222" i="15"/>
  <c r="A226" i="15"/>
  <c r="A223" i="15"/>
  <c r="W216" i="19"/>
  <c r="X216" i="19" s="1"/>
  <c r="A217" i="19"/>
  <c r="W217" i="19" s="1"/>
  <c r="X217" i="19" s="1"/>
  <c r="C221" i="19"/>
  <c r="D219" i="19"/>
  <c r="C219" i="19"/>
  <c r="D218" i="19"/>
  <c r="D220" i="19"/>
  <c r="C220" i="19"/>
  <c r="D221" i="19"/>
  <c r="C218" i="19"/>
  <c r="A223" i="19"/>
  <c r="A226" i="19"/>
  <c r="W222" i="19"/>
  <c r="X222" i="19" s="1"/>
  <c r="B222" i="19"/>
  <c r="W219" i="19"/>
  <c r="X219" i="19" s="1"/>
  <c r="A220" i="19"/>
  <c r="C216" i="10"/>
  <c r="D214" i="10"/>
  <c r="D217" i="10"/>
  <c r="C214" i="10"/>
  <c r="C217" i="10"/>
  <c r="D215" i="10"/>
  <c r="C215" i="10"/>
  <c r="D216" i="10"/>
  <c r="A213" i="10"/>
  <c r="W213" i="10" s="1"/>
  <c r="X213" i="10" s="1"/>
  <c r="W212" i="10"/>
  <c r="X212" i="10" s="1"/>
  <c r="B218" i="10"/>
  <c r="A219" i="10"/>
  <c r="A222" i="10"/>
  <c r="W218" i="10"/>
  <c r="X218" i="10" s="1"/>
  <c r="W215" i="10"/>
  <c r="X215" i="10" s="1"/>
  <c r="A216" i="10"/>
  <c r="A221" i="15" l="1"/>
  <c r="W221" i="15" s="1"/>
  <c r="X221" i="15" s="1"/>
  <c r="W220" i="15"/>
  <c r="X220" i="15" s="1"/>
  <c r="A230" i="15"/>
  <c r="W226" i="15"/>
  <c r="X226" i="15" s="1"/>
  <c r="A227" i="15"/>
  <c r="B226" i="15"/>
  <c r="D222" i="15"/>
  <c r="D223" i="15"/>
  <c r="D225" i="15"/>
  <c r="C224" i="15"/>
  <c r="C223" i="15"/>
  <c r="C222" i="15"/>
  <c r="C225" i="15"/>
  <c r="D224" i="15"/>
  <c r="A224" i="15"/>
  <c r="W223" i="15"/>
  <c r="X223" i="15" s="1"/>
  <c r="D222" i="19"/>
  <c r="D225" i="19"/>
  <c r="C225" i="19"/>
  <c r="C222" i="19"/>
  <c r="D223" i="19"/>
  <c r="C223" i="19"/>
  <c r="D224" i="19"/>
  <c r="C224" i="19"/>
  <c r="A221" i="19"/>
  <c r="W221" i="19" s="1"/>
  <c r="X221" i="19" s="1"/>
  <c r="W220" i="19"/>
  <c r="X220" i="19" s="1"/>
  <c r="W226" i="19"/>
  <c r="X226" i="19" s="1"/>
  <c r="B226" i="19"/>
  <c r="A227" i="19"/>
  <c r="A230" i="19"/>
  <c r="A224" i="19"/>
  <c r="W223" i="19"/>
  <c r="X223" i="19" s="1"/>
  <c r="W216" i="10"/>
  <c r="X216" i="10" s="1"/>
  <c r="A217" i="10"/>
  <c r="W217" i="10" s="1"/>
  <c r="X217" i="10" s="1"/>
  <c r="C219" i="10"/>
  <c r="D220" i="10"/>
  <c r="C220" i="10"/>
  <c r="D219" i="10"/>
  <c r="D218" i="10"/>
  <c r="C218" i="10"/>
  <c r="C221" i="10"/>
  <c r="D221" i="10"/>
  <c r="B222" i="10"/>
  <c r="W222" i="10"/>
  <c r="X222" i="10" s="1"/>
  <c r="A223" i="10"/>
  <c r="A226" i="10"/>
  <c r="W219" i="10"/>
  <c r="X219" i="10" s="1"/>
  <c r="A220" i="10"/>
  <c r="A228" i="15" l="1"/>
  <c r="W227" i="15"/>
  <c r="X227" i="15" s="1"/>
  <c r="D226" i="15"/>
  <c r="D227" i="15"/>
  <c r="D228" i="15"/>
  <c r="C227" i="15"/>
  <c r="C226" i="15"/>
  <c r="D229" i="15"/>
  <c r="C228" i="15"/>
  <c r="C229" i="15"/>
  <c r="B230" i="15"/>
  <c r="A231" i="15"/>
  <c r="W230" i="15"/>
  <c r="X230" i="15" s="1"/>
  <c r="A234" i="15"/>
  <c r="A225" i="15"/>
  <c r="W225" i="15" s="1"/>
  <c r="X225" i="15" s="1"/>
  <c r="W224" i="15"/>
  <c r="X224" i="15" s="1"/>
  <c r="A231" i="19"/>
  <c r="A234" i="19"/>
  <c r="B230" i="19"/>
  <c r="W230" i="19"/>
  <c r="X230" i="19" s="1"/>
  <c r="A225" i="19"/>
  <c r="W225" i="19" s="1"/>
  <c r="X225" i="19" s="1"/>
  <c r="W224" i="19"/>
  <c r="X224" i="19" s="1"/>
  <c r="A228" i="19"/>
  <c r="W227" i="19"/>
  <c r="X227" i="19" s="1"/>
  <c r="C226" i="19"/>
  <c r="D227" i="19"/>
  <c r="C227" i="19"/>
  <c r="C229" i="19"/>
  <c r="D228" i="19"/>
  <c r="C228" i="19"/>
  <c r="D226" i="19"/>
  <c r="D229" i="19"/>
  <c r="A230" i="10"/>
  <c r="W226" i="10"/>
  <c r="X226" i="10" s="1"/>
  <c r="B226" i="10"/>
  <c r="A227" i="10"/>
  <c r="A224" i="10"/>
  <c r="W223" i="10"/>
  <c r="X223" i="10" s="1"/>
  <c r="D225" i="10"/>
  <c r="C222" i="10"/>
  <c r="D222" i="10"/>
  <c r="C225" i="10"/>
  <c r="D224" i="10"/>
  <c r="D223" i="10"/>
  <c r="C223" i="10"/>
  <c r="C224" i="10"/>
  <c r="W220" i="10"/>
  <c r="X220" i="10" s="1"/>
  <c r="A221" i="10"/>
  <c r="W221" i="10" s="1"/>
  <c r="X221" i="10" s="1"/>
  <c r="A238" i="15" l="1"/>
  <c r="W234" i="15"/>
  <c r="X234" i="15" s="1"/>
  <c r="B234" i="15"/>
  <c r="A235" i="15"/>
  <c r="W231" i="15"/>
  <c r="X231" i="15" s="1"/>
  <c r="A232" i="15"/>
  <c r="D232" i="15"/>
  <c r="D233" i="15"/>
  <c r="C233" i="15"/>
  <c r="D231" i="15"/>
  <c r="C230" i="15"/>
  <c r="C231" i="15"/>
  <c r="C232" i="15"/>
  <c r="D230" i="15"/>
  <c r="A229" i="15"/>
  <c r="W229" i="15" s="1"/>
  <c r="X229" i="15" s="1"/>
  <c r="W228" i="15"/>
  <c r="X228" i="15" s="1"/>
  <c r="A229" i="19"/>
  <c r="W229" i="19" s="1"/>
  <c r="X229" i="19" s="1"/>
  <c r="W228" i="19"/>
  <c r="X228" i="19" s="1"/>
  <c r="B234" i="19"/>
  <c r="A235" i="19"/>
  <c r="W234" i="19"/>
  <c r="X234" i="19" s="1"/>
  <c r="A238" i="19"/>
  <c r="D232" i="19"/>
  <c r="C230" i="19"/>
  <c r="C231" i="19"/>
  <c r="D230" i="19"/>
  <c r="D231" i="19"/>
  <c r="D233" i="19"/>
  <c r="C233" i="19"/>
  <c r="C232" i="19"/>
  <c r="A232" i="19"/>
  <c r="W231" i="19"/>
  <c r="X231" i="19" s="1"/>
  <c r="C227" i="10"/>
  <c r="D227" i="10"/>
  <c r="D229" i="10"/>
  <c r="C229" i="10"/>
  <c r="D228" i="10"/>
  <c r="C228" i="10"/>
  <c r="D226" i="10"/>
  <c r="C226" i="10"/>
  <c r="A225" i="10"/>
  <c r="W225" i="10" s="1"/>
  <c r="X225" i="10" s="1"/>
  <c r="W224" i="10"/>
  <c r="X224" i="10" s="1"/>
  <c r="A228" i="10"/>
  <c r="W227" i="10"/>
  <c r="X227" i="10" s="1"/>
  <c r="W230" i="10"/>
  <c r="X230" i="10" s="1"/>
  <c r="A231" i="10"/>
  <c r="A234" i="10"/>
  <c r="B230" i="10"/>
  <c r="A233" i="15" l="1"/>
  <c r="W233" i="15" s="1"/>
  <c r="X233" i="15" s="1"/>
  <c r="W232" i="15"/>
  <c r="X232" i="15" s="1"/>
  <c r="A236" i="15"/>
  <c r="W235" i="15"/>
  <c r="X235" i="15" s="1"/>
  <c r="D236" i="15"/>
  <c r="C235" i="15"/>
  <c r="D237" i="15"/>
  <c r="C237" i="15"/>
  <c r="D235" i="15"/>
  <c r="C236" i="15"/>
  <c r="D234" i="15"/>
  <c r="C234" i="15"/>
  <c r="W238" i="15"/>
  <c r="X238" i="15" s="1"/>
  <c r="B238" i="15"/>
  <c r="A239" i="15"/>
  <c r="A242" i="15"/>
  <c r="W238" i="19"/>
  <c r="X238" i="19" s="1"/>
  <c r="B238" i="19"/>
  <c r="A239" i="19"/>
  <c r="A242" i="19"/>
  <c r="W235" i="19"/>
  <c r="X235" i="19" s="1"/>
  <c r="A236" i="19"/>
  <c r="W232" i="19"/>
  <c r="X232" i="19" s="1"/>
  <c r="A233" i="19"/>
  <c r="W233" i="19" s="1"/>
  <c r="X233" i="19" s="1"/>
  <c r="C237" i="19"/>
  <c r="D237" i="19"/>
  <c r="D235" i="19"/>
  <c r="C234" i="19"/>
  <c r="D236" i="19"/>
  <c r="C236" i="19"/>
  <c r="C235" i="19"/>
  <c r="D234" i="19"/>
  <c r="D232" i="10"/>
  <c r="C230" i="10"/>
  <c r="C232" i="10"/>
  <c r="D233" i="10"/>
  <c r="C231" i="10"/>
  <c r="D230" i="10"/>
  <c r="C233" i="10"/>
  <c r="D231" i="10"/>
  <c r="B234" i="10"/>
  <c r="A238" i="10"/>
  <c r="W234" i="10"/>
  <c r="X234" i="10" s="1"/>
  <c r="A235" i="10"/>
  <c r="W231" i="10"/>
  <c r="X231" i="10" s="1"/>
  <c r="A232" i="10"/>
  <c r="A229" i="10"/>
  <c r="W229" i="10" s="1"/>
  <c r="X229" i="10" s="1"/>
  <c r="W228" i="10"/>
  <c r="X228" i="10" s="1"/>
  <c r="C241" i="15" l="1"/>
  <c r="C239" i="15"/>
  <c r="D240" i="15"/>
  <c r="D239" i="15"/>
  <c r="C240" i="15"/>
  <c r="D238" i="15"/>
  <c r="D241" i="15"/>
  <c r="C238" i="15"/>
  <c r="A246" i="15"/>
  <c r="W242" i="15"/>
  <c r="X242" i="15" s="1"/>
  <c r="B242" i="15"/>
  <c r="A243" i="15"/>
  <c r="A237" i="15"/>
  <c r="W237" i="15" s="1"/>
  <c r="X237" i="15" s="1"/>
  <c r="W236" i="15"/>
  <c r="X236" i="15" s="1"/>
  <c r="A240" i="15"/>
  <c r="W239" i="15"/>
  <c r="X239" i="15" s="1"/>
  <c r="A243" i="19"/>
  <c r="A246" i="19"/>
  <c r="W242" i="19"/>
  <c r="X242" i="19" s="1"/>
  <c r="B242" i="19"/>
  <c r="A240" i="19"/>
  <c r="W239" i="19"/>
  <c r="X239" i="19" s="1"/>
  <c r="C240" i="19"/>
  <c r="D238" i="19"/>
  <c r="C241" i="19"/>
  <c r="C239" i="19"/>
  <c r="D239" i="19"/>
  <c r="D241" i="19"/>
  <c r="D240" i="19"/>
  <c r="C238" i="19"/>
  <c r="A237" i="19"/>
  <c r="W237" i="19" s="1"/>
  <c r="X237" i="19" s="1"/>
  <c r="W236" i="19"/>
  <c r="X236" i="19" s="1"/>
  <c r="A236" i="10"/>
  <c r="W235" i="10"/>
  <c r="X235" i="10" s="1"/>
  <c r="A233" i="10"/>
  <c r="W233" i="10" s="1"/>
  <c r="X233" i="10" s="1"/>
  <c r="W232" i="10"/>
  <c r="X232" i="10" s="1"/>
  <c r="A239" i="10"/>
  <c r="A242" i="10"/>
  <c r="W238" i="10"/>
  <c r="X238" i="10" s="1"/>
  <c r="B238" i="10"/>
  <c r="D234" i="10"/>
  <c r="C236" i="10"/>
  <c r="D237" i="10"/>
  <c r="C234" i="10"/>
  <c r="C235" i="10"/>
  <c r="C237" i="10"/>
  <c r="D235" i="10"/>
  <c r="D236" i="10"/>
  <c r="W240" i="15" l="1"/>
  <c r="X240" i="15" s="1"/>
  <c r="A241" i="15"/>
  <c r="W241" i="15" s="1"/>
  <c r="X241" i="15" s="1"/>
  <c r="C245" i="15"/>
  <c r="D243" i="15"/>
  <c r="C243" i="15"/>
  <c r="D242" i="15"/>
  <c r="D244" i="15"/>
  <c r="C244" i="15"/>
  <c r="D245" i="15"/>
  <c r="C242" i="15"/>
  <c r="W243" i="15"/>
  <c r="X243" i="15" s="1"/>
  <c r="A244" i="15"/>
  <c r="A247" i="15"/>
  <c r="B246" i="15"/>
  <c r="A250" i="15"/>
  <c r="W246" i="15"/>
  <c r="X246" i="15" s="1"/>
  <c r="A241" i="19"/>
  <c r="W241" i="19" s="1"/>
  <c r="X241" i="19" s="1"/>
  <c r="W240" i="19"/>
  <c r="X240" i="19" s="1"/>
  <c r="B246" i="19"/>
  <c r="A247" i="19"/>
  <c r="W246" i="19"/>
  <c r="X246" i="19" s="1"/>
  <c r="A250" i="19"/>
  <c r="D242" i="19"/>
  <c r="C243" i="19"/>
  <c r="D245" i="19"/>
  <c r="C242" i="19"/>
  <c r="C245" i="19"/>
  <c r="D244" i="19"/>
  <c r="D243" i="19"/>
  <c r="C244" i="19"/>
  <c r="A244" i="19"/>
  <c r="W243" i="19"/>
  <c r="X243" i="19" s="1"/>
  <c r="B242" i="10"/>
  <c r="A243" i="10"/>
  <c r="A246" i="10"/>
  <c r="W242" i="10"/>
  <c r="X242" i="10" s="1"/>
  <c r="W239" i="10"/>
  <c r="X239" i="10" s="1"/>
  <c r="A240" i="10"/>
  <c r="D240" i="10"/>
  <c r="C240" i="10"/>
  <c r="D238" i="10"/>
  <c r="D241" i="10"/>
  <c r="C238" i="10"/>
  <c r="C239" i="10"/>
  <c r="D239" i="10"/>
  <c r="C241" i="10"/>
  <c r="A237" i="10"/>
  <c r="W237" i="10" s="1"/>
  <c r="X237" i="10" s="1"/>
  <c r="W236" i="10"/>
  <c r="X236" i="10" s="1"/>
  <c r="D249" i="15" l="1"/>
  <c r="D246" i="15"/>
  <c r="C249" i="15"/>
  <c r="D247" i="15"/>
  <c r="C247" i="15"/>
  <c r="D248" i="15"/>
  <c r="C246" i="15"/>
  <c r="C248" i="15"/>
  <c r="W244" i="15"/>
  <c r="X244" i="15" s="1"/>
  <c r="A245" i="15"/>
  <c r="W245" i="15" s="1"/>
  <c r="X245" i="15" s="1"/>
  <c r="A254" i="15"/>
  <c r="A251" i="15"/>
  <c r="B250" i="15"/>
  <c r="W250" i="15"/>
  <c r="X250" i="15" s="1"/>
  <c r="W247" i="15"/>
  <c r="X247" i="15" s="1"/>
  <c r="A248" i="15"/>
  <c r="W244" i="19"/>
  <c r="X244" i="19" s="1"/>
  <c r="A245" i="19"/>
  <c r="W245" i="19" s="1"/>
  <c r="X245" i="19" s="1"/>
  <c r="W247" i="19"/>
  <c r="X247" i="19" s="1"/>
  <c r="A248" i="19"/>
  <c r="A254" i="19"/>
  <c r="A251" i="19"/>
  <c r="W250" i="19"/>
  <c r="X250" i="19" s="1"/>
  <c r="B250" i="19"/>
  <c r="D249" i="19"/>
  <c r="C247" i="19"/>
  <c r="C246" i="19"/>
  <c r="D248" i="19"/>
  <c r="D247" i="19"/>
  <c r="C249" i="19"/>
  <c r="C248" i="19"/>
  <c r="D246" i="19"/>
  <c r="W240" i="10"/>
  <c r="X240" i="10" s="1"/>
  <c r="A241" i="10"/>
  <c r="W241" i="10" s="1"/>
  <c r="X241" i="10" s="1"/>
  <c r="A247" i="10"/>
  <c r="A250" i="10"/>
  <c r="W246" i="10"/>
  <c r="X246" i="10" s="1"/>
  <c r="B246" i="10"/>
  <c r="W243" i="10"/>
  <c r="X243" i="10" s="1"/>
  <c r="A244" i="10"/>
  <c r="D245" i="10"/>
  <c r="C242" i="10"/>
  <c r="D244" i="10"/>
  <c r="D242" i="10"/>
  <c r="C244" i="10"/>
  <c r="C245" i="10"/>
  <c r="D243" i="10"/>
  <c r="C243" i="10"/>
  <c r="D253" i="15" l="1"/>
  <c r="C250" i="15"/>
  <c r="D251" i="15"/>
  <c r="C251" i="15"/>
  <c r="C253" i="15"/>
  <c r="D252" i="15"/>
  <c r="C252" i="15"/>
  <c r="D250" i="15"/>
  <c r="A252" i="15"/>
  <c r="W251" i="15"/>
  <c r="X251" i="15" s="1"/>
  <c r="A255" i="15"/>
  <c r="A258" i="15"/>
  <c r="B254" i="15"/>
  <c r="W254" i="15"/>
  <c r="X254" i="15" s="1"/>
  <c r="W248" i="15"/>
  <c r="X248" i="15" s="1"/>
  <c r="A249" i="15"/>
  <c r="W249" i="15" s="1"/>
  <c r="X249" i="15" s="1"/>
  <c r="D250" i="19"/>
  <c r="C251" i="19"/>
  <c r="D252" i="19"/>
  <c r="C250" i="19"/>
  <c r="C253" i="19"/>
  <c r="C252" i="19"/>
  <c r="D253" i="19"/>
  <c r="D251" i="19"/>
  <c r="A258" i="19"/>
  <c r="W254" i="19"/>
  <c r="X254" i="19" s="1"/>
  <c r="A255" i="19"/>
  <c r="B254" i="19"/>
  <c r="W248" i="19"/>
  <c r="X248" i="19" s="1"/>
  <c r="A249" i="19"/>
  <c r="W249" i="19" s="1"/>
  <c r="X249" i="19" s="1"/>
  <c r="W251" i="19"/>
  <c r="X251" i="19" s="1"/>
  <c r="A252" i="19"/>
  <c r="W244" i="10"/>
  <c r="X244" i="10" s="1"/>
  <c r="A245" i="10"/>
  <c r="W245" i="10" s="1"/>
  <c r="X245" i="10" s="1"/>
  <c r="C246" i="10"/>
  <c r="C249" i="10"/>
  <c r="D247" i="10"/>
  <c r="C247" i="10"/>
  <c r="C248" i="10"/>
  <c r="D249" i="10"/>
  <c r="D248" i="10"/>
  <c r="D246" i="10"/>
  <c r="W250" i="10"/>
  <c r="X250" i="10" s="1"/>
  <c r="B250" i="10"/>
  <c r="A251" i="10"/>
  <c r="A254" i="10"/>
  <c r="A248" i="10"/>
  <c r="W247" i="10"/>
  <c r="X247" i="10" s="1"/>
  <c r="C255" i="15" l="1"/>
  <c r="D256" i="15"/>
  <c r="C256" i="15"/>
  <c r="D254" i="15"/>
  <c r="D257" i="15"/>
  <c r="C254" i="15"/>
  <c r="C257" i="15"/>
  <c r="D255" i="15"/>
  <c r="B258" i="15"/>
  <c r="A259" i="15"/>
  <c r="A262" i="15"/>
  <c r="W258" i="15"/>
  <c r="X258" i="15" s="1"/>
  <c r="A256" i="15"/>
  <c r="W255" i="15"/>
  <c r="X255" i="15" s="1"/>
  <c r="W252" i="15"/>
  <c r="X252" i="15" s="1"/>
  <c r="A253" i="15"/>
  <c r="W253" i="15" s="1"/>
  <c r="X253" i="15" s="1"/>
  <c r="W252" i="19"/>
  <c r="X252" i="19" s="1"/>
  <c r="A253" i="19"/>
  <c r="W253" i="19" s="1"/>
  <c r="X253" i="19" s="1"/>
  <c r="D255" i="19"/>
  <c r="D257" i="19"/>
  <c r="C255" i="19"/>
  <c r="C257" i="19"/>
  <c r="C254" i="19"/>
  <c r="D256" i="19"/>
  <c r="C256" i="19"/>
  <c r="D254" i="19"/>
  <c r="W255" i="19"/>
  <c r="X255" i="19" s="1"/>
  <c r="A256" i="19"/>
  <c r="B258" i="19"/>
  <c r="A259" i="19"/>
  <c r="W258" i="19"/>
  <c r="X258" i="19" s="1"/>
  <c r="A262" i="19"/>
  <c r="B254" i="10"/>
  <c r="A258" i="10"/>
  <c r="W254" i="10"/>
  <c r="X254" i="10" s="1"/>
  <c r="A255" i="10"/>
  <c r="W251" i="10"/>
  <c r="X251" i="10" s="1"/>
  <c r="A252" i="10"/>
  <c r="A249" i="10"/>
  <c r="W249" i="10" s="1"/>
  <c r="X249" i="10" s="1"/>
  <c r="W248" i="10"/>
  <c r="X248" i="10" s="1"/>
  <c r="C250" i="10"/>
  <c r="D250" i="10"/>
  <c r="C253" i="10"/>
  <c r="C251" i="10"/>
  <c r="D252" i="10"/>
  <c r="C252" i="10"/>
  <c r="D251" i="10"/>
  <c r="D253" i="10"/>
  <c r="W256" i="15" l="1"/>
  <c r="X256" i="15" s="1"/>
  <c r="A257" i="15"/>
  <c r="W257" i="15" s="1"/>
  <c r="X257" i="15" s="1"/>
  <c r="A266" i="15"/>
  <c r="W262" i="15"/>
  <c r="X262" i="15" s="1"/>
  <c r="B262" i="15"/>
  <c r="A263" i="15"/>
  <c r="W259" i="15"/>
  <c r="X259" i="15" s="1"/>
  <c r="A260" i="15"/>
  <c r="D261" i="15"/>
  <c r="C258" i="15"/>
  <c r="C261" i="15"/>
  <c r="D259" i="15"/>
  <c r="D260" i="15"/>
  <c r="C260" i="15"/>
  <c r="D258" i="15"/>
  <c r="C259" i="15"/>
  <c r="W262" i="19"/>
  <c r="X262" i="19" s="1"/>
  <c r="B262" i="19"/>
  <c r="A266" i="19"/>
  <c r="A263" i="19"/>
  <c r="A260" i="19"/>
  <c r="W259" i="19"/>
  <c r="X259" i="19" s="1"/>
  <c r="D258" i="19"/>
  <c r="C261" i="19"/>
  <c r="D260" i="19"/>
  <c r="D261" i="19"/>
  <c r="C259" i="19"/>
  <c r="C258" i="19"/>
  <c r="C260" i="19"/>
  <c r="D259" i="19"/>
  <c r="A257" i="19"/>
  <c r="W257" i="19" s="1"/>
  <c r="X257" i="19" s="1"/>
  <c r="W256" i="19"/>
  <c r="X256" i="19" s="1"/>
  <c r="W252" i="10"/>
  <c r="X252" i="10" s="1"/>
  <c r="A253" i="10"/>
  <c r="W253" i="10" s="1"/>
  <c r="X253" i="10" s="1"/>
  <c r="A256" i="10"/>
  <c r="W255" i="10"/>
  <c r="X255" i="10" s="1"/>
  <c r="B258" i="10"/>
  <c r="A262" i="10"/>
  <c r="A259" i="10"/>
  <c r="W258" i="10"/>
  <c r="X258" i="10" s="1"/>
  <c r="D257" i="10"/>
  <c r="C257" i="10"/>
  <c r="C255" i="10"/>
  <c r="D256" i="10"/>
  <c r="C256" i="10"/>
  <c r="C254" i="10"/>
  <c r="D254" i="10"/>
  <c r="D255" i="10"/>
  <c r="D265" i="15" l="1"/>
  <c r="C263" i="15"/>
  <c r="D264" i="15"/>
  <c r="C264" i="15"/>
  <c r="D262" i="15"/>
  <c r="C265" i="15"/>
  <c r="D263" i="15"/>
  <c r="C262" i="15"/>
  <c r="W260" i="15"/>
  <c r="X260" i="15" s="1"/>
  <c r="A261" i="15"/>
  <c r="W261" i="15" s="1"/>
  <c r="X261" i="15" s="1"/>
  <c r="A264" i="15"/>
  <c r="W263" i="15"/>
  <c r="X263" i="15" s="1"/>
  <c r="A267" i="15"/>
  <c r="W266" i="15"/>
  <c r="X266" i="15" s="1"/>
  <c r="A270" i="15"/>
  <c r="B266" i="15"/>
  <c r="A261" i="19"/>
  <c r="W261" i="19" s="1"/>
  <c r="X261" i="19" s="1"/>
  <c r="W260" i="19"/>
  <c r="X260" i="19" s="1"/>
  <c r="A264" i="19"/>
  <c r="W263" i="19"/>
  <c r="X263" i="19" s="1"/>
  <c r="W266" i="19"/>
  <c r="X266" i="19" s="1"/>
  <c r="B266" i="19"/>
  <c r="A267" i="19"/>
  <c r="A270" i="19"/>
  <c r="D264" i="19"/>
  <c r="D265" i="19"/>
  <c r="C263" i="19"/>
  <c r="C264" i="19"/>
  <c r="C262" i="19"/>
  <c r="D262" i="19"/>
  <c r="D263" i="19"/>
  <c r="C265" i="19"/>
  <c r="A260" i="10"/>
  <c r="W259" i="10"/>
  <c r="X259" i="10" s="1"/>
  <c r="W256" i="10"/>
  <c r="X256" i="10" s="1"/>
  <c r="A257" i="10"/>
  <c r="W257" i="10" s="1"/>
  <c r="X257" i="10" s="1"/>
  <c r="W262" i="10"/>
  <c r="X262" i="10" s="1"/>
  <c r="A263" i="10"/>
  <c r="A266" i="10"/>
  <c r="B262" i="10"/>
  <c r="D260" i="10"/>
  <c r="D261" i="10"/>
  <c r="D259" i="10"/>
  <c r="C259" i="10"/>
  <c r="C260" i="10"/>
  <c r="D258" i="10"/>
  <c r="C258" i="10"/>
  <c r="C261" i="10"/>
  <c r="A268" i="15" l="1"/>
  <c r="W267" i="15"/>
  <c r="X267" i="15" s="1"/>
  <c r="C268" i="15"/>
  <c r="D266" i="15"/>
  <c r="C266" i="15"/>
  <c r="D269" i="15"/>
  <c r="C269" i="15"/>
  <c r="D268" i="15"/>
  <c r="C267" i="15"/>
  <c r="D267" i="15"/>
  <c r="A265" i="15"/>
  <c r="W265" i="15" s="1"/>
  <c r="X265" i="15" s="1"/>
  <c r="W264" i="15"/>
  <c r="X264" i="15" s="1"/>
  <c r="B270" i="15"/>
  <c r="A271" i="15"/>
  <c r="W270" i="15"/>
  <c r="X270" i="15" s="1"/>
  <c r="A274" i="15"/>
  <c r="B270" i="19"/>
  <c r="W270" i="19"/>
  <c r="X270" i="19" s="1"/>
  <c r="A274" i="19"/>
  <c r="A271" i="19"/>
  <c r="W267" i="19"/>
  <c r="X267" i="19" s="1"/>
  <c r="A268" i="19"/>
  <c r="A265" i="19"/>
  <c r="W265" i="19" s="1"/>
  <c r="X265" i="19" s="1"/>
  <c r="W264" i="19"/>
  <c r="X264" i="19" s="1"/>
  <c r="D266" i="19"/>
  <c r="D267" i="19"/>
  <c r="D268" i="19"/>
  <c r="D269" i="19"/>
  <c r="C269" i="19"/>
  <c r="C268" i="19"/>
  <c r="C266" i="19"/>
  <c r="C267" i="19"/>
  <c r="D263" i="10"/>
  <c r="C263" i="10"/>
  <c r="D265" i="10"/>
  <c r="D264" i="10"/>
  <c r="C262" i="10"/>
  <c r="C264" i="10"/>
  <c r="C265" i="10"/>
  <c r="D262" i="10"/>
  <c r="W263" i="10"/>
  <c r="X263" i="10" s="1"/>
  <c r="A264" i="10"/>
  <c r="B266" i="10"/>
  <c r="A270" i="10"/>
  <c r="W266" i="10"/>
  <c r="X266" i="10" s="1"/>
  <c r="A267" i="10"/>
  <c r="W260" i="10"/>
  <c r="X260" i="10" s="1"/>
  <c r="A261" i="10"/>
  <c r="W261" i="10" s="1"/>
  <c r="X261" i="10" s="1"/>
  <c r="A272" i="15" l="1"/>
  <c r="W271" i="15"/>
  <c r="X271" i="15" s="1"/>
  <c r="A275" i="15"/>
  <c r="A278" i="15"/>
  <c r="W274" i="15"/>
  <c r="X274" i="15" s="1"/>
  <c r="B274" i="15"/>
  <c r="D270" i="15"/>
  <c r="D273" i="15"/>
  <c r="C270" i="15"/>
  <c r="C273" i="15"/>
  <c r="C271" i="15"/>
  <c r="D272" i="15"/>
  <c r="D271" i="15"/>
  <c r="C272" i="15"/>
  <c r="W268" i="15"/>
  <c r="X268" i="15" s="1"/>
  <c r="A269" i="15"/>
  <c r="W269" i="15" s="1"/>
  <c r="X269" i="15" s="1"/>
  <c r="W271" i="19"/>
  <c r="X271" i="19" s="1"/>
  <c r="A272" i="19"/>
  <c r="W268" i="19"/>
  <c r="X268" i="19" s="1"/>
  <c r="A269" i="19"/>
  <c r="W269" i="19" s="1"/>
  <c r="X269" i="19" s="1"/>
  <c r="A275" i="19"/>
  <c r="B274" i="19"/>
  <c r="A278" i="19"/>
  <c r="W274" i="19"/>
  <c r="X274" i="19" s="1"/>
  <c r="C272" i="19"/>
  <c r="D270" i="19"/>
  <c r="C270" i="19"/>
  <c r="D271" i="19"/>
  <c r="D273" i="19"/>
  <c r="C273" i="19"/>
  <c r="D272" i="19"/>
  <c r="C271" i="19"/>
  <c r="A268" i="10"/>
  <c r="W267" i="10"/>
  <c r="X267" i="10" s="1"/>
  <c r="A271" i="10"/>
  <c r="A274" i="10"/>
  <c r="W270" i="10"/>
  <c r="X270" i="10" s="1"/>
  <c r="B270" i="10"/>
  <c r="D266" i="10"/>
  <c r="C267" i="10"/>
  <c r="C268" i="10"/>
  <c r="D267" i="10"/>
  <c r="D269" i="10"/>
  <c r="D268" i="10"/>
  <c r="C266" i="10"/>
  <c r="C269" i="10"/>
  <c r="A265" i="10"/>
  <c r="W265" i="10" s="1"/>
  <c r="X265" i="10" s="1"/>
  <c r="W264" i="10"/>
  <c r="X264" i="10" s="1"/>
  <c r="C275" i="15" l="1"/>
  <c r="D275" i="15"/>
  <c r="D276" i="15"/>
  <c r="D274" i="15"/>
  <c r="C276" i="15"/>
  <c r="D277" i="15"/>
  <c r="C274" i="15"/>
  <c r="C277" i="15"/>
  <c r="B278" i="15"/>
  <c r="A282" i="15"/>
  <c r="W278" i="15"/>
  <c r="X278" i="15" s="1"/>
  <c r="A279" i="15"/>
  <c r="A276" i="15"/>
  <c r="W275" i="15"/>
  <c r="X275" i="15" s="1"/>
  <c r="W272" i="15"/>
  <c r="X272" i="15" s="1"/>
  <c r="A273" i="15"/>
  <c r="W273" i="15" s="1"/>
  <c r="X273" i="15" s="1"/>
  <c r="C276" i="19"/>
  <c r="C274" i="19"/>
  <c r="D275" i="19"/>
  <c r="C275" i="19"/>
  <c r="D274" i="19"/>
  <c r="D277" i="19"/>
  <c r="C277" i="19"/>
  <c r="D276" i="19"/>
  <c r="W275" i="19"/>
  <c r="X275" i="19" s="1"/>
  <c r="A276" i="19"/>
  <c r="A279" i="19"/>
  <c r="W278" i="19"/>
  <c r="X278" i="19" s="1"/>
  <c r="B278" i="19"/>
  <c r="A282" i="19"/>
  <c r="A273" i="19"/>
  <c r="W273" i="19" s="1"/>
  <c r="X273" i="19" s="1"/>
  <c r="W272" i="19"/>
  <c r="X272" i="19" s="1"/>
  <c r="D272" i="10"/>
  <c r="D270" i="10"/>
  <c r="C270" i="10"/>
  <c r="C273" i="10"/>
  <c r="C272" i="10"/>
  <c r="D271" i="10"/>
  <c r="D273" i="10"/>
  <c r="C271" i="10"/>
  <c r="A275" i="10"/>
  <c r="B274" i="10"/>
  <c r="A278" i="10"/>
  <c r="W274" i="10"/>
  <c r="X274" i="10" s="1"/>
  <c r="W271" i="10"/>
  <c r="X271" i="10" s="1"/>
  <c r="A272" i="10"/>
  <c r="A269" i="10"/>
  <c r="W269" i="10" s="1"/>
  <c r="X269" i="10" s="1"/>
  <c r="W268" i="10"/>
  <c r="X268" i="10" s="1"/>
  <c r="A286" i="15" l="1"/>
  <c r="B282" i="15"/>
  <c r="A283" i="15"/>
  <c r="W282" i="15"/>
  <c r="X282" i="15" s="1"/>
  <c r="W276" i="15"/>
  <c r="X276" i="15" s="1"/>
  <c r="A277" i="15"/>
  <c r="W277" i="15" s="1"/>
  <c r="X277" i="15" s="1"/>
  <c r="W279" i="15"/>
  <c r="X279" i="15" s="1"/>
  <c r="A280" i="15"/>
  <c r="C278" i="15"/>
  <c r="D281" i="15"/>
  <c r="D278" i="15"/>
  <c r="C281" i="15"/>
  <c r="D279" i="15"/>
  <c r="C279" i="15"/>
  <c r="D280" i="15"/>
  <c r="C280" i="15"/>
  <c r="A286" i="19"/>
  <c r="W282" i="19"/>
  <c r="X282" i="19" s="1"/>
  <c r="B282" i="19"/>
  <c r="A283" i="19"/>
  <c r="D281" i="19"/>
  <c r="C278" i="19"/>
  <c r="D280" i="19"/>
  <c r="D279" i="19"/>
  <c r="C281" i="19"/>
  <c r="C280" i="19"/>
  <c r="D278" i="19"/>
  <c r="C279" i="19"/>
  <c r="A280" i="19"/>
  <c r="W279" i="19"/>
  <c r="X279" i="19" s="1"/>
  <c r="W276" i="19"/>
  <c r="X276" i="19" s="1"/>
  <c r="A277" i="19"/>
  <c r="W277" i="19" s="1"/>
  <c r="X277" i="19" s="1"/>
  <c r="A282" i="10"/>
  <c r="W278" i="10"/>
  <c r="X278" i="10" s="1"/>
  <c r="B278" i="10"/>
  <c r="A279" i="10"/>
  <c r="W272" i="10"/>
  <c r="X272" i="10" s="1"/>
  <c r="A273" i="10"/>
  <c r="W273" i="10" s="1"/>
  <c r="X273" i="10" s="1"/>
  <c r="D275" i="10"/>
  <c r="C276" i="10"/>
  <c r="D277" i="10"/>
  <c r="D274" i="10"/>
  <c r="C275" i="10"/>
  <c r="C274" i="10"/>
  <c r="D276" i="10"/>
  <c r="C277" i="10"/>
  <c r="A276" i="10"/>
  <c r="W275" i="10"/>
  <c r="X275" i="10" s="1"/>
  <c r="A284" i="15" l="1"/>
  <c r="W283" i="15"/>
  <c r="X283" i="15" s="1"/>
  <c r="C284" i="15"/>
  <c r="D284" i="15"/>
  <c r="D282" i="15"/>
  <c r="D285" i="15"/>
  <c r="C282" i="15"/>
  <c r="D283" i="15"/>
  <c r="C283" i="15"/>
  <c r="C285" i="15"/>
  <c r="W280" i="15"/>
  <c r="X280" i="15" s="1"/>
  <c r="A281" i="15"/>
  <c r="W281" i="15" s="1"/>
  <c r="X281" i="15" s="1"/>
  <c r="A287" i="15"/>
  <c r="A290" i="15"/>
  <c r="W286" i="15"/>
  <c r="X286" i="15" s="1"/>
  <c r="B286" i="15"/>
  <c r="C285" i="19"/>
  <c r="D282" i="19"/>
  <c r="D283" i="19"/>
  <c r="D284" i="19"/>
  <c r="C283" i="19"/>
  <c r="D285" i="19"/>
  <c r="C282" i="19"/>
  <c r="C284" i="19"/>
  <c r="W283" i="19"/>
  <c r="X283" i="19" s="1"/>
  <c r="A284" i="19"/>
  <c r="A281" i="19"/>
  <c r="W281" i="19" s="1"/>
  <c r="X281" i="19" s="1"/>
  <c r="W280" i="19"/>
  <c r="X280" i="19" s="1"/>
  <c r="A287" i="19"/>
  <c r="A290" i="19"/>
  <c r="B286" i="19"/>
  <c r="W286" i="19"/>
  <c r="X286" i="19" s="1"/>
  <c r="D280" i="10"/>
  <c r="C279" i="10"/>
  <c r="D281" i="10"/>
  <c r="D279" i="10"/>
  <c r="C280" i="10"/>
  <c r="D278" i="10"/>
  <c r="C278" i="10"/>
  <c r="C281" i="10"/>
  <c r="A277" i="10"/>
  <c r="W277" i="10" s="1"/>
  <c r="X277" i="10" s="1"/>
  <c r="W276" i="10"/>
  <c r="X276" i="10" s="1"/>
  <c r="A280" i="10"/>
  <c r="W279" i="10"/>
  <c r="X279" i="10" s="1"/>
  <c r="A283" i="10"/>
  <c r="W282" i="10"/>
  <c r="X282" i="10" s="1"/>
  <c r="B282" i="10"/>
  <c r="A286" i="10"/>
  <c r="B290" i="15" l="1"/>
  <c r="A291" i="15"/>
  <c r="A294" i="15"/>
  <c r="W290" i="15"/>
  <c r="X290" i="15" s="1"/>
  <c r="C287" i="15"/>
  <c r="D288" i="15"/>
  <c r="D287" i="15"/>
  <c r="D286" i="15"/>
  <c r="D289" i="15"/>
  <c r="C286" i="15"/>
  <c r="C289" i="15"/>
  <c r="C288" i="15"/>
  <c r="W287" i="15"/>
  <c r="X287" i="15" s="1"/>
  <c r="A288" i="15"/>
  <c r="W284" i="15"/>
  <c r="X284" i="15" s="1"/>
  <c r="A285" i="15"/>
  <c r="W285" i="15" s="1"/>
  <c r="X285" i="15" s="1"/>
  <c r="D288" i="19"/>
  <c r="D289" i="19"/>
  <c r="C287" i="19"/>
  <c r="C288" i="19"/>
  <c r="D286" i="19"/>
  <c r="D287" i="19"/>
  <c r="C289" i="19"/>
  <c r="C286" i="19"/>
  <c r="W290" i="19"/>
  <c r="X290" i="19" s="1"/>
  <c r="A294" i="19"/>
  <c r="B290" i="19"/>
  <c r="A291" i="19"/>
  <c r="A288" i="19"/>
  <c r="W287" i="19"/>
  <c r="X287" i="19" s="1"/>
  <c r="W284" i="19"/>
  <c r="X284" i="19" s="1"/>
  <c r="A285" i="19"/>
  <c r="W285" i="19" s="1"/>
  <c r="X285" i="19" s="1"/>
  <c r="C285" i="10"/>
  <c r="C284" i="10"/>
  <c r="D282" i="10"/>
  <c r="D283" i="10"/>
  <c r="C283" i="10"/>
  <c r="D285" i="10"/>
  <c r="C282" i="10"/>
  <c r="D284" i="10"/>
  <c r="A281" i="10"/>
  <c r="W281" i="10" s="1"/>
  <c r="X281" i="10" s="1"/>
  <c r="W280" i="10"/>
  <c r="X280" i="10" s="1"/>
  <c r="A287" i="10"/>
  <c r="W286" i="10"/>
  <c r="X286" i="10" s="1"/>
  <c r="A290" i="10"/>
  <c r="B286" i="10"/>
  <c r="A284" i="10"/>
  <c r="W283" i="10"/>
  <c r="X283" i="10" s="1"/>
  <c r="W288" i="15" l="1"/>
  <c r="X288" i="15" s="1"/>
  <c r="A289" i="15"/>
  <c r="W289" i="15" s="1"/>
  <c r="X289" i="15" s="1"/>
  <c r="A298" i="15"/>
  <c r="A295" i="15"/>
  <c r="W294" i="15"/>
  <c r="X294" i="15" s="1"/>
  <c r="B294" i="15"/>
  <c r="A292" i="15"/>
  <c r="W291" i="15"/>
  <c r="X291" i="15" s="1"/>
  <c r="D293" i="15"/>
  <c r="C292" i="15"/>
  <c r="C290" i="15"/>
  <c r="C293" i="15"/>
  <c r="D291" i="15"/>
  <c r="D292" i="15"/>
  <c r="D290" i="15"/>
  <c r="C291" i="15"/>
  <c r="D292" i="19"/>
  <c r="C292" i="19"/>
  <c r="D290" i="19"/>
  <c r="D293" i="19"/>
  <c r="C293" i="19"/>
  <c r="D291" i="19"/>
  <c r="C291" i="19"/>
  <c r="C290" i="19"/>
  <c r="A289" i="19"/>
  <c r="W289" i="19" s="1"/>
  <c r="X289" i="19" s="1"/>
  <c r="W288" i="19"/>
  <c r="X288" i="19" s="1"/>
  <c r="A292" i="19"/>
  <c r="W291" i="19"/>
  <c r="X291" i="19" s="1"/>
  <c r="W294" i="19"/>
  <c r="X294" i="19" s="1"/>
  <c r="B294" i="19"/>
  <c r="A295" i="19"/>
  <c r="A298" i="19"/>
  <c r="A285" i="10"/>
  <c r="W285" i="10" s="1"/>
  <c r="X285" i="10" s="1"/>
  <c r="W284" i="10"/>
  <c r="X284" i="10" s="1"/>
  <c r="W287" i="10"/>
  <c r="X287" i="10" s="1"/>
  <c r="A288" i="10"/>
  <c r="D286" i="10"/>
  <c r="D289" i="10"/>
  <c r="C286" i="10"/>
  <c r="C288" i="10"/>
  <c r="C289" i="10"/>
  <c r="D288" i="10"/>
  <c r="D287" i="10"/>
  <c r="C287" i="10"/>
  <c r="A291" i="10"/>
  <c r="A294" i="10"/>
  <c r="W290" i="10"/>
  <c r="X290" i="10" s="1"/>
  <c r="B290" i="10"/>
  <c r="A293" i="15" l="1"/>
  <c r="W293" i="15" s="1"/>
  <c r="X293" i="15" s="1"/>
  <c r="W292" i="15"/>
  <c r="X292" i="15" s="1"/>
  <c r="A296" i="15"/>
  <c r="W295" i="15"/>
  <c r="X295" i="15" s="1"/>
  <c r="D295" i="15"/>
  <c r="C294" i="15"/>
  <c r="C296" i="15"/>
  <c r="D297" i="15"/>
  <c r="D294" i="15"/>
  <c r="C295" i="15"/>
  <c r="D296" i="15"/>
  <c r="C297" i="15"/>
  <c r="B298" i="15"/>
  <c r="A299" i="15"/>
  <c r="W298" i="15"/>
  <c r="X298" i="15" s="1"/>
  <c r="A302" i="15"/>
  <c r="B298" i="19"/>
  <c r="A299" i="19"/>
  <c r="W298" i="19"/>
  <c r="X298" i="19" s="1"/>
  <c r="A302" i="19"/>
  <c r="D296" i="19"/>
  <c r="C296" i="19"/>
  <c r="C297" i="19"/>
  <c r="C295" i="19"/>
  <c r="C294" i="19"/>
  <c r="D294" i="19"/>
  <c r="D297" i="19"/>
  <c r="D295" i="19"/>
  <c r="A296" i="19"/>
  <c r="W295" i="19"/>
  <c r="X295" i="19" s="1"/>
  <c r="A293" i="19"/>
  <c r="W293" i="19" s="1"/>
  <c r="X293" i="19" s="1"/>
  <c r="W292" i="19"/>
  <c r="X292" i="19" s="1"/>
  <c r="W288" i="10"/>
  <c r="X288" i="10" s="1"/>
  <c r="A289" i="10"/>
  <c r="W289" i="10" s="1"/>
  <c r="X289" i="10" s="1"/>
  <c r="D292" i="10"/>
  <c r="C292" i="10"/>
  <c r="C291" i="10"/>
  <c r="D290" i="10"/>
  <c r="D293" i="10"/>
  <c r="C290" i="10"/>
  <c r="C293" i="10"/>
  <c r="D291" i="10"/>
  <c r="B294" i="10"/>
  <c r="A295" i="10"/>
  <c r="A298" i="10"/>
  <c r="W294" i="10"/>
  <c r="X294" i="10" s="1"/>
  <c r="A292" i="10"/>
  <c r="W291" i="10"/>
  <c r="X291" i="10" s="1"/>
  <c r="A300" i="15" l="1"/>
  <c r="W299" i="15"/>
  <c r="X299" i="15" s="1"/>
  <c r="A297" i="15"/>
  <c r="W297" i="15" s="1"/>
  <c r="X297" i="15" s="1"/>
  <c r="W296" i="15"/>
  <c r="X296" i="15" s="1"/>
  <c r="A306" i="15"/>
  <c r="W302" i="15"/>
  <c r="X302" i="15" s="1"/>
  <c r="B302" i="15"/>
  <c r="A303" i="15"/>
  <c r="D300" i="15"/>
  <c r="D301" i="15"/>
  <c r="D299" i="15"/>
  <c r="C300" i="15"/>
  <c r="C298" i="15"/>
  <c r="D298" i="15"/>
  <c r="C299" i="15"/>
  <c r="C301" i="15"/>
  <c r="A297" i="19"/>
  <c r="W297" i="19" s="1"/>
  <c r="X297" i="19" s="1"/>
  <c r="W296" i="19"/>
  <c r="X296" i="19" s="1"/>
  <c r="W302" i="19"/>
  <c r="X302" i="19" s="1"/>
  <c r="B302" i="19"/>
  <c r="A303" i="19"/>
  <c r="A306" i="19"/>
  <c r="W299" i="19"/>
  <c r="X299" i="19" s="1"/>
  <c r="A300" i="19"/>
  <c r="C301" i="19"/>
  <c r="D299" i="19"/>
  <c r="C300" i="19"/>
  <c r="C298" i="19"/>
  <c r="D298" i="19"/>
  <c r="C299" i="19"/>
  <c r="D300" i="19"/>
  <c r="D301" i="19"/>
  <c r="W292" i="10"/>
  <c r="X292" i="10" s="1"/>
  <c r="A293" i="10"/>
  <c r="W293" i="10" s="1"/>
  <c r="X293" i="10" s="1"/>
  <c r="W298" i="10"/>
  <c r="X298" i="10" s="1"/>
  <c r="A299" i="10"/>
  <c r="B298" i="10"/>
  <c r="A302" i="10"/>
  <c r="C297" i="10"/>
  <c r="C294" i="10"/>
  <c r="D295" i="10"/>
  <c r="C295" i="10"/>
  <c r="D294" i="10"/>
  <c r="D297" i="10"/>
  <c r="D296" i="10"/>
  <c r="C296" i="10"/>
  <c r="A296" i="10"/>
  <c r="W295" i="10"/>
  <c r="X295" i="10" s="1"/>
  <c r="D305" i="15" l="1"/>
  <c r="D303" i="15"/>
  <c r="C302" i="15"/>
  <c r="C303" i="15"/>
  <c r="D304" i="15"/>
  <c r="D302" i="15"/>
  <c r="C305" i="15"/>
  <c r="C304" i="15"/>
  <c r="A304" i="15"/>
  <c r="W303" i="15"/>
  <c r="X303" i="15" s="1"/>
  <c r="B306" i="15"/>
  <c r="A307" i="15"/>
  <c r="W306" i="15"/>
  <c r="X306" i="15" s="1"/>
  <c r="A310" i="15"/>
  <c r="A301" i="15"/>
  <c r="W301" i="15" s="1"/>
  <c r="X301" i="15" s="1"/>
  <c r="W300" i="15"/>
  <c r="X300" i="15" s="1"/>
  <c r="A301" i="19"/>
  <c r="W301" i="19" s="1"/>
  <c r="X301" i="19" s="1"/>
  <c r="W300" i="19"/>
  <c r="X300" i="19" s="1"/>
  <c r="A310" i="19"/>
  <c r="W306" i="19"/>
  <c r="X306" i="19" s="1"/>
  <c r="A307" i="19"/>
  <c r="B306" i="19"/>
  <c r="W303" i="19"/>
  <c r="X303" i="19" s="1"/>
  <c r="A304" i="19"/>
  <c r="C304" i="19"/>
  <c r="D302" i="19"/>
  <c r="C302" i="19"/>
  <c r="C305" i="19"/>
  <c r="D305" i="19"/>
  <c r="D303" i="19"/>
  <c r="C303" i="19"/>
  <c r="D304" i="19"/>
  <c r="W299" i="10"/>
  <c r="X299" i="10" s="1"/>
  <c r="A300" i="10"/>
  <c r="A303" i="10"/>
  <c r="A306" i="10"/>
  <c r="W302" i="10"/>
  <c r="X302" i="10" s="1"/>
  <c r="B302" i="10"/>
  <c r="A297" i="10"/>
  <c r="W297" i="10" s="1"/>
  <c r="X297" i="10" s="1"/>
  <c r="W296" i="10"/>
  <c r="X296" i="10" s="1"/>
  <c r="C298" i="10"/>
  <c r="C301" i="10"/>
  <c r="D299" i="10"/>
  <c r="C299" i="10"/>
  <c r="C300" i="10"/>
  <c r="D300" i="10"/>
  <c r="D301" i="10"/>
  <c r="D298" i="10"/>
  <c r="A314" i="15" l="1"/>
  <c r="B310" i="15"/>
  <c r="W310" i="15"/>
  <c r="X310" i="15" s="1"/>
  <c r="A311" i="15"/>
  <c r="W307" i="15"/>
  <c r="X307" i="15" s="1"/>
  <c r="A308" i="15"/>
  <c r="D307" i="15"/>
  <c r="D308" i="15"/>
  <c r="C308" i="15"/>
  <c r="C307" i="15"/>
  <c r="D306" i="15"/>
  <c r="C309" i="15"/>
  <c r="D309" i="15"/>
  <c r="C306" i="15"/>
  <c r="A305" i="15"/>
  <c r="W305" i="15" s="1"/>
  <c r="X305" i="15" s="1"/>
  <c r="W304" i="15"/>
  <c r="X304" i="15" s="1"/>
  <c r="A305" i="19"/>
  <c r="W305" i="19" s="1"/>
  <c r="X305" i="19" s="1"/>
  <c r="W304" i="19"/>
  <c r="X304" i="19" s="1"/>
  <c r="C307" i="19"/>
  <c r="D308" i="19"/>
  <c r="C306" i="19"/>
  <c r="C308" i="19"/>
  <c r="D306" i="19"/>
  <c r="D309" i="19"/>
  <c r="C309" i="19"/>
  <c r="D307" i="19"/>
  <c r="A308" i="19"/>
  <c r="W307" i="19"/>
  <c r="X307" i="19" s="1"/>
  <c r="A311" i="19"/>
  <c r="B310" i="19"/>
  <c r="A314" i="19"/>
  <c r="W310" i="19"/>
  <c r="X310" i="19" s="1"/>
  <c r="C303" i="10"/>
  <c r="D304" i="10"/>
  <c r="C305" i="10"/>
  <c r="D303" i="10"/>
  <c r="C304" i="10"/>
  <c r="D302" i="10"/>
  <c r="D305" i="10"/>
  <c r="C302" i="10"/>
  <c r="A304" i="10"/>
  <c r="W303" i="10"/>
  <c r="X303" i="10" s="1"/>
  <c r="B306" i="10"/>
  <c r="A307" i="10"/>
  <c r="A310" i="10"/>
  <c r="W306" i="10"/>
  <c r="X306" i="10" s="1"/>
  <c r="W300" i="10"/>
  <c r="X300" i="10" s="1"/>
  <c r="A301" i="10"/>
  <c r="W301" i="10" s="1"/>
  <c r="X301" i="10" s="1"/>
  <c r="A309" i="15" l="1"/>
  <c r="W309" i="15" s="1"/>
  <c r="X309" i="15" s="1"/>
  <c r="W308" i="15"/>
  <c r="X308" i="15" s="1"/>
  <c r="A312" i="15"/>
  <c r="W311" i="15"/>
  <c r="X311" i="15" s="1"/>
  <c r="C312" i="15"/>
  <c r="D311" i="15"/>
  <c r="D312" i="15"/>
  <c r="C313" i="15"/>
  <c r="C311" i="15"/>
  <c r="C310" i="15"/>
  <c r="D310" i="15"/>
  <c r="D313" i="15"/>
  <c r="W314" i="15"/>
  <c r="X314" i="15" s="1"/>
  <c r="A315" i="15"/>
  <c r="A318" i="15"/>
  <c r="B314" i="15"/>
  <c r="W314" i="19"/>
  <c r="X314" i="19" s="1"/>
  <c r="A318" i="19"/>
  <c r="B314" i="19"/>
  <c r="A315" i="19"/>
  <c r="W308" i="19"/>
  <c r="X308" i="19" s="1"/>
  <c r="A309" i="19"/>
  <c r="W309" i="19" s="1"/>
  <c r="X309" i="19" s="1"/>
  <c r="C312" i="19"/>
  <c r="C311" i="19"/>
  <c r="D312" i="19"/>
  <c r="D310" i="19"/>
  <c r="C310" i="19"/>
  <c r="D313" i="19"/>
  <c r="C313" i="19"/>
  <c r="D311" i="19"/>
  <c r="W311" i="19"/>
  <c r="X311" i="19" s="1"/>
  <c r="A312" i="19"/>
  <c r="A308" i="10"/>
  <c r="W307" i="10"/>
  <c r="X307" i="10" s="1"/>
  <c r="A314" i="10"/>
  <c r="W310" i="10"/>
  <c r="X310" i="10" s="1"/>
  <c r="A311" i="10"/>
  <c r="B310" i="10"/>
  <c r="D309" i="10"/>
  <c r="C306" i="10"/>
  <c r="C308" i="10"/>
  <c r="D308" i="10"/>
  <c r="C309" i="10"/>
  <c r="D307" i="10"/>
  <c r="D306" i="10"/>
  <c r="C307" i="10"/>
  <c r="W304" i="10"/>
  <c r="X304" i="10" s="1"/>
  <c r="A305" i="10"/>
  <c r="W305" i="10" s="1"/>
  <c r="X305" i="10" s="1"/>
  <c r="B318" i="15" l="1"/>
  <c r="A322" i="15"/>
  <c r="A319" i="15"/>
  <c r="W318" i="15"/>
  <c r="X318" i="15" s="1"/>
  <c r="A316" i="15"/>
  <c r="W315" i="15"/>
  <c r="X315" i="15" s="1"/>
  <c r="W312" i="15"/>
  <c r="X312" i="15" s="1"/>
  <c r="A313" i="15"/>
  <c r="W313" i="15" s="1"/>
  <c r="X313" i="15" s="1"/>
  <c r="D315" i="15"/>
  <c r="D316" i="15"/>
  <c r="C315" i="15"/>
  <c r="D314" i="15"/>
  <c r="C316" i="15"/>
  <c r="D317" i="15"/>
  <c r="C314" i="15"/>
  <c r="C317" i="15"/>
  <c r="W312" i="19"/>
  <c r="X312" i="19" s="1"/>
  <c r="A313" i="19"/>
  <c r="W313" i="19" s="1"/>
  <c r="X313" i="19" s="1"/>
  <c r="A316" i="19"/>
  <c r="W315" i="19"/>
  <c r="X315" i="19" s="1"/>
  <c r="D316" i="19"/>
  <c r="C315" i="19"/>
  <c r="C316" i="19"/>
  <c r="D317" i="19"/>
  <c r="C314" i="19"/>
  <c r="D314" i="19"/>
  <c r="C317" i="19"/>
  <c r="D315" i="19"/>
  <c r="A319" i="19"/>
  <c r="A322" i="19"/>
  <c r="B318" i="19"/>
  <c r="W318" i="19"/>
  <c r="X318" i="19" s="1"/>
  <c r="W314" i="10"/>
  <c r="X314" i="10" s="1"/>
  <c r="B314" i="10"/>
  <c r="A315" i="10"/>
  <c r="A318" i="10"/>
  <c r="D312" i="10"/>
  <c r="C312" i="10"/>
  <c r="D310" i="10"/>
  <c r="D313" i="10"/>
  <c r="C310" i="10"/>
  <c r="C313" i="10"/>
  <c r="D311" i="10"/>
  <c r="C311" i="10"/>
  <c r="A312" i="10"/>
  <c r="W311" i="10"/>
  <c r="X311" i="10" s="1"/>
  <c r="A309" i="10"/>
  <c r="W309" i="10" s="1"/>
  <c r="X309" i="10" s="1"/>
  <c r="W308" i="10"/>
  <c r="X308" i="10" s="1"/>
  <c r="A317" i="15" l="1"/>
  <c r="W317" i="15" s="1"/>
  <c r="X317" i="15" s="1"/>
  <c r="W316" i="15"/>
  <c r="X316" i="15" s="1"/>
  <c r="A320" i="15"/>
  <c r="W319" i="15"/>
  <c r="X319" i="15" s="1"/>
  <c r="A323" i="15"/>
  <c r="W322" i="15"/>
  <c r="X322" i="15" s="1"/>
  <c r="A326" i="15"/>
  <c r="B322" i="15"/>
  <c r="D319" i="15"/>
  <c r="D321" i="15"/>
  <c r="C318" i="15"/>
  <c r="C319" i="15"/>
  <c r="C320" i="15"/>
  <c r="D320" i="15"/>
  <c r="C321" i="15"/>
  <c r="D318" i="15"/>
  <c r="A320" i="19"/>
  <c r="W319" i="19"/>
  <c r="X319" i="19" s="1"/>
  <c r="A317" i="19"/>
  <c r="W317" i="19" s="1"/>
  <c r="X317" i="19" s="1"/>
  <c r="W316" i="19"/>
  <c r="X316" i="19" s="1"/>
  <c r="D319" i="19"/>
  <c r="D321" i="19"/>
  <c r="C319" i="19"/>
  <c r="C321" i="19"/>
  <c r="D320" i="19"/>
  <c r="C320" i="19"/>
  <c r="D318" i="19"/>
  <c r="C318" i="19"/>
  <c r="W322" i="19"/>
  <c r="X322" i="19" s="1"/>
  <c r="B322" i="19"/>
  <c r="A323" i="19"/>
  <c r="A326" i="19"/>
  <c r="W312" i="10"/>
  <c r="X312" i="10" s="1"/>
  <c r="A313" i="10"/>
  <c r="W313" i="10" s="1"/>
  <c r="X313" i="10" s="1"/>
  <c r="C315" i="10"/>
  <c r="D317" i="10"/>
  <c r="C314" i="10"/>
  <c r="C317" i="10"/>
  <c r="D316" i="10"/>
  <c r="C316" i="10"/>
  <c r="D314" i="10"/>
  <c r="D315" i="10"/>
  <c r="B318" i="10"/>
  <c r="W318" i="10"/>
  <c r="X318" i="10" s="1"/>
  <c r="A319" i="10"/>
  <c r="A322" i="10"/>
  <c r="W315" i="10"/>
  <c r="X315" i="10" s="1"/>
  <c r="A316" i="10"/>
  <c r="D325" i="15" l="1"/>
  <c r="C325" i="15"/>
  <c r="C323" i="15"/>
  <c r="C324" i="15"/>
  <c r="C322" i="15"/>
  <c r="D322" i="15"/>
  <c r="D323" i="15"/>
  <c r="D324" i="15"/>
  <c r="A324" i="15"/>
  <c r="W323" i="15"/>
  <c r="X323" i="15" s="1"/>
  <c r="A321" i="15"/>
  <c r="W321" i="15" s="1"/>
  <c r="X321" i="15" s="1"/>
  <c r="W320" i="15"/>
  <c r="X320" i="15" s="1"/>
  <c r="A327" i="15"/>
  <c r="B326" i="15"/>
  <c r="W326" i="15"/>
  <c r="X326" i="15" s="1"/>
  <c r="A330" i="15"/>
  <c r="W326" i="19"/>
  <c r="X326" i="19" s="1"/>
  <c r="B326" i="19"/>
  <c r="A327" i="19"/>
  <c r="A330" i="19"/>
  <c r="A324" i="19"/>
  <c r="W323" i="19"/>
  <c r="X323" i="19" s="1"/>
  <c r="C322" i="19"/>
  <c r="C325" i="19"/>
  <c r="C323" i="19"/>
  <c r="D323" i="19"/>
  <c r="C324" i="19"/>
  <c r="D322" i="19"/>
  <c r="D324" i="19"/>
  <c r="D325" i="19"/>
  <c r="A321" i="19"/>
  <c r="W321" i="19" s="1"/>
  <c r="X321" i="19" s="1"/>
  <c r="W320" i="19"/>
  <c r="X320" i="19" s="1"/>
  <c r="A317" i="10"/>
  <c r="W317" i="10" s="1"/>
  <c r="X317" i="10" s="1"/>
  <c r="W316" i="10"/>
  <c r="X316" i="10" s="1"/>
  <c r="A323" i="10"/>
  <c r="A326" i="10"/>
  <c r="W322" i="10"/>
  <c r="X322" i="10" s="1"/>
  <c r="B322" i="10"/>
  <c r="W319" i="10"/>
  <c r="X319" i="10" s="1"/>
  <c r="A320" i="10"/>
  <c r="D318" i="10"/>
  <c r="D321" i="10"/>
  <c r="C318" i="10"/>
  <c r="C321" i="10"/>
  <c r="D320" i="10"/>
  <c r="D319" i="10"/>
  <c r="C319" i="10"/>
  <c r="C320" i="10"/>
  <c r="W330" i="15" l="1"/>
  <c r="X330" i="15" s="1"/>
  <c r="B330" i="15"/>
  <c r="A331" i="15"/>
  <c r="A334" i="15"/>
  <c r="C329" i="15"/>
  <c r="D329" i="15"/>
  <c r="D327" i="15"/>
  <c r="C327" i="15"/>
  <c r="D326" i="15"/>
  <c r="D328" i="15"/>
  <c r="C328" i="15"/>
  <c r="C326" i="15"/>
  <c r="W327" i="15"/>
  <c r="X327" i="15" s="1"/>
  <c r="A328" i="15"/>
  <c r="W324" i="15"/>
  <c r="X324" i="15" s="1"/>
  <c r="A325" i="15"/>
  <c r="W325" i="15" s="1"/>
  <c r="X325" i="15" s="1"/>
  <c r="B330" i="19"/>
  <c r="A331" i="19"/>
  <c r="A334" i="19"/>
  <c r="W330" i="19"/>
  <c r="X330" i="19" s="1"/>
  <c r="A325" i="19"/>
  <c r="W325" i="19" s="1"/>
  <c r="X325" i="19" s="1"/>
  <c r="W324" i="19"/>
  <c r="X324" i="19" s="1"/>
  <c r="A328" i="19"/>
  <c r="W327" i="19"/>
  <c r="X327" i="19" s="1"/>
  <c r="D328" i="19"/>
  <c r="C328" i="19"/>
  <c r="C329" i="19"/>
  <c r="D327" i="19"/>
  <c r="D326" i="19"/>
  <c r="D329" i="19"/>
  <c r="C326" i="19"/>
  <c r="C327" i="19"/>
  <c r="A321" i="10"/>
  <c r="W321" i="10" s="1"/>
  <c r="X321" i="10" s="1"/>
  <c r="W320" i="10"/>
  <c r="X320" i="10" s="1"/>
  <c r="W326" i="10"/>
  <c r="X326" i="10" s="1"/>
  <c r="B326" i="10"/>
  <c r="A327" i="10"/>
  <c r="A330" i="10"/>
  <c r="A324" i="10"/>
  <c r="W323" i="10"/>
  <c r="X323" i="10" s="1"/>
  <c r="D322" i="10"/>
  <c r="D325" i="10"/>
  <c r="C322" i="10"/>
  <c r="C325" i="10"/>
  <c r="D324" i="10"/>
  <c r="D323" i="10"/>
  <c r="C324" i="10"/>
  <c r="C323" i="10"/>
  <c r="W328" i="15" l="1"/>
  <c r="X328" i="15" s="1"/>
  <c r="A329" i="15"/>
  <c r="W329" i="15" s="1"/>
  <c r="X329" i="15" s="1"/>
  <c r="A335" i="15"/>
  <c r="A338" i="15"/>
  <c r="W334" i="15"/>
  <c r="X334" i="15" s="1"/>
  <c r="B334" i="15"/>
  <c r="A332" i="15"/>
  <c r="W331" i="15"/>
  <c r="X331" i="15" s="1"/>
  <c r="C332" i="15"/>
  <c r="D331" i="15"/>
  <c r="C331" i="15"/>
  <c r="D330" i="15"/>
  <c r="D333" i="15"/>
  <c r="C330" i="15"/>
  <c r="C333" i="15"/>
  <c r="D332" i="15"/>
  <c r="A338" i="19"/>
  <c r="A335" i="19"/>
  <c r="W334" i="19"/>
  <c r="X334" i="19" s="1"/>
  <c r="B334" i="19"/>
  <c r="A332" i="19"/>
  <c r="W331" i="19"/>
  <c r="X331" i="19" s="1"/>
  <c r="W328" i="19"/>
  <c r="X328" i="19" s="1"/>
  <c r="A329" i="19"/>
  <c r="W329" i="19" s="1"/>
  <c r="X329" i="19" s="1"/>
  <c r="D331" i="19"/>
  <c r="D332" i="19"/>
  <c r="C332" i="19"/>
  <c r="C331" i="19"/>
  <c r="D333" i="19"/>
  <c r="C330" i="19"/>
  <c r="C333" i="19"/>
  <c r="D330" i="19"/>
  <c r="A328" i="10"/>
  <c r="W327" i="10"/>
  <c r="X327" i="10" s="1"/>
  <c r="C326" i="10"/>
  <c r="C327" i="10"/>
  <c r="D326" i="10"/>
  <c r="D329" i="10"/>
  <c r="D328" i="10"/>
  <c r="C328" i="10"/>
  <c r="D327" i="10"/>
  <c r="C329" i="10"/>
  <c r="W330" i="10"/>
  <c r="X330" i="10" s="1"/>
  <c r="A331" i="10"/>
  <c r="A334" i="10"/>
  <c r="B330" i="10"/>
  <c r="W324" i="10"/>
  <c r="X324" i="10" s="1"/>
  <c r="A325" i="10"/>
  <c r="W325" i="10" s="1"/>
  <c r="X325" i="10" s="1"/>
  <c r="C337" i="15" l="1"/>
  <c r="D335" i="15"/>
  <c r="D337" i="15"/>
  <c r="C334" i="15"/>
  <c r="D334" i="15"/>
  <c r="C335" i="15"/>
  <c r="D336" i="15"/>
  <c r="C336" i="15"/>
  <c r="A333" i="15"/>
  <c r="W333" i="15" s="1"/>
  <c r="X333" i="15" s="1"/>
  <c r="W332" i="15"/>
  <c r="X332" i="15" s="1"/>
  <c r="A339" i="15"/>
  <c r="W338" i="15"/>
  <c r="X338" i="15" s="1"/>
  <c r="A342" i="15"/>
  <c r="B338" i="15"/>
  <c r="A336" i="15"/>
  <c r="W335" i="15"/>
  <c r="X335" i="15" s="1"/>
  <c r="C335" i="19"/>
  <c r="D336" i="19"/>
  <c r="C334" i="19"/>
  <c r="C336" i="19"/>
  <c r="D334" i="19"/>
  <c r="C337" i="19"/>
  <c r="D335" i="19"/>
  <c r="D337" i="19"/>
  <c r="A336" i="19"/>
  <c r="W335" i="19"/>
  <c r="X335" i="19" s="1"/>
  <c r="A333" i="19"/>
  <c r="W333" i="19" s="1"/>
  <c r="X333" i="19" s="1"/>
  <c r="W332" i="19"/>
  <c r="X332" i="19" s="1"/>
  <c r="B338" i="19"/>
  <c r="W338" i="19"/>
  <c r="X338" i="19" s="1"/>
  <c r="A342" i="19"/>
  <c r="A339" i="19"/>
  <c r="A335" i="10"/>
  <c r="A338" i="10"/>
  <c r="W334" i="10"/>
  <c r="X334" i="10" s="1"/>
  <c r="B334" i="10"/>
  <c r="D332" i="10"/>
  <c r="D333" i="10"/>
  <c r="C330" i="10"/>
  <c r="C333" i="10"/>
  <c r="D331" i="10"/>
  <c r="C331" i="10"/>
  <c r="D330" i="10"/>
  <c r="C332" i="10"/>
  <c r="W331" i="10"/>
  <c r="X331" i="10" s="1"/>
  <c r="A332" i="10"/>
  <c r="A329" i="10"/>
  <c r="W329" i="10" s="1"/>
  <c r="X329" i="10" s="1"/>
  <c r="W328" i="10"/>
  <c r="X328" i="10" s="1"/>
  <c r="C340" i="15" l="1"/>
  <c r="D338" i="15"/>
  <c r="D341" i="15"/>
  <c r="C341" i="15"/>
  <c r="D340" i="15"/>
  <c r="D339" i="15"/>
  <c r="C339" i="15"/>
  <c r="C338" i="15"/>
  <c r="A346" i="15"/>
  <c r="B342" i="15"/>
  <c r="A343" i="15"/>
  <c r="W342" i="15"/>
  <c r="X342" i="15" s="1"/>
  <c r="W336" i="15"/>
  <c r="X336" i="15" s="1"/>
  <c r="A337" i="15"/>
  <c r="W337" i="15" s="1"/>
  <c r="X337" i="15" s="1"/>
  <c r="W339" i="15"/>
  <c r="X339" i="15" s="1"/>
  <c r="A340" i="15"/>
  <c r="A343" i="19"/>
  <c r="A346" i="19"/>
  <c r="B342" i="19"/>
  <c r="W342" i="19"/>
  <c r="X342" i="19" s="1"/>
  <c r="D338" i="19"/>
  <c r="D341" i="19"/>
  <c r="C338" i="19"/>
  <c r="C341" i="19"/>
  <c r="D339" i="19"/>
  <c r="C339" i="19"/>
  <c r="C340" i="19"/>
  <c r="D340" i="19"/>
  <c r="A340" i="19"/>
  <c r="W339" i="19"/>
  <c r="X339" i="19" s="1"/>
  <c r="A337" i="19"/>
  <c r="W337" i="19" s="1"/>
  <c r="X337" i="19" s="1"/>
  <c r="W336" i="19"/>
  <c r="X336" i="19" s="1"/>
  <c r="A333" i="10"/>
  <c r="W333" i="10" s="1"/>
  <c r="X333" i="10" s="1"/>
  <c r="W332" i="10"/>
  <c r="X332" i="10" s="1"/>
  <c r="W338" i="10"/>
  <c r="X338" i="10" s="1"/>
  <c r="B338" i="10"/>
  <c r="A339" i="10"/>
  <c r="A342" i="10"/>
  <c r="C335" i="10"/>
  <c r="D336" i="10"/>
  <c r="C337" i="10"/>
  <c r="D335" i="10"/>
  <c r="C336" i="10"/>
  <c r="D334" i="10"/>
  <c r="D337" i="10"/>
  <c r="C334" i="10"/>
  <c r="W335" i="10"/>
  <c r="X335" i="10" s="1"/>
  <c r="A336" i="10"/>
  <c r="A341" i="15" l="1"/>
  <c r="W341" i="15" s="1"/>
  <c r="X341" i="15" s="1"/>
  <c r="W340" i="15"/>
  <c r="X340" i="15" s="1"/>
  <c r="A344" i="15"/>
  <c r="W343" i="15"/>
  <c r="X343" i="15" s="1"/>
  <c r="C345" i="15"/>
  <c r="C343" i="15"/>
  <c r="D343" i="15"/>
  <c r="D342" i="15"/>
  <c r="C344" i="15"/>
  <c r="D345" i="15"/>
  <c r="C342" i="15"/>
  <c r="D344" i="15"/>
  <c r="A350" i="15"/>
  <c r="B346" i="15"/>
  <c r="A347" i="15"/>
  <c r="W346" i="15"/>
  <c r="X346" i="15" s="1"/>
  <c r="W340" i="19"/>
  <c r="X340" i="19" s="1"/>
  <c r="A341" i="19"/>
  <c r="W341" i="19" s="1"/>
  <c r="X341" i="19" s="1"/>
  <c r="C344" i="19"/>
  <c r="D342" i="19"/>
  <c r="D345" i="19"/>
  <c r="C342" i="19"/>
  <c r="C345" i="19"/>
  <c r="D344" i="19"/>
  <c r="D343" i="19"/>
  <c r="C343" i="19"/>
  <c r="B346" i="19"/>
  <c r="A347" i="19"/>
  <c r="A350" i="19"/>
  <c r="W346" i="19"/>
  <c r="X346" i="19" s="1"/>
  <c r="A344" i="19"/>
  <c r="W343" i="19"/>
  <c r="X343" i="19" s="1"/>
  <c r="W339" i="10"/>
  <c r="X339" i="10" s="1"/>
  <c r="A340" i="10"/>
  <c r="D340" i="10"/>
  <c r="D338" i="10"/>
  <c r="C341" i="10"/>
  <c r="D341" i="10"/>
  <c r="C338" i="10"/>
  <c r="C340" i="10"/>
  <c r="D339" i="10"/>
  <c r="C339" i="10"/>
  <c r="W336" i="10"/>
  <c r="X336" i="10" s="1"/>
  <c r="A337" i="10"/>
  <c r="W337" i="10" s="1"/>
  <c r="X337" i="10" s="1"/>
  <c r="B342" i="10"/>
  <c r="A343" i="10"/>
  <c r="A346" i="10"/>
  <c r="W342" i="10"/>
  <c r="X342" i="10" s="1"/>
  <c r="A348" i="15" l="1"/>
  <c r="W347" i="15"/>
  <c r="X347" i="15" s="1"/>
  <c r="D347" i="15"/>
  <c r="C348" i="15"/>
  <c r="D349" i="15"/>
  <c r="C346" i="15"/>
  <c r="C347" i="15"/>
  <c r="D348" i="15"/>
  <c r="C349" i="15"/>
  <c r="D346" i="15"/>
  <c r="A351" i="15"/>
  <c r="B350" i="15"/>
  <c r="A354" i="15"/>
  <c r="W350" i="15"/>
  <c r="X350" i="15" s="1"/>
  <c r="A345" i="15"/>
  <c r="W345" i="15" s="1"/>
  <c r="X345" i="15" s="1"/>
  <c r="W344" i="15"/>
  <c r="X344" i="15" s="1"/>
  <c r="W344" i="19"/>
  <c r="X344" i="19" s="1"/>
  <c r="A345" i="19"/>
  <c r="W345" i="19" s="1"/>
  <c r="X345" i="19" s="1"/>
  <c r="W350" i="19"/>
  <c r="X350" i="19" s="1"/>
  <c r="B350" i="19"/>
  <c r="A354" i="19"/>
  <c r="A351" i="19"/>
  <c r="C349" i="19"/>
  <c r="D347" i="19"/>
  <c r="C347" i="19"/>
  <c r="D349" i="19"/>
  <c r="D348" i="19"/>
  <c r="C348" i="19"/>
  <c r="D346" i="19"/>
  <c r="C346" i="19"/>
  <c r="W347" i="19"/>
  <c r="X347" i="19" s="1"/>
  <c r="A348" i="19"/>
  <c r="B346" i="10"/>
  <c r="A347" i="10"/>
  <c r="W346" i="10"/>
  <c r="X346" i="10" s="1"/>
  <c r="A350" i="10"/>
  <c r="A344" i="10"/>
  <c r="W343" i="10"/>
  <c r="X343" i="10" s="1"/>
  <c r="A341" i="10"/>
  <c r="W341" i="10" s="1"/>
  <c r="X341" i="10" s="1"/>
  <c r="W340" i="10"/>
  <c r="X340" i="10" s="1"/>
  <c r="D344" i="10"/>
  <c r="D343" i="10"/>
  <c r="C344" i="10"/>
  <c r="D345" i="10"/>
  <c r="C343" i="10"/>
  <c r="D342" i="10"/>
  <c r="C342" i="10"/>
  <c r="C345" i="10"/>
  <c r="A355" i="15" l="1"/>
  <c r="W354" i="15"/>
  <c r="X354" i="15" s="1"/>
  <c r="B354" i="15"/>
  <c r="A358" i="15"/>
  <c r="D351" i="15"/>
  <c r="C351" i="15"/>
  <c r="D352" i="15"/>
  <c r="C353" i="15"/>
  <c r="C350" i="15"/>
  <c r="C352" i="15"/>
  <c r="D350" i="15"/>
  <c r="D353" i="15"/>
  <c r="A352" i="15"/>
  <c r="W351" i="15"/>
  <c r="X351" i="15" s="1"/>
  <c r="A349" i="15"/>
  <c r="W349" i="15" s="1"/>
  <c r="X349" i="15" s="1"/>
  <c r="W348" i="15"/>
  <c r="X348" i="15" s="1"/>
  <c r="A352" i="19"/>
  <c r="W351" i="19"/>
  <c r="X351" i="19" s="1"/>
  <c r="A355" i="19"/>
  <c r="A358" i="19"/>
  <c r="W354" i="19"/>
  <c r="X354" i="19" s="1"/>
  <c r="B354" i="19"/>
  <c r="C352" i="19"/>
  <c r="D350" i="19"/>
  <c r="D352" i="19"/>
  <c r="D353" i="19"/>
  <c r="C350" i="19"/>
  <c r="C353" i="19"/>
  <c r="D351" i="19"/>
  <c r="C351" i="19"/>
  <c r="A349" i="19"/>
  <c r="W349" i="19" s="1"/>
  <c r="X349" i="19" s="1"/>
  <c r="W348" i="19"/>
  <c r="X348" i="19" s="1"/>
  <c r="W344" i="10"/>
  <c r="X344" i="10" s="1"/>
  <c r="A345" i="10"/>
  <c r="W345" i="10" s="1"/>
  <c r="X345" i="10" s="1"/>
  <c r="B350" i="10"/>
  <c r="A351" i="10"/>
  <c r="A354" i="10"/>
  <c r="W350" i="10"/>
  <c r="X350" i="10" s="1"/>
  <c r="A348" i="10"/>
  <c r="W347" i="10"/>
  <c r="X347" i="10" s="1"/>
  <c r="D349" i="10"/>
  <c r="C346" i="10"/>
  <c r="D346" i="10"/>
  <c r="C347" i="10"/>
  <c r="D348" i="10"/>
  <c r="C348" i="10"/>
  <c r="C349" i="10"/>
  <c r="D347" i="10"/>
  <c r="W352" i="15" l="1"/>
  <c r="X352" i="15" s="1"/>
  <c r="A353" i="15"/>
  <c r="W353" i="15" s="1"/>
  <c r="X353" i="15" s="1"/>
  <c r="A359" i="15"/>
  <c r="B358" i="15"/>
  <c r="W358" i="15"/>
  <c r="X358" i="15" s="1"/>
  <c r="A362" i="15"/>
  <c r="C356" i="15"/>
  <c r="D357" i="15"/>
  <c r="C357" i="15"/>
  <c r="D356" i="15"/>
  <c r="D354" i="15"/>
  <c r="C354" i="15"/>
  <c r="C355" i="15"/>
  <c r="D355" i="15"/>
  <c r="A356" i="15"/>
  <c r="W355" i="15"/>
  <c r="X355" i="15" s="1"/>
  <c r="C355" i="19"/>
  <c r="D356" i="19"/>
  <c r="C356" i="19"/>
  <c r="D355" i="19"/>
  <c r="D354" i="19"/>
  <c r="D357" i="19"/>
  <c r="C354" i="19"/>
  <c r="C357" i="19"/>
  <c r="A356" i="19"/>
  <c r="W355" i="19"/>
  <c r="X355" i="19" s="1"/>
  <c r="B358" i="19"/>
  <c r="A359" i="19"/>
  <c r="A362" i="19"/>
  <c r="W358" i="19"/>
  <c r="X358" i="19" s="1"/>
  <c r="A353" i="19"/>
  <c r="W353" i="19" s="1"/>
  <c r="X353" i="19" s="1"/>
  <c r="W352" i="19"/>
  <c r="X352" i="19" s="1"/>
  <c r="A355" i="10"/>
  <c r="A358" i="10"/>
  <c r="W354" i="10"/>
  <c r="X354" i="10" s="1"/>
  <c r="B354" i="10"/>
  <c r="A352" i="10"/>
  <c r="W351" i="10"/>
  <c r="X351" i="10" s="1"/>
  <c r="D350" i="10"/>
  <c r="C352" i="10"/>
  <c r="D351" i="10"/>
  <c r="D353" i="10"/>
  <c r="C350" i="10"/>
  <c r="D352" i="10"/>
  <c r="C353" i="10"/>
  <c r="C351" i="10"/>
  <c r="W348" i="10"/>
  <c r="X348" i="10" s="1"/>
  <c r="A349" i="10"/>
  <c r="W349" i="10" s="1"/>
  <c r="X349" i="10" s="1"/>
  <c r="W362" i="15" l="1"/>
  <c r="X362" i="15" s="1"/>
  <c r="B362" i="15"/>
  <c r="A363" i="15"/>
  <c r="A366" i="15"/>
  <c r="D360" i="15"/>
  <c r="C358" i="15"/>
  <c r="C360" i="15"/>
  <c r="D358" i="15"/>
  <c r="C359" i="15"/>
  <c r="D361" i="15"/>
  <c r="C361" i="15"/>
  <c r="D359" i="15"/>
  <c r="A360" i="15"/>
  <c r="W359" i="15"/>
  <c r="X359" i="15" s="1"/>
  <c r="W356" i="15"/>
  <c r="X356" i="15" s="1"/>
  <c r="A357" i="15"/>
  <c r="W357" i="15" s="1"/>
  <c r="X357" i="15" s="1"/>
  <c r="W359" i="19"/>
  <c r="X359" i="19" s="1"/>
  <c r="A360" i="19"/>
  <c r="A366" i="19"/>
  <c r="W362" i="19"/>
  <c r="X362" i="19" s="1"/>
  <c r="B362" i="19"/>
  <c r="A363" i="19"/>
  <c r="D361" i="19"/>
  <c r="C358" i="19"/>
  <c r="C361" i="19"/>
  <c r="D358" i="19"/>
  <c r="D359" i="19"/>
  <c r="C359" i="19"/>
  <c r="D360" i="19"/>
  <c r="C360" i="19"/>
  <c r="W356" i="19"/>
  <c r="X356" i="19" s="1"/>
  <c r="A357" i="19"/>
  <c r="W357" i="19" s="1"/>
  <c r="X357" i="19" s="1"/>
  <c r="A353" i="10"/>
  <c r="W353" i="10" s="1"/>
  <c r="X353" i="10" s="1"/>
  <c r="W352" i="10"/>
  <c r="X352" i="10" s="1"/>
  <c r="A359" i="10"/>
  <c r="B358" i="10"/>
  <c r="A362" i="10"/>
  <c r="W358" i="10"/>
  <c r="X358" i="10" s="1"/>
  <c r="D355" i="10"/>
  <c r="C356" i="10"/>
  <c r="D354" i="10"/>
  <c r="D357" i="10"/>
  <c r="C354" i="10"/>
  <c r="C357" i="10"/>
  <c r="C355" i="10"/>
  <c r="D356" i="10"/>
  <c r="A356" i="10"/>
  <c r="W355" i="10"/>
  <c r="X355" i="10" s="1"/>
  <c r="W360" i="15" l="1"/>
  <c r="X360" i="15" s="1"/>
  <c r="A361" i="15"/>
  <c r="W361" i="15" s="1"/>
  <c r="X361" i="15" s="1"/>
  <c r="A367" i="15"/>
  <c r="A370" i="15"/>
  <c r="W366" i="15"/>
  <c r="X366" i="15" s="1"/>
  <c r="B366" i="15"/>
  <c r="W363" i="15"/>
  <c r="X363" i="15" s="1"/>
  <c r="A364" i="15"/>
  <c r="C364" i="15"/>
  <c r="D365" i="15"/>
  <c r="C365" i="15"/>
  <c r="C362" i="15"/>
  <c r="C363" i="15"/>
  <c r="D363" i="15"/>
  <c r="D362" i="15"/>
  <c r="D364" i="15"/>
  <c r="A364" i="19"/>
  <c r="W363" i="19"/>
  <c r="X363" i="19" s="1"/>
  <c r="C362" i="19"/>
  <c r="C365" i="19"/>
  <c r="D363" i="19"/>
  <c r="C363" i="19"/>
  <c r="D364" i="19"/>
  <c r="C364" i="19"/>
  <c r="D362" i="19"/>
  <c r="D365" i="19"/>
  <c r="A367" i="19"/>
  <c r="B366" i="19"/>
  <c r="W366" i="19"/>
  <c r="X366" i="19" s="1"/>
  <c r="A370" i="19"/>
  <c r="A361" i="19"/>
  <c r="W361" i="19" s="1"/>
  <c r="X361" i="19" s="1"/>
  <c r="W360" i="19"/>
  <c r="X360" i="19" s="1"/>
  <c r="D360" i="10"/>
  <c r="D358" i="10"/>
  <c r="C360" i="10"/>
  <c r="C361" i="10"/>
  <c r="D361" i="10"/>
  <c r="D359" i="10"/>
  <c r="C359" i="10"/>
  <c r="C358" i="10"/>
  <c r="A357" i="10"/>
  <c r="W357" i="10" s="1"/>
  <c r="X357" i="10" s="1"/>
  <c r="W356" i="10"/>
  <c r="X356" i="10" s="1"/>
  <c r="A366" i="10"/>
  <c r="B362" i="10"/>
  <c r="A363" i="10"/>
  <c r="W362" i="10"/>
  <c r="X362" i="10" s="1"/>
  <c r="W359" i="10"/>
  <c r="X359" i="10" s="1"/>
  <c r="A360" i="10"/>
  <c r="A368" i="15" l="1"/>
  <c r="W367" i="15"/>
  <c r="X367" i="15" s="1"/>
  <c r="A365" i="15"/>
  <c r="W365" i="15" s="1"/>
  <c r="X365" i="15" s="1"/>
  <c r="W364" i="15"/>
  <c r="X364" i="15" s="1"/>
  <c r="C367" i="15"/>
  <c r="D368" i="15"/>
  <c r="C368" i="15"/>
  <c r="D366" i="15"/>
  <c r="C369" i="15"/>
  <c r="D369" i="15"/>
  <c r="D367" i="15"/>
  <c r="C366" i="15"/>
  <c r="A371" i="15"/>
  <c r="A374" i="15"/>
  <c r="W370" i="15"/>
  <c r="X370" i="15" s="1"/>
  <c r="B370" i="15"/>
  <c r="A371" i="19"/>
  <c r="A374" i="19"/>
  <c r="W370" i="19"/>
  <c r="X370" i="19" s="1"/>
  <c r="B370" i="19"/>
  <c r="D369" i="19"/>
  <c r="C369" i="19"/>
  <c r="D367" i="19"/>
  <c r="C367" i="19"/>
  <c r="D368" i="19"/>
  <c r="C368" i="19"/>
  <c r="D366" i="19"/>
  <c r="C366" i="19"/>
  <c r="W367" i="19"/>
  <c r="X367" i="19" s="1"/>
  <c r="A368" i="19"/>
  <c r="A365" i="19"/>
  <c r="W365" i="19" s="1"/>
  <c r="X365" i="19" s="1"/>
  <c r="W364" i="19"/>
  <c r="X364" i="19" s="1"/>
  <c r="C365" i="10"/>
  <c r="D364" i="10"/>
  <c r="D363" i="10"/>
  <c r="C363" i="10"/>
  <c r="D362" i="10"/>
  <c r="C362" i="10"/>
  <c r="C364" i="10"/>
  <c r="D365" i="10"/>
  <c r="A364" i="10"/>
  <c r="W363" i="10"/>
  <c r="X363" i="10" s="1"/>
  <c r="A367" i="10"/>
  <c r="B366" i="10"/>
  <c r="W366" i="10"/>
  <c r="X366" i="10" s="1"/>
  <c r="A370" i="10"/>
  <c r="A361" i="10"/>
  <c r="W361" i="10" s="1"/>
  <c r="X361" i="10" s="1"/>
  <c r="W360" i="10"/>
  <c r="X360" i="10" s="1"/>
  <c r="D371" i="15" l="1"/>
  <c r="C371" i="15"/>
  <c r="C372" i="15"/>
  <c r="C373" i="15"/>
  <c r="D372" i="15"/>
  <c r="D373" i="15"/>
  <c r="C370" i="15"/>
  <c r="D370" i="15"/>
  <c r="A378" i="15"/>
  <c r="A375" i="15"/>
  <c r="B374" i="15"/>
  <c r="W374" i="15"/>
  <c r="X374" i="15" s="1"/>
  <c r="W371" i="15"/>
  <c r="X371" i="15" s="1"/>
  <c r="A372" i="15"/>
  <c r="A369" i="15"/>
  <c r="W369" i="15" s="1"/>
  <c r="X369" i="15" s="1"/>
  <c r="W368" i="15"/>
  <c r="X368" i="15" s="1"/>
  <c r="C372" i="19"/>
  <c r="D370" i="19"/>
  <c r="C373" i="19"/>
  <c r="D373" i="19"/>
  <c r="D371" i="19"/>
  <c r="C370" i="19"/>
  <c r="C371" i="19"/>
  <c r="D372" i="19"/>
  <c r="B374" i="19"/>
  <c r="A375" i="19"/>
  <c r="W374" i="19"/>
  <c r="X374" i="19" s="1"/>
  <c r="A378" i="19"/>
  <c r="A369" i="19"/>
  <c r="W369" i="19" s="1"/>
  <c r="X369" i="19" s="1"/>
  <c r="W368" i="19"/>
  <c r="X368" i="19" s="1"/>
  <c r="A372" i="19"/>
  <c r="W371" i="19"/>
  <c r="X371" i="19" s="1"/>
  <c r="B370" i="10"/>
  <c r="W370" i="10"/>
  <c r="X370" i="10" s="1"/>
  <c r="A371" i="10"/>
  <c r="A374" i="10"/>
  <c r="D367" i="10"/>
  <c r="D366" i="10"/>
  <c r="C367" i="10"/>
  <c r="C366" i="10"/>
  <c r="C369" i="10"/>
  <c r="D369" i="10"/>
  <c r="C368" i="10"/>
  <c r="D368" i="10"/>
  <c r="A368" i="10"/>
  <c r="W367" i="10"/>
  <c r="X367" i="10" s="1"/>
  <c r="A365" i="10"/>
  <c r="W365" i="10" s="1"/>
  <c r="X365" i="10" s="1"/>
  <c r="W364" i="10"/>
  <c r="X364" i="10" s="1"/>
  <c r="A376" i="15" l="1"/>
  <c r="W375" i="15"/>
  <c r="X375" i="15" s="1"/>
  <c r="A373" i="15"/>
  <c r="W373" i="15" s="1"/>
  <c r="X373" i="15" s="1"/>
  <c r="W372" i="15"/>
  <c r="X372" i="15" s="1"/>
  <c r="C377" i="15"/>
  <c r="C375" i="15"/>
  <c r="D374" i="15"/>
  <c r="D375" i="15"/>
  <c r="D376" i="15"/>
  <c r="C376" i="15"/>
  <c r="D377" i="15"/>
  <c r="C374" i="15"/>
  <c r="A379" i="15"/>
  <c r="A382" i="15"/>
  <c r="W378" i="15"/>
  <c r="X378" i="15" s="1"/>
  <c r="B378" i="15"/>
  <c r="W372" i="19"/>
  <c r="X372" i="19" s="1"/>
  <c r="A373" i="19"/>
  <c r="W373" i="19" s="1"/>
  <c r="X373" i="19" s="1"/>
  <c r="A382" i="19"/>
  <c r="W378" i="19"/>
  <c r="X378" i="19" s="1"/>
  <c r="B378" i="19"/>
  <c r="A379" i="19"/>
  <c r="W375" i="19"/>
  <c r="X375" i="19" s="1"/>
  <c r="A376" i="19"/>
  <c r="D377" i="19"/>
  <c r="C374" i="19"/>
  <c r="C377" i="19"/>
  <c r="D375" i="19"/>
  <c r="C375" i="19"/>
  <c r="D374" i="19"/>
  <c r="C376" i="19"/>
  <c r="D376" i="19"/>
  <c r="A372" i="10"/>
  <c r="W371" i="10"/>
  <c r="X371" i="10" s="1"/>
  <c r="A369" i="10"/>
  <c r="W369" i="10" s="1"/>
  <c r="X369" i="10" s="1"/>
  <c r="W368" i="10"/>
  <c r="X368" i="10" s="1"/>
  <c r="A375" i="10"/>
  <c r="A378" i="10"/>
  <c r="W374" i="10"/>
  <c r="X374" i="10" s="1"/>
  <c r="B374" i="10"/>
  <c r="C370" i="10"/>
  <c r="C372" i="10"/>
  <c r="C373" i="10"/>
  <c r="D373" i="10"/>
  <c r="D371" i="10"/>
  <c r="C371" i="10"/>
  <c r="D372" i="10"/>
  <c r="D370" i="10"/>
  <c r="W379" i="15" l="1"/>
  <c r="X379" i="15" s="1"/>
  <c r="A380" i="15"/>
  <c r="D379" i="15"/>
  <c r="D381" i="15"/>
  <c r="D378" i="15"/>
  <c r="C381" i="15"/>
  <c r="C379" i="15"/>
  <c r="D380" i="15"/>
  <c r="C380" i="15"/>
  <c r="C378" i="15"/>
  <c r="B382" i="15"/>
  <c r="A383" i="15"/>
  <c r="A386" i="15"/>
  <c r="W382" i="15"/>
  <c r="X382" i="15" s="1"/>
  <c r="A377" i="15"/>
  <c r="W377" i="15" s="1"/>
  <c r="X377" i="15" s="1"/>
  <c r="W376" i="15"/>
  <c r="X376" i="15" s="1"/>
  <c r="A377" i="19"/>
  <c r="W377" i="19" s="1"/>
  <c r="X377" i="19" s="1"/>
  <c r="W376" i="19"/>
  <c r="X376" i="19" s="1"/>
  <c r="D378" i="19"/>
  <c r="D381" i="19"/>
  <c r="C378" i="19"/>
  <c r="C381" i="19"/>
  <c r="C379" i="19"/>
  <c r="D379" i="19"/>
  <c r="D380" i="19"/>
  <c r="C380" i="19"/>
  <c r="W382" i="19"/>
  <c r="X382" i="19" s="1"/>
  <c r="B382" i="19"/>
  <c r="A383" i="19"/>
  <c r="A386" i="19"/>
  <c r="A380" i="19"/>
  <c r="W379" i="19"/>
  <c r="X379" i="19" s="1"/>
  <c r="C375" i="10"/>
  <c r="D376" i="10"/>
  <c r="C376" i="10"/>
  <c r="D375" i="10"/>
  <c r="D374" i="10"/>
  <c r="D377" i="10"/>
  <c r="C374" i="10"/>
  <c r="C377" i="10"/>
  <c r="B378" i="10"/>
  <c r="W378" i="10"/>
  <c r="X378" i="10" s="1"/>
  <c r="A379" i="10"/>
  <c r="A382" i="10"/>
  <c r="A376" i="10"/>
  <c r="W375" i="10"/>
  <c r="X375" i="10" s="1"/>
  <c r="A373" i="10"/>
  <c r="W373" i="10" s="1"/>
  <c r="X373" i="10" s="1"/>
  <c r="W372" i="10"/>
  <c r="X372" i="10" s="1"/>
  <c r="D382" i="15" l="1"/>
  <c r="C385" i="15"/>
  <c r="D384" i="15"/>
  <c r="D383" i="15"/>
  <c r="C383" i="15"/>
  <c r="D385" i="15"/>
  <c r="C382" i="15"/>
  <c r="C384" i="15"/>
  <c r="B386" i="15"/>
  <c r="A390" i="15"/>
  <c r="A387" i="15"/>
  <c r="W386" i="15"/>
  <c r="X386" i="15" s="1"/>
  <c r="A384" i="15"/>
  <c r="W383" i="15"/>
  <c r="X383" i="15" s="1"/>
  <c r="A381" i="15"/>
  <c r="W381" i="15" s="1"/>
  <c r="X381" i="15" s="1"/>
  <c r="W380" i="15"/>
  <c r="X380" i="15" s="1"/>
  <c r="B386" i="19"/>
  <c r="A390" i="19"/>
  <c r="A387" i="19"/>
  <c r="W386" i="19"/>
  <c r="X386" i="19" s="1"/>
  <c r="A384" i="19"/>
  <c r="W383" i="19"/>
  <c r="X383" i="19" s="1"/>
  <c r="A381" i="19"/>
  <c r="W381" i="19" s="1"/>
  <c r="X381" i="19" s="1"/>
  <c r="W380" i="19"/>
  <c r="X380" i="19" s="1"/>
  <c r="D383" i="19"/>
  <c r="C383" i="19"/>
  <c r="D384" i="19"/>
  <c r="C384" i="19"/>
  <c r="D385" i="19"/>
  <c r="C382" i="19"/>
  <c r="C385" i="19"/>
  <c r="D382" i="19"/>
  <c r="W376" i="10"/>
  <c r="X376" i="10" s="1"/>
  <c r="A377" i="10"/>
  <c r="W377" i="10" s="1"/>
  <c r="X377" i="10" s="1"/>
  <c r="W382" i="10"/>
  <c r="X382" i="10" s="1"/>
  <c r="A386" i="10"/>
  <c r="A383" i="10"/>
  <c r="B382" i="10"/>
  <c r="W379" i="10"/>
  <c r="X379" i="10" s="1"/>
  <c r="A380" i="10"/>
  <c r="C381" i="10"/>
  <c r="D379" i="10"/>
  <c r="D381" i="10"/>
  <c r="C379" i="10"/>
  <c r="C378" i="10"/>
  <c r="C380" i="10"/>
  <c r="D380" i="10"/>
  <c r="D378" i="10"/>
  <c r="A388" i="15" l="1"/>
  <c r="W387" i="15"/>
  <c r="X387" i="15" s="1"/>
  <c r="A385" i="15"/>
  <c r="W385" i="15" s="1"/>
  <c r="X385" i="15" s="1"/>
  <c r="W384" i="15"/>
  <c r="X384" i="15" s="1"/>
  <c r="B390" i="15"/>
  <c r="W390" i="15"/>
  <c r="X390" i="15" s="1"/>
  <c r="A391" i="15"/>
  <c r="A394" i="15"/>
  <c r="D387" i="15"/>
  <c r="D388" i="15"/>
  <c r="C388" i="15"/>
  <c r="D389" i="15"/>
  <c r="C389" i="15"/>
  <c r="C386" i="15"/>
  <c r="C387" i="15"/>
  <c r="D386" i="15"/>
  <c r="A388" i="19"/>
  <c r="W387" i="19"/>
  <c r="X387" i="19" s="1"/>
  <c r="A391" i="19"/>
  <c r="A394" i="19"/>
  <c r="W390" i="19"/>
  <c r="X390" i="19" s="1"/>
  <c r="B390" i="19"/>
  <c r="A385" i="19"/>
  <c r="W385" i="19" s="1"/>
  <c r="X385" i="19" s="1"/>
  <c r="W384" i="19"/>
  <c r="X384" i="19" s="1"/>
  <c r="D388" i="19"/>
  <c r="D387" i="19"/>
  <c r="C388" i="19"/>
  <c r="D386" i="19"/>
  <c r="D389" i="19"/>
  <c r="C386" i="19"/>
  <c r="C389" i="19"/>
  <c r="C387" i="19"/>
  <c r="W380" i="10"/>
  <c r="X380" i="10" s="1"/>
  <c r="A381" i="10"/>
  <c r="W381" i="10" s="1"/>
  <c r="X381" i="10" s="1"/>
  <c r="A384" i="10"/>
  <c r="W383" i="10"/>
  <c r="X383" i="10" s="1"/>
  <c r="D383" i="10"/>
  <c r="D384" i="10"/>
  <c r="C384" i="10"/>
  <c r="C383" i="10"/>
  <c r="C385" i="10"/>
  <c r="D382" i="10"/>
  <c r="D385" i="10"/>
  <c r="C382" i="10"/>
  <c r="A387" i="10"/>
  <c r="A390" i="10"/>
  <c r="W386" i="10"/>
  <c r="X386" i="10" s="1"/>
  <c r="B386" i="10"/>
  <c r="C393" i="15" l="1"/>
  <c r="D392" i="15"/>
  <c r="D391" i="15"/>
  <c r="C391" i="15"/>
  <c r="D393" i="15"/>
  <c r="D390" i="15"/>
  <c r="C392" i="15"/>
  <c r="C390" i="15"/>
  <c r="A398" i="15"/>
  <c r="W394" i="15"/>
  <c r="X394" i="15" s="1"/>
  <c r="B394" i="15"/>
  <c r="A395" i="15"/>
  <c r="W391" i="15"/>
  <c r="X391" i="15" s="1"/>
  <c r="A392" i="15"/>
  <c r="W388" i="15"/>
  <c r="X388" i="15" s="1"/>
  <c r="A389" i="15"/>
  <c r="W389" i="15" s="1"/>
  <c r="X389" i="15" s="1"/>
  <c r="D392" i="19"/>
  <c r="C392" i="19"/>
  <c r="D390" i="19"/>
  <c r="C393" i="19"/>
  <c r="C391" i="19"/>
  <c r="D393" i="19"/>
  <c r="C390" i="19"/>
  <c r="D391" i="19"/>
  <c r="A392" i="19"/>
  <c r="W391" i="19"/>
  <c r="X391" i="19" s="1"/>
  <c r="B394" i="19"/>
  <c r="A395" i="19"/>
  <c r="A398" i="19"/>
  <c r="W394" i="19"/>
  <c r="X394" i="19" s="1"/>
  <c r="W388" i="19"/>
  <c r="X388" i="19" s="1"/>
  <c r="A389" i="19"/>
  <c r="W389" i="19" s="1"/>
  <c r="X389" i="19" s="1"/>
  <c r="C387" i="10"/>
  <c r="D388" i="10"/>
  <c r="C388" i="10"/>
  <c r="C386" i="10"/>
  <c r="C389" i="10"/>
  <c r="D387" i="10"/>
  <c r="D386" i="10"/>
  <c r="D389" i="10"/>
  <c r="A388" i="10"/>
  <c r="W387" i="10"/>
  <c r="X387" i="10" s="1"/>
  <c r="B390" i="10"/>
  <c r="A394" i="10"/>
  <c r="A391" i="10"/>
  <c r="W390" i="10"/>
  <c r="X390" i="10" s="1"/>
  <c r="A385" i="10"/>
  <c r="W385" i="10" s="1"/>
  <c r="X385" i="10" s="1"/>
  <c r="W384" i="10"/>
  <c r="X384" i="10" s="1"/>
  <c r="W392" i="15" l="1"/>
  <c r="X392" i="15" s="1"/>
  <c r="A393" i="15"/>
  <c r="W393" i="15" s="1"/>
  <c r="X393" i="15" s="1"/>
  <c r="A396" i="15"/>
  <c r="W395" i="15"/>
  <c r="X395" i="15" s="1"/>
  <c r="C394" i="15"/>
  <c r="C395" i="15"/>
  <c r="C396" i="15"/>
  <c r="C397" i="15"/>
  <c r="D396" i="15"/>
  <c r="D395" i="15"/>
  <c r="D397" i="15"/>
  <c r="D394" i="15"/>
  <c r="A402" i="15"/>
  <c r="W398" i="15"/>
  <c r="X398" i="15" s="1"/>
  <c r="B398" i="15"/>
  <c r="A399" i="15"/>
  <c r="W398" i="19"/>
  <c r="X398" i="19" s="1"/>
  <c r="B398" i="19"/>
  <c r="A399" i="19"/>
  <c r="A402" i="19"/>
  <c r="W395" i="19"/>
  <c r="X395" i="19" s="1"/>
  <c r="A396" i="19"/>
  <c r="C397" i="19"/>
  <c r="D395" i="19"/>
  <c r="C395" i="19"/>
  <c r="D396" i="19"/>
  <c r="D397" i="19"/>
  <c r="D394" i="19"/>
  <c r="C394" i="19"/>
  <c r="C396" i="19"/>
  <c r="W392" i="19"/>
  <c r="X392" i="19" s="1"/>
  <c r="A393" i="19"/>
  <c r="W393" i="19" s="1"/>
  <c r="X393" i="19" s="1"/>
  <c r="W391" i="10"/>
  <c r="X391" i="10" s="1"/>
  <c r="A392" i="10"/>
  <c r="A398" i="10"/>
  <c r="A395" i="10"/>
  <c r="W394" i="10"/>
  <c r="X394" i="10" s="1"/>
  <c r="B394" i="10"/>
  <c r="D393" i="10"/>
  <c r="C390" i="10"/>
  <c r="C392" i="10"/>
  <c r="D390" i="10"/>
  <c r="C393" i="10"/>
  <c r="D391" i="10"/>
  <c r="C391" i="10"/>
  <c r="D392" i="10"/>
  <c r="W388" i="10"/>
  <c r="X388" i="10" s="1"/>
  <c r="A389" i="10"/>
  <c r="W389" i="10" s="1"/>
  <c r="X389" i="10" s="1"/>
  <c r="D401" i="15" l="1"/>
  <c r="D400" i="15"/>
  <c r="D399" i="15"/>
  <c r="C399" i="15"/>
  <c r="C400" i="15"/>
  <c r="D398" i="15"/>
  <c r="C401" i="15"/>
  <c r="C398" i="15"/>
  <c r="A400" i="15"/>
  <c r="W399" i="15"/>
  <c r="X399" i="15" s="1"/>
  <c r="W396" i="15"/>
  <c r="X396" i="15" s="1"/>
  <c r="A397" i="15"/>
  <c r="W397" i="15" s="1"/>
  <c r="X397" i="15" s="1"/>
  <c r="A403" i="15"/>
  <c r="A406" i="15"/>
  <c r="B402" i="15"/>
  <c r="W402" i="15"/>
  <c r="X402" i="15" s="1"/>
  <c r="A397" i="19"/>
  <c r="W397" i="19" s="1"/>
  <c r="X397" i="19" s="1"/>
  <c r="W396" i="19"/>
  <c r="X396" i="19" s="1"/>
  <c r="A403" i="19"/>
  <c r="A406" i="19"/>
  <c r="W402" i="19"/>
  <c r="X402" i="19" s="1"/>
  <c r="B402" i="19"/>
  <c r="A400" i="19"/>
  <c r="W399" i="19"/>
  <c r="X399" i="19" s="1"/>
  <c r="C400" i="19"/>
  <c r="C398" i="19"/>
  <c r="D398" i="19"/>
  <c r="D401" i="19"/>
  <c r="C399" i="19"/>
  <c r="D400" i="19"/>
  <c r="C401" i="19"/>
  <c r="D399" i="19"/>
  <c r="D396" i="10"/>
  <c r="C395" i="10"/>
  <c r="C396" i="10"/>
  <c r="D394" i="10"/>
  <c r="D397" i="10"/>
  <c r="C394" i="10"/>
  <c r="C397" i="10"/>
  <c r="D395" i="10"/>
  <c r="A399" i="10"/>
  <c r="B398" i="10"/>
  <c r="A402" i="10"/>
  <c r="W398" i="10"/>
  <c r="X398" i="10" s="1"/>
  <c r="W395" i="10"/>
  <c r="X395" i="10" s="1"/>
  <c r="A396" i="10"/>
  <c r="A393" i="10"/>
  <c r="W393" i="10" s="1"/>
  <c r="X393" i="10" s="1"/>
  <c r="W392" i="10"/>
  <c r="X392" i="10" s="1"/>
  <c r="W403" i="15" l="1"/>
  <c r="X403" i="15" s="1"/>
  <c r="A404" i="15"/>
  <c r="D403" i="15"/>
  <c r="D402" i="15"/>
  <c r="D404" i="15"/>
  <c r="C403" i="15"/>
  <c r="C405" i="15"/>
  <c r="C402" i="15"/>
  <c r="C404" i="15"/>
  <c r="D405" i="15"/>
  <c r="A410" i="15"/>
  <c r="B406" i="15"/>
  <c r="A407" i="15"/>
  <c r="W406" i="15"/>
  <c r="X406" i="15" s="1"/>
  <c r="A401" i="15"/>
  <c r="W401" i="15" s="1"/>
  <c r="X401" i="15" s="1"/>
  <c r="W400" i="15"/>
  <c r="X400" i="15" s="1"/>
  <c r="A401" i="19"/>
  <c r="W401" i="19" s="1"/>
  <c r="X401" i="19" s="1"/>
  <c r="W400" i="19"/>
  <c r="X400" i="19" s="1"/>
  <c r="D403" i="19"/>
  <c r="C402" i="19"/>
  <c r="D404" i="19"/>
  <c r="C405" i="19"/>
  <c r="C403" i="19"/>
  <c r="C404" i="19"/>
  <c r="D402" i="19"/>
  <c r="D405" i="19"/>
  <c r="B406" i="19"/>
  <c r="A407" i="19"/>
  <c r="W406" i="19"/>
  <c r="X406" i="19" s="1"/>
  <c r="A410" i="19"/>
  <c r="A404" i="19"/>
  <c r="W403" i="19"/>
  <c r="X403" i="19" s="1"/>
  <c r="A403" i="10"/>
  <c r="B402" i="10"/>
  <c r="W402" i="10"/>
  <c r="X402" i="10" s="1"/>
  <c r="A406" i="10"/>
  <c r="A397" i="10"/>
  <c r="W397" i="10" s="1"/>
  <c r="X397" i="10" s="1"/>
  <c r="W396" i="10"/>
  <c r="X396" i="10" s="1"/>
  <c r="C399" i="10"/>
  <c r="D398" i="10"/>
  <c r="C401" i="10"/>
  <c r="D400" i="10"/>
  <c r="C400" i="10"/>
  <c r="D401" i="10"/>
  <c r="C398" i="10"/>
  <c r="D399" i="10"/>
  <c r="W399" i="10"/>
  <c r="X399" i="10" s="1"/>
  <c r="A400" i="10"/>
  <c r="A408" i="15" l="1"/>
  <c r="W407" i="15"/>
  <c r="X407" i="15" s="1"/>
  <c r="C409" i="15"/>
  <c r="C408" i="15"/>
  <c r="D407" i="15"/>
  <c r="D406" i="15"/>
  <c r="D409" i="15"/>
  <c r="C406" i="15"/>
  <c r="C407" i="15"/>
  <c r="D408" i="15"/>
  <c r="B410" i="15"/>
  <c r="A411" i="15"/>
  <c r="A414" i="15"/>
  <c r="W410" i="15"/>
  <c r="X410" i="15" s="1"/>
  <c r="A405" i="15"/>
  <c r="W405" i="15" s="1"/>
  <c r="X405" i="15" s="1"/>
  <c r="W404" i="15"/>
  <c r="X404" i="15" s="1"/>
  <c r="W410" i="19"/>
  <c r="X410" i="19" s="1"/>
  <c r="B410" i="19"/>
  <c r="A411" i="19"/>
  <c r="A414" i="19"/>
  <c r="W404" i="19"/>
  <c r="X404" i="19" s="1"/>
  <c r="A405" i="19"/>
  <c r="W405" i="19" s="1"/>
  <c r="X405" i="19" s="1"/>
  <c r="W407" i="19"/>
  <c r="X407" i="19" s="1"/>
  <c r="A408" i="19"/>
  <c r="C407" i="19"/>
  <c r="C408" i="19"/>
  <c r="D407" i="19"/>
  <c r="D406" i="19"/>
  <c r="D408" i="19"/>
  <c r="D409" i="19"/>
  <c r="C409" i="19"/>
  <c r="C406" i="19"/>
  <c r="A401" i="10"/>
  <c r="W401" i="10" s="1"/>
  <c r="X401" i="10" s="1"/>
  <c r="W400" i="10"/>
  <c r="X400" i="10" s="1"/>
  <c r="C402" i="10"/>
  <c r="C405" i="10"/>
  <c r="D403" i="10"/>
  <c r="C403" i="10"/>
  <c r="C404" i="10"/>
  <c r="D404" i="10"/>
  <c r="D402" i="10"/>
  <c r="D405" i="10"/>
  <c r="A407" i="10"/>
  <c r="A410" i="10"/>
  <c r="W406" i="10"/>
  <c r="X406" i="10" s="1"/>
  <c r="B406" i="10"/>
  <c r="W403" i="10"/>
  <c r="X403" i="10" s="1"/>
  <c r="A404" i="10"/>
  <c r="B414" i="15" l="1"/>
  <c r="A418" i="15"/>
  <c r="A415" i="15"/>
  <c r="W414" i="15"/>
  <c r="X414" i="15" s="1"/>
  <c r="A412" i="15"/>
  <c r="W411" i="15"/>
  <c r="X411" i="15" s="1"/>
  <c r="D411" i="15"/>
  <c r="C412" i="15"/>
  <c r="D412" i="15"/>
  <c r="C411" i="15"/>
  <c r="D413" i="15"/>
  <c r="D410" i="15"/>
  <c r="C413" i="15"/>
  <c r="C410" i="15"/>
  <c r="A409" i="15"/>
  <c r="W409" i="15" s="1"/>
  <c r="X409" i="15" s="1"/>
  <c r="W408" i="15"/>
  <c r="X408" i="15" s="1"/>
  <c r="W408" i="19"/>
  <c r="X408" i="19" s="1"/>
  <c r="A409" i="19"/>
  <c r="W409" i="19" s="1"/>
  <c r="X409" i="19" s="1"/>
  <c r="A415" i="19"/>
  <c r="A418" i="19"/>
  <c r="W414" i="19"/>
  <c r="X414" i="19" s="1"/>
  <c r="B414" i="19"/>
  <c r="A412" i="19"/>
  <c r="W411" i="19"/>
  <c r="X411" i="19" s="1"/>
  <c r="D412" i="19"/>
  <c r="C412" i="19"/>
  <c r="D410" i="19"/>
  <c r="D413" i="19"/>
  <c r="C410" i="19"/>
  <c r="C413" i="19"/>
  <c r="C411" i="19"/>
  <c r="D411" i="19"/>
  <c r="W404" i="10"/>
  <c r="X404" i="10" s="1"/>
  <c r="A405" i="10"/>
  <c r="W405" i="10" s="1"/>
  <c r="X405" i="10" s="1"/>
  <c r="D406" i="10"/>
  <c r="D409" i="10"/>
  <c r="C406" i="10"/>
  <c r="D407" i="10"/>
  <c r="C407" i="10"/>
  <c r="C409" i="10"/>
  <c r="D408" i="10"/>
  <c r="C408" i="10"/>
  <c r="B410" i="10"/>
  <c r="A414" i="10"/>
  <c r="A411" i="10"/>
  <c r="W410" i="10"/>
  <c r="X410" i="10" s="1"/>
  <c r="W407" i="10"/>
  <c r="X407" i="10" s="1"/>
  <c r="A408" i="10"/>
  <c r="A413" i="15" l="1"/>
  <c r="W413" i="15" s="1"/>
  <c r="X413" i="15" s="1"/>
  <c r="W412" i="15"/>
  <c r="X412" i="15" s="1"/>
  <c r="A416" i="15"/>
  <c r="W415" i="15"/>
  <c r="X415" i="15" s="1"/>
  <c r="W418" i="15"/>
  <c r="X418" i="15" s="1"/>
  <c r="A419" i="15"/>
  <c r="A422" i="15"/>
  <c r="B418" i="15"/>
  <c r="D416" i="15"/>
  <c r="C416" i="15"/>
  <c r="D414" i="15"/>
  <c r="D417" i="15"/>
  <c r="C414" i="15"/>
  <c r="D415" i="15"/>
  <c r="C415" i="15"/>
  <c r="C417" i="15"/>
  <c r="A419" i="19"/>
  <c r="B418" i="19"/>
  <c r="A422" i="19"/>
  <c r="W418" i="19"/>
  <c r="X418" i="19" s="1"/>
  <c r="D416" i="19"/>
  <c r="C416" i="19"/>
  <c r="D415" i="19"/>
  <c r="D417" i="19"/>
  <c r="C415" i="19"/>
  <c r="C414" i="19"/>
  <c r="C417" i="19"/>
  <c r="D414" i="19"/>
  <c r="A416" i="19"/>
  <c r="W415" i="19"/>
  <c r="X415" i="19" s="1"/>
  <c r="A413" i="19"/>
  <c r="W413" i="19" s="1"/>
  <c r="X413" i="19" s="1"/>
  <c r="W412" i="19"/>
  <c r="X412" i="19" s="1"/>
  <c r="W408" i="10"/>
  <c r="X408" i="10" s="1"/>
  <c r="A409" i="10"/>
  <c r="W409" i="10" s="1"/>
  <c r="X409" i="10" s="1"/>
  <c r="C411" i="10"/>
  <c r="D412" i="10"/>
  <c r="C410" i="10"/>
  <c r="D410" i="10"/>
  <c r="C413" i="10"/>
  <c r="C412" i="10"/>
  <c r="D413" i="10"/>
  <c r="D411" i="10"/>
  <c r="A412" i="10"/>
  <c r="W411" i="10"/>
  <c r="X411" i="10" s="1"/>
  <c r="W414" i="10"/>
  <c r="X414" i="10" s="1"/>
  <c r="A418" i="10"/>
  <c r="B414" i="10"/>
  <c r="A415" i="10"/>
  <c r="W419" i="15" l="1"/>
  <c r="X419" i="15" s="1"/>
  <c r="A420" i="15"/>
  <c r="D420" i="15"/>
  <c r="D418" i="15"/>
  <c r="C420" i="15"/>
  <c r="D421" i="15"/>
  <c r="D419" i="15"/>
  <c r="C419" i="15"/>
  <c r="C418" i="15"/>
  <c r="C421" i="15"/>
  <c r="B422" i="15"/>
  <c r="A423" i="15"/>
  <c r="A426" i="15"/>
  <c r="W422" i="15"/>
  <c r="X422" i="15" s="1"/>
  <c r="A417" i="15"/>
  <c r="W417" i="15" s="1"/>
  <c r="X417" i="15" s="1"/>
  <c r="W416" i="15"/>
  <c r="X416" i="15" s="1"/>
  <c r="B422" i="19"/>
  <c r="A423" i="19"/>
  <c r="A426" i="19"/>
  <c r="W422" i="19"/>
  <c r="X422" i="19" s="1"/>
  <c r="A417" i="19"/>
  <c r="W417" i="19" s="1"/>
  <c r="X417" i="19" s="1"/>
  <c r="W416" i="19"/>
  <c r="X416" i="19" s="1"/>
  <c r="C418" i="19"/>
  <c r="C419" i="19"/>
  <c r="D420" i="19"/>
  <c r="C421" i="19"/>
  <c r="D419" i="19"/>
  <c r="C420" i="19"/>
  <c r="D418" i="19"/>
  <c r="D421" i="19"/>
  <c r="A420" i="19"/>
  <c r="W419" i="19"/>
  <c r="X419" i="19" s="1"/>
  <c r="A416" i="10"/>
  <c r="W415" i="10"/>
  <c r="X415" i="10" s="1"/>
  <c r="A413" i="10"/>
  <c r="W413" i="10" s="1"/>
  <c r="X413" i="10" s="1"/>
  <c r="W412" i="10"/>
  <c r="X412" i="10" s="1"/>
  <c r="D417" i="10"/>
  <c r="C414" i="10"/>
  <c r="C415" i="10"/>
  <c r="C417" i="10"/>
  <c r="D416" i="10"/>
  <c r="D415" i="10"/>
  <c r="C416" i="10"/>
  <c r="D414" i="10"/>
  <c r="W418" i="10"/>
  <c r="X418" i="10" s="1"/>
  <c r="B418" i="10"/>
  <c r="A419" i="10"/>
  <c r="A422" i="10"/>
  <c r="A430" i="15" l="1"/>
  <c r="A427" i="15"/>
  <c r="W426" i="15"/>
  <c r="X426" i="15" s="1"/>
  <c r="B426" i="15"/>
  <c r="D423" i="15"/>
  <c r="D422" i="15"/>
  <c r="C423" i="15"/>
  <c r="D424" i="15"/>
  <c r="C424" i="15"/>
  <c r="D425" i="15"/>
  <c r="C422" i="15"/>
  <c r="C425" i="15"/>
  <c r="W423" i="15"/>
  <c r="X423" i="15" s="1"/>
  <c r="A424" i="15"/>
  <c r="W420" i="15"/>
  <c r="X420" i="15" s="1"/>
  <c r="A421" i="15"/>
  <c r="W421" i="15" s="1"/>
  <c r="X421" i="15" s="1"/>
  <c r="A421" i="19"/>
  <c r="W421" i="19" s="1"/>
  <c r="X421" i="19" s="1"/>
  <c r="W420" i="19"/>
  <c r="X420" i="19" s="1"/>
  <c r="B426" i="19"/>
  <c r="A427" i="19"/>
  <c r="W426" i="19"/>
  <c r="X426" i="19" s="1"/>
  <c r="A430" i="19"/>
  <c r="W423" i="19"/>
  <c r="X423" i="19" s="1"/>
  <c r="A424" i="19"/>
  <c r="C422" i="19"/>
  <c r="C424" i="19"/>
  <c r="D423" i="19"/>
  <c r="C423" i="19"/>
  <c r="C425" i="19"/>
  <c r="D424" i="19"/>
  <c r="D422" i="19"/>
  <c r="D425" i="19"/>
  <c r="W419" i="10"/>
  <c r="X419" i="10" s="1"/>
  <c r="A420" i="10"/>
  <c r="D421" i="10"/>
  <c r="C421" i="10"/>
  <c r="D420" i="10"/>
  <c r="C420" i="10"/>
  <c r="C418" i="10"/>
  <c r="D418" i="10"/>
  <c r="D419" i="10"/>
  <c r="C419" i="10"/>
  <c r="B422" i="10"/>
  <c r="A426" i="10"/>
  <c r="A423" i="10"/>
  <c r="W422" i="10"/>
  <c r="X422" i="10" s="1"/>
  <c r="W416" i="10"/>
  <c r="X416" i="10" s="1"/>
  <c r="A417" i="10"/>
  <c r="W417" i="10" s="1"/>
  <c r="X417" i="10" s="1"/>
  <c r="D428" i="15" l="1"/>
  <c r="C427" i="15"/>
  <c r="C428" i="15"/>
  <c r="D429" i="15"/>
  <c r="D426" i="15"/>
  <c r="C426" i="15"/>
  <c r="C429" i="15"/>
  <c r="D427" i="15"/>
  <c r="A428" i="15"/>
  <c r="W427" i="15"/>
  <c r="X427" i="15" s="1"/>
  <c r="W424" i="15"/>
  <c r="X424" i="15" s="1"/>
  <c r="A425" i="15"/>
  <c r="W425" i="15" s="1"/>
  <c r="X425" i="15" s="1"/>
  <c r="A431" i="15"/>
  <c r="A434" i="15"/>
  <c r="B430" i="15"/>
  <c r="W430" i="15"/>
  <c r="X430" i="15" s="1"/>
  <c r="W427" i="19"/>
  <c r="X427" i="19" s="1"/>
  <c r="A428" i="19"/>
  <c r="W430" i="19"/>
  <c r="X430" i="19" s="1"/>
  <c r="B430" i="19"/>
  <c r="A431" i="19"/>
  <c r="A434" i="19"/>
  <c r="C429" i="19"/>
  <c r="D427" i="19"/>
  <c r="D428" i="19"/>
  <c r="D429" i="19"/>
  <c r="C427" i="19"/>
  <c r="C428" i="19"/>
  <c r="C426" i="19"/>
  <c r="D426" i="19"/>
  <c r="W424" i="19"/>
  <c r="X424" i="19" s="1"/>
  <c r="A425" i="19"/>
  <c r="W425" i="19" s="1"/>
  <c r="X425" i="19" s="1"/>
  <c r="A430" i="10"/>
  <c r="A427" i="10"/>
  <c r="B426" i="10"/>
  <c r="W426" i="10"/>
  <c r="X426" i="10" s="1"/>
  <c r="D425" i="10"/>
  <c r="D422" i="10"/>
  <c r="C424" i="10"/>
  <c r="C422" i="10"/>
  <c r="D424" i="10"/>
  <c r="C425" i="10"/>
  <c r="D423" i="10"/>
  <c r="C423" i="10"/>
  <c r="W420" i="10"/>
  <c r="X420" i="10" s="1"/>
  <c r="A421" i="10"/>
  <c r="W421" i="10" s="1"/>
  <c r="X421" i="10" s="1"/>
  <c r="W423" i="10"/>
  <c r="X423" i="10" s="1"/>
  <c r="A424" i="10"/>
  <c r="D431" i="15" l="1"/>
  <c r="D433" i="15"/>
  <c r="D432" i="15"/>
  <c r="C433" i="15"/>
  <c r="D430" i="15"/>
  <c r="C430" i="15"/>
  <c r="C432" i="15"/>
  <c r="C431" i="15"/>
  <c r="B434" i="15"/>
  <c r="A438" i="15"/>
  <c r="A435" i="15"/>
  <c r="W434" i="15"/>
  <c r="X434" i="15" s="1"/>
  <c r="A432" i="15"/>
  <c r="W431" i="15"/>
  <c r="X431" i="15" s="1"/>
  <c r="A429" i="15"/>
  <c r="W429" i="15" s="1"/>
  <c r="X429" i="15" s="1"/>
  <c r="W428" i="15"/>
  <c r="X428" i="15" s="1"/>
  <c r="A435" i="19"/>
  <c r="A438" i="19"/>
  <c r="W434" i="19"/>
  <c r="X434" i="19" s="1"/>
  <c r="B434" i="19"/>
  <c r="W431" i="19"/>
  <c r="X431" i="19" s="1"/>
  <c r="A432" i="19"/>
  <c r="D433" i="19"/>
  <c r="D431" i="19"/>
  <c r="C430" i="19"/>
  <c r="C432" i="19"/>
  <c r="D430" i="19"/>
  <c r="C433" i="19"/>
  <c r="D432" i="19"/>
  <c r="C431" i="19"/>
  <c r="W428" i="19"/>
  <c r="X428" i="19" s="1"/>
  <c r="A429" i="19"/>
  <c r="W429" i="19" s="1"/>
  <c r="X429" i="19" s="1"/>
  <c r="W424" i="10"/>
  <c r="X424" i="10" s="1"/>
  <c r="A425" i="10"/>
  <c r="W425" i="10" s="1"/>
  <c r="X425" i="10" s="1"/>
  <c r="A428" i="10"/>
  <c r="W427" i="10"/>
  <c r="X427" i="10" s="1"/>
  <c r="D428" i="10"/>
  <c r="C428" i="10"/>
  <c r="D426" i="10"/>
  <c r="D429" i="10"/>
  <c r="D427" i="10"/>
  <c r="C426" i="10"/>
  <c r="C427" i="10"/>
  <c r="C429" i="10"/>
  <c r="B430" i="10"/>
  <c r="A431" i="10"/>
  <c r="A434" i="10"/>
  <c r="W430" i="10"/>
  <c r="X430" i="10" s="1"/>
  <c r="A436" i="15" l="1"/>
  <c r="W435" i="15"/>
  <c r="X435" i="15" s="1"/>
  <c r="A439" i="15"/>
  <c r="B438" i="15"/>
  <c r="W438" i="15"/>
  <c r="X438" i="15" s="1"/>
  <c r="A442" i="15"/>
  <c r="A433" i="15"/>
  <c r="W433" i="15" s="1"/>
  <c r="X433" i="15" s="1"/>
  <c r="W432" i="15"/>
  <c r="X432" i="15" s="1"/>
  <c r="C436" i="15"/>
  <c r="D436" i="15"/>
  <c r="D434" i="15"/>
  <c r="D437" i="15"/>
  <c r="C434" i="15"/>
  <c r="C435" i="15"/>
  <c r="C437" i="15"/>
  <c r="D435" i="15"/>
  <c r="A433" i="19"/>
  <c r="W433" i="19" s="1"/>
  <c r="X433" i="19" s="1"/>
  <c r="W432" i="19"/>
  <c r="X432" i="19" s="1"/>
  <c r="A439" i="19"/>
  <c r="B438" i="19"/>
  <c r="A442" i="19"/>
  <c r="W438" i="19"/>
  <c r="X438" i="19" s="1"/>
  <c r="C434" i="19"/>
  <c r="D437" i="19"/>
  <c r="C435" i="19"/>
  <c r="D436" i="19"/>
  <c r="C436" i="19"/>
  <c r="D434" i="19"/>
  <c r="C437" i="19"/>
  <c r="D435" i="19"/>
  <c r="A436" i="19"/>
  <c r="W435" i="19"/>
  <c r="X435" i="19" s="1"/>
  <c r="D432" i="10"/>
  <c r="C432" i="10"/>
  <c r="D433" i="10"/>
  <c r="C430" i="10"/>
  <c r="C433" i="10"/>
  <c r="D431" i="10"/>
  <c r="C431" i="10"/>
  <c r="D430" i="10"/>
  <c r="B434" i="10"/>
  <c r="A435" i="10"/>
  <c r="W434" i="10"/>
  <c r="X434" i="10" s="1"/>
  <c r="A438" i="10"/>
  <c r="A429" i="10"/>
  <c r="W429" i="10" s="1"/>
  <c r="X429" i="10" s="1"/>
  <c r="W428" i="10"/>
  <c r="X428" i="10" s="1"/>
  <c r="W431" i="10"/>
  <c r="X431" i="10" s="1"/>
  <c r="A432" i="10"/>
  <c r="B442" i="15" l="1"/>
  <c r="A443" i="15"/>
  <c r="W442" i="15"/>
  <c r="X442" i="15" s="1"/>
  <c r="D440" i="15"/>
  <c r="D439" i="15"/>
  <c r="D438" i="15"/>
  <c r="C441" i="15"/>
  <c r="C440" i="15"/>
  <c r="C438" i="15"/>
  <c r="C439" i="15"/>
  <c r="D441" i="15"/>
  <c r="A440" i="15"/>
  <c r="W439" i="15"/>
  <c r="X439" i="15" s="1"/>
  <c r="A437" i="15"/>
  <c r="W437" i="15" s="1"/>
  <c r="X437" i="15" s="1"/>
  <c r="W436" i="15"/>
  <c r="X436" i="15" s="1"/>
  <c r="W436" i="19"/>
  <c r="X436" i="19" s="1"/>
  <c r="A437" i="19"/>
  <c r="W437" i="19" s="1"/>
  <c r="X437" i="19" s="1"/>
  <c r="W442" i="19"/>
  <c r="X442" i="19" s="1"/>
  <c r="B442" i="19"/>
  <c r="A443" i="19"/>
  <c r="C440" i="19"/>
  <c r="D441" i="19"/>
  <c r="D439" i="19"/>
  <c r="D440" i="19"/>
  <c r="D438" i="19"/>
  <c r="C438" i="19"/>
  <c r="C439" i="19"/>
  <c r="C441" i="19"/>
  <c r="A440" i="19"/>
  <c r="W439" i="19"/>
  <c r="X439" i="19" s="1"/>
  <c r="W432" i="10"/>
  <c r="X432" i="10" s="1"/>
  <c r="A433" i="10"/>
  <c r="W433" i="10" s="1"/>
  <c r="X433" i="10" s="1"/>
  <c r="A439" i="10"/>
  <c r="B438" i="10"/>
  <c r="A442" i="10"/>
  <c r="W438" i="10"/>
  <c r="X438" i="10" s="1"/>
  <c r="A436" i="10"/>
  <c r="W435" i="10"/>
  <c r="X435" i="10" s="1"/>
  <c r="D434" i="10"/>
  <c r="C436" i="10"/>
  <c r="D435" i="10"/>
  <c r="D437" i="10"/>
  <c r="C437" i="10"/>
  <c r="D436" i="10"/>
  <c r="C434" i="10"/>
  <c r="C435" i="10"/>
  <c r="W440" i="15" l="1"/>
  <c r="X440" i="15" s="1"/>
  <c r="A441" i="15"/>
  <c r="W441" i="15" s="1"/>
  <c r="X441" i="15" s="1"/>
  <c r="W443" i="15"/>
  <c r="X443" i="15" s="1"/>
  <c r="A444" i="15"/>
  <c r="C444" i="15"/>
  <c r="D445" i="15"/>
  <c r="D442" i="15"/>
  <c r="C445" i="15"/>
  <c r="D443" i="15"/>
  <c r="C443" i="15"/>
  <c r="C442" i="15"/>
  <c r="D444" i="15"/>
  <c r="A444" i="19"/>
  <c r="W443" i="19"/>
  <c r="X443" i="19" s="1"/>
  <c r="C442" i="19"/>
  <c r="D443" i="19"/>
  <c r="D442" i="19"/>
  <c r="D445" i="19"/>
  <c r="C445" i="19"/>
  <c r="C443" i="19"/>
  <c r="D444" i="19"/>
  <c r="C444" i="19"/>
  <c r="W440" i="19"/>
  <c r="X440" i="19" s="1"/>
  <c r="A441" i="19"/>
  <c r="W441" i="19" s="1"/>
  <c r="X441" i="19" s="1"/>
  <c r="A437" i="10"/>
  <c r="W437" i="10" s="1"/>
  <c r="X437" i="10" s="1"/>
  <c r="W436" i="10"/>
  <c r="X436" i="10" s="1"/>
  <c r="D438" i="10"/>
  <c r="D441" i="10"/>
  <c r="C438" i="10"/>
  <c r="C439" i="10"/>
  <c r="D439" i="10"/>
  <c r="C440" i="10"/>
  <c r="C441" i="10"/>
  <c r="D440" i="10"/>
  <c r="W439" i="10"/>
  <c r="X439" i="10" s="1"/>
  <c r="A440" i="10"/>
  <c r="B442" i="10"/>
  <c r="W442" i="10"/>
  <c r="X442" i="10" s="1"/>
  <c r="A443" i="10"/>
  <c r="A445" i="15" l="1"/>
  <c r="W445" i="15" s="1"/>
  <c r="X445" i="15" s="1"/>
  <c r="W444" i="15"/>
  <c r="X444" i="15" s="1"/>
  <c r="A445" i="19"/>
  <c r="W445" i="19" s="1"/>
  <c r="X445" i="19" s="1"/>
  <c r="W444" i="19"/>
  <c r="X444" i="19" s="1"/>
  <c r="W443" i="10"/>
  <c r="X443" i="10" s="1"/>
  <c r="A444" i="10"/>
  <c r="C442" i="10"/>
  <c r="C445" i="10"/>
  <c r="C443" i="10"/>
  <c r="D444" i="10"/>
  <c r="D442" i="10"/>
  <c r="D443" i="10"/>
  <c r="D445" i="10"/>
  <c r="C444" i="10"/>
  <c r="A441" i="10"/>
  <c r="W441" i="10" s="1"/>
  <c r="X441" i="10" s="1"/>
  <c r="W440" i="10"/>
  <c r="X440" i="10" s="1"/>
  <c r="A445" i="10" l="1"/>
  <c r="W445" i="10" s="1"/>
  <c r="X445" i="10" s="1"/>
  <c r="W444" i="10"/>
  <c r="X444" i="10" s="1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B8A9AB63-FA4A-42EC-9C58-8006F3AB3041}" keepAlive="1" name="Query - Forex" description="Connection to the 'Forex' query in the workbook." type="5" refreshedVersion="7" background="1">
    <dbPr connection="Provider=Microsoft.Mashup.OleDb.1;Data Source=$Workbook$;Location=Forex;Extended Properties=&quot;&quot;" command="SELECT * FROM [Forex]"/>
  </connection>
  <connection id="2" xr16:uid="{385FB577-6590-4E90-B45A-3E7C17EAFCFC}" keepAlive="1" name="Query - OFX - EUR/GBP" description="Connection to the 'OFX - EUR/GBP' query in the workbook." type="5" refreshedVersion="0" background="1">
    <dbPr connection="Provider=Microsoft.Mashup.OleDb.1;Data Source=$Workbook$;Location=&quot;OFX - EUR/GBP&quot;;Extended Properties=&quot;&quot;" command="SELECT * FROM [OFX - EUR/GBP]"/>
  </connection>
  <connection id="3" xr16:uid="{BBE38D2E-40A4-4582-A613-FE7A28DED65E}" keepAlive="1" name="Query - OFX - EUR/USD" description="Connection to the 'OFX - EUR/USD' query in the workbook." type="5" refreshedVersion="0" background="1">
    <dbPr connection="Provider=Microsoft.Mashup.OleDb.1;Data Source=$Workbook$;Location=&quot;OFX - EUR/USD&quot;;Extended Properties=&quot;&quot;" command="SELECT * FROM [OFX - EUR/USD]"/>
  </connection>
</connections>
</file>

<file path=xl/sharedStrings.xml><?xml version="1.0" encoding="utf-8"?>
<sst xmlns="http://schemas.openxmlformats.org/spreadsheetml/2006/main" count="535" uniqueCount="188">
  <si>
    <t>Region</t>
  </si>
  <si>
    <t>Index</t>
  </si>
  <si>
    <t>Master</t>
  </si>
  <si>
    <t>Comments</t>
  </si>
  <si>
    <t>Aug-21</t>
  </si>
  <si>
    <t>Sep-21</t>
  </si>
  <si>
    <t>Okt-21</t>
  </si>
  <si>
    <t>Nov-21</t>
  </si>
  <si>
    <t>Dez-21</t>
  </si>
  <si>
    <t>Jan-22</t>
  </si>
  <si>
    <t>Feb-22</t>
  </si>
  <si>
    <t>Mrz-22</t>
  </si>
  <si>
    <t>Apr-22</t>
  </si>
  <si>
    <t>Mai-22</t>
  </si>
  <si>
    <t>Jun-22</t>
  </si>
  <si>
    <t>Jul-22</t>
  </si>
  <si>
    <t>Aug-22</t>
  </si>
  <si>
    <t>Sep-22</t>
  </si>
  <si>
    <t>Okt-22</t>
  </si>
  <si>
    <t>Nov-22</t>
  </si>
  <si>
    <t>Dez-22</t>
  </si>
  <si>
    <t>Eingabe</t>
  </si>
  <si>
    <t>Spalte 1</t>
  </si>
  <si>
    <t>Spalte 2</t>
  </si>
  <si>
    <t>Spalte 3</t>
  </si>
  <si>
    <t>Szenario in unten aufgeführtes Feld eintragen.</t>
  </si>
  <si>
    <t>Szenario:</t>
  </si>
  <si>
    <t>Source/Comments</t>
  </si>
  <si>
    <t>Änderungen vs. Master:</t>
  </si>
  <si>
    <t>Norwegen</t>
  </si>
  <si>
    <t>RegionID</t>
  </si>
  <si>
    <t>DemandID</t>
  </si>
  <si>
    <t>ProductionID</t>
  </si>
  <si>
    <t>PipedImporterID</t>
  </si>
  <si>
    <t>Importer</t>
  </si>
  <si>
    <t>PipedImporterProductionID</t>
  </si>
  <si>
    <t>Region Index</t>
  </si>
  <si>
    <t>PipedImporterConnectionID</t>
  </si>
  <si>
    <t>Name</t>
  </si>
  <si>
    <t>Piped Import Connection</t>
  </si>
  <si>
    <t>Metric</t>
  </si>
  <si>
    <t>Unit</t>
  </si>
  <si>
    <t>Capacity - Min</t>
  </si>
  <si>
    <t>Capacity - Max</t>
  </si>
  <si>
    <t>Tariff - fixed</t>
  </si>
  <si>
    <t>EUR/month</t>
  </si>
  <si>
    <t>Tariff - variable</t>
  </si>
  <si>
    <t>EUR/MWh</t>
  </si>
  <si>
    <t>PipedImporterDataID</t>
  </si>
  <si>
    <t>Ausgangs- und Zielregionen auswählen und Transitroute eindeutig benennen.</t>
  </si>
  <si>
    <t>Origin</t>
  </si>
  <si>
    <t>Origin Index</t>
  </si>
  <si>
    <t>Destination</t>
  </si>
  <si>
    <t>Destination Index</t>
  </si>
  <si>
    <t>TransitID</t>
  </si>
  <si>
    <t>Deutschland</t>
  </si>
  <si>
    <t>Frankreich</t>
  </si>
  <si>
    <t>Niederlande</t>
  </si>
  <si>
    <t>Schweiz</t>
  </si>
  <si>
    <t>FR-DE</t>
  </si>
  <si>
    <t>DE-NL</t>
  </si>
  <si>
    <t>NL-DE</t>
  </si>
  <si>
    <t>DE-CH</t>
  </si>
  <si>
    <t>FR-NL</t>
  </si>
  <si>
    <t>NL-FR</t>
  </si>
  <si>
    <t>FR-CH</t>
  </si>
  <si>
    <t>CH-FR</t>
  </si>
  <si>
    <t>Transitrouten sind unidirektional. Falls Pipelines in beide Richtungen genutzt werden können, müssen beide Routen definiert werden</t>
  </si>
  <si>
    <t>Algerien</t>
  </si>
  <si>
    <t>Import Nor-FR</t>
  </si>
  <si>
    <t>Import Nor-NL</t>
  </si>
  <si>
    <t>Import Alg-FR</t>
  </si>
  <si>
    <t>Import Alg-CH</t>
  </si>
  <si>
    <t>Relevante Werte für jede Importroute eintragen.</t>
  </si>
  <si>
    <t>Relevante Werte für jede Transitroute eintragen.</t>
  </si>
  <si>
    <t>TransitDataID</t>
  </si>
  <si>
    <t>bcm</t>
  </si>
  <si>
    <t>mcm</t>
  </si>
  <si>
    <t>cm</t>
  </si>
  <si>
    <t>kWh</t>
  </si>
  <si>
    <t>MWh</t>
  </si>
  <si>
    <t>GWh</t>
  </si>
  <si>
    <t>TWh</t>
  </si>
  <si>
    <t>GCV (MJ/cm):</t>
  </si>
  <si>
    <t>Einheitsumrechnung für gebenenen Kaloriewert</t>
  </si>
  <si>
    <t>MMBTU</t>
  </si>
  <si>
    <t>LNG-Importterminals hier auflisten.</t>
  </si>
  <si>
    <t>LNGImporterID</t>
  </si>
  <si>
    <t>Terminal</t>
  </si>
  <si>
    <t>GATE</t>
  </si>
  <si>
    <t>Dunkirk</t>
  </si>
  <si>
    <t>GATE NL</t>
  </si>
  <si>
    <t>GATE DE</t>
  </si>
  <si>
    <t>Dunkirk FR</t>
  </si>
  <si>
    <t>LNGImporterConnectionID</t>
  </si>
  <si>
    <t>Relevante Werte für jede LNG-Importroute eintragen.</t>
  </si>
  <si>
    <t>Fixtarif enthält keine versunkenen Kosten; nur Rate, die bezahlt werden muss, falls im jeweiligen Zeitraum Gas fließt.</t>
  </si>
  <si>
    <t>Storage</t>
  </si>
  <si>
    <t>StorageID</t>
  </si>
  <si>
    <t>LNG Import Connection</t>
  </si>
  <si>
    <t>LNGImporterDataID</t>
  </si>
  <si>
    <t>Transit Connection</t>
  </si>
  <si>
    <t>Tabellen ohne zugeschaltete Filterfunktionalität bitte nicht sortieren.</t>
  </si>
  <si>
    <t>Hinweise sind auf jedem Blatt oben aufgeführt und wie diese Zeilen formatiert.</t>
  </si>
  <si>
    <t>Alle einzelnen Eingabezellen sind mit dem "Input"-Format (s. rechts) formatiert.</t>
  </si>
  <si>
    <t>Tabellen, die Eingaben erfordern, sind in oranger Farbe (s. rechts) formatiert.
Graue Zellen/Spalten (s. Beispiel in Spalte 2) erfordern keine Eingabe.</t>
  </si>
  <si>
    <t>Immer eine Kopie vom Master anfertigen und alle Änderungen dokumentieren.</t>
  </si>
  <si>
    <t>mcm/day</t>
  </si>
  <si>
    <t>Cost to Market - fixed</t>
  </si>
  <si>
    <t>Cost to Market - variable</t>
  </si>
  <si>
    <t>Currency</t>
  </si>
  <si>
    <t>USD</t>
  </si>
  <si>
    <t>GBP</t>
  </si>
  <si>
    <t>Forex</t>
  </si>
  <si>
    <t>Column Labels</t>
  </si>
  <si>
    <t>Row Labels</t>
  </si>
  <si>
    <t>Sum of Interbank Rate</t>
  </si>
  <si>
    <t>OFX</t>
  </si>
  <si>
    <t>Umrechnung in EUR</t>
  </si>
  <si>
    <t>LNG-Grenzpreis für jeweiliges Volumen in USD/MMBTU.</t>
  </si>
  <si>
    <t>cm Gas/t LNG:</t>
  </si>
  <si>
    <t>Mt LNG</t>
  </si>
  <si>
    <t>Geforderte Einheiten sind entweder über der Tabelle oder in der jeweiligen Zeile vermerkt.</t>
  </si>
  <si>
    <t>Tabs sind nach Themenzugehörigkeit farblich gruppiert.</t>
  </si>
  <si>
    <t>Bitte die Struktur individueller Blätter nur nach Rücksprache verändern.</t>
  </si>
  <si>
    <t>Vorschläge zur Datensammlung (Reihenfolge/Parallelprozesse) sind auf dem Blatt "Proposed Data Collection" vermerkt</t>
  </si>
  <si>
    <t>Pipeline-Import</t>
  </si>
  <si>
    <t>LNG-Terminal</t>
  </si>
  <si>
    <t>Pipelines</t>
  </si>
  <si>
    <t>Speicher</t>
  </si>
  <si>
    <t>Märkte</t>
  </si>
  <si>
    <t>Märkte unten auflisten.</t>
  </si>
  <si>
    <t>Master-Feld nur ausfüllen, wenn ein Markt ein Sub-Markt eines anderen ist (wahrscheinlich nicht benötigt)</t>
  </si>
  <si>
    <t>Markt auswählen und monatliche Nachfrage eintragen.</t>
  </si>
  <si>
    <t>Bitte Daten nur als Werte kopieren (oder besser verlinken), damit Formatierungen und Validierungen erhalten bleiben.</t>
  </si>
  <si>
    <t>Quellenvorschläge sind z.T. auf den Blättern vermerkt.</t>
  </si>
  <si>
    <t>(für Master nicht relevant)</t>
  </si>
  <si>
    <t>Produktion bezieht sich auf weltweit insgesamt verfügbare Produktionsmenge, d.h. Tabelle muss wahrscheinlich nicht für alle Werte ausgefüllt werden.</t>
  </si>
  <si>
    <t>(https://ec.europa.eu/eurostat/web/energy/data/main-tables)</t>
  </si>
  <si>
    <t>Markt auswählen und monatliche Produktion eintragen.</t>
  </si>
  <si>
    <t>Bitte nach Möglichkeit immer Quellen angeben bzw. manuelle Einträge kommentieren.</t>
  </si>
  <si>
    <t>Importer von außerhalb der Märkte hier auflisten.</t>
  </si>
  <si>
    <t>Import Nor-DE II</t>
  </si>
  <si>
    <t>Import Nor-DE I</t>
  </si>
  <si>
    <t>Importer und Zielmarkt auswählen und Importroute eindeutig benennen</t>
  </si>
  <si>
    <t>Importer Index</t>
  </si>
  <si>
    <t>Connection Index</t>
  </si>
  <si>
    <t>Connection Code</t>
  </si>
  <si>
    <t>Importer auswählen und monatliche für die Märkte verfügbare Gesamtproduktion eintragen.</t>
  </si>
  <si>
    <t>Wenn min. Kapazität größer als null ist, fließt garantiert diese Gasmenge. Nur das Delta zwischen Max und Min steht variabel zur Verfügung.</t>
  </si>
  <si>
    <t>"Cost to Market" beinhaltet alle Kostenkomponenten zurück zum Netbackpreis.</t>
  </si>
  <si>
    <t>Terminal und Zielmarkt auswählen und Importroute eindeutig benennen</t>
  </si>
  <si>
    <t>Terminal Index</t>
  </si>
  <si>
    <t>DE-FR I</t>
  </si>
  <si>
    <t>DE-FR II</t>
  </si>
  <si>
    <t>LNG</t>
  </si>
  <si>
    <t>LNG-Nachfrage insgesamt außerhalb der betrachteten Märkte eintragen.</t>
  </si>
  <si>
    <t>Es ist nur eine Zeile erforderlich.</t>
  </si>
  <si>
    <t>Demand</t>
  </si>
  <si>
    <t>Rest der Welt</t>
  </si>
  <si>
    <t>(https://www.iea.org/data-and-statistics/data-product/monthly-gas-data-service-2)</t>
  </si>
  <si>
    <t>(https://www.gie.eu/transparency/databases/lng-database/)</t>
  </si>
  <si>
    <t>Umrechnungen</t>
  </si>
  <si>
    <t>Erläuterungen</t>
  </si>
  <si>
    <t>Mt LNG/month</t>
  </si>
  <si>
    <t>Supply (Mt LNG/month)</t>
  </si>
  <si>
    <t>Cycle</t>
  </si>
  <si>
    <t>Days</t>
  </si>
  <si>
    <t>Einheiten und Währungen sind nach der Tabellen auf den "Conversions"-Blättern umzurechnen (am besten durch Verlinkung).</t>
  </si>
  <si>
    <t>Luxemburg</t>
  </si>
  <si>
    <t>Benelux</t>
  </si>
  <si>
    <t>Speicher (pro Markt) hier auflisten.</t>
  </si>
  <si>
    <t>Monatliche Werte (wenn vorhanden) mit tatsächlichem Füllstand am jeweiligen Monatsende ausfüllen</t>
  </si>
  <si>
    <t>WGV (GWh)</t>
  </si>
  <si>
    <t>Zielspeicherstand zum jeweiligen Monatsende (% WGV)</t>
  </si>
  <si>
    <t>%</t>
  </si>
  <si>
    <t>Markt</t>
  </si>
  <si>
    <t>Exportziele  außerhalb der Märkte hier auflisten.</t>
  </si>
  <si>
    <t>Exporter</t>
  </si>
  <si>
    <t>PipedExporterID</t>
  </si>
  <si>
    <t>Exportziel auswählen und monatlich benötigtes Gesamtvolumen (aus Importen vom Marktgebiet) eintragen.</t>
  </si>
  <si>
    <t>GWh/day</t>
  </si>
  <si>
    <t>PipedExporterProductionID</t>
  </si>
  <si>
    <t>Exportziel und Ausgangsmarkt auswählen und Exportroute eindeutig benennen</t>
  </si>
  <si>
    <t>Exporter Index</t>
  </si>
  <si>
    <t>PipedExporterConnectionID</t>
  </si>
  <si>
    <t>Serbien</t>
  </si>
  <si>
    <t>Export LUX-SER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</si>
</sst>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4">
    <numFmt numFmtId="164" formatCode="000"/>
    <numFmt numFmtId="165" formatCode="mmm\-yy"/>
    <numFmt numFmtId="166" formatCode="#,##0.0000"/>
    <numFmt numFmtId="167" formatCode="yyyy\-mm\-dd;@"/>
  </numFmts>
  <fonts count="9" x14ac:knownFonts="1">
    <font>
      <sz val="11"/>
      <color theme="1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8"/>
      <name val="Calibri"/>
      <family val="2"/>
      <scheme val="minor"/>
    </font>
    <font>
      <u/>
      <sz val="11"/>
      <color theme="10"/>
      <name val="Calibri"/>
      <family val="2"/>
      <scheme val="minor"/>
    </font>
    <font>
      <b/>
      <sz val="11"/>
      <name val="Calibri"/>
      <family val="2"/>
      <scheme val="minor"/>
    </font>
    <font>
      <sz val="11"/>
      <color theme="0"/>
      <name val="Calibri"/>
      <family val="2"/>
      <scheme val="minor"/>
    </font>
  </fonts>
  <fills count="24">
    <fill>
      <patternFill patternType="none"/>
    </fill>
    <fill>
      <patternFill patternType="gray125"/>
    </fill>
    <fill>
      <patternFill patternType="solid">
        <fgColor theme="6"/>
        <bgColor indexed="64"/>
      </patternFill>
    </fill>
    <fill>
      <patternFill patternType="solid">
        <fgColor rgb="FFFFCC99"/>
      </patternFill>
    </fill>
    <fill>
      <patternFill patternType="solid">
        <fgColor theme="5"/>
        <bgColor theme="5"/>
      </patternFill>
    </fill>
    <fill>
      <patternFill patternType="solid">
        <fgColor theme="5" tint="0.79998168889431442"/>
        <bgColor theme="5" tint="0.79998168889431442"/>
      </patternFill>
    </fill>
    <fill>
      <patternFill patternType="solid">
        <fgColor theme="6"/>
        <bgColor theme="5" tint="0.79998168889431442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8" tint="0.59996337778862885"/>
        <bgColor indexed="64"/>
      </patternFill>
    </fill>
    <fill>
      <patternFill patternType="solid">
        <fgColor rgb="FFFF7979"/>
        <bgColor indexed="64"/>
      </patternFill>
    </fill>
    <fill>
      <patternFill patternType="solid">
        <fgColor theme="7" tint="0.59996337778862885"/>
        <bgColor indexed="64"/>
      </patternFill>
    </fill>
    <fill>
      <patternFill patternType="solid">
        <fgColor rgb="FFC7A1E3"/>
        <bgColor indexed="64"/>
      </patternFill>
    </fill>
    <fill>
      <patternFill patternType="solid">
        <fgColor theme="9" tint="0.59996337778862885"/>
        <bgColor indexed="64"/>
      </patternFill>
    </fill>
    <fill>
      <patternFill patternType="solid">
        <fgColor theme="5" tint="0.59996337778862885"/>
        <bgColor indexed="64"/>
      </patternFill>
    </fill>
    <fill>
      <patternFill patternType="solid">
        <fgColor rgb="FFFFB9B9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theme="7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rgb="FF7030A0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theme="0"/>
        <bgColor indexed="64"/>
      </patternFill>
    </fill>
  </fills>
  <borders count="41">
    <border>
      <left/>
      <right/>
      <top/>
      <bottom/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theme="0"/>
      </left>
      <right style="thin">
        <color theme="0"/>
      </right>
      <top style="thin">
        <color theme="0"/>
      </top>
      <bottom style="thin">
        <color theme="0"/>
      </bottom>
      <diagonal/>
    </border>
    <border>
      <left/>
      <right style="thin">
        <color theme="0"/>
      </right>
      <top/>
      <bottom style="thin">
        <color theme="0"/>
      </bottom>
      <diagonal/>
    </border>
    <border>
      <left style="thin">
        <color theme="0"/>
      </left>
      <right/>
      <top/>
      <bottom style="thin">
        <color theme="0"/>
      </bottom>
      <diagonal/>
    </border>
    <border>
      <left/>
      <right style="thin">
        <color theme="0"/>
      </right>
      <top style="thin">
        <color theme="0"/>
      </top>
      <bottom/>
      <diagonal/>
    </border>
    <border>
      <left style="thin">
        <color theme="0"/>
      </left>
      <right/>
      <top style="thin">
        <color theme="0"/>
      </top>
      <bottom/>
      <diagonal/>
    </border>
    <border>
      <left style="thin">
        <color theme="0"/>
      </left>
      <right style="thin">
        <color theme="0"/>
      </right>
      <top/>
      <bottom style="thin">
        <color theme="0"/>
      </bottom>
      <diagonal/>
    </border>
    <border>
      <left/>
      <right/>
      <top style="thin">
        <color theme="5" tint="0.39997558519241921"/>
      </top>
      <bottom style="thin">
        <color theme="5" tint="0.39997558519241921"/>
      </bottom>
      <diagonal/>
    </border>
    <border>
      <left/>
      <right style="thin">
        <color theme="5" tint="0.39997558519241921"/>
      </right>
      <top style="thin">
        <color theme="5" tint="0.39997558519241921"/>
      </top>
      <bottom style="thin">
        <color theme="5" tint="0.39997558519241921"/>
      </bottom>
      <diagonal/>
    </border>
    <border>
      <left style="thin">
        <color theme="0"/>
      </left>
      <right style="thin">
        <color theme="0"/>
      </right>
      <top style="thin">
        <color theme="0"/>
      </top>
      <bottom/>
      <diagonal/>
    </border>
    <border>
      <left style="thin">
        <color rgb="FF7F7F7F"/>
      </left>
      <right/>
      <top style="thin">
        <color rgb="FF7F7F7F"/>
      </top>
      <bottom/>
      <diagonal/>
    </border>
    <border>
      <left/>
      <right/>
      <top style="thin">
        <color rgb="FF7F7F7F"/>
      </top>
      <bottom/>
      <diagonal/>
    </border>
    <border>
      <left/>
      <right style="thin">
        <color rgb="FF7F7F7F"/>
      </right>
      <top style="thin">
        <color rgb="FF7F7F7F"/>
      </top>
      <bottom/>
      <diagonal/>
    </border>
    <border>
      <left style="thin">
        <color rgb="FF7F7F7F"/>
      </left>
      <right/>
      <top/>
      <bottom/>
      <diagonal/>
    </border>
    <border>
      <left/>
      <right style="thin">
        <color rgb="FF7F7F7F"/>
      </right>
      <top/>
      <bottom/>
      <diagonal/>
    </border>
    <border>
      <left style="thin">
        <color rgb="FF7F7F7F"/>
      </left>
      <right/>
      <top/>
      <bottom style="thin">
        <color rgb="FF7F7F7F"/>
      </bottom>
      <diagonal/>
    </border>
    <border>
      <left/>
      <right/>
      <top/>
      <bottom style="thin">
        <color rgb="FF7F7F7F"/>
      </bottom>
      <diagonal/>
    </border>
    <border>
      <left/>
      <right style="thin">
        <color rgb="FF7F7F7F"/>
      </right>
      <top/>
      <bottom style="thin">
        <color rgb="FF7F7F7F"/>
      </bottom>
      <diagonal/>
    </border>
    <border>
      <left/>
      <right/>
      <top style="thin">
        <color theme="5" tint="0.39997558519241921"/>
      </top>
      <bottom/>
      <diagonal/>
    </border>
    <border>
      <left/>
      <right/>
      <top/>
      <bottom style="thin">
        <color theme="5" tint="0.39994506668294322"/>
      </bottom>
      <diagonal/>
    </border>
    <border>
      <left style="medium">
        <color auto="1"/>
      </left>
      <right style="medium">
        <color auto="1"/>
      </right>
      <top style="medium">
        <color auto="1"/>
      </top>
      <bottom style="medium">
        <color auto="1"/>
      </bottom>
      <diagonal/>
    </border>
    <border>
      <left style="medium">
        <color auto="1"/>
      </left>
      <right style="thin">
        <color auto="1"/>
      </right>
      <top style="medium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medium">
        <color auto="1"/>
      </top>
      <bottom style="thin">
        <color auto="1"/>
      </bottom>
      <diagonal/>
    </border>
    <border>
      <left style="medium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medium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medium">
        <color auto="1"/>
      </bottom>
      <diagonal/>
    </border>
    <border>
      <left style="thin">
        <color auto="1"/>
      </left>
      <right style="medium">
        <color auto="1"/>
      </right>
      <top style="thin">
        <color auto="1"/>
      </top>
      <bottom style="medium">
        <color auto="1"/>
      </bottom>
      <diagonal/>
    </border>
    <border>
      <left style="medium">
        <color auto="1"/>
      </left>
      <right/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medium">
        <color auto="1"/>
      </top>
      <bottom/>
      <diagonal/>
    </border>
    <border>
      <left/>
      <right style="thin">
        <color auto="1"/>
      </right>
      <top style="medium">
        <color auto="1"/>
      </top>
      <bottom/>
      <diagonal/>
    </border>
    <border>
      <left style="medium">
        <color auto="1"/>
      </left>
      <right/>
      <top/>
      <bottom style="thin">
        <color auto="1"/>
      </bottom>
      <diagonal/>
    </border>
    <border>
      <left style="medium">
        <color auto="1"/>
      </left>
      <right style="medium">
        <color auto="1"/>
      </right>
      <top style="thin">
        <color auto="1"/>
      </top>
      <bottom style="medium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medium">
        <color auto="1"/>
      </bottom>
      <diagonal/>
    </border>
    <border>
      <left style="medium">
        <color auto="1"/>
      </left>
      <right style="medium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medium">
        <color auto="1"/>
      </right>
      <top style="medium">
        <color auto="1"/>
      </top>
      <bottom style="medium">
        <color auto="1"/>
      </bottom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auto="1"/>
      </left>
      <right style="medium">
        <color auto="1"/>
      </right>
      <top/>
      <bottom style="thin">
        <color auto="1"/>
      </bottom>
      <diagonal/>
    </border>
    <border>
      <left style="thin">
        <color auto="1"/>
      </left>
      <right style="thin">
        <color auto="1"/>
      </right>
      <top style="medium">
        <color auto="1"/>
      </top>
      <bottom style="medium">
        <color auto="1"/>
      </bottom>
      <diagonal/>
    </border>
  </borders>
  <cellStyleXfs count="4">
    <xf numFmtId="0" fontId="0" fillId="0" borderId="0"/>
    <xf numFmtId="0" fontId="1" fillId="0" borderId="0" applyNumberFormat="0" applyFill="0" applyBorder="0" applyAlignment="0" applyProtection="0"/>
    <xf numFmtId="0" fontId="3" fillId="3" borderId="1" applyNumberFormat="0" applyProtection="0">
      <alignment horizontal="center" vertical="center"/>
    </xf>
    <xf numFmtId="0" fontId="6" fillId="0" borderId="0" applyNumberFormat="0" applyFill="0" applyBorder="0" applyAlignment="0" applyProtection="0"/>
  </cellStyleXfs>
  <cellXfs count="120">
    <xf numFmtId="0" fontId="0" fillId="0" borderId="0" xfId="0"/>
    <xf numFmtId="0" fontId="1" fillId="0" borderId="0" xfId="1"/>
    <xf numFmtId="165" fontId="0" fillId="0" borderId="0" xfId="0" applyNumberFormat="1"/>
    <xf numFmtId="164" fontId="0" fillId="0" borderId="0" xfId="0" applyNumberFormat="1" applyAlignment="1">
      <alignment horizontal="center" vertical="center"/>
    </xf>
    <xf numFmtId="164" fontId="0" fillId="2" borderId="0" xfId="0" applyNumberFormat="1" applyFill="1" applyAlignment="1">
      <alignment horizontal="center" vertical="center"/>
    </xf>
    <xf numFmtId="0" fontId="2" fillId="0" borderId="0" xfId="0" applyFont="1"/>
    <xf numFmtId="0" fontId="0" fillId="0" borderId="2" xfId="0" applyBorder="1"/>
    <xf numFmtId="0" fontId="3" fillId="3" borderId="1" xfId="2">
      <alignment horizontal="center" vertical="center"/>
    </xf>
    <xf numFmtId="0" fontId="4" fillId="4" borderId="8" xfId="0" applyFont="1" applyFill="1" applyBorder="1"/>
    <xf numFmtId="0" fontId="1" fillId="0" borderId="2" xfId="1" applyBorder="1" applyAlignment="1">
      <alignment vertical="center"/>
    </xf>
    <xf numFmtId="0" fontId="0" fillId="0" borderId="2" xfId="0" applyBorder="1" applyAlignment="1">
      <alignment vertical="center"/>
    </xf>
    <xf numFmtId="0" fontId="3" fillId="3" borderId="1" xfId="2" applyAlignment="1">
      <alignment horizontal="center" vertical="center"/>
    </xf>
    <xf numFmtId="0" fontId="0" fillId="0" borderId="3" xfId="0" applyBorder="1" applyAlignment="1">
      <alignment vertical="center"/>
    </xf>
    <xf numFmtId="0" fontId="0" fillId="0" borderId="4" xfId="0" applyBorder="1" applyAlignment="1">
      <alignment vertical="center"/>
    </xf>
    <xf numFmtId="0" fontId="0" fillId="0" borderId="7" xfId="0" applyBorder="1" applyAlignment="1">
      <alignment vertical="center"/>
    </xf>
    <xf numFmtId="0" fontId="0" fillId="0" borderId="5" xfId="0" applyBorder="1" applyAlignment="1">
      <alignment vertical="center"/>
    </xf>
    <xf numFmtId="0" fontId="0" fillId="2" borderId="6" xfId="0" applyFill="1" applyBorder="1" applyAlignment="1">
      <alignment vertical="center"/>
    </xf>
    <xf numFmtId="49" fontId="0" fillId="0" borderId="0" xfId="0" applyNumberFormat="1" applyAlignment="1">
      <alignment horizontal="left" vertical="center" wrapText="1"/>
    </xf>
    <xf numFmtId="0" fontId="2" fillId="0" borderId="0" xfId="0" applyFont="1" applyAlignment="1">
      <alignment horizontal="left"/>
    </xf>
    <xf numFmtId="49" fontId="0" fillId="0" borderId="0" xfId="0" applyNumberFormat="1" applyAlignment="1">
      <alignment vertical="center" wrapText="1"/>
    </xf>
    <xf numFmtId="49" fontId="0" fillId="0" borderId="0" xfId="0" applyNumberFormat="1" applyAlignment="1">
      <alignment horizontal="center" vertical="center" wrapText="1"/>
    </xf>
    <xf numFmtId="0" fontId="0" fillId="2" borderId="0" xfId="0" applyFill="1" applyAlignment="1">
      <alignment vertical="center"/>
    </xf>
    <xf numFmtId="165" fontId="4" fillId="4" borderId="8" xfId="0" applyNumberFormat="1" applyFont="1" applyFill="1" applyBorder="1"/>
    <xf numFmtId="165" fontId="4" fillId="4" borderId="9" xfId="0" applyNumberFormat="1" applyFont="1" applyFill="1" applyBorder="1"/>
    <xf numFmtId="164" fontId="0" fillId="0" borderId="0" xfId="0" applyNumberFormat="1" applyAlignment="1">
      <alignment vertical="center"/>
    </xf>
    <xf numFmtId="49" fontId="0" fillId="5" borderId="8" xfId="0" applyNumberFormat="1" applyFont="1" applyFill="1" applyBorder="1" applyAlignment="1">
      <alignment horizontal="left" vertical="center" wrapText="1"/>
    </xf>
    <xf numFmtId="49" fontId="0" fillId="0" borderId="8" xfId="0" applyNumberFormat="1" applyFont="1" applyBorder="1" applyAlignment="1">
      <alignment horizontal="left" vertical="center" wrapText="1"/>
    </xf>
    <xf numFmtId="2" fontId="0" fillId="5" borderId="8" xfId="0" applyNumberFormat="1" applyFont="1" applyFill="1" applyBorder="1" applyAlignment="1">
      <alignment horizontal="center" vertical="center"/>
    </xf>
    <xf numFmtId="2" fontId="0" fillId="0" borderId="8" xfId="0" applyNumberFormat="1" applyFont="1" applyBorder="1" applyAlignment="1">
      <alignment horizontal="center" vertical="center" wrapText="1"/>
    </xf>
    <xf numFmtId="2" fontId="0" fillId="0" borderId="0" xfId="0" applyNumberFormat="1" applyAlignment="1">
      <alignment horizontal="center" vertical="center"/>
    </xf>
    <xf numFmtId="165" fontId="4" fillId="4" borderId="0" xfId="0" applyNumberFormat="1" applyFont="1" applyFill="1" applyBorder="1"/>
    <xf numFmtId="0" fontId="0" fillId="2" borderId="9" xfId="0" applyFont="1" applyFill="1" applyBorder="1" applyAlignment="1">
      <alignment vertical="center"/>
    </xf>
    <xf numFmtId="2" fontId="0" fillId="0" borderId="8" xfId="0" applyNumberFormat="1" applyFont="1" applyBorder="1" applyAlignment="1">
      <alignment horizontal="center" vertical="center"/>
    </xf>
    <xf numFmtId="2" fontId="0" fillId="0" borderId="0" xfId="0" applyNumberFormat="1" applyAlignment="1">
      <alignment horizontal="center"/>
    </xf>
    <xf numFmtId="0" fontId="2" fillId="0" borderId="0" xfId="0" applyFont="1" applyAlignment="1">
      <alignment horizontal="left"/>
    </xf>
    <xf numFmtId="4" fontId="0" fillId="0" borderId="0" xfId="0" applyNumberFormat="1" applyAlignment="1">
      <alignment horizontal="center" vertical="center"/>
    </xf>
    <xf numFmtId="166" fontId="0" fillId="0" borderId="28" xfId="0" applyNumberFormat="1" applyBorder="1"/>
    <xf numFmtId="0" fontId="2" fillId="0" borderId="29" xfId="0" applyFont="1" applyBorder="1" applyAlignment="1">
      <alignment horizontal="center"/>
    </xf>
    <xf numFmtId="0" fontId="2" fillId="0" borderId="30" xfId="0" applyFont="1" applyBorder="1" applyAlignment="1">
      <alignment horizontal="center"/>
    </xf>
    <xf numFmtId="0" fontId="2" fillId="0" borderId="31" xfId="0" applyFont="1" applyBorder="1" applyAlignment="1">
      <alignment horizontal="center"/>
    </xf>
    <xf numFmtId="0" fontId="2" fillId="0" borderId="32" xfId="0" applyFont="1" applyBorder="1" applyAlignment="1">
      <alignment horizontal="center"/>
    </xf>
    <xf numFmtId="0" fontId="0" fillId="0" borderId="21" xfId="0" applyBorder="1"/>
    <xf numFmtId="166" fontId="0" fillId="8" borderId="22" xfId="0" applyNumberFormat="1" applyFill="1" applyBorder="1"/>
    <xf numFmtId="166" fontId="0" fillId="8" borderId="23" xfId="0" applyNumberFormat="1" applyFill="1" applyBorder="1"/>
    <xf numFmtId="166" fontId="0" fillId="8" borderId="24" xfId="0" applyNumberFormat="1" applyFill="1" applyBorder="1"/>
    <xf numFmtId="166" fontId="0" fillId="8" borderId="25" xfId="0" applyNumberFormat="1" applyFill="1" applyBorder="1"/>
    <xf numFmtId="166" fontId="0" fillId="9" borderId="25" xfId="0" applyNumberFormat="1" applyFill="1" applyBorder="1"/>
    <xf numFmtId="166" fontId="0" fillId="11" borderId="24" xfId="0" applyNumberFormat="1" applyFill="1" applyBorder="1"/>
    <xf numFmtId="166" fontId="0" fillId="11" borderId="25" xfId="0" applyNumberFormat="1" applyFill="1" applyBorder="1"/>
    <xf numFmtId="166" fontId="0" fillId="11" borderId="23" xfId="0" applyNumberFormat="1" applyFill="1" applyBorder="1"/>
    <xf numFmtId="0" fontId="0" fillId="0" borderId="0" xfId="0" applyNumberFormat="1"/>
    <xf numFmtId="167" fontId="0" fillId="0" borderId="0" xfId="0" applyNumberFormat="1"/>
    <xf numFmtId="0" fontId="0" fillId="0" borderId="0" xfId="0" pivotButton="1"/>
    <xf numFmtId="0" fontId="0" fillId="0" borderId="0" xfId="0" applyAlignment="1">
      <alignment horizontal="left"/>
    </xf>
    <xf numFmtId="0" fontId="0" fillId="0" borderId="0" xfId="0" applyAlignment="1">
      <alignment horizontal="left" indent="1"/>
    </xf>
    <xf numFmtId="3" fontId="0" fillId="0" borderId="0" xfId="0" applyNumberFormat="1" applyAlignment="1">
      <alignment horizontal="center"/>
    </xf>
    <xf numFmtId="166" fontId="0" fillId="12" borderId="25" xfId="0" applyNumberFormat="1" applyFill="1" applyBorder="1"/>
    <xf numFmtId="166" fontId="0" fillId="13" borderId="25" xfId="0" applyNumberFormat="1" applyFill="1" applyBorder="1"/>
    <xf numFmtId="166" fontId="0" fillId="12" borderId="34" xfId="0" applyNumberFormat="1" applyFill="1" applyBorder="1"/>
    <xf numFmtId="0" fontId="2" fillId="0" borderId="36" xfId="0" applyFont="1" applyBorder="1" applyAlignment="1">
      <alignment horizontal="center"/>
    </xf>
    <xf numFmtId="0" fontId="2" fillId="0" borderId="33" xfId="0" applyFont="1" applyFill="1" applyBorder="1" applyAlignment="1">
      <alignment horizontal="center"/>
    </xf>
    <xf numFmtId="166" fontId="0" fillId="10" borderId="25" xfId="0" applyNumberFormat="1" applyFill="1" applyBorder="1"/>
    <xf numFmtId="166" fontId="0" fillId="12" borderId="38" xfId="0" applyNumberFormat="1" applyFill="1" applyBorder="1"/>
    <xf numFmtId="0" fontId="2" fillId="0" borderId="40" xfId="0" applyFont="1" applyBorder="1" applyAlignment="1">
      <alignment horizontal="center"/>
    </xf>
    <xf numFmtId="0" fontId="2" fillId="0" borderId="37" xfId="0" applyFont="1" applyBorder="1" applyAlignment="1">
      <alignment horizontal="center"/>
    </xf>
    <xf numFmtId="166" fontId="0" fillId="7" borderId="39" xfId="0" applyNumberFormat="1" applyFill="1" applyBorder="1"/>
    <xf numFmtId="166" fontId="0" fillId="7" borderId="26" xfId="0" applyNumberFormat="1" applyFill="1" applyBorder="1"/>
    <xf numFmtId="166" fontId="0" fillId="14" borderId="26" xfId="0" applyNumberFormat="1" applyFill="1" applyBorder="1"/>
    <xf numFmtId="166" fontId="0" fillId="15" borderId="26" xfId="0" applyNumberFormat="1" applyFill="1" applyBorder="1"/>
    <xf numFmtId="166" fontId="0" fillId="15" borderId="27" xfId="0" applyNumberFormat="1" applyFill="1" applyBorder="1"/>
    <xf numFmtId="166" fontId="0" fillId="14" borderId="27" xfId="0" applyNumberFormat="1" applyFill="1" applyBorder="1"/>
    <xf numFmtId="166" fontId="0" fillId="7" borderId="35" xfId="0" applyNumberFormat="1" applyFill="1" applyBorder="1"/>
    <xf numFmtId="166" fontId="0" fillId="7" borderId="27" xfId="0" applyNumberFormat="1" applyFill="1" applyBorder="1"/>
    <xf numFmtId="1" fontId="0" fillId="5" borderId="8" xfId="0" applyNumberFormat="1" applyFont="1" applyFill="1" applyBorder="1" applyAlignment="1">
      <alignment horizontal="center" vertical="center" wrapText="1"/>
    </xf>
    <xf numFmtId="1" fontId="0" fillId="0" borderId="8" xfId="0" applyNumberFormat="1" applyFont="1" applyBorder="1" applyAlignment="1">
      <alignment horizontal="center" vertical="center"/>
    </xf>
    <xf numFmtId="1" fontId="0" fillId="5" borderId="8" xfId="0" applyNumberFormat="1" applyFont="1" applyFill="1" applyBorder="1" applyAlignment="1">
      <alignment horizontal="center" vertical="center"/>
    </xf>
    <xf numFmtId="0" fontId="6" fillId="0" borderId="0" xfId="3"/>
    <xf numFmtId="0" fontId="4" fillId="16" borderId="2" xfId="0" applyFont="1" applyFill="1" applyBorder="1" applyAlignment="1">
      <alignment horizontal="center" vertical="center" wrapText="1"/>
    </xf>
    <xf numFmtId="0" fontId="7" fillId="17" borderId="2" xfId="0" applyFont="1" applyFill="1" applyBorder="1" applyAlignment="1">
      <alignment horizontal="center" vertical="center" wrapText="1"/>
    </xf>
    <xf numFmtId="0" fontId="4" fillId="18" borderId="2" xfId="0" applyFont="1" applyFill="1" applyBorder="1" applyAlignment="1">
      <alignment horizontal="center" vertical="center" wrapText="1"/>
    </xf>
    <xf numFmtId="0" fontId="4" fillId="19" borderId="2" xfId="0" applyFont="1" applyFill="1" applyBorder="1" applyAlignment="1">
      <alignment horizontal="center" vertical="center" wrapText="1"/>
    </xf>
    <xf numFmtId="0" fontId="4" fillId="20" borderId="2" xfId="0" applyFont="1" applyFill="1" applyBorder="1" applyAlignment="1">
      <alignment horizontal="center" vertical="center" wrapText="1"/>
    </xf>
    <xf numFmtId="49" fontId="0" fillId="0" borderId="0" xfId="0" applyNumberFormat="1" applyAlignment="1">
      <alignment horizontal="left" vertical="center"/>
    </xf>
    <xf numFmtId="0" fontId="0" fillId="0" borderId="0" xfId="0" applyAlignment="1">
      <alignment horizontal="left" vertical="center"/>
    </xf>
    <xf numFmtId="164" fontId="0" fillId="2" borderId="0" xfId="0" applyNumberFormat="1" applyFill="1" applyAlignment="1">
      <alignment horizontal="center" vertical="center" wrapText="1"/>
    </xf>
    <xf numFmtId="0" fontId="0" fillId="2" borderId="0" xfId="0" applyNumberFormat="1" applyFill="1" applyAlignment="1">
      <alignment vertical="center"/>
    </xf>
    <xf numFmtId="0" fontId="0" fillId="0" borderId="0" xfId="0" applyFill="1" applyAlignment="1">
      <alignment horizontal="left" vertical="center"/>
    </xf>
    <xf numFmtId="164" fontId="0" fillId="0" borderId="0" xfId="0" applyNumberFormat="1" applyFill="1" applyAlignment="1">
      <alignment horizontal="left" vertical="center"/>
    </xf>
    <xf numFmtId="49" fontId="0" fillId="0" borderId="0" xfId="0" applyNumberFormat="1" applyFill="1" applyAlignment="1">
      <alignment horizontal="left" vertical="center" wrapText="1"/>
    </xf>
    <xf numFmtId="49" fontId="0" fillId="6" borderId="8" xfId="0" applyNumberFormat="1" applyFont="1" applyFill="1" applyBorder="1" applyAlignment="1">
      <alignment horizontal="left" vertical="center"/>
    </xf>
    <xf numFmtId="164" fontId="0" fillId="6" borderId="8" xfId="0" applyNumberFormat="1" applyFont="1" applyFill="1" applyBorder="1" applyAlignment="1">
      <alignment horizontal="left" vertical="center"/>
    </xf>
    <xf numFmtId="49" fontId="0" fillId="2" borderId="8" xfId="0" applyNumberFormat="1" applyFont="1" applyFill="1" applyBorder="1" applyAlignment="1">
      <alignment horizontal="left" vertical="center"/>
    </xf>
    <xf numFmtId="164" fontId="0" fillId="2" borderId="8" xfId="0" applyNumberFormat="1" applyFont="1" applyFill="1" applyBorder="1" applyAlignment="1">
      <alignment horizontal="left" vertical="center"/>
    </xf>
    <xf numFmtId="0" fontId="0" fillId="6" borderId="8" xfId="0" applyNumberFormat="1" applyFont="1" applyFill="1" applyBorder="1" applyAlignment="1">
      <alignment horizontal="left" vertical="center"/>
    </xf>
    <xf numFmtId="0" fontId="0" fillId="2" borderId="0" xfId="0" applyFill="1"/>
    <xf numFmtId="49" fontId="0" fillId="0" borderId="0" xfId="0" applyNumberFormat="1" applyFill="1" applyAlignment="1">
      <alignment horizontal="left" vertical="center"/>
    </xf>
    <xf numFmtId="0" fontId="4" fillId="21" borderId="2" xfId="0" applyFont="1" applyFill="1" applyBorder="1" applyAlignment="1">
      <alignment horizontal="center" vertical="center" wrapText="1"/>
    </xf>
    <xf numFmtId="0" fontId="0" fillId="2" borderId="0" xfId="0" applyFill="1" applyAlignment="1">
      <alignment horizontal="left" vertical="center"/>
    </xf>
    <xf numFmtId="0" fontId="8" fillId="0" borderId="2" xfId="0" applyFont="1" applyBorder="1"/>
    <xf numFmtId="0" fontId="4" fillId="22" borderId="2" xfId="0" applyFont="1" applyFill="1" applyBorder="1" applyAlignment="1">
      <alignment horizontal="center" vertical="center" wrapText="1"/>
    </xf>
    <xf numFmtId="0" fontId="7" fillId="23" borderId="2" xfId="0" applyFont="1" applyFill="1" applyBorder="1" applyAlignment="1">
      <alignment horizontal="center" vertical="center" wrapText="1"/>
    </xf>
    <xf numFmtId="165" fontId="2" fillId="0" borderId="0" xfId="0" applyNumberFormat="1" applyFont="1" applyAlignment="1">
      <alignment horizontal="center"/>
    </xf>
    <xf numFmtId="1" fontId="0" fillId="0" borderId="0" xfId="0" applyNumberFormat="1" applyAlignment="1">
      <alignment horizontal="center"/>
    </xf>
    <xf numFmtId="0" fontId="1" fillId="0" borderId="10" xfId="1" applyBorder="1" applyAlignment="1">
      <alignment horizontal="left" vertical="center" wrapText="1"/>
    </xf>
    <xf numFmtId="0" fontId="1" fillId="0" borderId="7" xfId="1" applyBorder="1" applyAlignment="1">
      <alignment horizontal="left" vertical="center"/>
    </xf>
    <xf numFmtId="0" fontId="2" fillId="0" borderId="0" xfId="0" applyFont="1" applyAlignment="1">
      <alignment horizontal="left"/>
    </xf>
    <xf numFmtId="0" fontId="3" fillId="3" borderId="11" xfId="2" applyBorder="1" applyAlignment="1">
      <alignment horizontal="left" vertical="center"/>
    </xf>
    <xf numFmtId="0" fontId="3" fillId="3" borderId="12" xfId="2" applyBorder="1" applyAlignment="1">
      <alignment horizontal="left" vertical="center"/>
    </xf>
    <xf numFmtId="0" fontId="3" fillId="3" borderId="13" xfId="2" applyBorder="1" applyAlignment="1">
      <alignment horizontal="left" vertical="center"/>
    </xf>
    <xf numFmtId="0" fontId="3" fillId="3" borderId="14" xfId="2" applyBorder="1" applyAlignment="1">
      <alignment horizontal="left" vertical="center"/>
    </xf>
    <xf numFmtId="0" fontId="3" fillId="3" borderId="0" xfId="2" applyBorder="1" applyAlignment="1">
      <alignment horizontal="left" vertical="center"/>
    </xf>
    <xf numFmtId="0" fontId="3" fillId="3" borderId="15" xfId="2" applyBorder="1" applyAlignment="1">
      <alignment horizontal="left" vertical="center"/>
    </xf>
    <xf numFmtId="0" fontId="3" fillId="3" borderId="16" xfId="2" applyBorder="1" applyAlignment="1">
      <alignment horizontal="left" vertical="center"/>
    </xf>
    <xf numFmtId="0" fontId="3" fillId="3" borderId="17" xfId="2" applyBorder="1" applyAlignment="1">
      <alignment horizontal="left" vertical="center"/>
    </xf>
    <xf numFmtId="0" fontId="3" fillId="3" borderId="18" xfId="2" applyBorder="1" applyAlignment="1">
      <alignment horizontal="left" vertical="center"/>
    </xf>
    <xf numFmtId="0" fontId="0" fillId="2" borderId="19" xfId="0" applyFill="1" applyBorder="1" applyAlignment="1">
      <alignment horizontal="left" vertical="center"/>
    </xf>
    <xf numFmtId="0" fontId="0" fillId="2" borderId="0" xfId="0" applyFill="1" applyBorder="1" applyAlignment="1">
      <alignment horizontal="left" vertical="center"/>
    </xf>
    <xf numFmtId="0" fontId="0" fillId="2" borderId="20" xfId="0" applyFill="1" applyBorder="1" applyAlignment="1">
      <alignment horizontal="left" vertical="center"/>
    </xf>
    <xf numFmtId="0" fontId="2" fillId="0" borderId="0" xfId="0" applyFont="1" applyAlignment="1">
      <alignment horizontal="center"/>
    </xf>
    <xf numFmtId="9" fontId="0" fillId="0" borderId="0" xfId="0" applyNumberFormat="1" applyAlignment="1">
      <alignment horizontal="center" vertical="center"/>
    </xf>
  </cellXfs>
  <cellStyles count="4">
    <cellStyle name="Eingabe" xfId="2" builtinId="20" customBuiltin="1"/>
    <cellStyle name="Erklärender Text" xfId="1" builtinId="53"/>
    <cellStyle name="Link" xfId="3" builtinId="8"/>
    <cellStyle name="Standard" xfId="0" builtinId="0"/>
  </cellStyles>
  <dxfs count="241">
    <dxf>
      <numFmt numFmtId="0" formatCode="General"/>
      <fill>
        <patternFill patternType="solid">
          <fgColor indexed="64"/>
          <bgColor theme="6"/>
        </patternFill>
      </fill>
      <alignment vertical="center" textRotation="0" indent="0" justifyLastLine="0" shrinkToFit="0" readingOrder="0"/>
    </dxf>
    <dxf>
      <numFmt numFmtId="30" formatCode="@"/>
      <alignment horizontal="left" vertical="center" textRotation="0" wrapText="1" indent="0" justifyLastLine="0" shrinkToFit="0" readingOrder="0"/>
    </dxf>
    <dxf>
      <numFmt numFmtId="164" formatCode="000"/>
      <fill>
        <patternFill patternType="solid">
          <fgColor indexed="64"/>
          <bgColor theme="6"/>
        </patternFill>
      </fill>
      <alignment horizontal="center" vertical="center" textRotation="0" wrapText="0" indent="0" justifyLastLine="0" shrinkToFit="0" readingOrder="0"/>
    </dxf>
    <dxf>
      <numFmt numFmtId="164" formatCode="000"/>
      <fill>
        <patternFill patternType="solid">
          <fgColor indexed="64"/>
          <bgColor theme="6"/>
        </patternFill>
      </fill>
      <alignment horizontal="center" vertical="center" textRotation="0" wrapText="1" indent="0" justifyLastLine="0" shrinkToFit="0" readingOrder="0"/>
    </dxf>
    <dxf>
      <numFmt numFmtId="30" formatCode="@"/>
      <fill>
        <patternFill patternType="none">
          <fgColor indexed="64"/>
          <bgColor auto="1"/>
        </patternFill>
      </fill>
      <alignment horizontal="left" vertical="center" textRotation="0" wrapText="1" indent="0" justifyLastLine="0" shrinkToFit="0" readingOrder="0"/>
    </dxf>
    <dxf>
      <numFmt numFmtId="164" formatCode="000"/>
      <fill>
        <patternFill patternType="solid">
          <fgColor indexed="64"/>
          <bgColor theme="6"/>
        </patternFill>
      </fill>
      <alignment horizontal="center" vertical="center" textRotation="0" wrapText="0" indent="0" justifyLastLine="0" shrinkToFit="0" readingOrder="0"/>
    </dxf>
    <dxf>
      <numFmt numFmtId="164" formatCode="000"/>
      <fill>
        <patternFill patternType="none">
          <fgColor indexed="64"/>
          <bgColor auto="1"/>
        </patternFill>
      </fill>
      <alignment horizontal="left" vertical="center" textRotation="0" wrapText="0" indent="0" justifyLastLine="0" shrinkToFit="0" readingOrder="0"/>
    </dxf>
    <dxf>
      <numFmt numFmtId="164" formatCode="000"/>
      <fill>
        <patternFill patternType="solid">
          <fgColor indexed="64"/>
          <bgColor theme="6"/>
        </patternFill>
      </fill>
      <alignment horizontal="center" vertical="center" textRotation="0" wrapText="0" indent="0" justifyLastLine="0" shrinkToFit="0" readingOrder="0"/>
    </dxf>
    <dxf>
      <alignment horizontal="left" vertical="center" textRotation="0" wrapText="0" indent="0" justifyLastLine="0" shrinkToFit="0" readingOrder="0"/>
    </dxf>
    <dxf>
      <alignment vertical="center" textRotation="0" indent="0" justifyLastLine="0" shrinkToFit="0" readingOrder="0"/>
    </dxf>
    <dxf>
      <numFmt numFmtId="165" formatCode="mmm\-yy"/>
    </dxf>
    <dxf>
      <fill>
        <patternFill patternType="solid">
          <fgColor indexed="64"/>
          <bgColor theme="6"/>
        </patternFill>
      </fill>
      <alignment vertical="center" textRotation="0" indent="0" justifyLastLine="0" shrinkToFit="0" readingOrder="0"/>
    </dxf>
    <dxf>
      <numFmt numFmtId="30" formatCode="@"/>
      <alignment horizontal="left" vertical="center" textRotation="0" wrapText="1" indent="0" justifyLastLine="0" shrinkToFit="0" readingOrder="0"/>
    </dxf>
    <dxf>
      <numFmt numFmtId="2" formatCode="0.00"/>
      <alignment horizontal="center" vertical="center" textRotation="0" wrapText="0" indent="0" justifyLastLine="0" shrinkToFit="0" readingOrder="0"/>
    </dxf>
    <dxf>
      <numFmt numFmtId="2" formatCode="0.00"/>
      <alignment horizontal="center" vertical="center" textRotation="0" wrapText="0" indent="0" justifyLastLine="0" shrinkToFit="0" readingOrder="0"/>
    </dxf>
    <dxf>
      <numFmt numFmtId="2" formatCode="0.00"/>
      <alignment horizontal="center" vertical="center" textRotation="0" wrapText="0" indent="0" justifyLastLine="0" shrinkToFit="0" readingOrder="0"/>
    </dxf>
    <dxf>
      <numFmt numFmtId="2" formatCode="0.00"/>
      <alignment horizontal="center" vertical="center" textRotation="0" wrapText="0" indent="0" justifyLastLine="0" shrinkToFit="0" readingOrder="0"/>
    </dxf>
    <dxf>
      <numFmt numFmtId="2" formatCode="0.00"/>
      <alignment horizontal="center" vertical="center" textRotation="0" wrapText="0" indent="0" justifyLastLine="0" shrinkToFit="0" readingOrder="0"/>
    </dxf>
    <dxf>
      <numFmt numFmtId="2" formatCode="0.00"/>
      <alignment horizontal="center" vertical="center" textRotation="0" wrapText="0" indent="0" justifyLastLine="0" shrinkToFit="0" readingOrder="0"/>
    </dxf>
    <dxf>
      <numFmt numFmtId="2" formatCode="0.00"/>
      <alignment horizontal="center" vertical="center" textRotation="0" wrapText="0" indent="0" justifyLastLine="0" shrinkToFit="0" readingOrder="0"/>
    </dxf>
    <dxf>
      <numFmt numFmtId="2" formatCode="0.00"/>
      <alignment horizontal="center" vertical="center" textRotation="0" wrapText="0" indent="0" justifyLastLine="0" shrinkToFit="0" readingOrder="0"/>
    </dxf>
    <dxf>
      <numFmt numFmtId="2" formatCode="0.00"/>
      <alignment horizontal="center" vertical="center" textRotation="0" wrapText="0" indent="0" justifyLastLine="0" shrinkToFit="0" readingOrder="0"/>
    </dxf>
    <dxf>
      <numFmt numFmtId="2" formatCode="0.00"/>
      <alignment horizontal="center" vertical="center" textRotation="0" wrapText="0" indent="0" justifyLastLine="0" shrinkToFit="0" readingOrder="0"/>
    </dxf>
    <dxf>
      <numFmt numFmtId="2" formatCode="0.00"/>
      <alignment horizontal="center" vertical="center" textRotation="0" wrapText="0" indent="0" justifyLastLine="0" shrinkToFit="0" readingOrder="0"/>
    </dxf>
    <dxf>
      <numFmt numFmtId="2" formatCode="0.00"/>
      <alignment horizontal="center" vertical="center" textRotation="0" wrapText="0" indent="0" justifyLastLine="0" shrinkToFit="0" readingOrder="0"/>
    </dxf>
    <dxf>
      <numFmt numFmtId="2" formatCode="0.00"/>
      <alignment horizontal="center" vertical="center" textRotation="0" wrapText="0" indent="0" justifyLastLine="0" shrinkToFit="0" readingOrder="0"/>
    </dxf>
    <dxf>
      <numFmt numFmtId="2" formatCode="0.00"/>
      <alignment horizontal="center" vertical="center" textRotation="0" wrapText="0" indent="0" justifyLastLine="0" shrinkToFit="0" readingOrder="0"/>
    </dxf>
    <dxf>
      <numFmt numFmtId="2" formatCode="0.00"/>
      <alignment horizontal="center" vertical="center" textRotation="0" wrapText="0" indent="0" justifyLastLine="0" shrinkToFit="0" readingOrder="0"/>
    </dxf>
    <dxf>
      <numFmt numFmtId="2" formatCode="0.00"/>
      <alignment horizontal="center" vertical="center" textRotation="0" wrapText="0" indent="0" justifyLastLine="0" shrinkToFit="0" readingOrder="0"/>
    </dxf>
    <dxf>
      <numFmt numFmtId="2" formatCode="0.00"/>
      <alignment horizontal="center" vertical="center" textRotation="0" wrapText="0" indent="0" justifyLastLine="0" shrinkToFit="0" readingOrder="0"/>
    </dxf>
    <dxf>
      <numFmt numFmtId="164" formatCode="000"/>
      <fill>
        <patternFill patternType="solid">
          <fgColor indexed="64"/>
          <bgColor theme="6"/>
        </patternFill>
      </fill>
      <alignment horizontal="center" vertical="center" textRotation="0" wrapText="0" indent="0" justifyLastLine="0" shrinkToFit="0" readingOrder="0"/>
    </dxf>
    <dxf>
      <alignment horizontal="left" vertical="center" textRotation="0" wrapText="0" indent="0" justifyLastLine="0" shrinkToFit="0" readingOrder="0"/>
    </dxf>
    <dxf>
      <alignment vertical="center" textRotation="0" indent="0" justifyLastLine="0" shrinkToFit="0" readingOrder="0"/>
    </dxf>
    <dxf>
      <numFmt numFmtId="165" formatCode="mmm\-yy"/>
    </dxf>
    <dxf>
      <fill>
        <patternFill patternType="solid">
          <fgColor indexed="64"/>
          <bgColor theme="6"/>
        </patternFill>
      </fill>
      <alignment vertical="center" textRotation="0" indent="0" justifyLastLine="0" shrinkToFit="0" readingOrder="0"/>
    </dxf>
    <dxf>
      <numFmt numFmtId="30" formatCode="@"/>
      <alignment horizontal="center" vertical="center" textRotation="0" wrapText="1" indent="0" justifyLastLine="0" shrinkToFit="0" readingOrder="0"/>
    </dxf>
    <dxf>
      <numFmt numFmtId="164" formatCode="000"/>
      <fill>
        <patternFill patternType="solid">
          <fgColor indexed="64"/>
          <bgColor theme="6"/>
        </patternFill>
      </fill>
      <alignment horizontal="center" vertical="center" textRotation="0" wrapText="0" indent="0" justifyLastLine="0" shrinkToFit="0" readingOrder="0"/>
    </dxf>
    <dxf>
      <numFmt numFmtId="30" formatCode="@"/>
      <alignment horizontal="left" vertical="center" textRotation="0" wrapText="0" indent="0" justifyLastLine="0" shrinkToFit="0" readingOrder="0"/>
    </dxf>
    <dxf>
      <alignment vertical="center" textRotation="0" indent="0" justifyLastLine="0" shrinkToFit="0" readingOrder="0"/>
    </dxf>
    <dxf>
      <numFmt numFmtId="165" formatCode="mmm\-yy"/>
    </dxf>
    <dxf>
      <numFmt numFmtId="30" formatCode="@"/>
      <alignment horizontal="left" vertical="center" textRotation="0" wrapText="1" indent="0" justifyLastLine="0" shrinkToFit="0" readingOrder="0"/>
    </dxf>
    <dxf>
      <numFmt numFmtId="13" formatCode="0%"/>
      <alignment horizontal="center" vertical="center" textRotation="0" wrapText="0" indent="0" justifyLastLine="0" shrinkToFit="0" readingOrder="0"/>
    </dxf>
    <dxf>
      <numFmt numFmtId="13" formatCode="0%"/>
      <alignment horizontal="center" vertical="center" textRotation="0" wrapText="0" indent="0" justifyLastLine="0" shrinkToFit="0" readingOrder="0"/>
    </dxf>
    <dxf>
      <numFmt numFmtId="13" formatCode="0%"/>
      <alignment horizontal="center" vertical="center" textRotation="0" wrapText="0" indent="0" justifyLastLine="0" shrinkToFit="0" readingOrder="0"/>
    </dxf>
    <dxf>
      <numFmt numFmtId="13" formatCode="0%"/>
      <alignment horizontal="center" vertical="center" textRotation="0" wrapText="0" indent="0" justifyLastLine="0" shrinkToFit="0" readingOrder="0"/>
    </dxf>
    <dxf>
      <numFmt numFmtId="13" formatCode="0%"/>
      <alignment horizontal="center" vertical="center" textRotation="0" wrapText="0" indent="0" justifyLastLine="0" shrinkToFit="0" readingOrder="0"/>
    </dxf>
    <dxf>
      <numFmt numFmtId="13" formatCode="0%"/>
      <alignment horizontal="center" vertical="center" textRotation="0" wrapText="0" indent="0" justifyLastLine="0" shrinkToFit="0" readingOrder="0"/>
    </dxf>
    <dxf>
      <numFmt numFmtId="13" formatCode="0%"/>
      <alignment horizontal="center" vertical="center" textRotation="0" wrapText="0" indent="0" justifyLastLine="0" shrinkToFit="0" readingOrder="0"/>
    </dxf>
    <dxf>
      <numFmt numFmtId="13" formatCode="0%"/>
      <alignment horizontal="center" vertical="center" textRotation="0" wrapText="0" indent="0" justifyLastLine="0" shrinkToFit="0" readingOrder="0"/>
    </dxf>
    <dxf>
      <numFmt numFmtId="13" formatCode="0%"/>
      <alignment horizontal="center" vertical="center" textRotation="0" wrapText="0" indent="0" justifyLastLine="0" shrinkToFit="0" readingOrder="0"/>
    </dxf>
    <dxf>
      <numFmt numFmtId="13" formatCode="0%"/>
      <alignment horizontal="center" vertical="center" textRotation="0" wrapText="0" indent="0" justifyLastLine="0" shrinkToFit="0" readingOrder="0"/>
    </dxf>
    <dxf>
      <numFmt numFmtId="13" formatCode="0%"/>
      <alignment horizontal="center" vertical="center" textRotation="0" wrapText="0" indent="0" justifyLastLine="0" shrinkToFit="0" readingOrder="0"/>
    </dxf>
    <dxf>
      <numFmt numFmtId="13" formatCode="0%"/>
      <alignment horizontal="center" vertical="center" textRotation="0" wrapText="0" indent="0" justifyLastLine="0" shrinkToFit="0" readingOrder="0"/>
    </dxf>
    <dxf>
      <numFmt numFmtId="13" formatCode="0%"/>
      <alignment horizontal="center" vertical="center" textRotation="0" wrapText="0" indent="0" justifyLastLine="0" shrinkToFit="0" readingOrder="0"/>
    </dxf>
    <dxf>
      <numFmt numFmtId="13" formatCode="0%"/>
      <alignment horizontal="center" vertical="center" textRotation="0" wrapText="0" indent="0" justifyLastLine="0" shrinkToFit="0" readingOrder="0"/>
    </dxf>
    <dxf>
      <numFmt numFmtId="13" formatCode="0%"/>
      <alignment horizontal="center" vertical="center" textRotation="0" wrapText="0" indent="0" justifyLastLine="0" shrinkToFit="0" readingOrder="0"/>
    </dxf>
    <dxf>
      <numFmt numFmtId="13" formatCode="0%"/>
      <alignment horizontal="center" vertical="center" textRotation="0" wrapText="0" indent="0" justifyLastLine="0" shrinkToFit="0" readingOrder="0"/>
    </dxf>
    <dxf>
      <numFmt numFmtId="13" formatCode="0%"/>
      <alignment horizontal="center" vertical="center" textRotation="0" wrapText="0" indent="0" justifyLastLine="0" shrinkToFit="0" readingOrder="0"/>
    </dxf>
    <dxf>
      <fill>
        <patternFill patternType="solid">
          <fgColor indexed="64"/>
          <bgColor theme="6"/>
        </patternFill>
      </fill>
      <alignment horizontal="left" vertical="center" textRotation="0" wrapText="0" indent="0" justifyLastLine="0" shrinkToFit="0" readingOrder="0"/>
    </dxf>
    <dxf>
      <alignment vertical="center" textRotation="0" indent="0" justifyLastLine="0" shrinkToFit="0" readingOrder="0"/>
    </dxf>
    <dxf>
      <numFmt numFmtId="165" formatCode="mmm\-yy"/>
    </dxf>
    <dxf>
      <numFmt numFmtId="0" formatCode="General"/>
      <fill>
        <patternFill patternType="solid">
          <fgColor indexed="64"/>
          <bgColor theme="6"/>
        </patternFill>
      </fill>
      <alignment vertical="center" textRotation="0" indent="0" justifyLastLine="0" shrinkToFit="0" readingOrder="0"/>
    </dxf>
    <dxf>
      <numFmt numFmtId="30" formatCode="@"/>
      <alignment horizontal="center" vertical="center" textRotation="0" wrapText="1" indent="0" justifyLastLine="0" shrinkToFit="0" readingOrder="0"/>
    </dxf>
    <dxf>
      <numFmt numFmtId="4" formatCode="#,##0.00"/>
      <alignment horizontal="center" vertical="center" textRotation="0" wrapText="0" indent="0" justifyLastLine="0" shrinkToFit="0" readingOrder="0"/>
    </dxf>
    <dxf>
      <numFmt numFmtId="4" formatCode="#,##0.00"/>
      <alignment horizontal="center" vertical="center" textRotation="0" wrapText="0" indent="0" justifyLastLine="0" shrinkToFit="0" readingOrder="0"/>
    </dxf>
    <dxf>
      <numFmt numFmtId="4" formatCode="#,##0.00"/>
      <alignment horizontal="center" vertical="center" textRotation="0" wrapText="0" indent="0" justifyLastLine="0" shrinkToFit="0" readingOrder="0"/>
    </dxf>
    <dxf>
      <numFmt numFmtId="4" formatCode="#,##0.00"/>
      <alignment horizontal="center" vertical="center" textRotation="0" wrapText="0" indent="0" justifyLastLine="0" shrinkToFit="0" readingOrder="0"/>
    </dxf>
    <dxf>
      <numFmt numFmtId="4" formatCode="#,##0.00"/>
      <alignment horizontal="center" vertical="center" textRotation="0" wrapText="0" indent="0" justifyLastLine="0" shrinkToFit="0" readingOrder="0"/>
    </dxf>
    <dxf>
      <numFmt numFmtId="4" formatCode="#,##0.00"/>
      <alignment horizontal="center" vertical="center" textRotation="0" wrapText="0" indent="0" justifyLastLine="0" shrinkToFit="0" readingOrder="0"/>
    </dxf>
    <dxf>
      <numFmt numFmtId="4" formatCode="#,##0.00"/>
      <alignment horizontal="center" vertical="center" textRotation="0" wrapText="0" indent="0" justifyLastLine="0" shrinkToFit="0" readingOrder="0"/>
    </dxf>
    <dxf>
      <numFmt numFmtId="4" formatCode="#,##0.00"/>
      <alignment horizontal="center" vertical="center" textRotation="0" wrapText="0" indent="0" justifyLastLine="0" shrinkToFit="0" readingOrder="0"/>
    </dxf>
    <dxf>
      <numFmt numFmtId="4" formatCode="#,##0.00"/>
      <alignment horizontal="center" vertical="center" textRotation="0" wrapText="0" indent="0" justifyLastLine="0" shrinkToFit="0" readingOrder="0"/>
    </dxf>
    <dxf>
      <numFmt numFmtId="4" formatCode="#,##0.00"/>
      <alignment horizontal="center" vertical="center" textRotation="0" wrapText="0" indent="0" justifyLastLine="0" shrinkToFit="0" readingOrder="0"/>
    </dxf>
    <dxf>
      <numFmt numFmtId="4" formatCode="#,##0.00"/>
      <alignment horizontal="center" vertical="center" textRotation="0" wrapText="0" indent="0" justifyLastLine="0" shrinkToFit="0" readingOrder="0"/>
    </dxf>
    <dxf>
      <numFmt numFmtId="4" formatCode="#,##0.00"/>
      <alignment horizontal="center" vertical="center" textRotation="0" wrapText="0" indent="0" justifyLastLine="0" shrinkToFit="0" readingOrder="0"/>
    </dxf>
    <dxf>
      <numFmt numFmtId="4" formatCode="#,##0.00"/>
      <alignment horizontal="center" vertical="center" textRotation="0" wrapText="0" indent="0" justifyLastLine="0" shrinkToFit="0" readingOrder="0"/>
    </dxf>
    <dxf>
      <numFmt numFmtId="4" formatCode="#,##0.00"/>
      <alignment horizontal="center" vertical="center" textRotation="0" wrapText="0" indent="0" justifyLastLine="0" shrinkToFit="0" readingOrder="0"/>
    </dxf>
    <dxf>
      <numFmt numFmtId="4" formatCode="#,##0.00"/>
      <alignment horizontal="center" vertical="center" textRotation="0" wrapText="0" indent="0" justifyLastLine="0" shrinkToFit="0" readingOrder="0"/>
    </dxf>
    <dxf>
      <numFmt numFmtId="4" formatCode="#,##0.00"/>
      <alignment horizontal="center" vertical="center" textRotation="0" wrapText="0" indent="0" justifyLastLine="0" shrinkToFit="0" readingOrder="0"/>
    </dxf>
    <dxf>
      <numFmt numFmtId="4" formatCode="#,##0.00"/>
      <alignment horizontal="center" vertical="center" textRotation="0" wrapText="0" indent="0" justifyLastLine="0" shrinkToFit="0" readingOrder="0"/>
    </dxf>
    <dxf>
      <numFmt numFmtId="4" formatCode="#,##0.00"/>
      <alignment horizontal="center" vertical="center" textRotation="0" wrapText="0" indent="0" justifyLastLine="0" shrinkToFit="0" readingOrder="0"/>
    </dxf>
    <dxf>
      <numFmt numFmtId="30" formatCode="@"/>
      <alignment horizontal="left" vertical="center" textRotation="0" wrapText="0" indent="0" justifyLastLine="0" shrinkToFit="0" readingOrder="0"/>
    </dxf>
    <dxf>
      <alignment vertical="center" textRotation="0" indent="0" justifyLastLine="0" shrinkToFit="0" readingOrder="0"/>
    </dxf>
    <dxf>
      <numFmt numFmtId="165" formatCode="mmm\-yy"/>
    </dxf>
    <dxf>
      <numFmt numFmtId="0" formatCode="General"/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numFmt numFmtId="0" formatCode="General"/>
      <fill>
        <patternFill patternType="solid">
          <fgColor indexed="64"/>
          <bgColor theme="6"/>
        </patternFill>
      </fill>
      <alignment vertical="center" textRotation="0" indent="0" justifyLastLine="0" shrinkToFit="0" readingOrder="0"/>
    </dxf>
    <dxf>
      <numFmt numFmtId="30" formatCode="@"/>
      <alignment horizontal="left" vertical="center" textRotation="0" wrapText="1" indent="0" justifyLastLine="0" shrinkToFit="0" readingOrder="0"/>
    </dxf>
    <dxf>
      <numFmt numFmtId="164" formatCode="000"/>
      <fill>
        <patternFill patternType="solid">
          <fgColor indexed="64"/>
          <bgColor theme="6"/>
        </patternFill>
      </fill>
      <alignment horizontal="center" vertical="center" textRotation="0" wrapText="0" indent="0" justifyLastLine="0" shrinkToFit="0" readingOrder="0"/>
    </dxf>
    <dxf>
      <numFmt numFmtId="164" formatCode="000"/>
      <fill>
        <patternFill patternType="solid">
          <fgColor indexed="64"/>
          <bgColor theme="6"/>
        </patternFill>
      </fill>
      <alignment horizontal="center" vertical="center" textRotation="0" wrapText="0" indent="0" justifyLastLine="0" shrinkToFit="0" readingOrder="0"/>
    </dxf>
    <dxf>
      <numFmt numFmtId="30" formatCode="@"/>
      <fill>
        <patternFill patternType="none">
          <fgColor indexed="64"/>
          <bgColor auto="1"/>
        </patternFill>
      </fill>
      <alignment horizontal="left" vertical="center" textRotation="0" wrapText="1" indent="0" justifyLastLine="0" shrinkToFit="0" readingOrder="0"/>
    </dxf>
    <dxf>
      <numFmt numFmtId="164" formatCode="000"/>
      <fill>
        <patternFill patternType="solid">
          <fgColor indexed="64"/>
          <bgColor theme="6"/>
        </patternFill>
      </fill>
      <alignment horizontal="center" vertical="center" textRotation="0" wrapText="0" indent="0" justifyLastLine="0" shrinkToFit="0" readingOrder="0"/>
    </dxf>
    <dxf>
      <numFmt numFmtId="30" formatCode="@"/>
      <fill>
        <patternFill patternType="none">
          <fgColor indexed="64"/>
          <bgColor auto="1"/>
        </patternFill>
      </fill>
      <alignment horizontal="left" vertical="center" textRotation="0" wrapText="0" indent="0" justifyLastLine="0" shrinkToFit="0" readingOrder="0"/>
    </dxf>
    <dxf>
      <numFmt numFmtId="164" formatCode="000"/>
      <fill>
        <patternFill patternType="solid">
          <fgColor indexed="64"/>
          <bgColor theme="6"/>
        </patternFill>
      </fill>
      <alignment horizontal="center" vertical="center" textRotation="0" wrapText="0" indent="0" justifyLastLine="0" shrinkToFit="0" readingOrder="0"/>
    </dxf>
    <dxf>
      <numFmt numFmtId="30" formatCode="@"/>
      <alignment horizontal="left" vertical="center" textRotation="0" wrapText="0" indent="0" justifyLastLine="0" shrinkToFit="0" readingOrder="0"/>
    </dxf>
    <dxf>
      <alignment vertical="center" textRotation="0" indent="0" justifyLastLine="0" shrinkToFit="0" readingOrder="0"/>
    </dxf>
    <dxf>
      <numFmt numFmtId="165" formatCode="mmm\-yy"/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numFmt numFmtId="0" formatCode="General"/>
      <fill>
        <patternFill patternType="solid">
          <fgColor indexed="64"/>
          <bgColor theme="6"/>
        </patternFill>
      </fill>
      <alignment vertical="center" textRotation="0" indent="0" justifyLastLine="0" shrinkToFit="0" readingOrder="0"/>
    </dxf>
    <dxf>
      <numFmt numFmtId="30" formatCode="@"/>
      <alignment horizontal="left" vertical="center" textRotation="0" wrapText="1" indent="0" justifyLastLine="0" shrinkToFit="0" readingOrder="0"/>
    </dxf>
    <dxf>
      <numFmt numFmtId="164" formatCode="000"/>
      <fill>
        <patternFill patternType="solid">
          <fgColor indexed="64"/>
          <bgColor theme="6"/>
        </patternFill>
      </fill>
      <alignment horizontal="center" vertical="center" textRotation="0" wrapText="0" indent="0" justifyLastLine="0" shrinkToFit="0" readingOrder="0"/>
    </dxf>
    <dxf>
      <numFmt numFmtId="164" formatCode="000"/>
      <fill>
        <patternFill patternType="solid">
          <fgColor indexed="64"/>
          <bgColor theme="6"/>
        </patternFill>
      </fill>
      <alignment horizontal="center" vertical="center" textRotation="0" wrapText="0" indent="0" justifyLastLine="0" shrinkToFit="0" readingOrder="0"/>
    </dxf>
    <dxf>
      <numFmt numFmtId="30" formatCode="@"/>
      <fill>
        <patternFill patternType="none">
          <fgColor indexed="64"/>
          <bgColor auto="1"/>
        </patternFill>
      </fill>
      <alignment horizontal="left" vertical="center" textRotation="0" wrapText="1" indent="0" justifyLastLine="0" shrinkToFit="0" readingOrder="0"/>
    </dxf>
    <dxf>
      <numFmt numFmtId="164" formatCode="000"/>
      <fill>
        <patternFill patternType="solid">
          <fgColor indexed="64"/>
          <bgColor theme="6"/>
        </patternFill>
      </fill>
      <alignment horizontal="center" vertical="center" textRotation="0" wrapText="0" indent="0" justifyLastLine="0" shrinkToFit="0" readingOrder="0"/>
    </dxf>
    <dxf>
      <numFmt numFmtId="164" formatCode="000"/>
      <fill>
        <patternFill patternType="none">
          <fgColor indexed="64"/>
          <bgColor auto="1"/>
        </patternFill>
      </fill>
      <alignment horizontal="left" vertical="center" textRotation="0" wrapText="0" indent="0" justifyLastLine="0" shrinkToFit="0" readingOrder="0"/>
    </dxf>
    <dxf>
      <numFmt numFmtId="164" formatCode="000"/>
      <fill>
        <patternFill patternType="solid">
          <fgColor indexed="64"/>
          <bgColor theme="6"/>
        </patternFill>
      </fill>
      <alignment horizontal="center" vertical="center" textRotation="0" wrapText="0" indent="0" justifyLastLine="0" shrinkToFit="0" readingOrder="0"/>
    </dxf>
    <dxf>
      <alignment horizontal="left" vertical="center" textRotation="0" wrapText="0" indent="0" justifyLastLine="0" shrinkToFit="0" readingOrder="0"/>
    </dxf>
    <dxf>
      <alignment vertical="center" textRotation="0" indent="0" justifyLastLine="0" shrinkToFit="0" readingOrder="0"/>
    </dxf>
    <dxf>
      <numFmt numFmtId="165" formatCode="mmm\-yy"/>
    </dxf>
    <dxf>
      <numFmt numFmtId="0" formatCode="General"/>
      <fill>
        <patternFill patternType="solid">
          <fgColor indexed="64"/>
          <bgColor theme="6"/>
        </patternFill>
      </fill>
      <alignment vertical="center" textRotation="0" indent="0" justifyLastLine="0" shrinkToFit="0" readingOrder="0"/>
    </dxf>
    <dxf>
      <numFmt numFmtId="30" formatCode="@"/>
      <alignment horizontal="center" vertical="center" textRotation="0" wrapText="1" indent="0" justifyLastLine="0" shrinkToFit="0" readingOrder="0"/>
    </dxf>
    <dxf>
      <numFmt numFmtId="164" formatCode="000"/>
      <fill>
        <patternFill patternType="solid">
          <fgColor indexed="64"/>
          <bgColor theme="6"/>
        </patternFill>
      </fill>
      <alignment horizontal="center" vertical="center" textRotation="0" wrapText="0" indent="0" justifyLastLine="0" shrinkToFit="0" readingOrder="0"/>
    </dxf>
    <dxf>
      <numFmt numFmtId="30" formatCode="@"/>
      <alignment horizontal="left" vertical="center" textRotation="0" wrapText="0" indent="0" justifyLastLine="0" shrinkToFit="0" readingOrder="0"/>
    </dxf>
    <dxf>
      <alignment vertical="center" textRotation="0" indent="0" justifyLastLine="0" shrinkToFit="0" readingOrder="0"/>
    </dxf>
    <dxf>
      <numFmt numFmtId="165" formatCode="mmm\-yy"/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numFmt numFmtId="0" formatCode="General"/>
      <fill>
        <patternFill patternType="solid">
          <fgColor indexed="64"/>
          <bgColor theme="6"/>
        </patternFill>
      </fill>
      <alignment vertical="center" textRotation="0" indent="0" justifyLastLine="0" shrinkToFit="0" readingOrder="0"/>
    </dxf>
    <dxf>
      <numFmt numFmtId="30" formatCode="@"/>
      <alignment horizontal="left" vertical="center" textRotation="0" wrapText="1" indent="0" justifyLastLine="0" shrinkToFit="0" readingOrder="0"/>
    </dxf>
    <dxf>
      <numFmt numFmtId="164" formatCode="000"/>
      <fill>
        <patternFill patternType="solid">
          <fgColor indexed="64"/>
          <bgColor theme="6"/>
        </patternFill>
      </fill>
      <alignment horizontal="center" vertical="center" textRotation="0" wrapText="0" indent="0" justifyLastLine="0" shrinkToFit="0" readingOrder="0"/>
    </dxf>
    <dxf>
      <numFmt numFmtId="164" formatCode="000"/>
      <fill>
        <patternFill patternType="solid">
          <fgColor indexed="64"/>
          <bgColor theme="6"/>
        </patternFill>
      </fill>
      <alignment horizontal="center" vertical="center" textRotation="0" wrapText="1" indent="0" justifyLastLine="0" shrinkToFit="0" readingOrder="0"/>
    </dxf>
    <dxf>
      <numFmt numFmtId="30" formatCode="@"/>
      <fill>
        <patternFill patternType="none">
          <fgColor indexed="64"/>
          <bgColor auto="1"/>
        </patternFill>
      </fill>
      <alignment horizontal="left" vertical="center" textRotation="0" wrapText="1" indent="0" justifyLastLine="0" shrinkToFit="0" readingOrder="0"/>
    </dxf>
    <dxf>
      <numFmt numFmtId="164" formatCode="000"/>
      <fill>
        <patternFill patternType="solid">
          <fgColor indexed="64"/>
          <bgColor theme="6"/>
        </patternFill>
      </fill>
      <alignment horizontal="center" vertical="center" textRotation="0" wrapText="0" indent="0" justifyLastLine="0" shrinkToFit="0" readingOrder="0"/>
    </dxf>
    <dxf>
      <numFmt numFmtId="164" formatCode="000"/>
      <fill>
        <patternFill patternType="none">
          <fgColor indexed="64"/>
          <bgColor auto="1"/>
        </patternFill>
      </fill>
      <alignment horizontal="left" vertical="center" textRotation="0" wrapText="0" indent="0" justifyLastLine="0" shrinkToFit="0" readingOrder="0"/>
    </dxf>
    <dxf>
      <numFmt numFmtId="164" formatCode="000"/>
      <fill>
        <patternFill patternType="solid">
          <fgColor indexed="64"/>
          <bgColor theme="6"/>
        </patternFill>
      </fill>
      <alignment horizontal="center" vertical="center" textRotation="0" wrapText="0" indent="0" justifyLastLine="0" shrinkToFit="0" readingOrder="0"/>
    </dxf>
    <dxf>
      <alignment horizontal="left" vertical="center" textRotation="0" wrapText="0" indent="0" justifyLastLine="0" shrinkToFit="0" readingOrder="0"/>
    </dxf>
    <dxf>
      <alignment vertical="center" textRotation="0" indent="0" justifyLastLine="0" shrinkToFit="0" readingOrder="0"/>
    </dxf>
    <dxf>
      <numFmt numFmtId="165" formatCode="mmm\-yy"/>
    </dxf>
    <dxf>
      <fill>
        <patternFill patternType="solid">
          <fgColor indexed="64"/>
          <bgColor theme="6"/>
        </patternFill>
      </fill>
      <alignment vertical="center" textRotation="0" indent="0" justifyLastLine="0" shrinkToFit="0" readingOrder="0"/>
    </dxf>
    <dxf>
      <numFmt numFmtId="30" formatCode="@"/>
      <alignment horizontal="left" vertical="center" textRotation="0" wrapText="1" indent="0" justifyLastLine="0" shrinkToFit="0" readingOrder="0"/>
    </dxf>
    <dxf>
      <numFmt numFmtId="2" formatCode="0.00"/>
      <alignment horizontal="center" vertical="center" textRotation="0" wrapText="0" indent="0" justifyLastLine="0" shrinkToFit="0" readingOrder="0"/>
    </dxf>
    <dxf>
      <numFmt numFmtId="2" formatCode="0.00"/>
      <alignment horizontal="center" vertical="center" textRotation="0" wrapText="0" indent="0" justifyLastLine="0" shrinkToFit="0" readingOrder="0"/>
    </dxf>
    <dxf>
      <numFmt numFmtId="2" formatCode="0.00"/>
      <alignment horizontal="center" vertical="center" textRotation="0" wrapText="0" indent="0" justifyLastLine="0" shrinkToFit="0" readingOrder="0"/>
    </dxf>
    <dxf>
      <numFmt numFmtId="2" formatCode="0.00"/>
      <alignment horizontal="center" vertical="center" textRotation="0" wrapText="0" indent="0" justifyLastLine="0" shrinkToFit="0" readingOrder="0"/>
    </dxf>
    <dxf>
      <numFmt numFmtId="2" formatCode="0.00"/>
      <alignment horizontal="center" vertical="center" textRotation="0" wrapText="0" indent="0" justifyLastLine="0" shrinkToFit="0" readingOrder="0"/>
    </dxf>
    <dxf>
      <numFmt numFmtId="2" formatCode="0.00"/>
      <alignment horizontal="center" vertical="center" textRotation="0" wrapText="0" indent="0" justifyLastLine="0" shrinkToFit="0" readingOrder="0"/>
    </dxf>
    <dxf>
      <numFmt numFmtId="2" formatCode="0.00"/>
      <alignment horizontal="center" vertical="center" textRotation="0" wrapText="0" indent="0" justifyLastLine="0" shrinkToFit="0" readingOrder="0"/>
    </dxf>
    <dxf>
      <numFmt numFmtId="2" formatCode="0.00"/>
      <alignment horizontal="center" vertical="center" textRotation="0" wrapText="0" indent="0" justifyLastLine="0" shrinkToFit="0" readingOrder="0"/>
    </dxf>
    <dxf>
      <numFmt numFmtId="2" formatCode="0.00"/>
      <alignment horizontal="center" vertical="center" textRotation="0" wrapText="0" indent="0" justifyLastLine="0" shrinkToFit="0" readingOrder="0"/>
    </dxf>
    <dxf>
      <numFmt numFmtId="2" formatCode="0.00"/>
      <alignment horizontal="center" vertical="center" textRotation="0" wrapText="0" indent="0" justifyLastLine="0" shrinkToFit="0" readingOrder="0"/>
    </dxf>
    <dxf>
      <numFmt numFmtId="2" formatCode="0.00"/>
      <alignment horizontal="center" vertical="center" textRotation="0" wrapText="0" indent="0" justifyLastLine="0" shrinkToFit="0" readingOrder="0"/>
    </dxf>
    <dxf>
      <numFmt numFmtId="2" formatCode="0.00"/>
      <alignment horizontal="center" vertical="center" textRotation="0" wrapText="0" indent="0" justifyLastLine="0" shrinkToFit="0" readingOrder="0"/>
    </dxf>
    <dxf>
      <numFmt numFmtId="2" formatCode="0.00"/>
      <alignment horizontal="center" vertical="center" textRotation="0" wrapText="0" indent="0" justifyLastLine="0" shrinkToFit="0" readingOrder="0"/>
    </dxf>
    <dxf>
      <numFmt numFmtId="2" formatCode="0.00"/>
      <alignment horizontal="center" vertical="center" textRotation="0" wrapText="0" indent="0" justifyLastLine="0" shrinkToFit="0" readingOrder="0"/>
    </dxf>
    <dxf>
      <numFmt numFmtId="2" formatCode="0.00"/>
      <alignment horizontal="center" vertical="center" textRotation="0" wrapText="0" indent="0" justifyLastLine="0" shrinkToFit="0" readingOrder="0"/>
    </dxf>
    <dxf>
      <numFmt numFmtId="2" formatCode="0.00"/>
      <alignment horizontal="center" vertical="center" textRotation="0" wrapText="0" indent="0" justifyLastLine="0" shrinkToFit="0" readingOrder="0"/>
    </dxf>
    <dxf>
      <numFmt numFmtId="2" formatCode="0.00"/>
      <alignment horizontal="center" vertical="center" textRotation="0" wrapText="0" indent="0" justifyLastLine="0" shrinkToFit="0" readingOrder="0"/>
    </dxf>
    <dxf>
      <numFmt numFmtId="164" formatCode="000"/>
      <fill>
        <patternFill patternType="solid">
          <fgColor indexed="64"/>
          <bgColor theme="6"/>
        </patternFill>
      </fill>
      <alignment horizontal="center" vertical="center" textRotation="0" wrapText="0" indent="0" justifyLastLine="0" shrinkToFit="0" readingOrder="0"/>
    </dxf>
    <dxf>
      <alignment horizontal="left" vertical="center" textRotation="0" wrapText="0" indent="0" justifyLastLine="0" shrinkToFit="0" readingOrder="0"/>
    </dxf>
    <dxf>
      <alignment vertical="center" textRotation="0" indent="0" justifyLastLine="0" shrinkToFit="0" readingOrder="0"/>
    </dxf>
    <dxf>
      <numFmt numFmtId="165" formatCode="mmm\-yy"/>
    </dxf>
    <dxf>
      <fill>
        <patternFill patternType="solid">
          <fgColor indexed="64"/>
          <bgColor theme="6"/>
        </patternFill>
      </fill>
      <alignment vertical="center" textRotation="0" indent="0" justifyLastLine="0" shrinkToFit="0" readingOrder="0"/>
    </dxf>
    <dxf>
      <numFmt numFmtId="30" formatCode="@"/>
      <alignment horizontal="center" vertical="center" textRotation="0" wrapText="1" indent="0" justifyLastLine="0" shrinkToFit="0" readingOrder="0"/>
    </dxf>
    <dxf>
      <numFmt numFmtId="164" formatCode="000"/>
      <fill>
        <patternFill patternType="solid">
          <fgColor indexed="64"/>
          <bgColor theme="6"/>
        </patternFill>
      </fill>
      <alignment horizontal="center" vertical="center" textRotation="0" wrapText="0" indent="0" justifyLastLine="0" shrinkToFit="0" readingOrder="0"/>
    </dxf>
    <dxf>
      <numFmt numFmtId="30" formatCode="@"/>
      <alignment horizontal="left" vertical="center" textRotation="0" wrapText="0" indent="0" justifyLastLine="0" shrinkToFit="0" readingOrder="0"/>
    </dxf>
    <dxf>
      <alignment vertical="center" textRotation="0" indent="0" justifyLastLine="0" shrinkToFit="0" readingOrder="0"/>
    </dxf>
    <dxf>
      <numFmt numFmtId="165" formatCode="mmm\-yy"/>
    </dxf>
    <dxf>
      <fill>
        <patternFill patternType="solid">
          <fgColor indexed="64"/>
          <bgColor theme="6"/>
        </patternFill>
      </fill>
      <alignment vertical="center" textRotation="0" indent="0" justifyLastLine="0" shrinkToFit="0" readingOrder="0"/>
    </dxf>
    <dxf>
      <numFmt numFmtId="30" formatCode="@"/>
      <alignment horizontal="left" vertical="center" textRotation="0" wrapText="1" indent="0" justifyLastLine="0" shrinkToFit="0" readingOrder="0"/>
    </dxf>
    <dxf>
      <numFmt numFmtId="2" formatCode="0.00"/>
      <alignment horizontal="center" vertical="center" textRotation="0" wrapText="0" indent="0" justifyLastLine="0" shrinkToFit="0" readingOrder="0"/>
    </dxf>
    <dxf>
      <numFmt numFmtId="2" formatCode="0.00"/>
      <alignment horizontal="center" vertical="center" textRotation="0" wrapText="0" indent="0" justifyLastLine="0" shrinkToFit="0" readingOrder="0"/>
    </dxf>
    <dxf>
      <numFmt numFmtId="2" formatCode="0.00"/>
      <alignment horizontal="center" vertical="center" textRotation="0" wrapText="0" indent="0" justifyLastLine="0" shrinkToFit="0" readingOrder="0"/>
    </dxf>
    <dxf>
      <numFmt numFmtId="2" formatCode="0.00"/>
      <alignment horizontal="center" vertical="center" textRotation="0" wrapText="0" indent="0" justifyLastLine="0" shrinkToFit="0" readingOrder="0"/>
    </dxf>
    <dxf>
      <numFmt numFmtId="2" formatCode="0.00"/>
      <alignment horizontal="center" vertical="center" textRotation="0" wrapText="0" indent="0" justifyLastLine="0" shrinkToFit="0" readingOrder="0"/>
    </dxf>
    <dxf>
      <numFmt numFmtId="2" formatCode="0.00"/>
      <alignment horizontal="center" vertical="center" textRotation="0" wrapText="0" indent="0" justifyLastLine="0" shrinkToFit="0" readingOrder="0"/>
    </dxf>
    <dxf>
      <numFmt numFmtId="2" formatCode="0.00"/>
      <alignment horizontal="center" vertical="center" textRotation="0" wrapText="0" indent="0" justifyLastLine="0" shrinkToFit="0" readingOrder="0"/>
    </dxf>
    <dxf>
      <numFmt numFmtId="2" formatCode="0.00"/>
      <alignment horizontal="center" vertical="center" textRotation="0" wrapText="0" indent="0" justifyLastLine="0" shrinkToFit="0" readingOrder="0"/>
    </dxf>
    <dxf>
      <numFmt numFmtId="2" formatCode="0.00"/>
      <alignment horizontal="center" vertical="center" textRotation="0" wrapText="0" indent="0" justifyLastLine="0" shrinkToFit="0" readingOrder="0"/>
    </dxf>
    <dxf>
      <numFmt numFmtId="2" formatCode="0.00"/>
      <alignment horizontal="center" vertical="center" textRotation="0" wrapText="0" indent="0" justifyLastLine="0" shrinkToFit="0" readingOrder="0"/>
    </dxf>
    <dxf>
      <numFmt numFmtId="2" formatCode="0.00"/>
      <alignment horizontal="center" vertical="center" textRotation="0" wrapText="0" indent="0" justifyLastLine="0" shrinkToFit="0" readingOrder="0"/>
    </dxf>
    <dxf>
      <numFmt numFmtId="2" formatCode="0.00"/>
      <alignment horizontal="center" vertical="center" textRotation="0" wrapText="0" indent="0" justifyLastLine="0" shrinkToFit="0" readingOrder="0"/>
    </dxf>
    <dxf>
      <numFmt numFmtId="2" formatCode="0.00"/>
      <alignment horizontal="center" vertical="center" textRotation="0" wrapText="0" indent="0" justifyLastLine="0" shrinkToFit="0" readingOrder="0"/>
    </dxf>
    <dxf>
      <numFmt numFmtId="2" formatCode="0.00"/>
      <alignment horizontal="center" vertical="center" textRotation="0" wrapText="0" indent="0" justifyLastLine="0" shrinkToFit="0" readingOrder="0"/>
    </dxf>
    <dxf>
      <numFmt numFmtId="2" formatCode="0.00"/>
      <alignment horizontal="center" vertical="center" textRotation="0" wrapText="0" indent="0" justifyLastLine="0" shrinkToFit="0" readingOrder="0"/>
    </dxf>
    <dxf>
      <numFmt numFmtId="2" formatCode="0.00"/>
      <alignment horizontal="center" vertical="center" textRotation="0" wrapText="0" indent="0" justifyLastLine="0" shrinkToFit="0" readingOrder="0"/>
    </dxf>
    <dxf>
      <numFmt numFmtId="2" formatCode="0.00"/>
      <alignment horizontal="center" vertical="center" textRotation="0" wrapText="0" indent="0" justifyLastLine="0" shrinkToFit="0" readingOrder="0"/>
    </dxf>
    <dxf>
      <numFmt numFmtId="164" formatCode="000"/>
      <fill>
        <patternFill patternType="solid">
          <fgColor indexed="64"/>
          <bgColor theme="6"/>
        </patternFill>
      </fill>
      <alignment horizontal="center" vertical="center" textRotation="0" wrapText="0" indent="0" justifyLastLine="0" shrinkToFit="0" readingOrder="0"/>
    </dxf>
    <dxf>
      <alignment horizontal="left" vertical="center" textRotation="0" wrapText="0" indent="0" justifyLastLine="0" shrinkToFit="0" readingOrder="0"/>
    </dxf>
    <dxf>
      <alignment vertical="center" textRotation="0" indent="0" justifyLastLine="0" shrinkToFit="0" readingOrder="0"/>
    </dxf>
    <dxf>
      <numFmt numFmtId="165" formatCode="mmm\-yy"/>
    </dxf>
    <dxf>
      <fill>
        <patternFill patternType="solid">
          <fgColor indexed="64"/>
          <bgColor theme="6"/>
        </patternFill>
      </fill>
      <alignment vertical="center" textRotation="0" indent="0" justifyLastLine="0" shrinkToFit="0" readingOrder="0"/>
    </dxf>
    <dxf>
      <numFmt numFmtId="30" formatCode="@"/>
      <alignment horizontal="left" vertical="center" textRotation="0" wrapText="1" indent="0" justifyLastLine="0" shrinkToFit="0" readingOrder="0"/>
    </dxf>
    <dxf>
      <numFmt numFmtId="2" formatCode="0.00"/>
      <alignment horizontal="center" vertical="center" textRotation="0" wrapText="0" indent="0" justifyLastLine="0" shrinkToFit="0" readingOrder="0"/>
    </dxf>
    <dxf>
      <numFmt numFmtId="2" formatCode="0.00"/>
      <alignment horizontal="center" vertical="center" textRotation="0" wrapText="0" indent="0" justifyLastLine="0" shrinkToFit="0" readingOrder="0"/>
    </dxf>
    <dxf>
      <numFmt numFmtId="2" formatCode="0.00"/>
      <alignment horizontal="center" vertical="center" textRotation="0" wrapText="0" indent="0" justifyLastLine="0" shrinkToFit="0" readingOrder="0"/>
    </dxf>
    <dxf>
      <numFmt numFmtId="2" formatCode="0.00"/>
      <alignment horizontal="center" vertical="center" textRotation="0" wrapText="0" indent="0" justifyLastLine="0" shrinkToFit="0" readingOrder="0"/>
    </dxf>
    <dxf>
      <numFmt numFmtId="2" formatCode="0.00"/>
      <alignment horizontal="center" vertical="center" textRotation="0" wrapText="0" indent="0" justifyLastLine="0" shrinkToFit="0" readingOrder="0"/>
    </dxf>
    <dxf>
      <numFmt numFmtId="2" formatCode="0.00"/>
      <alignment horizontal="center" vertical="center" textRotation="0" wrapText="0" indent="0" justifyLastLine="0" shrinkToFit="0" readingOrder="0"/>
    </dxf>
    <dxf>
      <numFmt numFmtId="2" formatCode="0.00"/>
      <alignment horizontal="center" vertical="center" textRotation="0" wrapText="0" indent="0" justifyLastLine="0" shrinkToFit="0" readingOrder="0"/>
    </dxf>
    <dxf>
      <numFmt numFmtId="2" formatCode="0.00"/>
      <alignment horizontal="center" vertical="center" textRotation="0" wrapText="0" indent="0" justifyLastLine="0" shrinkToFit="0" readingOrder="0"/>
    </dxf>
    <dxf>
      <numFmt numFmtId="2" formatCode="0.00"/>
      <alignment horizontal="center" vertical="center" textRotation="0" wrapText="0" indent="0" justifyLastLine="0" shrinkToFit="0" readingOrder="0"/>
    </dxf>
    <dxf>
      <numFmt numFmtId="2" formatCode="0.00"/>
      <alignment horizontal="center" vertical="center" textRotation="0" wrapText="0" indent="0" justifyLastLine="0" shrinkToFit="0" readingOrder="0"/>
    </dxf>
    <dxf>
      <numFmt numFmtId="2" formatCode="0.00"/>
      <alignment horizontal="center" vertical="center" textRotation="0" wrapText="0" indent="0" justifyLastLine="0" shrinkToFit="0" readingOrder="0"/>
    </dxf>
    <dxf>
      <numFmt numFmtId="2" formatCode="0.00"/>
      <alignment horizontal="center" vertical="center" textRotation="0" wrapText="0" indent="0" justifyLastLine="0" shrinkToFit="0" readingOrder="0"/>
    </dxf>
    <dxf>
      <numFmt numFmtId="2" formatCode="0.00"/>
      <alignment horizontal="center" vertical="center" textRotation="0" wrapText="0" indent="0" justifyLastLine="0" shrinkToFit="0" readingOrder="0"/>
    </dxf>
    <dxf>
      <numFmt numFmtId="2" formatCode="0.00"/>
      <alignment horizontal="center" vertical="center" textRotation="0" wrapText="0" indent="0" justifyLastLine="0" shrinkToFit="0" readingOrder="0"/>
    </dxf>
    <dxf>
      <numFmt numFmtId="2" formatCode="0.00"/>
      <alignment horizontal="center" vertical="center" textRotation="0" wrapText="0" indent="0" justifyLastLine="0" shrinkToFit="0" readingOrder="0"/>
    </dxf>
    <dxf>
      <numFmt numFmtId="2" formatCode="0.00"/>
      <alignment horizontal="center" vertical="center" textRotation="0" wrapText="0" indent="0" justifyLastLine="0" shrinkToFit="0" readingOrder="0"/>
    </dxf>
    <dxf>
      <numFmt numFmtId="2" formatCode="0.00"/>
      <alignment horizontal="center" vertical="center" textRotation="0" wrapText="0" indent="0" justifyLastLine="0" shrinkToFit="0" readingOrder="0"/>
    </dxf>
    <dxf>
      <numFmt numFmtId="164" formatCode="000"/>
      <fill>
        <patternFill patternType="solid">
          <fgColor indexed="64"/>
          <bgColor theme="6"/>
        </patternFill>
      </fill>
      <alignment horizontal="center" vertical="center" textRotation="0" wrapText="0" indent="0" justifyLastLine="0" shrinkToFit="0" readingOrder="0"/>
    </dxf>
    <dxf>
      <alignment horizontal="left" vertical="center" textRotation="0" wrapText="0" indent="0" justifyLastLine="0" shrinkToFit="0" readingOrder="0"/>
    </dxf>
    <dxf>
      <alignment vertical="center" textRotation="0" indent="0" justifyLastLine="0" shrinkToFit="0" readingOrder="0"/>
    </dxf>
    <dxf>
      <numFmt numFmtId="165" formatCode="mmm\-yy"/>
    </dxf>
    <dxf>
      <fill>
        <patternFill patternType="solid">
          <fgColor indexed="64"/>
          <bgColor theme="6"/>
        </patternFill>
      </fill>
      <alignment vertical="center" textRotation="0" wrapText="0" indent="0" justifyLastLine="0" shrinkToFit="0" readingOrder="0"/>
    </dxf>
    <dxf>
      <numFmt numFmtId="30" formatCode="@"/>
      <alignment horizontal="general" vertical="center" textRotation="0" wrapText="1" indent="0" justifyLastLine="0" shrinkToFit="0" readingOrder="0"/>
    </dxf>
    <dxf>
      <numFmt numFmtId="164" formatCode="000"/>
      <alignment vertical="center" textRotation="0" wrapText="0" indent="0" justifyLastLine="0" shrinkToFit="0" readingOrder="0"/>
    </dxf>
    <dxf>
      <numFmt numFmtId="164" formatCode="000"/>
      <fill>
        <patternFill patternType="solid">
          <fgColor indexed="64"/>
          <bgColor theme="6"/>
        </patternFill>
      </fill>
      <alignment horizontal="center" vertical="center" textRotation="0" wrapText="0" indent="0" justifyLastLine="0" shrinkToFit="0" readingOrder="0"/>
    </dxf>
    <dxf>
      <numFmt numFmtId="30" formatCode="@"/>
      <alignment horizontal="left" vertical="center" textRotation="0" wrapText="0" indent="0" justifyLastLine="0" shrinkToFit="0" readingOrder="0"/>
    </dxf>
    <dxf>
      <alignment vertical="center" textRotation="0" wrapText="0" indent="0" justifyLastLine="0" shrinkToFit="0" readingOrder="0"/>
    </dxf>
    <dxf>
      <fill>
        <patternFill>
          <bgColor rgb="FFFF0000"/>
        </patternFill>
      </fill>
    </dxf>
    <dxf>
      <numFmt numFmtId="30" formatCode="@"/>
      <alignment horizontal="left" vertical="center" textRotation="0" wrapText="1" indent="0" justifyLastLine="0" shrinkToFit="0" readingOrder="0"/>
    </dxf>
    <dxf>
      <numFmt numFmtId="2" formatCode="0.00"/>
      <alignment horizontal="center" vertical="center" textRotation="0" wrapText="0" indent="0" justifyLastLine="0" shrinkToFit="0" readingOrder="0"/>
    </dxf>
    <dxf>
      <numFmt numFmtId="2" formatCode="0.00"/>
      <alignment horizontal="center" vertical="center" textRotation="0" wrapText="0" indent="0" justifyLastLine="0" shrinkToFit="0" readingOrder="0"/>
    </dxf>
    <dxf>
      <numFmt numFmtId="2" formatCode="0.00"/>
      <alignment horizontal="center" vertical="center" textRotation="0" wrapText="0" indent="0" justifyLastLine="0" shrinkToFit="0" readingOrder="0"/>
    </dxf>
    <dxf>
      <numFmt numFmtId="2" formatCode="0.00"/>
      <alignment horizontal="center" vertical="center" textRotation="0" wrapText="0" indent="0" justifyLastLine="0" shrinkToFit="0" readingOrder="0"/>
    </dxf>
    <dxf>
      <numFmt numFmtId="2" formatCode="0.00"/>
      <alignment horizontal="center" vertical="center" textRotation="0" wrapText="0" indent="0" justifyLastLine="0" shrinkToFit="0" readingOrder="0"/>
    </dxf>
    <dxf>
      <numFmt numFmtId="2" formatCode="0.00"/>
      <alignment horizontal="center" vertical="center" textRotation="0" wrapText="0" indent="0" justifyLastLine="0" shrinkToFit="0" readingOrder="0"/>
    </dxf>
    <dxf>
      <numFmt numFmtId="2" formatCode="0.00"/>
      <alignment horizontal="center" vertical="center" textRotation="0" wrapText="0" indent="0" justifyLastLine="0" shrinkToFit="0" readingOrder="0"/>
    </dxf>
    <dxf>
      <numFmt numFmtId="2" formatCode="0.00"/>
      <alignment horizontal="center" vertical="center" textRotation="0" wrapText="0" indent="0" justifyLastLine="0" shrinkToFit="0" readingOrder="0"/>
    </dxf>
    <dxf>
      <numFmt numFmtId="2" formatCode="0.00"/>
      <alignment horizontal="center" vertical="center" textRotation="0" wrapText="0" indent="0" justifyLastLine="0" shrinkToFit="0" readingOrder="0"/>
    </dxf>
    <dxf>
      <numFmt numFmtId="2" formatCode="0.00"/>
      <alignment horizontal="center" vertical="center" textRotation="0" wrapText="0" indent="0" justifyLastLine="0" shrinkToFit="0" readingOrder="0"/>
    </dxf>
    <dxf>
      <numFmt numFmtId="2" formatCode="0.00"/>
      <alignment horizontal="center" vertical="center" textRotation="0" wrapText="0" indent="0" justifyLastLine="0" shrinkToFit="0" readingOrder="0"/>
    </dxf>
    <dxf>
      <numFmt numFmtId="2" formatCode="0.00"/>
      <alignment horizontal="center" vertical="center" textRotation="0" wrapText="0" indent="0" justifyLastLine="0" shrinkToFit="0" readingOrder="0"/>
    </dxf>
    <dxf>
      <numFmt numFmtId="2" formatCode="0.00"/>
      <alignment horizontal="center" vertical="center" textRotation="0" wrapText="0" indent="0" justifyLastLine="0" shrinkToFit="0" readingOrder="0"/>
    </dxf>
    <dxf>
      <numFmt numFmtId="2" formatCode="0.00"/>
      <alignment horizontal="center" vertical="center" textRotation="0" wrapText="0" indent="0" justifyLastLine="0" shrinkToFit="0" readingOrder="0"/>
    </dxf>
    <dxf>
      <numFmt numFmtId="2" formatCode="0.00"/>
      <alignment horizontal="center" vertical="center" textRotation="0" wrapText="0" indent="0" justifyLastLine="0" shrinkToFit="0" readingOrder="0"/>
    </dxf>
    <dxf>
      <numFmt numFmtId="2" formatCode="0.00"/>
      <alignment horizontal="center" vertical="center" textRotation="0" wrapText="0" indent="0" justifyLastLine="0" shrinkToFit="0" readingOrder="0"/>
    </dxf>
    <dxf>
      <numFmt numFmtId="2" formatCode="0.00"/>
      <alignment horizontal="center" vertical="center" textRotation="0" wrapText="0" indent="0" justifyLastLine="0" shrinkToFit="0" readingOrder="0"/>
    </dxf>
    <dxf>
      <fill>
        <patternFill patternType="solid">
          <fgColor indexed="64"/>
          <bgColor theme="6"/>
        </patternFill>
      </fill>
      <alignment horizontal="left" vertical="center" textRotation="0" wrapText="0" indent="0" justifyLastLine="0" shrinkToFit="0" readingOrder="0"/>
    </dxf>
    <dxf>
      <alignment vertical="center" textRotation="0" indent="0" justifyLastLine="0" shrinkToFit="0" readingOrder="0"/>
    </dxf>
    <dxf>
      <numFmt numFmtId="165" formatCode="mmm\-yy"/>
    </dxf>
    <dxf>
      <alignment vertical="center" textRotation="0" wrapText="0" indent="0" justifyLastLine="0" shrinkToFit="0" readingOrder="0"/>
      <border diagonalUp="0" diagonalDown="0" outline="0">
        <left/>
        <right style="thin">
          <color theme="0"/>
        </right>
        <top style="thin">
          <color theme="0"/>
        </top>
        <bottom style="thin">
          <color theme="0"/>
        </bottom>
      </border>
    </dxf>
    <dxf>
      <fill>
        <patternFill patternType="solid">
          <fgColor indexed="64"/>
          <bgColor theme="6"/>
        </patternFill>
      </fill>
      <alignment vertical="center" textRotation="0" wrapText="0" indent="0" justifyLastLine="0" shrinkToFit="0" readingOrder="0"/>
      <border diagonalUp="0" diagonalDown="0" outline="0">
        <left style="thin">
          <color theme="0"/>
        </left>
        <right/>
        <top style="thin">
          <color theme="0"/>
        </top>
        <bottom/>
      </border>
    </dxf>
    <dxf>
      <alignment vertical="center" textRotation="0" wrapText="0" indent="0" justifyLastLine="0" shrinkToFit="0" readingOrder="0"/>
      <border diagonalUp="0" diagonalDown="0" outline="0">
        <left/>
        <right style="thin">
          <color theme="0"/>
        </right>
        <top style="thin">
          <color theme="0"/>
        </top>
        <bottom/>
      </border>
    </dxf>
    <dxf>
      <border outline="0">
        <top style="thin">
          <color theme="0"/>
        </top>
      </border>
    </dxf>
    <dxf>
      <border outline="0"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</border>
    </dxf>
    <dxf>
      <alignment vertical="center" textRotation="0" wrapText="0" indent="0" justifyLastLine="0" shrinkToFit="0" readingOrder="0"/>
    </dxf>
    <dxf>
      <border outline="0">
        <bottom style="thin">
          <color theme="0"/>
        </bottom>
      </border>
    </dxf>
    <dxf>
      <alignment vertical="center" textRotation="0" wrapText="0" indent="0" justifyLastLine="0" shrinkToFit="0" readingOrder="0"/>
      <border diagonalUp="0" diagonalDown="0" outline="0">
        <left style="thin">
          <color theme="0"/>
        </left>
        <right style="thin">
          <color theme="0"/>
        </right>
        <top/>
        <bottom/>
      </border>
    </dxf>
  </dxfs>
  <tableStyles count="0" defaultTableStyle="TableStyleMedium2" defaultPivotStyle="PivotStyleLight16"/>
  <colors>
    <mruColors>
      <color rgb="FFFFB9B9"/>
      <color rgb="FFC7A1E3"/>
      <color rgb="FFFF797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" Type="http://schemas.openxmlformats.org/officeDocument/2006/relationships/worksheet" Target="worksheets/sheet3.xml"/><Relationship Id="rId21" Type="http://schemas.openxmlformats.org/officeDocument/2006/relationships/worksheet" Target="worksheets/sheet21.xml"/><Relationship Id="rId34" Type="http://schemas.openxmlformats.org/officeDocument/2006/relationships/customXml" Target="../customXml/item1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calcChain" Target="calcChain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pivotCacheDefinition" Target="pivotCache/pivotCacheDefinition1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externalLink" Target="externalLinks/externalLink1.xml"/><Relationship Id="rId30" Type="http://schemas.openxmlformats.org/officeDocument/2006/relationships/connections" Target="connections.xml"/><Relationship Id="rId8" Type="http://schemas.openxmlformats.org/officeDocument/2006/relationships/worksheet" Target="worksheets/sheet8.xml"/></Relationships>
</file>

<file path=xl/drawings/_rels/drawing1.xml.rels><?xml version="1.0" encoding="UTF-8" standalone="yes"?>
<Relationships xmlns="http://schemas.openxmlformats.org/package/2006/relationships"><Relationship Id="rId8" Type="http://schemas.openxmlformats.org/officeDocument/2006/relationships/hyperlink" Target="#'Piped Importers &gt; Connections'!A1"/><Relationship Id="rId13" Type="http://schemas.openxmlformats.org/officeDocument/2006/relationships/hyperlink" Target="#'Connections &gt; Index'!A1"/><Relationship Id="rId18" Type="http://schemas.openxmlformats.org/officeDocument/2006/relationships/hyperlink" Target="#'LNG &gt; Other Demand'!A1"/><Relationship Id="rId3" Type="http://schemas.openxmlformats.org/officeDocument/2006/relationships/hyperlink" Target="#'Regions &gt; Index'!A1"/><Relationship Id="rId7" Type="http://schemas.openxmlformats.org/officeDocument/2006/relationships/hyperlink" Target="#'Piped Importers &gt; Production'!A1"/><Relationship Id="rId12" Type="http://schemas.openxmlformats.org/officeDocument/2006/relationships/hyperlink" Target="#'LNG Importers &gt; Data'!A1"/><Relationship Id="rId17" Type="http://schemas.openxmlformats.org/officeDocument/2006/relationships/hyperlink" Target="#'Storage &gt; Data'!A1"/><Relationship Id="rId2" Type="http://schemas.openxmlformats.org/officeDocument/2006/relationships/hyperlink" Target="#Conversions!A1"/><Relationship Id="rId16" Type="http://schemas.openxmlformats.org/officeDocument/2006/relationships/hyperlink" Target="#'Storage &gt; Connections'!A1"/><Relationship Id="rId1" Type="http://schemas.openxmlformats.org/officeDocument/2006/relationships/hyperlink" Target="#'LNG Price Curve'!A1"/><Relationship Id="rId6" Type="http://schemas.openxmlformats.org/officeDocument/2006/relationships/hyperlink" Target="#'Regions &gt; Demand'!A1"/><Relationship Id="rId11" Type="http://schemas.openxmlformats.org/officeDocument/2006/relationships/hyperlink" Target="#'LNG Importers &gt; Connections'!A1"/><Relationship Id="rId5" Type="http://schemas.openxmlformats.org/officeDocument/2006/relationships/hyperlink" Target="#'Regions &gt; Production'!A1"/><Relationship Id="rId15" Type="http://schemas.openxmlformats.org/officeDocument/2006/relationships/hyperlink" Target="#'Storage &gt; Index'!A1"/><Relationship Id="rId10" Type="http://schemas.openxmlformats.org/officeDocument/2006/relationships/hyperlink" Target="#'LNG Importers - Index'!A1"/><Relationship Id="rId19" Type="http://schemas.openxmlformats.org/officeDocument/2006/relationships/hyperlink" Target="#'Storage &gt; Target Balance'!A1"/><Relationship Id="rId4" Type="http://schemas.openxmlformats.org/officeDocument/2006/relationships/hyperlink" Target="#'Piped Importers &gt; Index'!A1"/><Relationship Id="rId9" Type="http://schemas.openxmlformats.org/officeDocument/2006/relationships/hyperlink" Target="#'Piped Importers &gt; Data'!A1"/><Relationship Id="rId14" Type="http://schemas.openxmlformats.org/officeDocument/2006/relationships/hyperlink" Target="#'Connections - Data'!A1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181537</xdr:colOff>
      <xdr:row>46</xdr:row>
      <xdr:rowOff>34178</xdr:rowOff>
    </xdr:from>
    <xdr:to>
      <xdr:col>2</xdr:col>
      <xdr:colOff>1177741</xdr:colOff>
      <xdr:row>49</xdr:row>
      <xdr:rowOff>129428</xdr:rowOff>
    </xdr:to>
    <xdr:sp macro="" textlink="">
      <xdr:nvSpPr>
        <xdr:cNvPr id="2" name="Flowchart: Process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39AA7900-1D6C-4432-801B-410448F22126}"/>
            </a:ext>
          </a:extLst>
        </xdr:cNvPr>
        <xdr:cNvSpPr/>
      </xdr:nvSpPr>
      <xdr:spPr>
        <a:xfrm>
          <a:off x="1167655" y="8797178"/>
          <a:ext cx="1982321" cy="666750"/>
        </a:xfrm>
        <a:prstGeom prst="flowChartProcess">
          <a:avLst/>
        </a:prstGeom>
        <a:solidFill>
          <a:srgbClr val="FF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200" b="1">
              <a:solidFill>
                <a:schemeClr val="bg1"/>
              </a:solidFill>
            </a:rPr>
            <a:t>LNG-Preiskurve</a:t>
          </a:r>
        </a:p>
      </xdr:txBody>
    </xdr:sp>
    <xdr:clientData/>
  </xdr:twoCellAnchor>
  <xdr:twoCellAnchor>
    <xdr:from>
      <xdr:col>0</xdr:col>
      <xdr:colOff>0</xdr:colOff>
      <xdr:row>14</xdr:row>
      <xdr:rowOff>95250</xdr:rowOff>
    </xdr:from>
    <xdr:to>
      <xdr:col>2</xdr:col>
      <xdr:colOff>19050</xdr:colOff>
      <xdr:row>18</xdr:row>
      <xdr:rowOff>0</xdr:rowOff>
    </xdr:to>
    <xdr:sp macro="" textlink="">
      <xdr:nvSpPr>
        <xdr:cNvPr id="5" name="Flowchart: Process 4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A4E69C45-5C8E-48F8-9B3D-91EE327B0DEC}"/>
            </a:ext>
          </a:extLst>
        </xdr:cNvPr>
        <xdr:cNvSpPr/>
      </xdr:nvSpPr>
      <xdr:spPr>
        <a:xfrm>
          <a:off x="0" y="2762250"/>
          <a:ext cx="2000250" cy="666750"/>
        </a:xfrm>
        <a:prstGeom prst="flowChartProcess">
          <a:avLst/>
        </a:prstGeom>
        <a:solidFill>
          <a:schemeClr val="tx1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200" b="1">
              <a:solidFill>
                <a:schemeClr val="bg1"/>
              </a:solidFill>
            </a:rPr>
            <a:t>Einheitenumrechnung</a:t>
          </a:r>
        </a:p>
      </xdr:txBody>
    </xdr:sp>
    <xdr:clientData/>
  </xdr:twoCellAnchor>
  <xdr:twoCellAnchor>
    <xdr:from>
      <xdr:col>2</xdr:col>
      <xdr:colOff>485775</xdr:colOff>
      <xdr:row>10</xdr:row>
      <xdr:rowOff>152400</xdr:rowOff>
    </xdr:from>
    <xdr:to>
      <xdr:col>4</xdr:col>
      <xdr:colOff>342900</xdr:colOff>
      <xdr:row>14</xdr:row>
      <xdr:rowOff>57150</xdr:rowOff>
    </xdr:to>
    <xdr:sp macro="" textlink="">
      <xdr:nvSpPr>
        <xdr:cNvPr id="6" name="Flowchart: Process 5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55603B14-7B89-4374-9413-8F451BB01A40}"/>
            </a:ext>
          </a:extLst>
        </xdr:cNvPr>
        <xdr:cNvSpPr/>
      </xdr:nvSpPr>
      <xdr:spPr>
        <a:xfrm>
          <a:off x="2466975" y="2057400"/>
          <a:ext cx="2000250" cy="666750"/>
        </a:xfrm>
        <a:prstGeom prst="flowChartProcess">
          <a:avLst/>
        </a:prstGeom>
        <a:solidFill>
          <a:schemeClr val="accent2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200" b="1">
              <a:solidFill>
                <a:schemeClr val="bg1"/>
              </a:solidFill>
            </a:rPr>
            <a:t>Definition von Regionen</a:t>
          </a:r>
        </a:p>
      </xdr:txBody>
    </xdr:sp>
    <xdr:clientData/>
  </xdr:twoCellAnchor>
  <xdr:twoCellAnchor>
    <xdr:from>
      <xdr:col>2</xdr:col>
      <xdr:colOff>438150</xdr:colOff>
      <xdr:row>23</xdr:row>
      <xdr:rowOff>19050</xdr:rowOff>
    </xdr:from>
    <xdr:to>
      <xdr:col>4</xdr:col>
      <xdr:colOff>295275</xdr:colOff>
      <xdr:row>26</xdr:row>
      <xdr:rowOff>114300</xdr:rowOff>
    </xdr:to>
    <xdr:sp macro="" textlink="">
      <xdr:nvSpPr>
        <xdr:cNvPr id="7" name="Flowchart: Process 6">
          <a:hlinkClick xmlns:r="http://schemas.openxmlformats.org/officeDocument/2006/relationships" r:id="rId4"/>
          <a:extLst>
            <a:ext uri="{FF2B5EF4-FFF2-40B4-BE49-F238E27FC236}">
              <a16:creationId xmlns:a16="http://schemas.microsoft.com/office/drawing/2014/main" id="{E218778D-C9B0-415D-B1C9-E5CEFAC0CD92}"/>
            </a:ext>
          </a:extLst>
        </xdr:cNvPr>
        <xdr:cNvSpPr/>
      </xdr:nvSpPr>
      <xdr:spPr>
        <a:xfrm>
          <a:off x="2419350" y="4400550"/>
          <a:ext cx="2000250" cy="666750"/>
        </a:xfrm>
        <a:prstGeom prst="flowChartProcess">
          <a:avLst/>
        </a:prstGeom>
        <a:solidFill>
          <a:schemeClr val="accent1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200" b="1">
              <a:solidFill>
                <a:schemeClr val="bg1"/>
              </a:solidFill>
            </a:rPr>
            <a:t>Definition von Importern</a:t>
          </a:r>
        </a:p>
      </xdr:txBody>
    </xdr:sp>
    <xdr:clientData/>
  </xdr:twoCellAnchor>
  <xdr:twoCellAnchor>
    <xdr:from>
      <xdr:col>10</xdr:col>
      <xdr:colOff>247650</xdr:colOff>
      <xdr:row>8</xdr:row>
      <xdr:rowOff>47625</xdr:rowOff>
    </xdr:from>
    <xdr:to>
      <xdr:col>13</xdr:col>
      <xdr:colOff>419100</xdr:colOff>
      <xdr:row>11</xdr:row>
      <xdr:rowOff>142875</xdr:rowOff>
    </xdr:to>
    <xdr:sp macro="" textlink="">
      <xdr:nvSpPr>
        <xdr:cNvPr id="8" name="Flowchart: Process 7">
          <a:hlinkClick xmlns:r="http://schemas.openxmlformats.org/officeDocument/2006/relationships" r:id="rId5"/>
          <a:extLst>
            <a:ext uri="{FF2B5EF4-FFF2-40B4-BE49-F238E27FC236}">
              <a16:creationId xmlns:a16="http://schemas.microsoft.com/office/drawing/2014/main" id="{33615E36-BFCB-4DBF-9BEC-9328F1D31314}"/>
            </a:ext>
          </a:extLst>
        </xdr:cNvPr>
        <xdr:cNvSpPr/>
      </xdr:nvSpPr>
      <xdr:spPr>
        <a:xfrm>
          <a:off x="8029575" y="1571625"/>
          <a:ext cx="2000250" cy="666750"/>
        </a:xfrm>
        <a:prstGeom prst="flowChartProcess">
          <a:avLst/>
        </a:prstGeom>
        <a:solidFill>
          <a:schemeClr val="accent2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200" b="1">
              <a:solidFill>
                <a:schemeClr val="bg1"/>
              </a:solidFill>
            </a:rPr>
            <a:t>Eigenproduktion pro Region</a:t>
          </a:r>
        </a:p>
      </xdr:txBody>
    </xdr:sp>
    <xdr:clientData/>
  </xdr:twoCellAnchor>
  <xdr:twoCellAnchor>
    <xdr:from>
      <xdr:col>5</xdr:col>
      <xdr:colOff>581025</xdr:colOff>
      <xdr:row>5</xdr:row>
      <xdr:rowOff>104775</xdr:rowOff>
    </xdr:from>
    <xdr:to>
      <xdr:col>9</xdr:col>
      <xdr:colOff>142875</xdr:colOff>
      <xdr:row>9</xdr:row>
      <xdr:rowOff>9525</xdr:rowOff>
    </xdr:to>
    <xdr:sp macro="" textlink="">
      <xdr:nvSpPr>
        <xdr:cNvPr id="9" name="Flowchart: Process 8">
          <a:hlinkClick xmlns:r="http://schemas.openxmlformats.org/officeDocument/2006/relationships" r:id="rId6"/>
          <a:extLst>
            <a:ext uri="{FF2B5EF4-FFF2-40B4-BE49-F238E27FC236}">
              <a16:creationId xmlns:a16="http://schemas.microsoft.com/office/drawing/2014/main" id="{113BA28A-621D-4C69-AA79-767F1D596130}"/>
            </a:ext>
          </a:extLst>
        </xdr:cNvPr>
        <xdr:cNvSpPr/>
      </xdr:nvSpPr>
      <xdr:spPr>
        <a:xfrm>
          <a:off x="5314950" y="1057275"/>
          <a:ext cx="2000250" cy="666750"/>
        </a:xfrm>
        <a:prstGeom prst="flowChartProcess">
          <a:avLst/>
        </a:prstGeom>
        <a:solidFill>
          <a:schemeClr val="accent2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200" b="1">
              <a:solidFill>
                <a:schemeClr val="bg1"/>
              </a:solidFill>
            </a:rPr>
            <a:t>Verbrauch</a:t>
          </a:r>
          <a:r>
            <a:rPr lang="en-US" sz="1200" b="1" baseline="0">
              <a:solidFill>
                <a:schemeClr val="bg1"/>
              </a:solidFill>
            </a:rPr>
            <a:t> pro Region</a:t>
          </a:r>
          <a:endParaRPr lang="en-US" sz="1200" b="1">
            <a:solidFill>
              <a:schemeClr val="bg1"/>
            </a:solidFill>
          </a:endParaRPr>
        </a:p>
      </xdr:txBody>
    </xdr:sp>
    <xdr:clientData/>
  </xdr:twoCellAnchor>
  <xdr:twoCellAnchor>
    <xdr:from>
      <xdr:col>2</xdr:col>
      <xdr:colOff>1485900</xdr:colOff>
      <xdr:row>7</xdr:row>
      <xdr:rowOff>57150</xdr:rowOff>
    </xdr:from>
    <xdr:to>
      <xdr:col>5</xdr:col>
      <xdr:colOff>581025</xdr:colOff>
      <xdr:row>10</xdr:row>
      <xdr:rowOff>152400</xdr:rowOff>
    </xdr:to>
    <xdr:cxnSp macro="">
      <xdr:nvCxnSpPr>
        <xdr:cNvPr id="15" name="Straight Arrow Connector 14">
          <a:extLst>
            <a:ext uri="{FF2B5EF4-FFF2-40B4-BE49-F238E27FC236}">
              <a16:creationId xmlns:a16="http://schemas.microsoft.com/office/drawing/2014/main" id="{D19A6AB0-EEBE-4F1F-A505-D05579842178}"/>
            </a:ext>
          </a:extLst>
        </xdr:cNvPr>
        <xdr:cNvCxnSpPr>
          <a:stCxn id="6" idx="0"/>
          <a:endCxn id="9" idx="1"/>
        </xdr:cNvCxnSpPr>
      </xdr:nvCxnSpPr>
      <xdr:spPr>
        <a:xfrm rot="5400000" flipH="1" flipV="1">
          <a:off x="4057650" y="800100"/>
          <a:ext cx="666750" cy="1847850"/>
        </a:xfrm>
        <a:prstGeom prst="bentConnector2">
          <a:avLst/>
        </a:prstGeom>
        <a:ln>
          <a:tailEnd type="triangle"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4</xdr:col>
      <xdr:colOff>342900</xdr:colOff>
      <xdr:row>10</xdr:row>
      <xdr:rowOff>0</xdr:rowOff>
    </xdr:from>
    <xdr:to>
      <xdr:col>10</xdr:col>
      <xdr:colOff>247650</xdr:colOff>
      <xdr:row>12</xdr:row>
      <xdr:rowOff>104775</xdr:rowOff>
    </xdr:to>
    <xdr:cxnSp macro="">
      <xdr:nvCxnSpPr>
        <xdr:cNvPr id="17" name="Connector: Elbow 16">
          <a:extLst>
            <a:ext uri="{FF2B5EF4-FFF2-40B4-BE49-F238E27FC236}">
              <a16:creationId xmlns:a16="http://schemas.microsoft.com/office/drawing/2014/main" id="{5C9EC731-2E91-4117-9C45-5106CFE7751C}"/>
            </a:ext>
          </a:extLst>
        </xdr:cNvPr>
        <xdr:cNvCxnSpPr>
          <a:stCxn id="6" idx="3"/>
          <a:endCxn id="8" idx="1"/>
        </xdr:cNvCxnSpPr>
      </xdr:nvCxnSpPr>
      <xdr:spPr>
        <a:xfrm flipV="1">
          <a:off x="4467225" y="1905000"/>
          <a:ext cx="3562350" cy="485775"/>
        </a:xfrm>
        <a:prstGeom prst="bentConnector3">
          <a:avLst/>
        </a:prstGeom>
        <a:ln>
          <a:tailEnd type="triangle"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1</xdr:col>
      <xdr:colOff>9525</xdr:colOff>
      <xdr:row>8</xdr:row>
      <xdr:rowOff>47626</xdr:rowOff>
    </xdr:from>
    <xdr:to>
      <xdr:col>12</xdr:col>
      <xdr:colOff>28575</xdr:colOff>
      <xdr:row>14</xdr:row>
      <xdr:rowOff>95251</xdr:rowOff>
    </xdr:to>
    <xdr:cxnSp macro="">
      <xdr:nvCxnSpPr>
        <xdr:cNvPr id="19" name="Connector: Elbow 18">
          <a:extLst>
            <a:ext uri="{FF2B5EF4-FFF2-40B4-BE49-F238E27FC236}">
              <a16:creationId xmlns:a16="http://schemas.microsoft.com/office/drawing/2014/main" id="{92798870-BC74-47FE-AF06-4B79C4A420FC}"/>
            </a:ext>
          </a:extLst>
        </xdr:cNvPr>
        <xdr:cNvCxnSpPr>
          <a:stCxn id="5" idx="0"/>
          <a:endCxn id="8" idx="0"/>
        </xdr:cNvCxnSpPr>
      </xdr:nvCxnSpPr>
      <xdr:spPr>
        <a:xfrm rot="5400000" flipH="1" flipV="1">
          <a:off x="4419600" y="-1847849"/>
          <a:ext cx="1190625" cy="8029575"/>
        </a:xfrm>
        <a:prstGeom prst="bentConnector3">
          <a:avLst>
            <a:gd name="adj1" fmla="val 197600"/>
          </a:avLst>
        </a:prstGeom>
        <a:ln>
          <a:tailEnd type="triangle"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2</xdr:col>
      <xdr:colOff>19050</xdr:colOff>
      <xdr:row>5</xdr:row>
      <xdr:rowOff>104775</xdr:rowOff>
    </xdr:from>
    <xdr:to>
      <xdr:col>7</xdr:col>
      <xdr:colOff>361950</xdr:colOff>
      <xdr:row>16</xdr:row>
      <xdr:rowOff>47625</xdr:rowOff>
    </xdr:to>
    <xdr:cxnSp macro="">
      <xdr:nvCxnSpPr>
        <xdr:cNvPr id="21" name="Connector: Elbow 20">
          <a:extLst>
            <a:ext uri="{FF2B5EF4-FFF2-40B4-BE49-F238E27FC236}">
              <a16:creationId xmlns:a16="http://schemas.microsoft.com/office/drawing/2014/main" id="{740C6815-222D-4531-BA05-CC9BC3820F53}"/>
            </a:ext>
          </a:extLst>
        </xdr:cNvPr>
        <xdr:cNvCxnSpPr>
          <a:stCxn id="5" idx="3"/>
          <a:endCxn id="9" idx="0"/>
        </xdr:cNvCxnSpPr>
      </xdr:nvCxnSpPr>
      <xdr:spPr>
        <a:xfrm flipV="1">
          <a:off x="2000250" y="1057275"/>
          <a:ext cx="4314825" cy="2038350"/>
        </a:xfrm>
        <a:prstGeom prst="bentConnector4">
          <a:avLst>
            <a:gd name="adj1" fmla="val 6181"/>
            <a:gd name="adj2" fmla="val 111215"/>
          </a:avLst>
        </a:prstGeom>
        <a:ln>
          <a:tailEnd type="triangle"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5</xdr:col>
      <xdr:colOff>333375</xdr:colOff>
      <xdr:row>25</xdr:row>
      <xdr:rowOff>142875</xdr:rowOff>
    </xdr:from>
    <xdr:to>
      <xdr:col>8</xdr:col>
      <xdr:colOff>504825</xdr:colOff>
      <xdr:row>29</xdr:row>
      <xdr:rowOff>47625</xdr:rowOff>
    </xdr:to>
    <xdr:sp macro="" textlink="">
      <xdr:nvSpPr>
        <xdr:cNvPr id="22" name="Flowchart: Process 21">
          <a:hlinkClick xmlns:r="http://schemas.openxmlformats.org/officeDocument/2006/relationships" r:id="rId7"/>
          <a:extLst>
            <a:ext uri="{FF2B5EF4-FFF2-40B4-BE49-F238E27FC236}">
              <a16:creationId xmlns:a16="http://schemas.microsoft.com/office/drawing/2014/main" id="{B96B0C83-8C7B-43E7-84B8-F1970BDCFE63}"/>
            </a:ext>
          </a:extLst>
        </xdr:cNvPr>
        <xdr:cNvSpPr/>
      </xdr:nvSpPr>
      <xdr:spPr>
        <a:xfrm>
          <a:off x="5067300" y="4905375"/>
          <a:ext cx="2000250" cy="666750"/>
        </a:xfrm>
        <a:prstGeom prst="flowChartProcess">
          <a:avLst/>
        </a:prstGeom>
        <a:solidFill>
          <a:schemeClr val="accent1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200" b="1">
              <a:solidFill>
                <a:schemeClr val="bg1"/>
              </a:solidFill>
            </a:rPr>
            <a:t>Produktion pro Importer</a:t>
          </a:r>
        </a:p>
      </xdr:txBody>
    </xdr:sp>
    <xdr:clientData/>
  </xdr:twoCellAnchor>
  <xdr:twoCellAnchor>
    <xdr:from>
      <xdr:col>2</xdr:col>
      <xdr:colOff>1438274</xdr:colOff>
      <xdr:row>26</xdr:row>
      <xdr:rowOff>114300</xdr:rowOff>
    </xdr:from>
    <xdr:to>
      <xdr:col>5</xdr:col>
      <xdr:colOff>333374</xdr:colOff>
      <xdr:row>27</xdr:row>
      <xdr:rowOff>95250</xdr:rowOff>
    </xdr:to>
    <xdr:cxnSp macro="">
      <xdr:nvCxnSpPr>
        <xdr:cNvPr id="24" name="Connector: Elbow 23">
          <a:extLst>
            <a:ext uri="{FF2B5EF4-FFF2-40B4-BE49-F238E27FC236}">
              <a16:creationId xmlns:a16="http://schemas.microsoft.com/office/drawing/2014/main" id="{95C070B7-93A1-431F-9BC0-6F8C801130AC}"/>
            </a:ext>
          </a:extLst>
        </xdr:cNvPr>
        <xdr:cNvCxnSpPr>
          <a:stCxn id="7" idx="2"/>
          <a:endCxn id="22" idx="1"/>
        </xdr:cNvCxnSpPr>
      </xdr:nvCxnSpPr>
      <xdr:spPr>
        <a:xfrm rot="16200000" flipH="1">
          <a:off x="4157662" y="4329112"/>
          <a:ext cx="171450" cy="1647825"/>
        </a:xfrm>
        <a:prstGeom prst="bentConnector2">
          <a:avLst/>
        </a:prstGeom>
        <a:ln>
          <a:tailEnd type="triangle"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4</xdr:col>
      <xdr:colOff>28575</xdr:colOff>
      <xdr:row>16</xdr:row>
      <xdr:rowOff>85725</xdr:rowOff>
    </xdr:from>
    <xdr:to>
      <xdr:col>7</xdr:col>
      <xdr:colOff>200025</xdr:colOff>
      <xdr:row>19</xdr:row>
      <xdr:rowOff>180975</xdr:rowOff>
    </xdr:to>
    <xdr:sp macro="" textlink="">
      <xdr:nvSpPr>
        <xdr:cNvPr id="25" name="Flowchart: Process 24">
          <a:hlinkClick xmlns:r="http://schemas.openxmlformats.org/officeDocument/2006/relationships" r:id="rId8"/>
          <a:extLst>
            <a:ext uri="{FF2B5EF4-FFF2-40B4-BE49-F238E27FC236}">
              <a16:creationId xmlns:a16="http://schemas.microsoft.com/office/drawing/2014/main" id="{90A951B5-A32F-4E3E-89A1-B8EF22DA7267}"/>
            </a:ext>
          </a:extLst>
        </xdr:cNvPr>
        <xdr:cNvSpPr/>
      </xdr:nvSpPr>
      <xdr:spPr>
        <a:xfrm>
          <a:off x="4152900" y="3133725"/>
          <a:ext cx="2000250" cy="666750"/>
        </a:xfrm>
        <a:prstGeom prst="flowChartProcess">
          <a:avLst/>
        </a:prstGeom>
        <a:solidFill>
          <a:schemeClr val="accent1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200" b="1">
              <a:solidFill>
                <a:schemeClr val="bg1"/>
              </a:solidFill>
            </a:rPr>
            <a:t>Marktverbindungen</a:t>
          </a:r>
          <a:r>
            <a:rPr lang="en-US" sz="1200" b="1" baseline="0">
              <a:solidFill>
                <a:schemeClr val="bg1"/>
              </a:solidFill>
            </a:rPr>
            <a:t> Importer-Region</a:t>
          </a:r>
          <a:endParaRPr lang="en-US" sz="1200" b="1">
            <a:solidFill>
              <a:schemeClr val="bg1"/>
            </a:solidFill>
          </a:endParaRPr>
        </a:p>
      </xdr:txBody>
    </xdr:sp>
    <xdr:clientData/>
  </xdr:twoCellAnchor>
  <xdr:twoCellAnchor>
    <xdr:from>
      <xdr:col>2</xdr:col>
      <xdr:colOff>1485900</xdr:colOff>
      <xdr:row>14</xdr:row>
      <xdr:rowOff>57149</xdr:rowOff>
    </xdr:from>
    <xdr:to>
      <xdr:col>5</xdr:col>
      <xdr:colOff>419100</xdr:colOff>
      <xdr:row>16</xdr:row>
      <xdr:rowOff>85724</xdr:rowOff>
    </xdr:to>
    <xdr:cxnSp macro="">
      <xdr:nvCxnSpPr>
        <xdr:cNvPr id="27" name="Connector: Elbow 26">
          <a:extLst>
            <a:ext uri="{FF2B5EF4-FFF2-40B4-BE49-F238E27FC236}">
              <a16:creationId xmlns:a16="http://schemas.microsoft.com/office/drawing/2014/main" id="{054559C5-486C-4209-B118-B37C72479746}"/>
            </a:ext>
          </a:extLst>
        </xdr:cNvPr>
        <xdr:cNvCxnSpPr>
          <a:stCxn id="6" idx="2"/>
          <a:endCxn id="25" idx="0"/>
        </xdr:cNvCxnSpPr>
      </xdr:nvCxnSpPr>
      <xdr:spPr>
        <a:xfrm rot="16200000" flipH="1">
          <a:off x="4105275" y="2085974"/>
          <a:ext cx="409575" cy="1685925"/>
        </a:xfrm>
        <a:prstGeom prst="bentConnector3">
          <a:avLst>
            <a:gd name="adj1" fmla="val 50000"/>
          </a:avLst>
        </a:prstGeom>
        <a:ln>
          <a:tailEnd type="triangle"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2</xdr:col>
      <xdr:colOff>1438274</xdr:colOff>
      <xdr:row>18</xdr:row>
      <xdr:rowOff>38101</xdr:rowOff>
    </xdr:from>
    <xdr:to>
      <xdr:col>4</xdr:col>
      <xdr:colOff>28574</xdr:colOff>
      <xdr:row>23</xdr:row>
      <xdr:rowOff>19051</xdr:rowOff>
    </xdr:to>
    <xdr:cxnSp macro="">
      <xdr:nvCxnSpPr>
        <xdr:cNvPr id="29" name="Connector: Elbow 28">
          <a:extLst>
            <a:ext uri="{FF2B5EF4-FFF2-40B4-BE49-F238E27FC236}">
              <a16:creationId xmlns:a16="http://schemas.microsoft.com/office/drawing/2014/main" id="{06EF8132-8C24-4831-8505-38C1DC37FFE2}"/>
            </a:ext>
          </a:extLst>
        </xdr:cNvPr>
        <xdr:cNvCxnSpPr>
          <a:stCxn id="7" idx="0"/>
          <a:endCxn id="25" idx="1"/>
        </xdr:cNvCxnSpPr>
      </xdr:nvCxnSpPr>
      <xdr:spPr>
        <a:xfrm rot="5400000" flipH="1" flipV="1">
          <a:off x="3319462" y="3567113"/>
          <a:ext cx="933450" cy="733425"/>
        </a:xfrm>
        <a:prstGeom prst="bentConnector2">
          <a:avLst/>
        </a:prstGeom>
        <a:ln>
          <a:tailEnd type="triangle"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1</xdr:col>
      <xdr:colOff>9526</xdr:colOff>
      <xdr:row>17</xdr:row>
      <xdr:rowOff>190499</xdr:rowOff>
    </xdr:from>
    <xdr:to>
      <xdr:col>7</xdr:col>
      <xdr:colOff>114301</xdr:colOff>
      <xdr:row>29</xdr:row>
      <xdr:rowOff>47624</xdr:rowOff>
    </xdr:to>
    <xdr:cxnSp macro="">
      <xdr:nvCxnSpPr>
        <xdr:cNvPr id="70" name="Connector: Elbow 69">
          <a:extLst>
            <a:ext uri="{FF2B5EF4-FFF2-40B4-BE49-F238E27FC236}">
              <a16:creationId xmlns:a16="http://schemas.microsoft.com/office/drawing/2014/main" id="{3EDF9186-21BC-44DD-84FB-A3E76F777420}"/>
            </a:ext>
          </a:extLst>
        </xdr:cNvPr>
        <xdr:cNvCxnSpPr>
          <a:stCxn id="5" idx="2"/>
          <a:endCxn id="22" idx="2"/>
        </xdr:cNvCxnSpPr>
      </xdr:nvCxnSpPr>
      <xdr:spPr>
        <a:xfrm rot="16200000" flipH="1">
          <a:off x="2462213" y="1966912"/>
          <a:ext cx="2143125" cy="5067300"/>
        </a:xfrm>
        <a:prstGeom prst="bentConnector3">
          <a:avLst>
            <a:gd name="adj1" fmla="val 110667"/>
          </a:avLst>
        </a:prstGeom>
        <a:ln>
          <a:tailEnd type="triangle"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7</xdr:col>
      <xdr:colOff>200025</xdr:colOff>
      <xdr:row>18</xdr:row>
      <xdr:rowOff>38100</xdr:rowOff>
    </xdr:from>
    <xdr:to>
      <xdr:col>9</xdr:col>
      <xdr:colOff>190500</xdr:colOff>
      <xdr:row>20</xdr:row>
      <xdr:rowOff>114300</xdr:rowOff>
    </xdr:to>
    <xdr:cxnSp macro="">
      <xdr:nvCxnSpPr>
        <xdr:cNvPr id="93" name="Connector: Elbow 92">
          <a:extLst>
            <a:ext uri="{FF2B5EF4-FFF2-40B4-BE49-F238E27FC236}">
              <a16:creationId xmlns:a16="http://schemas.microsoft.com/office/drawing/2014/main" id="{F0AF405E-7D55-4152-970B-E88E5229F559}"/>
            </a:ext>
          </a:extLst>
        </xdr:cNvPr>
        <xdr:cNvCxnSpPr>
          <a:stCxn id="25" idx="3"/>
          <a:endCxn id="97" idx="0"/>
        </xdr:cNvCxnSpPr>
      </xdr:nvCxnSpPr>
      <xdr:spPr>
        <a:xfrm>
          <a:off x="6153150" y="3467100"/>
          <a:ext cx="1209675" cy="457200"/>
        </a:xfrm>
        <a:prstGeom prst="bentConnector2">
          <a:avLst/>
        </a:prstGeom>
        <a:ln>
          <a:tailEnd type="triangle"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7</xdr:col>
      <xdr:colOff>409575</xdr:colOff>
      <xdr:row>20</xdr:row>
      <xdr:rowOff>114300</xdr:rowOff>
    </xdr:from>
    <xdr:to>
      <xdr:col>10</xdr:col>
      <xdr:colOff>581025</xdr:colOff>
      <xdr:row>24</xdr:row>
      <xdr:rowOff>19050</xdr:rowOff>
    </xdr:to>
    <xdr:sp macro="" textlink="">
      <xdr:nvSpPr>
        <xdr:cNvPr id="97" name="Flowchart: Process 96">
          <a:hlinkClick xmlns:r="http://schemas.openxmlformats.org/officeDocument/2006/relationships" r:id="rId9"/>
          <a:extLst>
            <a:ext uri="{FF2B5EF4-FFF2-40B4-BE49-F238E27FC236}">
              <a16:creationId xmlns:a16="http://schemas.microsoft.com/office/drawing/2014/main" id="{80E35508-BFDD-4100-A6F8-A59AC2E835D2}"/>
            </a:ext>
          </a:extLst>
        </xdr:cNvPr>
        <xdr:cNvSpPr/>
      </xdr:nvSpPr>
      <xdr:spPr>
        <a:xfrm>
          <a:off x="6362700" y="3924300"/>
          <a:ext cx="2000250" cy="666750"/>
        </a:xfrm>
        <a:prstGeom prst="flowChartProcess">
          <a:avLst/>
        </a:prstGeom>
        <a:solidFill>
          <a:schemeClr val="accent1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200" b="1">
              <a:solidFill>
                <a:schemeClr val="bg1"/>
              </a:solidFill>
            </a:rPr>
            <a:t>Daten Marktverbindungen Importer-Region</a:t>
          </a:r>
        </a:p>
      </xdr:txBody>
    </xdr:sp>
    <xdr:clientData/>
  </xdr:twoCellAnchor>
  <xdr:twoCellAnchor>
    <xdr:from>
      <xdr:col>2</xdr:col>
      <xdr:colOff>595595</xdr:colOff>
      <xdr:row>31</xdr:row>
      <xdr:rowOff>171450</xdr:rowOff>
    </xdr:from>
    <xdr:to>
      <xdr:col>4</xdr:col>
      <xdr:colOff>452720</xdr:colOff>
      <xdr:row>35</xdr:row>
      <xdr:rowOff>76200</xdr:rowOff>
    </xdr:to>
    <xdr:sp macro="" textlink="">
      <xdr:nvSpPr>
        <xdr:cNvPr id="112" name="Flowchart: Process 111">
          <a:hlinkClick xmlns:r="http://schemas.openxmlformats.org/officeDocument/2006/relationships" r:id="rId10"/>
          <a:extLst>
            <a:ext uri="{FF2B5EF4-FFF2-40B4-BE49-F238E27FC236}">
              <a16:creationId xmlns:a16="http://schemas.microsoft.com/office/drawing/2014/main" id="{9A1621B2-D4CD-4D7C-9F67-752B1DB9FB5F}"/>
            </a:ext>
          </a:extLst>
        </xdr:cNvPr>
        <xdr:cNvSpPr/>
      </xdr:nvSpPr>
      <xdr:spPr>
        <a:xfrm>
          <a:off x="2567830" y="6076950"/>
          <a:ext cx="1997449" cy="666750"/>
        </a:xfrm>
        <a:prstGeom prst="flowChartProcess">
          <a:avLst/>
        </a:prstGeom>
        <a:solidFill>
          <a:srgbClr val="7030A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200" b="1">
              <a:solidFill>
                <a:schemeClr val="bg1"/>
              </a:solidFill>
            </a:rPr>
            <a:t>Definition</a:t>
          </a:r>
          <a:r>
            <a:rPr lang="en-US" sz="1200" b="1" baseline="0">
              <a:solidFill>
                <a:schemeClr val="bg1"/>
              </a:solidFill>
            </a:rPr>
            <a:t> von LNG-Terminals</a:t>
          </a:r>
          <a:endParaRPr lang="en-US" sz="1200" b="1">
            <a:solidFill>
              <a:schemeClr val="bg1"/>
            </a:solidFill>
          </a:endParaRPr>
        </a:p>
      </xdr:txBody>
    </xdr:sp>
    <xdr:clientData/>
  </xdr:twoCellAnchor>
  <xdr:twoCellAnchor>
    <xdr:from>
      <xdr:col>11</xdr:col>
      <xdr:colOff>390525</xdr:colOff>
      <xdr:row>28</xdr:row>
      <xdr:rowOff>142875</xdr:rowOff>
    </xdr:from>
    <xdr:to>
      <xdr:col>14</xdr:col>
      <xdr:colOff>561975</xdr:colOff>
      <xdr:row>32</xdr:row>
      <xdr:rowOff>47625</xdr:rowOff>
    </xdr:to>
    <xdr:sp macro="" textlink="">
      <xdr:nvSpPr>
        <xdr:cNvPr id="113" name="Flowchart: Process 112">
          <a:hlinkClick xmlns:r="http://schemas.openxmlformats.org/officeDocument/2006/relationships" r:id="rId11"/>
          <a:extLst>
            <a:ext uri="{FF2B5EF4-FFF2-40B4-BE49-F238E27FC236}">
              <a16:creationId xmlns:a16="http://schemas.microsoft.com/office/drawing/2014/main" id="{955870A1-453F-4886-AF30-9022F6102332}"/>
            </a:ext>
          </a:extLst>
        </xdr:cNvPr>
        <xdr:cNvSpPr/>
      </xdr:nvSpPr>
      <xdr:spPr>
        <a:xfrm>
          <a:off x="8782050" y="5476875"/>
          <a:ext cx="2000250" cy="666750"/>
        </a:xfrm>
        <a:prstGeom prst="flowChartProcess">
          <a:avLst/>
        </a:prstGeom>
        <a:solidFill>
          <a:srgbClr val="7030A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200" b="1">
              <a:solidFill>
                <a:schemeClr val="bg1"/>
              </a:solidFill>
            </a:rPr>
            <a:t>Marktverbindungen LNG-Terminal-Region</a:t>
          </a:r>
        </a:p>
      </xdr:txBody>
    </xdr:sp>
    <xdr:clientData/>
  </xdr:twoCellAnchor>
  <xdr:twoCellAnchor>
    <xdr:from>
      <xdr:col>4</xdr:col>
      <xdr:colOff>452720</xdr:colOff>
      <xdr:row>30</xdr:row>
      <xdr:rowOff>95250</xdr:rowOff>
    </xdr:from>
    <xdr:to>
      <xdr:col>11</xdr:col>
      <xdr:colOff>390525</xdr:colOff>
      <xdr:row>33</xdr:row>
      <xdr:rowOff>123825</xdr:rowOff>
    </xdr:to>
    <xdr:cxnSp macro="">
      <xdr:nvCxnSpPr>
        <xdr:cNvPr id="114" name="Connector: Elbow 113">
          <a:extLst>
            <a:ext uri="{FF2B5EF4-FFF2-40B4-BE49-F238E27FC236}">
              <a16:creationId xmlns:a16="http://schemas.microsoft.com/office/drawing/2014/main" id="{3FBDE5FD-B8A5-4787-AE0C-806B770046DC}"/>
            </a:ext>
          </a:extLst>
        </xdr:cNvPr>
        <xdr:cNvCxnSpPr>
          <a:stCxn id="112" idx="3"/>
          <a:endCxn id="113" idx="1"/>
        </xdr:cNvCxnSpPr>
      </xdr:nvCxnSpPr>
      <xdr:spPr>
        <a:xfrm flipV="1">
          <a:off x="4565279" y="5810250"/>
          <a:ext cx="4173628" cy="600075"/>
        </a:xfrm>
        <a:prstGeom prst="bentConnector3">
          <a:avLst>
            <a:gd name="adj1" fmla="val 50000"/>
          </a:avLst>
        </a:prstGeom>
        <a:ln>
          <a:tailEnd type="triangle"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4</xdr:col>
      <xdr:colOff>342900</xdr:colOff>
      <xdr:row>12</xdr:row>
      <xdr:rowOff>104775</xdr:rowOff>
    </xdr:from>
    <xdr:to>
      <xdr:col>11</xdr:col>
      <xdr:colOff>390525</xdr:colOff>
      <xdr:row>30</xdr:row>
      <xdr:rowOff>95250</xdr:rowOff>
    </xdr:to>
    <xdr:cxnSp macro="">
      <xdr:nvCxnSpPr>
        <xdr:cNvPr id="119" name="Straight Arrow Connector 14">
          <a:extLst>
            <a:ext uri="{FF2B5EF4-FFF2-40B4-BE49-F238E27FC236}">
              <a16:creationId xmlns:a16="http://schemas.microsoft.com/office/drawing/2014/main" id="{7E306A28-177D-42FC-BA55-D29475CAB8E8}"/>
            </a:ext>
          </a:extLst>
        </xdr:cNvPr>
        <xdr:cNvCxnSpPr>
          <a:stCxn id="6" idx="3"/>
          <a:endCxn id="113" idx="1"/>
        </xdr:cNvCxnSpPr>
      </xdr:nvCxnSpPr>
      <xdr:spPr>
        <a:xfrm>
          <a:off x="4467225" y="2390775"/>
          <a:ext cx="4314825" cy="3419475"/>
        </a:xfrm>
        <a:prstGeom prst="bentConnector3">
          <a:avLst>
            <a:gd name="adj1" fmla="val 92605"/>
          </a:avLst>
        </a:prstGeom>
        <a:ln>
          <a:tailEnd type="triangle"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19</xdr:col>
      <xdr:colOff>85725</xdr:colOff>
      <xdr:row>25</xdr:row>
      <xdr:rowOff>28575</xdr:rowOff>
    </xdr:from>
    <xdr:to>
      <xdr:col>22</xdr:col>
      <xdr:colOff>257175</xdr:colOff>
      <xdr:row>28</xdr:row>
      <xdr:rowOff>123825</xdr:rowOff>
    </xdr:to>
    <xdr:sp macro="" textlink="">
      <xdr:nvSpPr>
        <xdr:cNvPr id="128" name="Flowchart: Process 127">
          <a:hlinkClick xmlns:r="http://schemas.openxmlformats.org/officeDocument/2006/relationships" r:id="rId12"/>
          <a:extLst>
            <a:ext uri="{FF2B5EF4-FFF2-40B4-BE49-F238E27FC236}">
              <a16:creationId xmlns:a16="http://schemas.microsoft.com/office/drawing/2014/main" id="{5E665E0C-AD56-475D-B9DD-69C263AAB37D}"/>
            </a:ext>
          </a:extLst>
        </xdr:cNvPr>
        <xdr:cNvSpPr/>
      </xdr:nvSpPr>
      <xdr:spPr>
        <a:xfrm>
          <a:off x="13354050" y="4791075"/>
          <a:ext cx="2000250" cy="666750"/>
        </a:xfrm>
        <a:prstGeom prst="flowChartProcess">
          <a:avLst/>
        </a:prstGeom>
        <a:solidFill>
          <a:srgbClr val="7030A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200" b="1">
              <a:solidFill>
                <a:schemeClr val="bg1"/>
              </a:solidFill>
            </a:rPr>
            <a:t>Daten Marktverbindungen LNG-Terminal-Region</a:t>
          </a:r>
        </a:p>
      </xdr:txBody>
    </xdr:sp>
    <xdr:clientData/>
  </xdr:twoCellAnchor>
  <xdr:twoCellAnchor>
    <xdr:from>
      <xdr:col>14</xdr:col>
      <xdr:colOff>561975</xdr:colOff>
      <xdr:row>28</xdr:row>
      <xdr:rowOff>123825</xdr:rowOff>
    </xdr:from>
    <xdr:to>
      <xdr:col>20</xdr:col>
      <xdr:colOff>476250</xdr:colOff>
      <xdr:row>30</xdr:row>
      <xdr:rowOff>95250</xdr:rowOff>
    </xdr:to>
    <xdr:cxnSp macro="">
      <xdr:nvCxnSpPr>
        <xdr:cNvPr id="129" name="Straight Arrow Connector 14">
          <a:extLst>
            <a:ext uri="{FF2B5EF4-FFF2-40B4-BE49-F238E27FC236}">
              <a16:creationId xmlns:a16="http://schemas.microsoft.com/office/drawing/2014/main" id="{15A3E45C-D1D5-400A-B848-7FA24DA415EF}"/>
            </a:ext>
          </a:extLst>
        </xdr:cNvPr>
        <xdr:cNvCxnSpPr>
          <a:stCxn id="113" idx="3"/>
          <a:endCxn id="128" idx="2"/>
        </xdr:cNvCxnSpPr>
      </xdr:nvCxnSpPr>
      <xdr:spPr>
        <a:xfrm flipV="1">
          <a:off x="10782300" y="5457825"/>
          <a:ext cx="3571875" cy="352425"/>
        </a:xfrm>
        <a:prstGeom prst="bentConnector2">
          <a:avLst/>
        </a:prstGeom>
        <a:ln>
          <a:tailEnd type="triangle"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1</xdr:col>
      <xdr:colOff>9525</xdr:colOff>
      <xdr:row>14</xdr:row>
      <xdr:rowOff>95249</xdr:rowOff>
    </xdr:from>
    <xdr:to>
      <xdr:col>20</xdr:col>
      <xdr:colOff>476250</xdr:colOff>
      <xdr:row>25</xdr:row>
      <xdr:rowOff>28574</xdr:rowOff>
    </xdr:to>
    <xdr:cxnSp macro="">
      <xdr:nvCxnSpPr>
        <xdr:cNvPr id="132" name="Straight Arrow Connector 14">
          <a:extLst>
            <a:ext uri="{FF2B5EF4-FFF2-40B4-BE49-F238E27FC236}">
              <a16:creationId xmlns:a16="http://schemas.microsoft.com/office/drawing/2014/main" id="{39350707-E36C-45AE-BDAB-5C08472116D3}"/>
            </a:ext>
          </a:extLst>
        </xdr:cNvPr>
        <xdr:cNvCxnSpPr>
          <a:stCxn id="5" idx="0"/>
          <a:endCxn id="128" idx="0"/>
        </xdr:cNvCxnSpPr>
      </xdr:nvCxnSpPr>
      <xdr:spPr>
        <a:xfrm rot="16200000" flipH="1">
          <a:off x="6662737" y="-2900363"/>
          <a:ext cx="2028825" cy="13354050"/>
        </a:xfrm>
        <a:prstGeom prst="bentConnector3">
          <a:avLst>
            <a:gd name="adj1" fmla="val -132864"/>
          </a:avLst>
        </a:prstGeom>
        <a:ln>
          <a:tailEnd type="triangle"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11</xdr:col>
      <xdr:colOff>409575</xdr:colOff>
      <xdr:row>14</xdr:row>
      <xdr:rowOff>104775</xdr:rowOff>
    </xdr:from>
    <xdr:to>
      <xdr:col>14</xdr:col>
      <xdr:colOff>581025</xdr:colOff>
      <xdr:row>18</xdr:row>
      <xdr:rowOff>9525</xdr:rowOff>
    </xdr:to>
    <xdr:sp macro="" textlink="">
      <xdr:nvSpPr>
        <xdr:cNvPr id="136" name="Flowchart: Process 135">
          <a:hlinkClick xmlns:r="http://schemas.openxmlformats.org/officeDocument/2006/relationships" r:id="rId13"/>
          <a:extLst>
            <a:ext uri="{FF2B5EF4-FFF2-40B4-BE49-F238E27FC236}">
              <a16:creationId xmlns:a16="http://schemas.microsoft.com/office/drawing/2014/main" id="{93B3F45B-EA83-45B9-9C88-5F503BDB4183}"/>
            </a:ext>
          </a:extLst>
        </xdr:cNvPr>
        <xdr:cNvSpPr/>
      </xdr:nvSpPr>
      <xdr:spPr>
        <a:xfrm>
          <a:off x="8801100" y="2771775"/>
          <a:ext cx="2000250" cy="666750"/>
        </a:xfrm>
        <a:prstGeom prst="flowChartProcess">
          <a:avLst/>
        </a:prstGeom>
        <a:solidFill>
          <a:schemeClr val="accent4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200" b="1">
              <a:solidFill>
                <a:schemeClr val="bg1"/>
              </a:solidFill>
            </a:rPr>
            <a:t>Marktverbindungen</a:t>
          </a:r>
          <a:r>
            <a:rPr lang="en-US" sz="1200" b="1" baseline="0">
              <a:solidFill>
                <a:schemeClr val="bg1"/>
              </a:solidFill>
            </a:rPr>
            <a:t> Region-Region</a:t>
          </a:r>
          <a:endParaRPr lang="en-US" sz="1200" b="1">
            <a:solidFill>
              <a:schemeClr val="bg1"/>
            </a:solidFill>
          </a:endParaRPr>
        </a:p>
      </xdr:txBody>
    </xdr:sp>
    <xdr:clientData/>
  </xdr:twoCellAnchor>
  <xdr:twoCellAnchor>
    <xdr:from>
      <xdr:col>4</xdr:col>
      <xdr:colOff>342900</xdr:colOff>
      <xdr:row>12</xdr:row>
      <xdr:rowOff>104775</xdr:rowOff>
    </xdr:from>
    <xdr:to>
      <xdr:col>11</xdr:col>
      <xdr:colOff>409575</xdr:colOff>
      <xdr:row>16</xdr:row>
      <xdr:rowOff>57150</xdr:rowOff>
    </xdr:to>
    <xdr:cxnSp macro="">
      <xdr:nvCxnSpPr>
        <xdr:cNvPr id="146" name="Straight Arrow Connector 14">
          <a:extLst>
            <a:ext uri="{FF2B5EF4-FFF2-40B4-BE49-F238E27FC236}">
              <a16:creationId xmlns:a16="http://schemas.microsoft.com/office/drawing/2014/main" id="{868FF548-354E-4C0D-9563-3CBA473DEB27}"/>
            </a:ext>
          </a:extLst>
        </xdr:cNvPr>
        <xdr:cNvCxnSpPr>
          <a:stCxn id="6" idx="3"/>
          <a:endCxn id="136" idx="1"/>
        </xdr:cNvCxnSpPr>
      </xdr:nvCxnSpPr>
      <xdr:spPr>
        <a:xfrm>
          <a:off x="4467225" y="2390775"/>
          <a:ext cx="4333875" cy="714375"/>
        </a:xfrm>
        <a:prstGeom prst="bentConnector3">
          <a:avLst>
            <a:gd name="adj1" fmla="val 92198"/>
          </a:avLst>
        </a:prstGeom>
        <a:ln>
          <a:tailEnd type="triangle"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15</xdr:col>
      <xdr:colOff>504825</xdr:colOff>
      <xdr:row>18</xdr:row>
      <xdr:rowOff>171450</xdr:rowOff>
    </xdr:from>
    <xdr:to>
      <xdr:col>19</xdr:col>
      <xdr:colOff>66675</xdr:colOff>
      <xdr:row>22</xdr:row>
      <xdr:rowOff>76200</xdr:rowOff>
    </xdr:to>
    <xdr:sp macro="" textlink="">
      <xdr:nvSpPr>
        <xdr:cNvPr id="149" name="Flowchart: Process 148">
          <a:hlinkClick xmlns:r="http://schemas.openxmlformats.org/officeDocument/2006/relationships" r:id="rId14"/>
          <a:extLst>
            <a:ext uri="{FF2B5EF4-FFF2-40B4-BE49-F238E27FC236}">
              <a16:creationId xmlns:a16="http://schemas.microsoft.com/office/drawing/2014/main" id="{057AC047-90E4-4B5B-9450-B3ADAAE00448}"/>
            </a:ext>
          </a:extLst>
        </xdr:cNvPr>
        <xdr:cNvSpPr/>
      </xdr:nvSpPr>
      <xdr:spPr>
        <a:xfrm>
          <a:off x="11334750" y="3600450"/>
          <a:ext cx="2000250" cy="666750"/>
        </a:xfrm>
        <a:prstGeom prst="flowChartProcess">
          <a:avLst/>
        </a:prstGeom>
        <a:solidFill>
          <a:schemeClr val="accent4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200" b="1">
              <a:solidFill>
                <a:schemeClr val="bg1"/>
              </a:solidFill>
            </a:rPr>
            <a:t>Daten Marktverbindungen</a:t>
          </a:r>
          <a:r>
            <a:rPr lang="en-US" sz="1200" b="1" baseline="0">
              <a:solidFill>
                <a:schemeClr val="bg1"/>
              </a:solidFill>
            </a:rPr>
            <a:t> Region-Region</a:t>
          </a:r>
          <a:endParaRPr lang="en-US" sz="1200" b="1">
            <a:solidFill>
              <a:schemeClr val="bg1"/>
            </a:solidFill>
          </a:endParaRPr>
        </a:p>
      </xdr:txBody>
    </xdr:sp>
    <xdr:clientData/>
  </xdr:twoCellAnchor>
  <xdr:twoCellAnchor>
    <xdr:from>
      <xdr:col>13</xdr:col>
      <xdr:colOff>190499</xdr:colOff>
      <xdr:row>18</xdr:row>
      <xdr:rowOff>9525</xdr:rowOff>
    </xdr:from>
    <xdr:to>
      <xdr:col>15</xdr:col>
      <xdr:colOff>504824</xdr:colOff>
      <xdr:row>20</xdr:row>
      <xdr:rowOff>123825</xdr:rowOff>
    </xdr:to>
    <xdr:cxnSp macro="">
      <xdr:nvCxnSpPr>
        <xdr:cNvPr id="150" name="Straight Arrow Connector 14">
          <a:extLst>
            <a:ext uri="{FF2B5EF4-FFF2-40B4-BE49-F238E27FC236}">
              <a16:creationId xmlns:a16="http://schemas.microsoft.com/office/drawing/2014/main" id="{D3ADC29E-6A8E-44EC-841F-4CF1D549158F}"/>
            </a:ext>
          </a:extLst>
        </xdr:cNvPr>
        <xdr:cNvCxnSpPr>
          <a:stCxn id="136" idx="2"/>
          <a:endCxn id="149" idx="1"/>
        </xdr:cNvCxnSpPr>
      </xdr:nvCxnSpPr>
      <xdr:spPr>
        <a:xfrm rot="16200000" flipH="1">
          <a:off x="10320337" y="2919412"/>
          <a:ext cx="495300" cy="1533525"/>
        </a:xfrm>
        <a:prstGeom prst="bentConnector2">
          <a:avLst/>
        </a:prstGeom>
        <a:ln>
          <a:tailEnd type="triangle"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1</xdr:col>
      <xdr:colOff>9525</xdr:colOff>
      <xdr:row>14</xdr:row>
      <xdr:rowOff>95250</xdr:rowOff>
    </xdr:from>
    <xdr:to>
      <xdr:col>17</xdr:col>
      <xdr:colOff>285750</xdr:colOff>
      <xdr:row>18</xdr:row>
      <xdr:rowOff>171450</xdr:rowOff>
    </xdr:to>
    <xdr:cxnSp macro="">
      <xdr:nvCxnSpPr>
        <xdr:cNvPr id="158" name="Connector: Elbow 157">
          <a:extLst>
            <a:ext uri="{FF2B5EF4-FFF2-40B4-BE49-F238E27FC236}">
              <a16:creationId xmlns:a16="http://schemas.microsoft.com/office/drawing/2014/main" id="{AFDC44DC-B882-4A1B-9C71-F3AB11FAA0E2}"/>
            </a:ext>
          </a:extLst>
        </xdr:cNvPr>
        <xdr:cNvCxnSpPr>
          <a:stCxn id="5" idx="0"/>
          <a:endCxn id="149" idx="0"/>
        </xdr:cNvCxnSpPr>
      </xdr:nvCxnSpPr>
      <xdr:spPr>
        <a:xfrm rot="16200000" flipH="1">
          <a:off x="6248400" y="-2486025"/>
          <a:ext cx="838200" cy="11334750"/>
        </a:xfrm>
        <a:prstGeom prst="bentConnector3">
          <a:avLst>
            <a:gd name="adj1" fmla="val -302273"/>
          </a:avLst>
        </a:prstGeom>
        <a:ln>
          <a:tailEnd type="triangle"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2</xdr:col>
      <xdr:colOff>457763</xdr:colOff>
      <xdr:row>36</xdr:row>
      <xdr:rowOff>142875</xdr:rowOff>
    </xdr:from>
    <xdr:to>
      <xdr:col>4</xdr:col>
      <xdr:colOff>314888</xdr:colOff>
      <xdr:row>40</xdr:row>
      <xdr:rowOff>47625</xdr:rowOff>
    </xdr:to>
    <xdr:sp macro="" textlink="">
      <xdr:nvSpPr>
        <xdr:cNvPr id="172" name="Flowchart: Process 171">
          <a:hlinkClick xmlns:r="http://schemas.openxmlformats.org/officeDocument/2006/relationships" r:id="rId15"/>
          <a:extLst>
            <a:ext uri="{FF2B5EF4-FFF2-40B4-BE49-F238E27FC236}">
              <a16:creationId xmlns:a16="http://schemas.microsoft.com/office/drawing/2014/main" id="{864A57A1-F536-4DC6-97F8-C2341CAE3CB0}"/>
            </a:ext>
          </a:extLst>
        </xdr:cNvPr>
        <xdr:cNvSpPr/>
      </xdr:nvSpPr>
      <xdr:spPr>
        <a:xfrm>
          <a:off x="2429998" y="7000875"/>
          <a:ext cx="1997449" cy="666750"/>
        </a:xfrm>
        <a:prstGeom prst="flowChartProcess">
          <a:avLst/>
        </a:prstGeom>
        <a:solidFill>
          <a:schemeClr val="accent6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200" b="1">
              <a:solidFill>
                <a:schemeClr val="bg1"/>
              </a:solidFill>
            </a:rPr>
            <a:t>Definition</a:t>
          </a:r>
          <a:r>
            <a:rPr lang="en-US" sz="1200" b="1" baseline="0">
              <a:solidFill>
                <a:schemeClr val="bg1"/>
              </a:solidFill>
            </a:rPr>
            <a:t> von Speichern</a:t>
          </a:r>
          <a:endParaRPr lang="en-US" sz="1200" b="1">
            <a:solidFill>
              <a:schemeClr val="bg1"/>
            </a:solidFill>
          </a:endParaRPr>
        </a:p>
      </xdr:txBody>
    </xdr:sp>
    <xdr:clientData/>
  </xdr:twoCellAnchor>
  <xdr:twoCellAnchor>
    <xdr:from>
      <xdr:col>5</xdr:col>
      <xdr:colOff>38100</xdr:colOff>
      <xdr:row>36</xdr:row>
      <xdr:rowOff>142875</xdr:rowOff>
    </xdr:from>
    <xdr:to>
      <xdr:col>8</xdr:col>
      <xdr:colOff>209550</xdr:colOff>
      <xdr:row>40</xdr:row>
      <xdr:rowOff>47625</xdr:rowOff>
    </xdr:to>
    <xdr:sp macro="" textlink="">
      <xdr:nvSpPr>
        <xdr:cNvPr id="173" name="Flowchart: Process 172">
          <a:hlinkClick xmlns:r="http://schemas.openxmlformats.org/officeDocument/2006/relationships" r:id="rId16"/>
          <a:extLst>
            <a:ext uri="{FF2B5EF4-FFF2-40B4-BE49-F238E27FC236}">
              <a16:creationId xmlns:a16="http://schemas.microsoft.com/office/drawing/2014/main" id="{9E4253CD-0DE5-43D6-989D-A4AB4E7D2A77}"/>
            </a:ext>
          </a:extLst>
        </xdr:cNvPr>
        <xdr:cNvSpPr/>
      </xdr:nvSpPr>
      <xdr:spPr>
        <a:xfrm>
          <a:off x="4755776" y="7000875"/>
          <a:ext cx="1986803" cy="666750"/>
        </a:xfrm>
        <a:prstGeom prst="flowChartProcess">
          <a:avLst/>
        </a:prstGeom>
        <a:solidFill>
          <a:schemeClr val="accent6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200" b="1">
              <a:solidFill>
                <a:schemeClr val="bg1"/>
              </a:solidFill>
            </a:rPr>
            <a:t>Marktverbindungen</a:t>
          </a:r>
          <a:r>
            <a:rPr lang="en-US" sz="1200" b="1" baseline="0">
              <a:solidFill>
                <a:schemeClr val="bg1"/>
              </a:solidFill>
            </a:rPr>
            <a:t> Speicher-Region</a:t>
          </a:r>
          <a:endParaRPr lang="en-US" sz="1200" b="1">
            <a:solidFill>
              <a:schemeClr val="bg1"/>
            </a:solidFill>
          </a:endParaRPr>
        </a:p>
      </xdr:txBody>
    </xdr:sp>
    <xdr:clientData/>
  </xdr:twoCellAnchor>
  <xdr:twoCellAnchor>
    <xdr:from>
      <xdr:col>1</xdr:col>
      <xdr:colOff>9526</xdr:colOff>
      <xdr:row>17</xdr:row>
      <xdr:rowOff>190499</xdr:rowOff>
    </xdr:from>
    <xdr:to>
      <xdr:col>1</xdr:col>
      <xdr:colOff>168090</xdr:colOff>
      <xdr:row>52</xdr:row>
      <xdr:rowOff>98050</xdr:rowOff>
    </xdr:to>
    <xdr:cxnSp macro="">
      <xdr:nvCxnSpPr>
        <xdr:cNvPr id="174" name="Connector: Elbow 173">
          <a:extLst>
            <a:ext uri="{FF2B5EF4-FFF2-40B4-BE49-F238E27FC236}">
              <a16:creationId xmlns:a16="http://schemas.microsoft.com/office/drawing/2014/main" id="{132A2C1A-7687-46BD-A247-4B6837BC5BB5}"/>
            </a:ext>
          </a:extLst>
        </xdr:cNvPr>
        <xdr:cNvCxnSpPr>
          <a:stCxn id="5" idx="2"/>
          <a:endCxn id="188" idx="1"/>
        </xdr:cNvCxnSpPr>
      </xdr:nvCxnSpPr>
      <xdr:spPr>
        <a:xfrm rot="16200000" flipH="1">
          <a:off x="-2212600" y="6637243"/>
          <a:ext cx="6575051" cy="158564"/>
        </a:xfrm>
        <a:prstGeom prst="bentConnector2">
          <a:avLst/>
        </a:prstGeom>
        <a:ln>
          <a:tailEnd type="triangle"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2</xdr:col>
      <xdr:colOff>485775</xdr:colOff>
      <xdr:row>12</xdr:row>
      <xdr:rowOff>104775</xdr:rowOff>
    </xdr:from>
    <xdr:to>
      <xdr:col>6</xdr:col>
      <xdr:colOff>426384</xdr:colOff>
      <xdr:row>40</xdr:row>
      <xdr:rowOff>47625</xdr:rowOff>
    </xdr:to>
    <xdr:cxnSp macro="">
      <xdr:nvCxnSpPr>
        <xdr:cNvPr id="177" name="Connector: Elbow 176">
          <a:extLst>
            <a:ext uri="{FF2B5EF4-FFF2-40B4-BE49-F238E27FC236}">
              <a16:creationId xmlns:a16="http://schemas.microsoft.com/office/drawing/2014/main" id="{0E0573D6-EFAF-4F68-9154-D877DE73DB4F}"/>
            </a:ext>
          </a:extLst>
        </xdr:cNvPr>
        <xdr:cNvCxnSpPr>
          <a:stCxn id="6" idx="1"/>
          <a:endCxn id="173" idx="2"/>
        </xdr:cNvCxnSpPr>
      </xdr:nvCxnSpPr>
      <xdr:spPr>
        <a:xfrm rot="10800000" flipH="1" flipV="1">
          <a:off x="2458010" y="2390775"/>
          <a:ext cx="3291168" cy="5276850"/>
        </a:xfrm>
        <a:prstGeom prst="bentConnector4">
          <a:avLst>
            <a:gd name="adj1" fmla="val -3541"/>
            <a:gd name="adj2" fmla="val 104332"/>
          </a:avLst>
        </a:prstGeom>
        <a:ln>
          <a:tailEnd type="triangle"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9</xdr:col>
      <xdr:colOff>66675</xdr:colOff>
      <xdr:row>36</xdr:row>
      <xdr:rowOff>146237</xdr:rowOff>
    </xdr:from>
    <xdr:to>
      <xdr:col>12</xdr:col>
      <xdr:colOff>238125</xdr:colOff>
      <xdr:row>40</xdr:row>
      <xdr:rowOff>50987</xdr:rowOff>
    </xdr:to>
    <xdr:sp macro="" textlink="">
      <xdr:nvSpPr>
        <xdr:cNvPr id="183" name="Flowchart: Process 182">
          <a:hlinkClick xmlns:r="http://schemas.openxmlformats.org/officeDocument/2006/relationships" r:id="rId17"/>
          <a:extLst>
            <a:ext uri="{FF2B5EF4-FFF2-40B4-BE49-F238E27FC236}">
              <a16:creationId xmlns:a16="http://schemas.microsoft.com/office/drawing/2014/main" id="{A6F308D9-A291-4A3F-8FAD-6CAF04365498}"/>
            </a:ext>
          </a:extLst>
        </xdr:cNvPr>
        <xdr:cNvSpPr/>
      </xdr:nvSpPr>
      <xdr:spPr>
        <a:xfrm>
          <a:off x="7204822" y="7004237"/>
          <a:ext cx="1986803" cy="666750"/>
        </a:xfrm>
        <a:prstGeom prst="flowChartProcess">
          <a:avLst/>
        </a:prstGeom>
        <a:solidFill>
          <a:schemeClr val="accent6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200" b="1">
              <a:solidFill>
                <a:schemeClr val="bg1"/>
              </a:solidFill>
            </a:rPr>
            <a:t>Daten Marktverbindungen</a:t>
          </a:r>
          <a:r>
            <a:rPr lang="en-US" sz="1200" b="1" baseline="0">
              <a:solidFill>
                <a:schemeClr val="bg1"/>
              </a:solidFill>
            </a:rPr>
            <a:t> Speicher-Region</a:t>
          </a:r>
          <a:endParaRPr lang="en-US" sz="1200" b="1">
            <a:solidFill>
              <a:schemeClr val="bg1"/>
            </a:solidFill>
          </a:endParaRPr>
        </a:p>
      </xdr:txBody>
    </xdr:sp>
    <xdr:clientData/>
  </xdr:twoCellAnchor>
  <xdr:twoCellAnchor>
    <xdr:from>
      <xdr:col>1</xdr:col>
      <xdr:colOff>9525</xdr:colOff>
      <xdr:row>17</xdr:row>
      <xdr:rowOff>190499</xdr:rowOff>
    </xdr:from>
    <xdr:to>
      <xdr:col>10</xdr:col>
      <xdr:colOff>454959</xdr:colOff>
      <xdr:row>40</xdr:row>
      <xdr:rowOff>50986</xdr:rowOff>
    </xdr:to>
    <xdr:cxnSp macro="">
      <xdr:nvCxnSpPr>
        <xdr:cNvPr id="184" name="Connector: Elbow 183">
          <a:extLst>
            <a:ext uri="{FF2B5EF4-FFF2-40B4-BE49-F238E27FC236}">
              <a16:creationId xmlns:a16="http://schemas.microsoft.com/office/drawing/2014/main" id="{28C01EC8-CC88-46DB-B6DC-3F566D94316D}"/>
            </a:ext>
          </a:extLst>
        </xdr:cNvPr>
        <xdr:cNvCxnSpPr>
          <a:stCxn id="5" idx="2"/>
          <a:endCxn id="183" idx="2"/>
        </xdr:cNvCxnSpPr>
      </xdr:nvCxnSpPr>
      <xdr:spPr>
        <a:xfrm rot="16200000" flipH="1">
          <a:off x="2475940" y="1948702"/>
          <a:ext cx="4241987" cy="7202581"/>
        </a:xfrm>
        <a:prstGeom prst="bentConnector3">
          <a:avLst>
            <a:gd name="adj1" fmla="val 105389"/>
          </a:avLst>
        </a:prstGeom>
        <a:ln>
          <a:tailEnd type="triangle"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1</xdr:col>
      <xdr:colOff>168089</xdr:colOff>
      <xdr:row>50</xdr:row>
      <xdr:rowOff>145676</xdr:rowOff>
    </xdr:from>
    <xdr:to>
      <xdr:col>2</xdr:col>
      <xdr:colOff>1168775</xdr:colOff>
      <xdr:row>54</xdr:row>
      <xdr:rowOff>50426</xdr:rowOff>
    </xdr:to>
    <xdr:sp macro="" textlink="">
      <xdr:nvSpPr>
        <xdr:cNvPr id="188" name="Flowchart: Process 187">
          <a:hlinkClick xmlns:r="http://schemas.openxmlformats.org/officeDocument/2006/relationships" r:id="rId18"/>
          <a:extLst>
            <a:ext uri="{FF2B5EF4-FFF2-40B4-BE49-F238E27FC236}">
              <a16:creationId xmlns:a16="http://schemas.microsoft.com/office/drawing/2014/main" id="{38054522-41B7-4290-B5B5-026227420B6D}"/>
            </a:ext>
          </a:extLst>
        </xdr:cNvPr>
        <xdr:cNvSpPr/>
      </xdr:nvSpPr>
      <xdr:spPr>
        <a:xfrm>
          <a:off x="1154207" y="9670676"/>
          <a:ext cx="1986803" cy="666750"/>
        </a:xfrm>
        <a:prstGeom prst="flowChartProcess">
          <a:avLst/>
        </a:prstGeom>
        <a:solidFill>
          <a:srgbClr val="FF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200" b="1">
              <a:solidFill>
                <a:schemeClr val="bg1"/>
              </a:solidFill>
            </a:rPr>
            <a:t>LNG-Verbrauch außerhalb</a:t>
          </a:r>
        </a:p>
      </xdr:txBody>
    </xdr:sp>
    <xdr:clientData/>
  </xdr:twoCellAnchor>
  <xdr:twoCellAnchor>
    <xdr:from>
      <xdr:col>13</xdr:col>
      <xdr:colOff>17930</xdr:colOff>
      <xdr:row>36</xdr:row>
      <xdr:rowOff>150719</xdr:rowOff>
    </xdr:from>
    <xdr:to>
      <xdr:col>16</xdr:col>
      <xdr:colOff>184897</xdr:colOff>
      <xdr:row>40</xdr:row>
      <xdr:rowOff>55469</xdr:rowOff>
    </xdr:to>
    <xdr:sp macro="" textlink="">
      <xdr:nvSpPr>
        <xdr:cNvPr id="189" name="Flowchart: Process 188">
          <a:hlinkClick xmlns:r="http://schemas.openxmlformats.org/officeDocument/2006/relationships" r:id="rId19"/>
          <a:extLst>
            <a:ext uri="{FF2B5EF4-FFF2-40B4-BE49-F238E27FC236}">
              <a16:creationId xmlns:a16="http://schemas.microsoft.com/office/drawing/2014/main" id="{4118B3EB-8EBA-4346-93A3-D9BCE6F363F8}"/>
            </a:ext>
          </a:extLst>
        </xdr:cNvPr>
        <xdr:cNvSpPr/>
      </xdr:nvSpPr>
      <xdr:spPr>
        <a:xfrm>
          <a:off x="9576548" y="7008719"/>
          <a:ext cx="1982320" cy="666750"/>
        </a:xfrm>
        <a:prstGeom prst="flowChartProcess">
          <a:avLst/>
        </a:prstGeom>
        <a:solidFill>
          <a:schemeClr val="accent6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200" b="1" i="1">
              <a:solidFill>
                <a:schemeClr val="bg1"/>
              </a:solidFill>
            </a:rPr>
            <a:t>Speicherfüllgrad (TBC)</a:t>
          </a:r>
        </a:p>
      </xdr:txBody>
    </xdr:sp>
    <xdr:clientData/>
  </xdr:twoCellAnchor>
  <xdr:twoCellAnchor>
    <xdr:from>
      <xdr:col>1</xdr:col>
      <xdr:colOff>9526</xdr:colOff>
      <xdr:row>17</xdr:row>
      <xdr:rowOff>190499</xdr:rowOff>
    </xdr:from>
    <xdr:to>
      <xdr:col>1</xdr:col>
      <xdr:colOff>181538</xdr:colOff>
      <xdr:row>47</xdr:row>
      <xdr:rowOff>177052</xdr:rowOff>
    </xdr:to>
    <xdr:cxnSp macro="">
      <xdr:nvCxnSpPr>
        <xdr:cNvPr id="40" name="Connector: Elbow 39">
          <a:extLst>
            <a:ext uri="{FF2B5EF4-FFF2-40B4-BE49-F238E27FC236}">
              <a16:creationId xmlns:a16="http://schemas.microsoft.com/office/drawing/2014/main" id="{4D50C1CF-591F-48C6-B6C8-2FF9B2483E97}"/>
            </a:ext>
          </a:extLst>
        </xdr:cNvPr>
        <xdr:cNvCxnSpPr>
          <a:stCxn id="5" idx="2"/>
          <a:endCxn id="2" idx="1"/>
        </xdr:cNvCxnSpPr>
      </xdr:nvCxnSpPr>
      <xdr:spPr>
        <a:xfrm rot="16200000" flipH="1">
          <a:off x="-1769127" y="6193770"/>
          <a:ext cx="5701553" cy="172012"/>
        </a:xfrm>
        <a:prstGeom prst="bentConnector2">
          <a:avLst/>
        </a:prstGeom>
        <a:ln>
          <a:tailEnd type="triangle"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4</xdr:col>
      <xdr:colOff>314888</xdr:colOff>
      <xdr:row>38</xdr:row>
      <xdr:rowOff>95250</xdr:rowOff>
    </xdr:from>
    <xdr:to>
      <xdr:col>5</xdr:col>
      <xdr:colOff>38100</xdr:colOff>
      <xdr:row>38</xdr:row>
      <xdr:rowOff>95250</xdr:rowOff>
    </xdr:to>
    <xdr:cxnSp macro="">
      <xdr:nvCxnSpPr>
        <xdr:cNvPr id="46" name="Connector: Elbow 176">
          <a:extLst>
            <a:ext uri="{FF2B5EF4-FFF2-40B4-BE49-F238E27FC236}">
              <a16:creationId xmlns:a16="http://schemas.microsoft.com/office/drawing/2014/main" id="{83DDE113-54E8-41B2-9E73-68551D2DA185}"/>
            </a:ext>
          </a:extLst>
        </xdr:cNvPr>
        <xdr:cNvCxnSpPr>
          <a:stCxn id="172" idx="3"/>
          <a:endCxn id="173" idx="1"/>
        </xdr:cNvCxnSpPr>
      </xdr:nvCxnSpPr>
      <xdr:spPr>
        <a:xfrm>
          <a:off x="4427447" y="7334250"/>
          <a:ext cx="328329" cy="0"/>
        </a:xfrm>
        <a:prstGeom prst="straightConnector1">
          <a:avLst/>
        </a:prstGeom>
        <a:ln>
          <a:tailEnd type="triangle"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8</xdr:col>
      <xdr:colOff>209550</xdr:colOff>
      <xdr:row>38</xdr:row>
      <xdr:rowOff>95250</xdr:rowOff>
    </xdr:from>
    <xdr:to>
      <xdr:col>9</xdr:col>
      <xdr:colOff>66675</xdr:colOff>
      <xdr:row>38</xdr:row>
      <xdr:rowOff>98612</xdr:rowOff>
    </xdr:to>
    <xdr:cxnSp macro="">
      <xdr:nvCxnSpPr>
        <xdr:cNvPr id="49" name="Connector: Elbow 176">
          <a:extLst>
            <a:ext uri="{FF2B5EF4-FFF2-40B4-BE49-F238E27FC236}">
              <a16:creationId xmlns:a16="http://schemas.microsoft.com/office/drawing/2014/main" id="{60909C0F-1F22-4BB8-B7EC-73147F360875}"/>
            </a:ext>
          </a:extLst>
        </xdr:cNvPr>
        <xdr:cNvCxnSpPr>
          <a:stCxn id="173" idx="3"/>
          <a:endCxn id="183" idx="1"/>
        </xdr:cNvCxnSpPr>
      </xdr:nvCxnSpPr>
      <xdr:spPr>
        <a:xfrm>
          <a:off x="6742579" y="7334250"/>
          <a:ext cx="462243" cy="3362"/>
        </a:xfrm>
        <a:prstGeom prst="straightConnector1">
          <a:avLst/>
        </a:prstGeom>
        <a:ln>
          <a:tailEnd type="triangle"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238125</xdr:colOff>
      <xdr:row>38</xdr:row>
      <xdr:rowOff>98612</xdr:rowOff>
    </xdr:from>
    <xdr:to>
      <xdr:col>13</xdr:col>
      <xdr:colOff>17930</xdr:colOff>
      <xdr:row>38</xdr:row>
      <xdr:rowOff>103094</xdr:rowOff>
    </xdr:to>
    <xdr:cxnSp macro="">
      <xdr:nvCxnSpPr>
        <xdr:cNvPr id="52" name="Connector: Elbow 176">
          <a:extLst>
            <a:ext uri="{FF2B5EF4-FFF2-40B4-BE49-F238E27FC236}">
              <a16:creationId xmlns:a16="http://schemas.microsoft.com/office/drawing/2014/main" id="{3A3C5AC1-CD01-4E21-8D19-AB0B8FE8CF6A}"/>
            </a:ext>
          </a:extLst>
        </xdr:cNvPr>
        <xdr:cNvCxnSpPr>
          <a:stCxn id="183" idx="3"/>
          <a:endCxn id="189" idx="1"/>
        </xdr:cNvCxnSpPr>
      </xdr:nvCxnSpPr>
      <xdr:spPr>
        <a:xfrm>
          <a:off x="9191625" y="7337612"/>
          <a:ext cx="384923" cy="4482"/>
        </a:xfrm>
        <a:prstGeom prst="straightConnector1">
          <a:avLst/>
        </a:prstGeom>
        <a:ln>
          <a:tailEnd type="triangle"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Z:\Sync\Dokumente\Arbeit\TEAMConsult\Nordstream\Databook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Instructions"/>
      <sheetName val="Proposed Data Collection"/>
      <sheetName val="Scenario"/>
      <sheetName val="LNG &gt; Price Curve"/>
      <sheetName val="LNG &gt; Other Demand"/>
      <sheetName val="Regions &gt; Index"/>
      <sheetName val="Regions &gt; Demand"/>
      <sheetName val="Regions &gt; Production"/>
      <sheetName val="Piped Importers &gt; Index"/>
      <sheetName val="Piped Importers &gt; Production"/>
      <sheetName val="Piped Importers &gt; Connections"/>
      <sheetName val="Piped Importers &gt; Data"/>
      <sheetName val="LNG Importers &gt; Index"/>
      <sheetName val="LNG Importers &gt; Connections"/>
      <sheetName val="LNG Importers &gt; Data"/>
      <sheetName val="Connections &gt; Index"/>
      <sheetName val="Connections &gt; Data"/>
      <sheetName val="Piped Exporters &gt; Index"/>
      <sheetName val="Piped Exporters &gt; Demand"/>
      <sheetName val="Piped Exporters &gt; Connections"/>
      <sheetName val="Storage &gt; Index"/>
      <sheetName val="Storage &gt; Target Balance"/>
      <sheetName val="Unit Conversions"/>
      <sheetName val="Forex Conversions"/>
      <sheetName val="Cycles"/>
      <sheetName val="External Data"/>
      <sheetName val="Version Control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  <sheetData sheetId="14"/>
      <sheetData sheetId="15"/>
      <sheetData sheetId="16"/>
      <sheetData sheetId="17"/>
      <sheetData sheetId="18"/>
      <sheetData sheetId="19"/>
      <sheetData sheetId="20"/>
      <sheetData sheetId="21"/>
      <sheetData sheetId="22">
        <row r="4">
          <cell r="B4">
            <v>35.17</v>
          </cell>
        </row>
      </sheetData>
      <sheetData sheetId="23"/>
      <sheetData sheetId="24"/>
      <sheetData sheetId="25"/>
      <sheetData sheetId="26"/>
    </sheetDataSet>
  </externalBook>
</externalLink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Flo" refreshedDate="44488.900078009261" backgroundQuery="1" createdVersion="7" refreshedVersion="7" minRefreshableVersion="3" recordCount="12" xr:uid="{2FCD6BB2-2E51-4789-A181-4A71B59A7B5A}">
  <cacheSource type="external" connectionId="1"/>
  <cacheFields count="4">
    <cacheField name="Year" numFmtId="0">
      <sharedItems containsSemiMixedTypes="0" containsString="0" containsNumber="1" containsInteger="1" minValue="2021" maxValue="2021" count="1">
        <n v="2021"/>
      </sharedItems>
    </cacheField>
    <cacheField name="Month" numFmtId="0">
      <sharedItems containsSemiMixedTypes="0" containsString="0" containsNumber="1" containsInteger="1" minValue="5" maxValue="10" count="6">
        <n v="5"/>
        <n v="6"/>
        <n v="7"/>
        <n v="8"/>
        <n v="9"/>
        <n v="10"/>
      </sharedItems>
    </cacheField>
    <cacheField name="Interbank Rate" numFmtId="0">
      <sharedItems containsSemiMixedTypes="0" containsString="0" containsNumber="1" minValue="0.84920600000000002" maxValue="1.2146490000000001" count="12">
        <n v="1.2146490000000001"/>
        <n v="1.2039260000000001"/>
        <n v="1.1825410000000001"/>
        <n v="1.1770229999999999"/>
        <n v="1.1773579999999999"/>
        <n v="1.158342"/>
        <n v="0.86335700000000004"/>
        <n v="0.85900900000000002"/>
        <n v="0.85619400000000001"/>
        <n v="0.85315600000000003"/>
        <n v="0.85644299999999995"/>
        <n v="0.84920600000000002"/>
      </sharedItems>
    </cacheField>
    <cacheField name="Currency" numFmtId="0">
      <sharedItems count="2">
        <s v="USD"/>
        <s v="GBP"/>
      </sharedItems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12">
  <r>
    <x v="0"/>
    <x v="0"/>
    <x v="0"/>
    <x v="0"/>
  </r>
  <r>
    <x v="0"/>
    <x v="1"/>
    <x v="1"/>
    <x v="0"/>
  </r>
  <r>
    <x v="0"/>
    <x v="2"/>
    <x v="2"/>
    <x v="0"/>
  </r>
  <r>
    <x v="0"/>
    <x v="3"/>
    <x v="3"/>
    <x v="0"/>
  </r>
  <r>
    <x v="0"/>
    <x v="4"/>
    <x v="4"/>
    <x v="0"/>
  </r>
  <r>
    <x v="0"/>
    <x v="5"/>
    <x v="5"/>
    <x v="0"/>
  </r>
  <r>
    <x v="0"/>
    <x v="0"/>
    <x v="6"/>
    <x v="1"/>
  </r>
  <r>
    <x v="0"/>
    <x v="1"/>
    <x v="7"/>
    <x v="1"/>
  </r>
  <r>
    <x v="0"/>
    <x v="2"/>
    <x v="8"/>
    <x v="1"/>
  </r>
  <r>
    <x v="0"/>
    <x v="3"/>
    <x v="9"/>
    <x v="1"/>
  </r>
  <r>
    <x v="0"/>
    <x v="4"/>
    <x v="10"/>
    <x v="1"/>
  </r>
  <r>
    <x v="0"/>
    <x v="5"/>
    <x v="11"/>
    <x v="1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CD3279A7-0D5E-4BC3-92EA-AB55648DC2E1}" name="PivotTable1" cacheId="3" applyNumberFormats="0" applyBorderFormats="0" applyFontFormats="0" applyPatternFormats="0" applyAlignmentFormats="0" applyWidthHeightFormats="1" dataCaption="Values" updatedVersion="7" minRefreshableVersion="3" useAutoFormatting="1" rowGrandTotals="0" colGrandTotals="0" itemPrintTitles="1" createdVersion="7" indent="0" outline="1" outlineData="1" multipleFieldFilters="0" fieldListSortAscending="1">
  <location ref="A3:C11" firstHeaderRow="1" firstDataRow="2" firstDataCol="1"/>
  <pivotFields count="4">
    <pivotField axis="axisRow" showAll="0" defaultSubtotal="0">
      <items count="1">
        <item x="0"/>
      </items>
    </pivotField>
    <pivotField axis="axisRow" showAll="0">
      <items count="7">
        <item x="0"/>
        <item x="1"/>
        <item x="2"/>
        <item x="3"/>
        <item x="4"/>
        <item x="5"/>
        <item t="default"/>
      </items>
    </pivotField>
    <pivotField dataField="1" showAll="0"/>
    <pivotField axis="axisCol" showAll="0">
      <items count="3">
        <item x="1"/>
        <item x="0"/>
        <item t="default"/>
      </items>
    </pivotField>
  </pivotFields>
  <rowFields count="2">
    <field x="0"/>
    <field x="1"/>
  </rowFields>
  <rowItems count="7">
    <i>
      <x/>
    </i>
    <i r="1">
      <x/>
    </i>
    <i r="1">
      <x v="1"/>
    </i>
    <i r="1">
      <x v="2"/>
    </i>
    <i r="1">
      <x v="3"/>
    </i>
    <i r="1">
      <x v="4"/>
    </i>
    <i r="1">
      <x v="5"/>
    </i>
  </rowItems>
  <colFields count="1">
    <field x="3"/>
  </colFields>
  <colItems count="2">
    <i>
      <x/>
    </i>
    <i>
      <x v="1"/>
    </i>
  </colItems>
  <dataFields count="1">
    <dataField name="Sum of Interbank Rate" fld="2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23ED35FA-D665-4797-B290-C21E34CA1115}" name="TBL_INSTRUCTIONS" displayName="TBL_INSTRUCTIONS" ref="B3:D4" insertRow="1" totalsRowShown="0" headerRowDxfId="240" dataDxfId="238" headerRowBorderDxfId="239" tableBorderDxfId="237" totalsRowBorderDxfId="236">
  <autoFilter ref="B3:D4" xr:uid="{23ED35FA-D665-4797-B290-C21E34CA1115}"/>
  <tableColumns count="3">
    <tableColumn id="1" xr3:uid="{4E5EDBF7-8E96-4711-B615-A1F0CA060770}" name="Spalte 1" dataDxfId="235"/>
    <tableColumn id="2" xr3:uid="{34CB25CC-44B6-4AF1-9E40-FB9C9F7983D1}" name="Spalte 2" dataDxfId="234"/>
    <tableColumn id="3" xr3:uid="{935455CB-CC6A-4A3D-984E-584929F9A943}" name="Spalte 3" dataDxfId="233"/>
  </tableColumns>
  <tableStyleInfo name="TableStyleMedium3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4" xr:uid="{309D25F2-44E6-42E8-BE24-3F223C3937C8}" name="TBL_OTHER_LNG_DEMAND" displayName="TBL_OTHER_LNG_DEMAND" ref="A5:S6" totalsRowShown="0" headerRowDxfId="232" dataDxfId="231">
  <autoFilter ref="A5:S6" xr:uid="{8751DC78-FCE5-4BB4-8671-C7AC44AED329}"/>
  <tableColumns count="19">
    <tableColumn id="1" xr3:uid="{04F9B2BD-E1A3-4450-A27A-5FA70866CBB0}" name="Demand" dataDxfId="230"/>
    <tableColumn id="3" xr3:uid="{3ADC0D39-85A1-40AF-9F52-32F002EDD8E0}" name="Aug-21" dataDxfId="229"/>
    <tableColumn id="4" xr3:uid="{DEA42AEE-CC05-4D8D-B13A-227EBC2030C7}" name="Sep-21" dataDxfId="228"/>
    <tableColumn id="5" xr3:uid="{0A5A481C-5646-44C7-8767-B1BDAE5DC768}" name="Okt-21" dataDxfId="227"/>
    <tableColumn id="6" xr3:uid="{4CFAB43A-056D-4AE8-B252-D3212C41E937}" name="Nov-21" dataDxfId="226"/>
    <tableColumn id="7" xr3:uid="{B6DC47FA-921C-49F5-A2A1-298FE806339F}" name="Dez-21" dataDxfId="225"/>
    <tableColumn id="8" xr3:uid="{538AF47D-6540-41E6-8189-60AC2649719F}" name="Jan-22" dataDxfId="224"/>
    <tableColumn id="9" xr3:uid="{5E98711E-400C-4E4B-9AB8-D26BE0869ABF}" name="Feb-22" dataDxfId="223"/>
    <tableColumn id="10" xr3:uid="{25AEAFED-CABA-44FB-8700-782BF4B57970}" name="Mrz-22" dataDxfId="222"/>
    <tableColumn id="11" xr3:uid="{0BE30021-8AE1-4663-91C9-F5A4F72BC237}" name="Apr-22" dataDxfId="221"/>
    <tableColumn id="12" xr3:uid="{5AFA7D65-8F33-4E50-9A61-DC41EF6011C7}" name="Mai-22" dataDxfId="220"/>
    <tableColumn id="13" xr3:uid="{1DA4DFF0-1751-4B16-B77B-A12270CBB85F}" name="Jun-22" dataDxfId="219"/>
    <tableColumn id="14" xr3:uid="{697E00BC-75CE-4D34-A325-DABCFE27973E}" name="Jul-22" dataDxfId="218"/>
    <tableColumn id="15" xr3:uid="{B1943EF2-2FE7-41FD-B8F5-D17077984561}" name="Aug-22" dataDxfId="217"/>
    <tableColumn id="16" xr3:uid="{870CEBFC-E691-43E2-B3A5-F904802B1707}" name="Sep-22" dataDxfId="216"/>
    <tableColumn id="17" xr3:uid="{B3480C27-9EAD-403A-AF15-7D1C92E0E6D9}" name="Okt-22" dataDxfId="215"/>
    <tableColumn id="18" xr3:uid="{A8DD9313-864D-47A5-BEF9-D0D5E28D45EB}" name="Nov-22" dataDxfId="214"/>
    <tableColumn id="19" xr3:uid="{B3FB3534-B685-45E4-9713-A4B9BE08842B}" name="Dez-22" dataDxfId="213"/>
    <tableColumn id="20" xr3:uid="{CE14C67D-56BB-459A-9021-DC79FE29FB8C}" name="Source/Comments" dataDxfId="212"/>
  </tableColumns>
  <tableStyleInfo name="TableStyleMedium3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4B56A734-63D0-4B31-86A0-BD4216FF0009}" name="TBL_REGIONS_INDEX" displayName="TBL_REGIONS_INDEX" ref="A5:E11" totalsRowShown="0" dataDxfId="210">
  <autoFilter ref="A5:E11" xr:uid="{4B56A734-63D0-4B31-86A0-BD4216FF0009}"/>
  <tableColumns count="5">
    <tableColumn id="2" xr3:uid="{1E67B4CC-2B15-441A-AAB5-DF1007E3257E}" name="Region" dataDxfId="209"/>
    <tableColumn id="1" xr3:uid="{EF68B607-957F-48E6-8340-00E4DB5229A0}" name="Index" dataDxfId="208">
      <calculatedColumnFormula>ROW(1:1)</calculatedColumnFormula>
    </tableColumn>
    <tableColumn id="3" xr3:uid="{D5E5BEE3-A91E-4212-99D2-DF8836097482}" name="Master" dataDxfId="207"/>
    <tableColumn id="4" xr3:uid="{1425BEEF-177B-4A8A-A71B-56511A11176E}" name="Comments" dataDxfId="206"/>
    <tableColumn id="5" xr3:uid="{3CFECBD0-A2C5-4996-9AD6-EE5624ACAD9E}" name="RegionID" dataDxfId="205">
      <calculatedColumnFormula>"Region_"&amp;TEXT(TBL_REGIONS_INDEX[[#This Row],[Index]],"000")</calculatedColumnFormula>
    </tableColumn>
  </tableColumns>
  <tableStyleInfo name="TableStyleMedium3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8751DC78-FCE5-4BB4-8671-C7AC44AED329}" name="TBL_DEMAND" displayName="TBL_DEMAND" ref="A5:U10" totalsRowShown="0" headerRowDxfId="204" dataDxfId="203">
  <autoFilter ref="A5:U10" xr:uid="{8751DC78-FCE5-4BB4-8671-C7AC44AED329}"/>
  <tableColumns count="21">
    <tableColumn id="1" xr3:uid="{DD38FE41-9FA7-4A61-906C-7A5357FF03B6}" name="Region" dataDxfId="202"/>
    <tableColumn id="2" xr3:uid="{FC287B56-0FEC-4F4D-AF46-CF2617AFEABE}" name="Index" dataDxfId="201">
      <calculatedColumnFormula>INDEX(TBL_REGIONS_INDEX[Index],MATCH(TBL_DEMAND[[#This Row],[Region]],TBL_REGIONS_INDEX[Region],0))</calculatedColumnFormula>
    </tableColumn>
    <tableColumn id="3" xr3:uid="{B2135DCC-6F1C-43F1-91E0-5AC2C9D2ED74}" name="Aug-21" dataDxfId="200"/>
    <tableColumn id="4" xr3:uid="{AC8D9F29-BBFB-4660-886D-3EAAD7EEB53E}" name="Sep-21" dataDxfId="199"/>
    <tableColumn id="5" xr3:uid="{7AA67216-5CAC-47DA-9AA2-CC9B528A020B}" name="Okt-21" dataDxfId="198"/>
    <tableColumn id="6" xr3:uid="{C92350F9-3047-4B3A-9DC0-3C6A7312A993}" name="Nov-21" dataDxfId="197"/>
    <tableColumn id="7" xr3:uid="{7409149A-C59A-4BAC-B62F-C9B59AA32124}" name="Dez-21" dataDxfId="196"/>
    <tableColumn id="8" xr3:uid="{809E4AFC-CAE2-42B3-899C-5A4F875DEC21}" name="Jan-22" dataDxfId="195"/>
    <tableColumn id="9" xr3:uid="{78B268E2-63E6-455E-B8A6-881A785DCE62}" name="Feb-22" dataDxfId="194"/>
    <tableColumn id="10" xr3:uid="{782A8A52-D0B8-43D0-9E7A-DAF31BBDA2C9}" name="Mrz-22" dataDxfId="193"/>
    <tableColumn id="11" xr3:uid="{6BB465B6-7FE5-45DF-930A-9C888749AD3C}" name="Apr-22" dataDxfId="192"/>
    <tableColumn id="12" xr3:uid="{55AD3E3E-468D-414F-9134-55B3AA3EDC5B}" name="Mai-22" dataDxfId="191"/>
    <tableColumn id="13" xr3:uid="{6B6E972C-E063-4785-A764-9D7453C72DED}" name="Jun-22" dataDxfId="190"/>
    <tableColumn id="14" xr3:uid="{BF57AA13-21CE-4486-9BD5-41C1E4241EC2}" name="Jul-22" dataDxfId="189"/>
    <tableColumn id="15" xr3:uid="{8CDC5B3A-DEDC-4AF1-A607-E8BA2B7D9565}" name="Aug-22" dataDxfId="188"/>
    <tableColumn id="16" xr3:uid="{E2954CCC-276C-44A2-94B6-EA633D9FFC8C}" name="Sep-22" dataDxfId="187"/>
    <tableColumn id="17" xr3:uid="{7CAAC090-2F14-4855-ABB8-52C2103479F8}" name="Okt-22" dataDxfId="186"/>
    <tableColumn id="18" xr3:uid="{1D69C69F-F48F-4170-887E-E093A24D94CE}" name="Nov-22" dataDxfId="185"/>
    <tableColumn id="19" xr3:uid="{E9B02E5C-F2B9-41A7-B804-B650096D7E99}" name="Dez-22" dataDxfId="184"/>
    <tableColumn id="20" xr3:uid="{07C088E2-9036-4FF5-9176-B9EF0D19FBC1}" name="Source/Comments" dataDxfId="183"/>
    <tableColumn id="21" xr3:uid="{821840CA-3ADC-4381-B3E8-0D2444FF1AB5}" name="DemandID" dataDxfId="182">
      <calculatedColumnFormula>"Demand_"&amp;TEXT(TBL_DEMAND[[#This Row],[Index]],"000")</calculatedColumnFormula>
    </tableColumn>
  </tableColumns>
  <tableStyleInfo name="TableStyleMedium3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D89BCF64-91E8-47DB-A840-13543090D92F}" name="TBL_PRODUCTION" displayName="TBL_PRODUCTION" ref="A5:U10" totalsRowShown="0" headerRowDxfId="181" dataDxfId="180">
  <autoFilter ref="A5:U10" xr:uid="{8751DC78-FCE5-4BB4-8671-C7AC44AED329}"/>
  <tableColumns count="21">
    <tableColumn id="1" xr3:uid="{491A1BAA-091D-4CBB-ACDF-E23D4860F310}" name="Region" dataDxfId="179"/>
    <tableColumn id="2" xr3:uid="{46889411-2E88-4995-8A60-CAF9F8A6A280}" name="Index" dataDxfId="178">
      <calculatedColumnFormula>INDEX(TBL_REGIONS_INDEX[Index],MATCH(TBL_PRODUCTION[[#This Row],[Region]],TBL_REGIONS_INDEX[Region],0))</calculatedColumnFormula>
    </tableColumn>
    <tableColumn id="3" xr3:uid="{9D5BEE12-92CF-4B51-ABDF-E7B53F64DF2F}" name="Aug-21" dataDxfId="177"/>
    <tableColumn id="4" xr3:uid="{092B86C2-81F8-420F-BF82-7C5BFBA2BAE9}" name="Sep-21" dataDxfId="176"/>
    <tableColumn id="5" xr3:uid="{5BA5CC20-251D-4071-8985-84D76A9861E6}" name="Okt-21" dataDxfId="175"/>
    <tableColumn id="6" xr3:uid="{546E94A5-63CC-4147-A99F-0BDD8077FBC8}" name="Nov-21" dataDxfId="174"/>
    <tableColumn id="7" xr3:uid="{00218DDC-D6A7-45E0-8A6C-1107C69DF313}" name="Dez-21" dataDxfId="173"/>
    <tableColumn id="8" xr3:uid="{22ED3074-0F97-43F6-AF06-5DAA84581EA7}" name="Jan-22" dataDxfId="172"/>
    <tableColumn id="9" xr3:uid="{E1AB1944-BFEB-429B-ABF1-1FE741E629AB}" name="Feb-22" dataDxfId="171"/>
    <tableColumn id="10" xr3:uid="{BAB31200-CF81-408A-9E13-3C10A8785D39}" name="Mrz-22" dataDxfId="170"/>
    <tableColumn id="11" xr3:uid="{9A430FD2-45F7-41F7-AC37-1A401B84C1D8}" name="Apr-22" dataDxfId="169"/>
    <tableColumn id="12" xr3:uid="{D2937329-02E5-4C27-BFF2-1201D941A564}" name="Mai-22" dataDxfId="168"/>
    <tableColumn id="13" xr3:uid="{7EDBF56F-C110-4A2F-94A4-50FB839B4866}" name="Jun-22" dataDxfId="167"/>
    <tableColumn id="14" xr3:uid="{4608F217-A7A9-4A8B-B4A0-F9DBB90BCF5F}" name="Jul-22" dataDxfId="166"/>
    <tableColumn id="15" xr3:uid="{FAFA2A99-2FAA-474B-BF28-93AB43193A09}" name="Aug-22" dataDxfId="165"/>
    <tableColumn id="16" xr3:uid="{412C6D68-DF56-4A25-B309-D61FE563D79D}" name="Sep-22" dataDxfId="164"/>
    <tableColumn id="17" xr3:uid="{15E2CE68-CCDD-4EAC-A0E0-3A072B15AFEB}" name="Okt-22" dataDxfId="163"/>
    <tableColumn id="18" xr3:uid="{ED69AF51-4E3B-4E70-9F8C-F51592801703}" name="Nov-22" dataDxfId="162"/>
    <tableColumn id="19" xr3:uid="{31C64D97-0B98-4FC4-A3D0-D62AD46167B0}" name="Dez-22" dataDxfId="161"/>
    <tableColumn id="20" xr3:uid="{96FB89F0-BE30-4D96-B62C-7CF01454ADCA}" name="Source/Comments" dataDxfId="160"/>
    <tableColumn id="21" xr3:uid="{9E24E5B0-E3EE-4DDE-BE05-8D5F6A824B89}" name="ProductionID" dataDxfId="159">
      <calculatedColumnFormula>"Production_"&amp;TEXT(TBL_PRODUCTION[[#This Row],[Index]],"000")</calculatedColumnFormula>
    </tableColumn>
  </tableColumns>
  <tableStyleInfo name="TableStyleMedium3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097DAD0F-E6FC-4462-8085-4A07B69B1847}" name="TBL_PIPED_IMPORTERS" displayName="TBL_PIPED_IMPORTERS" ref="A5:D7" totalsRowShown="0" headerRowDxfId="158" dataDxfId="157">
  <autoFilter ref="A5:D7" xr:uid="{8751DC78-FCE5-4BB4-8671-C7AC44AED329}"/>
  <tableColumns count="4">
    <tableColumn id="1" xr3:uid="{60340D46-BB87-42A6-B0B6-459839AD6D74}" name="Importer" dataDxfId="156"/>
    <tableColumn id="2" xr3:uid="{EB87486E-8BE0-45A4-91DE-BE89FA950D52}" name="Index" dataDxfId="155">
      <calculatedColumnFormula>ROW(1:1)</calculatedColumnFormula>
    </tableColumn>
    <tableColumn id="22" xr3:uid="{72A3645E-252D-402A-83E8-A98AFFEC9D53}" name="Comments" dataDxfId="154"/>
    <tableColumn id="21" xr3:uid="{F9F564C2-0A7A-46CA-ACDB-80E42DB869A9}" name="PipedImporterID" dataDxfId="153">
      <calculatedColumnFormula>"PipedImporter_"&amp;TEXT(TBL_PIPED_IMPORTERS[[#This Row],[Index]],"000")</calculatedColumnFormula>
    </tableColumn>
  </tableColumns>
  <tableStyleInfo name="TableStyleMedium3" showFirstColumn="0" showLastColumn="0" showRowStripes="1" showColumnStripes="0"/>
</table>
</file>

<file path=xl/tables/table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5BEF59E6-7CAC-46A7-86C4-4689EEA57707}" name="TBL_PIPED_IMPORTERS_PRODUCTION" displayName="TBL_PIPED_IMPORTERS_PRODUCTION" ref="A5:U7" totalsRowShown="0" headerRowDxfId="152" dataDxfId="151">
  <autoFilter ref="A5:U7" xr:uid="{8751DC78-FCE5-4BB4-8671-C7AC44AED329}"/>
  <tableColumns count="21">
    <tableColumn id="1" xr3:uid="{BFDCA5EC-D5CB-48F4-BB51-88A5B444D8A0}" name="Importer" dataDxfId="150"/>
    <tableColumn id="2" xr3:uid="{EF9BC90E-809C-4620-B4AC-46DF3DB64EC2}" name="Index" dataDxfId="149">
      <calculatedColumnFormula>INDEX(TBL_REGIONS_INDEX[Index],MATCH(TBL_PIPED_IMPORTERS_PRODUCTION[[#This Row],[Importer]],TBL_PIPED_IMPORTERS[Importer],0))</calculatedColumnFormula>
    </tableColumn>
    <tableColumn id="3" xr3:uid="{05E60C8D-2BDC-4F4D-BE3B-50C504DA2E87}" name="Aug-21" dataDxfId="148"/>
    <tableColumn id="4" xr3:uid="{97863D9F-99D5-4B73-8235-2E850E9F3B50}" name="Sep-21" dataDxfId="147"/>
    <tableColumn id="5" xr3:uid="{F98583EB-9067-454A-9E14-0EA86A5BD0CF}" name="Okt-21" dataDxfId="146"/>
    <tableColumn id="6" xr3:uid="{D74F0D1C-B052-4B89-B2D2-80BB4767DC2B}" name="Nov-21" dataDxfId="145"/>
    <tableColumn id="7" xr3:uid="{F4BF4A98-B3B7-4DB3-AD45-BF5D3290E80A}" name="Dez-21" dataDxfId="144"/>
    <tableColumn id="8" xr3:uid="{7152E2C6-2882-4920-91AB-DC889CCE74D7}" name="Jan-22" dataDxfId="143"/>
    <tableColumn id="9" xr3:uid="{0ECD3E26-ED93-480A-A7CD-83F6864762C0}" name="Feb-22" dataDxfId="142"/>
    <tableColumn id="10" xr3:uid="{028475E3-3700-46DD-99EC-464215E49DF0}" name="Mrz-22" dataDxfId="141"/>
    <tableColumn id="11" xr3:uid="{F8DABC42-5C5D-4704-A48E-A9FD7D807677}" name="Apr-22" dataDxfId="140"/>
    <tableColumn id="12" xr3:uid="{6548889A-48D4-401C-990B-56B59D85E098}" name="Mai-22" dataDxfId="139"/>
    <tableColumn id="13" xr3:uid="{6649EC64-1982-4EAB-9AD1-AE53C837F210}" name="Jun-22" dataDxfId="138"/>
    <tableColumn id="14" xr3:uid="{37C15F49-8B57-47E8-BA8E-CEF6FB98F651}" name="Jul-22" dataDxfId="137"/>
    <tableColumn id="15" xr3:uid="{CC14E856-F491-4D66-9EF8-D1EDDEB22C90}" name="Aug-22" dataDxfId="136"/>
    <tableColumn id="16" xr3:uid="{07BF5981-BC5A-4FD4-B1DF-124BD5349B90}" name="Sep-22" dataDxfId="135"/>
    <tableColumn id="17" xr3:uid="{1B0F6AE7-4412-4FE5-963E-F94E6CA5C4AE}" name="Okt-22" dataDxfId="134"/>
    <tableColumn id="18" xr3:uid="{C57C274F-BC36-4B79-8EEC-76D718DEB07E}" name="Nov-22" dataDxfId="133"/>
    <tableColumn id="19" xr3:uid="{E44FF9E9-41BA-49A8-A185-8B870F2A56AD}" name="Dez-22" dataDxfId="132"/>
    <tableColumn id="20" xr3:uid="{302FF6E2-F975-4CE3-B29D-4A6F461802DD}" name="Source/Comments" dataDxfId="131"/>
    <tableColumn id="21" xr3:uid="{7A3A86BD-4933-4307-84EA-7C4AC2190B79}" name="PipedImporterProductionID" dataDxfId="130">
      <calculatedColumnFormula>"PipedImporterProduction_"&amp;TEXT(TBL_PIPED_IMPORTERS_PRODUCTION[[#This Row],[Index]],"000")</calculatedColumnFormula>
    </tableColumn>
  </tableColumns>
  <tableStyleInfo name="TableStyleMedium3" showFirstColumn="0" showLastColumn="0" showRowStripes="1" showColumnStripes="0"/>
</table>
</file>

<file path=xl/tables/table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8034A1FB-A4A6-4647-AABF-17D0E262B26E}" name="TBL_PIPED_IMPORTERS_CONNECTIONS" displayName="TBL_PIPED_IMPORTERS_CONNECTIONS" ref="A5:I11" totalsRowShown="0" headerRowDxfId="129" dataDxfId="128">
  <tableColumns count="9">
    <tableColumn id="1" xr3:uid="{682CED6D-11CA-4648-97BD-4DDAF7F923EE}" name="Importer" dataDxfId="127"/>
    <tableColumn id="2" xr3:uid="{C892B735-F9AA-4FBB-8685-FF97162FD780}" name="Importer Index" dataDxfId="126">
      <calculatedColumnFormula>INDEX(TBL_REGIONS_INDEX[Index],MATCH(TBL_PIPED_IMPORTERS_CONNECTIONS[[#This Row],[Importer]],TBL_PIPED_IMPORTERS[Importer],0))</calculatedColumnFormula>
    </tableColumn>
    <tableColumn id="22" xr3:uid="{CA5E05C4-48EE-4AA9-BC0E-7F20A9E215E4}" name="Region" dataDxfId="125"/>
    <tableColumn id="23" xr3:uid="{64D7F205-2792-4065-94E7-F64664A95ECC}" name="Region Index" dataDxfId="124">
      <calculatedColumnFormula>INDEX(TBL_REGIONS_INDEX[Index],MATCH(TBL_PIPED_IMPORTERS_CONNECTIONS[[#This Row],[Region]],TBL_REGIONS_INDEX[Region],0))</calculatedColumnFormula>
    </tableColumn>
    <tableColumn id="24" xr3:uid="{D2309E43-2F71-40C6-9A27-BB3A91BED227}" name="Name" dataDxfId="123"/>
    <tableColumn id="3" xr3:uid="{E397B195-DC57-4F3E-8E7A-BAE78F4F1082}" name="Connection Code" dataDxfId="122">
      <calculatedColumnFormula>TEXT(TBL_PIPED_IMPORTERS_CONNECTIONS[[#This Row],[Importer Index]],"000")&amp;TEXT(TBL_PIPED_IMPORTERS_CONNECTIONS[[#This Row],[Region Index]],"000")</calculatedColumnFormula>
    </tableColumn>
    <tableColumn id="5" xr3:uid="{8D4342D5-B6CB-4E0B-B9C2-383BAE3A766A}" name="Connection Index" dataDxfId="121">
      <calculatedColumnFormula>COUNTIF($F$6:$F6,$F6)</calculatedColumnFormula>
    </tableColumn>
    <tableColumn id="20" xr3:uid="{BF046086-A3C3-4588-ACEF-900EAD2BC55B}" name="Comments" dataDxfId="120"/>
    <tableColumn id="21" xr3:uid="{3DD587C7-464E-4916-9721-773611FA98CC}" name="PipedImporterConnectionID" dataDxfId="119">
      <calculatedColumnFormula>"PipedImporterConnection_"&amp;TEXT(TBL_PIPED_IMPORTERS_CONNECTIONS[[#This Row],[Importer Index]],"000")&amp;"_"&amp;TEXT(TBL_PIPED_IMPORTERS_CONNECTIONS[[#This Row],[Region Index]],"000")&amp;"_"&amp;TEXT(TBL_PIPED_IMPORTERS_CONNECTIONS[[#This Row],[Connection Index]],"000")</calculatedColumnFormula>
    </tableColumn>
  </tableColumns>
  <tableStyleInfo name="TableStyleMedium3" showFirstColumn="0" showLastColumn="0" showRowStripes="1" showColumnStripes="0"/>
</table>
</file>

<file path=xl/tables/table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9" xr:uid="{08DFE2EB-CDDA-457A-BCCD-E6226CF24C6A}" name="TBL_LNG_IMPORTERS" displayName="TBL_LNG_IMPORTERS" ref="A5:D7" totalsRowShown="0" headerRowDxfId="116" dataDxfId="115">
  <autoFilter ref="A5:D7" xr:uid="{8751DC78-FCE5-4BB4-8671-C7AC44AED329}"/>
  <tableColumns count="4">
    <tableColumn id="1" xr3:uid="{C3EB2A7B-49ED-40E1-BBCD-4F310C07CF03}" name="Terminal" dataDxfId="114"/>
    <tableColumn id="2" xr3:uid="{88AF36BF-FF53-46FF-9678-A07D91790189}" name="Index" dataDxfId="113">
      <calculatedColumnFormula>ROW(1:1)</calculatedColumnFormula>
    </tableColumn>
    <tableColumn id="22" xr3:uid="{0F07305C-559F-4B6F-844A-946F2B8D272F}" name="Comments" dataDxfId="112"/>
    <tableColumn id="21" xr3:uid="{ED00D405-D9D9-494B-B249-2B15E2172A7B}" name="LNGImporterID" dataDxfId="111">
      <calculatedColumnFormula>"LNGImporter_"&amp;TEXT(TBL_LNG_IMPORTERS[[#This Row],[Index]],"000")</calculatedColumnFormula>
    </tableColumn>
  </tableColumns>
  <tableStyleInfo name="TableStyleMedium3" showFirstColumn="0" showLastColumn="0" showRowStripes="1" showColumnStripes="0"/>
</table>
</file>

<file path=xl/tables/table1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0" xr:uid="{4DF2CEDC-909F-4798-9DFD-122FF0D4A508}" name="TBL_LNG_IMPORTERS_CONNECTIONS" displayName="TBL_LNG_IMPORTERS_CONNECTIONS" ref="A5:I8" totalsRowShown="0" headerRowDxfId="110" dataDxfId="109">
  <tableColumns count="9">
    <tableColumn id="1" xr3:uid="{4F946316-2502-460E-B335-D2CC528C08DA}" name="Terminal" dataDxfId="108"/>
    <tableColumn id="2" xr3:uid="{DD3CBA70-6B5C-4A97-B136-944E64A9AA0B}" name="Terminal Index" dataDxfId="107">
      <calculatedColumnFormula>INDEX(TBL_LNG_IMPORTERS[Index],MATCH(TBL_LNG_IMPORTERS_CONNECTIONS[[#This Row],[Terminal]],TBL_LNG_IMPORTERS[Terminal],0))</calculatedColumnFormula>
    </tableColumn>
    <tableColumn id="22" xr3:uid="{67107786-55EE-408B-807C-FBEA3168DB19}" name="Region" dataDxfId="106"/>
    <tableColumn id="23" xr3:uid="{EADEAF2E-35E4-4560-967E-2FFB6BCE491A}" name="Region Index" dataDxfId="105">
      <calculatedColumnFormula>INDEX(TBL_REGIONS_INDEX[Index],MATCH(TBL_LNG_IMPORTERS_CONNECTIONS[[#This Row],[Region]],TBL_REGIONS_INDEX[Region],0))</calculatedColumnFormula>
    </tableColumn>
    <tableColumn id="24" xr3:uid="{4C641BBC-5EB7-4932-81B5-9B4638C0E807}" name="Name" dataDxfId="104"/>
    <tableColumn id="3" xr3:uid="{3347F4FD-FCE8-48F6-BB44-F9040AA8F495}" name="Connection Code" dataDxfId="103">
      <calculatedColumnFormula>TEXT(TBL_LNG_IMPORTERS_CONNECTIONS[[#This Row],[Terminal Index]],"000")&amp;TEXT(TBL_LNG_IMPORTERS_CONNECTIONS[[#This Row],[Region Index]],"000")</calculatedColumnFormula>
    </tableColumn>
    <tableColumn id="4" xr3:uid="{42849072-2737-4ECB-9A10-C98B111D6D2D}" name="Connection Index" dataDxfId="102">
      <calculatedColumnFormula>COUNTIF($F$5:$F5,$F5)</calculatedColumnFormula>
    </tableColumn>
    <tableColumn id="20" xr3:uid="{C3F257C7-80C7-4898-BE99-2206AB57F8A8}" name="Comments" dataDxfId="101"/>
    <tableColumn id="21" xr3:uid="{D9A93789-AD1B-44A5-98EB-EED64C21C435}" name="LNGImporterConnectionID" dataDxfId="100">
      <calculatedColumnFormula>"LNGImporterConnection_"&amp;TEXT(TBL_LNG_IMPORTERS_CONNECTIONS[[#This Row],[Terminal Index]],"000")&amp;"_"&amp;TEXT(TBL_LNG_IMPORTERS_CONNECTIONS[[#This Row],[Region Index]],"000")&amp;"_"&amp;TEXT(TBL_LNG_IMPORTERS_CONNECTIONS[[#This Row],[Connection Index]],"000")</calculatedColumnFormula>
    </tableColumn>
  </tableColumns>
  <tableStyleInfo name="TableStyleMedium3" showFirstColumn="0" showLastColumn="0" showRowStripes="1" showColumnStripes="0"/>
</table>
</file>

<file path=xl/tables/table1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5" xr:uid="{ECD10F9A-8496-49A5-ADF4-4E1D58E69707}" name="TBL_PIPED_EXPORTERS" displayName="TBL_PIPED_EXPORTERS" ref="A5:D6" totalsRowShown="0" headerRowDxfId="39" dataDxfId="38">
  <autoFilter ref="A5:D6" xr:uid="{8751DC78-FCE5-4BB4-8671-C7AC44AED329}"/>
  <tableColumns count="4">
    <tableColumn id="1" xr3:uid="{B75FDE2E-26A8-4B74-B26A-E2A8279B4614}" name="Exporter" dataDxfId="37"/>
    <tableColumn id="2" xr3:uid="{83FFB8C4-D067-400F-B15E-BD00E5F42868}" name="Index" dataDxfId="36">
      <calculatedColumnFormula>ROW(1:1)</calculatedColumnFormula>
    </tableColumn>
    <tableColumn id="22" xr3:uid="{2D078036-E2A2-48F8-A7F8-BA32EC161EE2}" name="Comments" dataDxfId="35"/>
    <tableColumn id="21" xr3:uid="{AEA29AB1-5873-4F7B-B76A-C4CB11DFACB8}" name="PipedExporterID" dataDxfId="34">
      <calculatedColumnFormula>"PipedExporter_"&amp;TEXT(TBL_PIPED_EXPORTERS[[#This Row],[Index]],"000")</calculatedColumnFormula>
    </tableColumn>
  </tableColumns>
  <tableStyleInfo name="TableStyleMedium3" showFirstColumn="0" showLastColumn="0" showRowStripes="1" showColumnStripes="0"/>
</table>
</file>

<file path=xl/tables/table1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6" xr:uid="{88F0289B-72E4-48C6-B7A7-338D1063110F}" name="TBL_PIPED_EXPORTERS_DEMAND" displayName="TBL_PIPED_EXPORTERS_DEMAND" ref="A5:U6" totalsRowShown="0" headerRowDxfId="33" dataDxfId="32">
  <autoFilter ref="A5:U6" xr:uid="{8751DC78-FCE5-4BB4-8671-C7AC44AED329}"/>
  <tableColumns count="21">
    <tableColumn id="1" xr3:uid="{042227B9-1D63-495E-BC56-0EE8517B245E}" name="Exporter" dataDxfId="31"/>
    <tableColumn id="2" xr3:uid="{CE9F27C7-F351-468D-A20B-BA81C34DAF9A}" name="Index" dataDxfId="30">
      <calculatedColumnFormula>INDEX([1]!TBL_REGIONS_INDEX[Index],MATCH(TBL_PIPED_EXPORTERS_DEMAND[[#This Row],[Exporter]],[1]!TBL_PIPED_EXPORTERS[Exporter],0))</calculatedColumnFormula>
    </tableColumn>
    <tableColumn id="3" xr3:uid="{8CEDE69F-640F-41E8-9E7F-F7F896882AF7}" name="Aug-21" dataDxfId="29"/>
    <tableColumn id="4" xr3:uid="{7311FA28-8274-4C26-AA82-4BF9C100283D}" name="Sep-21" dataDxfId="28"/>
    <tableColumn id="5" xr3:uid="{E56F36A3-F74D-45ED-85E4-9CFE9A8283A4}" name="Okt-21" dataDxfId="27"/>
    <tableColumn id="6" xr3:uid="{7EE21DE7-0338-438F-9DF9-4801AAF8847D}" name="Nov-21" dataDxfId="26"/>
    <tableColumn id="7" xr3:uid="{6A63BE5B-3C4F-474F-8E4A-A70E113F75C3}" name="Dez-21" dataDxfId="25"/>
    <tableColumn id="8" xr3:uid="{E5BFE21B-1FB6-434F-B0EA-9A09DAB62048}" name="Jan-22" dataDxfId="24"/>
    <tableColumn id="9" xr3:uid="{37F4AE59-62A5-4111-9EF9-9B40AB6D4A54}" name="Feb-22" dataDxfId="23"/>
    <tableColumn id="10" xr3:uid="{6A971E79-7411-41B4-8225-5E4D1DA1E8B7}" name="Mrz-22" dataDxfId="22"/>
    <tableColumn id="11" xr3:uid="{91DA264C-27C3-49B5-98FE-2BA745534741}" name="Apr-22" dataDxfId="21"/>
    <tableColumn id="12" xr3:uid="{DB106860-0521-488A-B4F4-EB906AFCED03}" name="Mai-22" dataDxfId="20"/>
    <tableColumn id="13" xr3:uid="{D34EB367-5500-442D-85CA-93674CD46685}" name="Jun-22" dataDxfId="19"/>
    <tableColumn id="14" xr3:uid="{7FD195FF-653F-478B-85BE-6A2200A89823}" name="Jul-22" dataDxfId="18"/>
    <tableColumn id="15" xr3:uid="{16A794F6-9880-4B83-A1A2-F5D78E2F7045}" name="Aug-22" dataDxfId="17"/>
    <tableColumn id="16" xr3:uid="{5DA04975-B9DF-4D89-9C64-FF070CFC1013}" name="Sep-22" dataDxfId="16"/>
    <tableColumn id="17" xr3:uid="{56DC3F2E-1CE2-49F3-8CEF-62987A3655C3}" name="Okt-22" dataDxfId="15"/>
    <tableColumn id="18" xr3:uid="{4F913497-0A75-455D-9EA7-06669F556F77}" name="Nov-22" dataDxfId="14"/>
    <tableColumn id="19" xr3:uid="{BA279800-1C05-4454-8263-E3A26D76BF20}" name="Dez-22" dataDxfId="13"/>
    <tableColumn id="20" xr3:uid="{47D404C8-331A-4AD6-BB9C-910347863CEB}" name="Source/Comments" dataDxfId="12"/>
    <tableColumn id="21" xr3:uid="{AB90AE5C-C411-4EFE-832F-656F6D8A8282}" name="PipedExporterProductionID" dataDxfId="11">
      <calculatedColumnFormula>"PipedExporterProduction_"&amp;TEXT(TBL_PIPED_EXPORTERS_DEMAND[[#This Row],[Index]],"000")</calculatedColumnFormula>
    </tableColumn>
  </tableColumns>
  <tableStyleInfo name="TableStyleMedium3" showFirstColumn="0" showLastColumn="0" showRowStripes="1" showColumnStripes="0"/>
</table>
</file>

<file path=xl/tables/table1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7" xr:uid="{E0967A79-2704-4199-B5EE-F845DF6E5D9E}" name="TBL_PIPED_EXPORTERS_CONNECTIONS" displayName="TBL_PIPED_EXPORTERS_CONNECTIONS" ref="A5:I6" totalsRowShown="0" headerRowDxfId="10" dataDxfId="9">
  <tableColumns count="9">
    <tableColumn id="1" xr3:uid="{D14C341D-192C-4802-8305-F673A4116F94}" name="Exporter" dataDxfId="8"/>
    <tableColumn id="2" xr3:uid="{3C555E46-2460-488E-8ABF-DEAAD8903438}" name="Exporter Index" dataDxfId="7">
      <calculatedColumnFormula>INDEX([1]!TBL_REGIONS_INDEX[Index],MATCH(TBL_PIPED_EXPORTERS_CONNECTIONS[[#This Row],[Exporter]],[1]!TBL_PIPED_EXPORTERS[Exporter],0))</calculatedColumnFormula>
    </tableColumn>
    <tableColumn id="22" xr3:uid="{260C6102-F8DE-45D7-A0AB-FF500739C7B3}" name="Region" dataDxfId="6"/>
    <tableColumn id="23" xr3:uid="{DC5C2A47-3EF5-4040-A391-6BBCA26454F1}" name="Region Index" dataDxfId="5">
      <calculatedColumnFormula>INDEX([1]!TBL_REGIONS_INDEX[Index],MATCH(TBL_PIPED_EXPORTERS_CONNECTIONS[[#This Row],[Region]],[1]!TBL_REGIONS_INDEX[Region],0))</calculatedColumnFormula>
    </tableColumn>
    <tableColumn id="24" xr3:uid="{D2443296-658C-411C-8E36-371E89D711FD}" name="Name" dataDxfId="4"/>
    <tableColumn id="3" xr3:uid="{377459E7-FEEC-4D04-8232-C69153B0CEE9}" name="Connection Code" dataDxfId="3">
      <calculatedColumnFormula>TEXT(TBL_PIPED_EXPORTERS_CONNECTIONS[[#This Row],[Exporter Index]],"000")&amp;TEXT(TBL_PIPED_EXPORTERS_CONNECTIONS[[#This Row],[Region Index]],"000")</calculatedColumnFormula>
    </tableColumn>
    <tableColumn id="5" xr3:uid="{46CB9704-6DA9-4938-90BC-12991591077F}" name="Connection Index" dataDxfId="2">
      <calculatedColumnFormula>COUNTIF($F$6:$F6,$F6)</calculatedColumnFormula>
    </tableColumn>
    <tableColumn id="20" xr3:uid="{972672B2-A40F-4267-8077-45C949B361E2}" name="Comments" dataDxfId="1"/>
    <tableColumn id="21" xr3:uid="{8C7F3C0E-8400-466C-AB1F-731B2512E0A9}" name="PipedExporterConnectionID" dataDxfId="0">
      <calculatedColumnFormula>"PipedExporterConnection_"&amp;TEXT(TBL_PIPED_EXPORTERS_CONNECTIONS[[#This Row],[Exporter Index]],"000")&amp;"_"&amp;TEXT(TBL_PIPED_EXPORTERS_CONNECTIONS[[#This Row],[Region Index]],"000")&amp;"_"&amp;TEXT(TBL_PIPED_EXPORTERS_CONNECTIONS[[#This Row],[Connection Index]],"000")</calculatedColumnFormula>
    </tableColumn>
  </tableColumns>
  <tableStyleInfo name="TableStyleMedium3" showFirstColumn="0" showLastColumn="0" showRowStripes="1" showColumnStripes="0"/>
</table>
</file>

<file path=xl/tables/table1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" xr:uid="{9C064173-B0D1-43B7-B7F9-87242F4AB942}" name="TBL_TRANSIT" displayName="TBL_TRANSIT" ref="A5:I15" totalsRowShown="0" headerRowDxfId="97" dataDxfId="96">
  <tableColumns count="9">
    <tableColumn id="1" xr3:uid="{F2BBF415-7853-48F1-B4D6-AC2FF66FA12C}" name="Origin" dataDxfId="95"/>
    <tableColumn id="2" xr3:uid="{62335D9B-6D17-495D-A766-DB0BCB176FDC}" name="Origin Index" dataDxfId="94">
      <calculatedColumnFormula>INDEX(TBL_REGIONS_INDEX[Index],MATCH(TBL_TRANSIT[[#This Row],[Origin]],TBL_REGIONS_INDEX[Region],0))</calculatedColumnFormula>
    </tableColumn>
    <tableColumn id="22" xr3:uid="{1BC46D9E-5394-4CE6-AAB1-C976335D9101}" name="Destination" dataDxfId="93"/>
    <tableColumn id="23" xr3:uid="{A6610519-A229-4FB5-B82E-20F479CE853C}" name="Destination Index" dataDxfId="92">
      <calculatedColumnFormula>INDEX(TBL_REGIONS_INDEX[Index],MATCH(TBL_TRANSIT[[#This Row],[Destination]],TBL_REGIONS_INDEX[Region],0))</calculatedColumnFormula>
    </tableColumn>
    <tableColumn id="24" xr3:uid="{B0548DA9-7C18-4982-9082-A696A74AFD21}" name="Name" dataDxfId="91"/>
    <tableColumn id="4" xr3:uid="{9362C80F-7466-4A70-9A2A-94F2544B24F1}" name="Connection Code" dataDxfId="90">
      <calculatedColumnFormula>TEXT(TBL_TRANSIT[[#This Row],[Origin Index]],"000")&amp;TEXT(TBL_TRANSIT[[#This Row],[Destination Index]],"000")</calculatedColumnFormula>
    </tableColumn>
    <tableColumn id="3" xr3:uid="{6A279B67-76BD-4702-9DB2-168222D5615E}" name="Connection Index" dataDxfId="89">
      <calculatedColumnFormula>COUNTIF($F$6:$F6,$F6)</calculatedColumnFormula>
    </tableColumn>
    <tableColumn id="20" xr3:uid="{080782A7-30EA-4656-BE39-C7DA4AD57DD7}" name="Comments" dataDxfId="88"/>
    <tableColumn id="21" xr3:uid="{85C5B832-8CCF-4661-8573-737A0F2D3273}" name="TransitID" dataDxfId="87">
      <calculatedColumnFormula>"Transit_"&amp;TEXT(TBL_TRANSIT[[#This Row],[Origin Index]],"000")&amp;"_"&amp;TEXT(TBL_TRANSIT[[#This Row],[Destination Index]],"000")&amp;"_"&amp;TEXT(TBL_TRANSIT[[#This Row],[Connection Index]],"000")</calculatedColumnFormula>
    </tableColumn>
  </tableColumns>
  <tableStyleInfo name="TableStyleMedium3" showFirstColumn="0" showLastColumn="0" showRowStripes="1" showColumnStripes="0"/>
</table>
</file>

<file path=xl/tables/table1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2" xr:uid="{CAF43FE7-9DE8-4997-BC07-5A6C17A4869B}" name="TBL_STORAGE" displayName="TBL_STORAGE" ref="A5:U7" totalsRowShown="0" headerRowDxfId="83" dataDxfId="82">
  <autoFilter ref="A5:U7" xr:uid="{8751DC78-FCE5-4BB4-8671-C7AC44AED329}"/>
  <tableColumns count="21">
    <tableColumn id="1" xr3:uid="{22BDEFC5-4881-45C4-91D8-5BD742E9017D}" name="Storage" dataDxfId="81"/>
    <tableColumn id="3" xr3:uid="{43BA81EB-B340-46AC-9C3D-17F57C71D6EB}" name="WGV (GWh)" dataDxfId="80"/>
    <tableColumn id="4" xr3:uid="{6A936531-D56D-4F7B-A863-A57EEF965432}" name="Aug-21" dataDxfId="79"/>
    <tableColumn id="5" xr3:uid="{86A7762E-C67D-45D7-8258-C24DC187E315}" name="Sep-21" dataDxfId="78"/>
    <tableColumn id="6" xr3:uid="{3674DC0D-737E-4952-A17B-80ADCF23BE46}" name="Okt-21" dataDxfId="77"/>
    <tableColumn id="7" xr3:uid="{B3412F30-2057-4D15-8E67-56280B43D34C}" name="Nov-21" dataDxfId="76"/>
    <tableColumn id="8" xr3:uid="{E7B5BC39-165B-4AC2-9848-DE0344CD04C9}" name="Dez-21" dataDxfId="75"/>
    <tableColumn id="9" xr3:uid="{72DD747A-8134-4197-B5B3-2F99C778AC3A}" name="Jan-22" dataDxfId="74"/>
    <tableColumn id="10" xr3:uid="{DA4650D1-D10F-4085-AD13-839CABC2A47D}" name="Feb-22" dataDxfId="73"/>
    <tableColumn id="19" xr3:uid="{8E67BEB6-D669-4898-8721-8B49E70CC3D5}" name="Mrz-22" dataDxfId="72"/>
    <tableColumn id="20" xr3:uid="{CD61AC07-A45C-4A43-A1D0-67EC0E65365E}" name="Apr-22" dataDxfId="71"/>
    <tableColumn id="11" xr3:uid="{91E22E89-DC10-41F5-B689-C6A9405FEEC5}" name="Mai-22" dataDxfId="70"/>
    <tableColumn id="12" xr3:uid="{5AB5F079-3F8F-4CE0-8E09-1A90B3259120}" name="Jun-22" dataDxfId="69"/>
    <tableColumn id="13" xr3:uid="{4D9A349E-34E2-4260-B3AA-D09F365F5E4C}" name="Jul-22" dataDxfId="68"/>
    <tableColumn id="14" xr3:uid="{8E9ECC3E-0F82-48FE-BB72-0C1498950A27}" name="Aug-22" dataDxfId="67"/>
    <tableColumn id="15" xr3:uid="{F676D28E-1FD1-4A8B-94BB-B64A98CC769D}" name="Sep-22" dataDxfId="66"/>
    <tableColumn id="16" xr3:uid="{7CDABE96-CECA-4253-A221-08CBAE06AB96}" name="Okt-22" dataDxfId="65"/>
    <tableColumn id="17" xr3:uid="{93B4F490-7822-47CB-A154-B2CD2AC05F55}" name="Nov-22" dataDxfId="64"/>
    <tableColumn id="18" xr3:uid="{C0F543DA-411C-4FD4-9C33-E3C1C973ACBD}" name="Dez-22" dataDxfId="63"/>
    <tableColumn id="22" xr3:uid="{9170B3B3-E53B-4B22-AFE0-70B69FD567AB}" name="Comments" dataDxfId="62"/>
    <tableColumn id="21" xr3:uid="{EBD76E35-A444-479F-AF9A-DB859792908A}" name="StorageID" dataDxfId="61">
      <calculatedColumnFormula>"Storage_"&amp;TEXT(INDEX([1]!TBL_REGIONS_INDEX[[#This Row],[Region]],LOOKUP(TBL_STORAGE[[#This Row],[Storage]],[1]!TBL_REGIONS_INDEX[[#This Row],[Index]],0)),"000")</calculatedColumnFormula>
    </tableColumn>
  </tableColumns>
  <tableStyleInfo name="TableStyleMedium3" showFirstColumn="0" showLastColumn="0" showRowStripes="1" showColumnStripes="0"/>
</table>
</file>

<file path=xl/tables/table1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3" xr:uid="{517BA981-DE4C-4F95-8D6F-2BBBCC3728D9}" name="TBL_OTHER_LNG_DEMAND14" displayName="TBL_OTHER_LNG_DEMAND14" ref="A5:S6" totalsRowShown="0" headerRowDxfId="60" dataDxfId="59">
  <autoFilter ref="A5:S6" xr:uid="{8751DC78-FCE5-4BB4-8671-C7AC44AED329}"/>
  <tableColumns count="19">
    <tableColumn id="1" xr3:uid="{9D8BE8D2-20E3-49F5-892F-A8E4937CA186}" name="Demand" dataDxfId="58"/>
    <tableColumn id="3" xr3:uid="{60670F14-E853-4B83-B90D-CAC23CF40408}" name="Aug-21" dataDxfId="57"/>
    <tableColumn id="4" xr3:uid="{8368D475-578A-4B61-9545-410E3B4554D2}" name="Sep-21" dataDxfId="56"/>
    <tableColumn id="5" xr3:uid="{A3FE4ADA-D84F-46F6-910E-C7331768CE85}" name="Okt-21" dataDxfId="55"/>
    <tableColumn id="6" xr3:uid="{2FF84C2C-8C2B-411B-96F3-F3C349655FE3}" name="Nov-21" dataDxfId="54"/>
    <tableColumn id="7" xr3:uid="{E8CD22FB-2F09-4C86-852E-FB5445FDB1BE}" name="Dez-21" dataDxfId="53"/>
    <tableColumn id="8" xr3:uid="{CC9A7AAC-E7AE-4D32-AFA3-75702E21CDA7}" name="Jan-22" dataDxfId="52"/>
    <tableColumn id="9" xr3:uid="{152F76E1-4D48-4CBC-9D43-18CA78DB1304}" name="Feb-22" dataDxfId="51"/>
    <tableColumn id="10" xr3:uid="{2262635C-A734-4DA5-A2A6-146A61CF75B3}" name="Mrz-22" dataDxfId="50"/>
    <tableColumn id="11" xr3:uid="{3CBF2C70-6FA1-4D5B-B2BD-1D6546A97A58}" name="Apr-22" dataDxfId="49"/>
    <tableColumn id="12" xr3:uid="{3F084DEC-1488-4F0B-9DF0-257D4ACC0B93}" name="Mai-22" dataDxfId="48"/>
    <tableColumn id="13" xr3:uid="{6A4294F5-3BB0-4810-9CFA-DD272B4D6483}" name="Jun-22" dataDxfId="47"/>
    <tableColumn id="14" xr3:uid="{BF8EDB10-F974-4401-9C80-ECD443C3E8BA}" name="Jul-22" dataDxfId="46"/>
    <tableColumn id="15" xr3:uid="{2C91184B-D965-4D90-A9BC-5CAF5BEE4269}" name="Aug-22" dataDxfId="45"/>
    <tableColumn id="16" xr3:uid="{0E000D51-6A59-484B-9FC5-2870D813335A}" name="Sep-22" dataDxfId="44"/>
    <tableColumn id="17" xr3:uid="{38E5D313-017A-4BF3-B621-0C63D53E2967}" name="Okt-22" dataDxfId="43"/>
    <tableColumn id="18" xr3:uid="{0DDF5C7D-5C59-4B50-A558-F69D39E03A54}" name="Nov-22" dataDxfId="42"/>
    <tableColumn id="19" xr3:uid="{6C43763D-451A-4DDF-A0C6-713B71877076}" name="Dez-22" dataDxfId="41"/>
    <tableColumn id="20" xr3:uid="{3700AA38-DA42-41C8-81C2-EB45B6A7D80D}" name="Source/Comments" dataDxfId="40"/>
  </tableColumns>
  <tableStyleInfo name="TableStyleMedium3" showFirstColumn="0" showLastColumn="0" showRowStripes="1" showColumnStripes="0"/>
</table>
</file>

<file path=xl/tables/table1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1" xr:uid="{5077DEED-818E-4727-B3BE-AB5153B73609}" name="TBL_FOREX" displayName="TBL_FOREX" ref="A5:S7" totalsRowShown="0">
  <autoFilter ref="A5:S7" xr:uid="{5077DEED-818E-4727-B3BE-AB5153B73609}"/>
  <tableColumns count="19">
    <tableColumn id="1" xr3:uid="{736E25E3-F56B-45A9-A1DF-45346BFCDECD}" name="Currency"/>
    <tableColumn id="2" xr3:uid="{C299F7DB-9095-4411-A77F-1D0E182B3C55}" name="Aug-21" dataDxfId="84">
      <calculatedColumnFormula>IFERROR(GETPIVOTDATA("Interbank Rate",'External Data'!$A$3,"Month",MONTH(B$5),"Year",YEAR(B$5),"Currency",TBL_FOREX[[#This Row],[Currency]]),A6)</calculatedColumnFormula>
    </tableColumn>
    <tableColumn id="3" xr3:uid="{431212D9-4BC6-48E0-A546-AA8ED2525FAE}" name="Sep-21">
      <calculatedColumnFormula>IFERROR(GETPIVOTDATA("Interbank Rate",'External Data'!$A$3,"Month",MONTH(C$5),"Year",YEAR(C$5),"Currency",TBL_FOREX[[#This Row],[Currency]]),B6)</calculatedColumnFormula>
    </tableColumn>
    <tableColumn id="4" xr3:uid="{3F68F23B-54BC-432C-8A45-205B9B24A465}" name="Okt-21">
      <calculatedColumnFormula>IFERROR(GETPIVOTDATA("Interbank Rate",'External Data'!$A$3,"Month",MONTH(D$5),"Year",YEAR(D$5),"Currency",TBL_FOREX[[#This Row],[Currency]]),C6)</calculatedColumnFormula>
    </tableColumn>
    <tableColumn id="5" xr3:uid="{3F0F260D-B064-42B6-ACD3-E3CBEDD2A1BC}" name="Nov-21">
      <calculatedColumnFormula>IFERROR(GETPIVOTDATA("Interbank Rate",'External Data'!$A$3,"Month",MONTH(E$5),"Year",YEAR(E$5),"Currency",TBL_FOREX[[#This Row],[Currency]]),D6)</calculatedColumnFormula>
    </tableColumn>
    <tableColumn id="6" xr3:uid="{0E2A515A-8C6B-4080-BB60-554CBB31AEE6}" name="Dez-21">
      <calculatedColumnFormula>IFERROR(GETPIVOTDATA("Interbank Rate",'External Data'!$A$3,"Month",MONTH(F$5),"Year",YEAR(F$5),"Currency",TBL_FOREX[[#This Row],[Currency]]),E6)</calculatedColumnFormula>
    </tableColumn>
    <tableColumn id="7" xr3:uid="{7BD44728-C4EB-4DC3-818A-FCC652E22F42}" name="Jan-22">
      <calculatedColumnFormula>IFERROR(GETPIVOTDATA("Interbank Rate",'External Data'!$A$3,"Month",MONTH(G$5),"Year",YEAR(G$5),"Currency",TBL_FOREX[[#This Row],[Currency]]),F6)</calculatedColumnFormula>
    </tableColumn>
    <tableColumn id="8" xr3:uid="{DD7C683A-0EC7-4A35-9283-4464D1F20B6F}" name="Feb-22">
      <calculatedColumnFormula>IFERROR(GETPIVOTDATA("Interbank Rate",'External Data'!$A$3,"Month",MONTH(H$5),"Year",YEAR(H$5),"Currency",TBL_FOREX[[#This Row],[Currency]]),G6)</calculatedColumnFormula>
    </tableColumn>
    <tableColumn id="9" xr3:uid="{84B50A15-054F-4E85-9F10-BC9D82868279}" name="Mrz-22">
      <calculatedColumnFormula>IFERROR(GETPIVOTDATA("Interbank Rate",'External Data'!$A$3,"Month",MONTH(I$5),"Year",YEAR(I$5),"Currency",TBL_FOREX[[#This Row],[Currency]]),H6)</calculatedColumnFormula>
    </tableColumn>
    <tableColumn id="10" xr3:uid="{2B92107B-C86A-48AE-827C-1FEE27BD22E9}" name="Apr-22">
      <calculatedColumnFormula>IFERROR(GETPIVOTDATA("Interbank Rate",'External Data'!$A$3,"Month",MONTH(J$5),"Year",YEAR(J$5),"Currency",TBL_FOREX[[#This Row],[Currency]]),I6)</calculatedColumnFormula>
    </tableColumn>
    <tableColumn id="11" xr3:uid="{1758A34F-91C2-49FF-9B95-3EB18FB662DC}" name="Mai-22">
      <calculatedColumnFormula>IFERROR(GETPIVOTDATA("Interbank Rate",'External Data'!$A$3,"Month",MONTH(K$5),"Year",YEAR(K$5),"Currency",TBL_FOREX[[#This Row],[Currency]]),J6)</calculatedColumnFormula>
    </tableColumn>
    <tableColumn id="12" xr3:uid="{698B7EF9-601E-493F-9985-9B7EF5BE8CD3}" name="Jun-22">
      <calculatedColumnFormula>IFERROR(GETPIVOTDATA("Interbank Rate",'External Data'!$A$3,"Month",MONTH(L$5),"Year",YEAR(L$5),"Currency",TBL_FOREX[[#This Row],[Currency]]),K6)</calculatedColumnFormula>
    </tableColumn>
    <tableColumn id="13" xr3:uid="{272E607B-0ACE-4C8B-8AD1-1349625E261C}" name="Jul-22">
      <calculatedColumnFormula>IFERROR(GETPIVOTDATA("Interbank Rate",'External Data'!$A$3,"Month",MONTH(M$5),"Year",YEAR(M$5),"Currency",TBL_FOREX[[#This Row],[Currency]]),L6)</calculatedColumnFormula>
    </tableColumn>
    <tableColumn id="14" xr3:uid="{31210F5C-570D-4EF9-8137-8DC684F5F26A}" name="Aug-22">
      <calculatedColumnFormula>IFERROR(GETPIVOTDATA("Interbank Rate",'External Data'!$A$3,"Month",MONTH(N$5),"Year",YEAR(N$5),"Currency",TBL_FOREX[[#This Row],[Currency]]),M6)</calculatedColumnFormula>
    </tableColumn>
    <tableColumn id="15" xr3:uid="{C3631230-D13B-4122-9700-DD1FFB842D16}" name="Sep-22">
      <calculatedColumnFormula>IFERROR(GETPIVOTDATA("Interbank Rate",'External Data'!$A$3,"Month",MONTH(O$5),"Year",YEAR(O$5),"Currency",TBL_FOREX[[#This Row],[Currency]]),N6)</calculatedColumnFormula>
    </tableColumn>
    <tableColumn id="16" xr3:uid="{2242C213-619A-47DC-A65B-1032777F94CC}" name="Okt-22">
      <calculatedColumnFormula>IFERROR(GETPIVOTDATA("Interbank Rate",'External Data'!$A$3,"Month",MONTH(P$5),"Year",YEAR(P$5),"Currency",TBL_FOREX[[#This Row],[Currency]]),O6)</calculatedColumnFormula>
    </tableColumn>
    <tableColumn id="17" xr3:uid="{B2AEC184-F6D6-475D-9403-0B945E3CBB07}" name="Nov-22">
      <calculatedColumnFormula>IFERROR(GETPIVOTDATA("Interbank Rate",'External Data'!$A$3,"Month",MONTH(Q$5),"Year",YEAR(Q$5),"Currency",TBL_FOREX[[#This Row],[Currency]]),P6)</calculatedColumnFormula>
    </tableColumn>
    <tableColumn id="18" xr3:uid="{27E0E8F9-A82A-4A37-97EB-A033A8FE2894}" name="Dez-22">
      <calculatedColumnFormula>IFERROR(GETPIVOTDATA("Interbank Rate",'External Data'!$A$3,"Month",MONTH(R$5),"Year",YEAR(R$5),"Currency",TBL_FOREX[[#This Row],[Currency]]),Q6)</calculatedColumnFormula>
    </tableColumn>
    <tableColumn id="19" xr3:uid="{E8F9EA48-6C79-449D-A997-4F1B06E26287}" name="Source/Comments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.xml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table" Target="../tables/table3.xml"/><Relationship Id="rId1" Type="http://schemas.openxmlformats.org/officeDocument/2006/relationships/printerSettings" Target="../printerSettings/printerSettings2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table" Target="../tables/table4.xml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table" Target="../tables/table5.xml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table" Target="../tables/table6.xml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table" Target="../tables/table7.xml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table" Target="../tables/table8.xml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table" Target="../tables/table9.xml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0.xml"/></Relationships>
</file>

<file path=xl/worksheets/_rels/sheet16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1.xml"/></Relationships>
</file>

<file path=xl/worksheets/_rels/sheet17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2.xml"/></Relationships>
</file>

<file path=xl/worksheets/_rels/sheet18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3.xml"/></Relationships>
</file>

<file path=xl/worksheets/_rels/sheet19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4.xml"/></Relationships>
</file>

<file path=xl/worksheets/_rels/sheet21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5.xml"/><Relationship Id="rId1" Type="http://schemas.openxmlformats.org/officeDocument/2006/relationships/printerSettings" Target="../printerSettings/printerSettings3.bin"/></Relationships>
</file>

<file path=xl/worksheets/_rels/sheet2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6.xml"/></Relationships>
</file>

<file path=xl/worksheets/_rels/sheet2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24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7.xml"/></Relationships>
</file>

<file path=xl/worksheets/_rels/sheet2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26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10FC75-7854-46C4-B69D-6CA4F86CC2D9}">
  <sheetPr codeName="Sheet1">
    <tabColor theme="0"/>
  </sheetPr>
  <dimension ref="A1:J39"/>
  <sheetViews>
    <sheetView workbookViewId="0">
      <selection activeCell="A12" sqref="A12"/>
    </sheetView>
  </sheetViews>
  <sheetFormatPr baseColWidth="10" defaultColWidth="9.140625" defaultRowHeight="15" x14ac:dyDescent="0.25"/>
  <cols>
    <col min="1" max="1" width="114.28515625" bestFit="1" customWidth="1"/>
    <col min="2" max="9" width="16.42578125" customWidth="1"/>
    <col min="10" max="10" width="118.5703125" customWidth="1"/>
  </cols>
  <sheetData>
    <row r="1" spans="1:10" ht="23.25" customHeight="1" x14ac:dyDescent="0.25">
      <c r="A1" s="9" t="s">
        <v>103</v>
      </c>
      <c r="B1" s="10"/>
      <c r="C1" s="10"/>
      <c r="D1" s="10"/>
      <c r="E1" s="6"/>
      <c r="F1" s="6"/>
      <c r="G1" s="6"/>
      <c r="H1" s="6"/>
      <c r="I1" s="6"/>
      <c r="J1" s="6"/>
    </row>
    <row r="2" spans="1:10" ht="23.25" customHeight="1" x14ac:dyDescent="0.25">
      <c r="A2" s="9" t="s">
        <v>104</v>
      </c>
      <c r="B2" s="11" t="s">
        <v>21</v>
      </c>
      <c r="C2" s="10"/>
      <c r="D2" s="10"/>
      <c r="E2" s="6"/>
      <c r="F2" s="6"/>
      <c r="G2" s="6"/>
      <c r="H2" s="6"/>
      <c r="I2" s="6"/>
      <c r="J2" s="6"/>
    </row>
    <row r="3" spans="1:10" ht="17.25" customHeight="1" x14ac:dyDescent="0.25">
      <c r="A3" s="103" t="s">
        <v>105</v>
      </c>
      <c r="B3" s="12" t="s">
        <v>22</v>
      </c>
      <c r="C3" s="13" t="s">
        <v>23</v>
      </c>
      <c r="D3" s="14" t="s">
        <v>24</v>
      </c>
      <c r="E3" s="6"/>
      <c r="F3" s="6"/>
      <c r="G3" s="6"/>
      <c r="H3" s="6"/>
      <c r="I3" s="6"/>
      <c r="J3" s="6"/>
    </row>
    <row r="4" spans="1:10" ht="17.25" customHeight="1" x14ac:dyDescent="0.25">
      <c r="A4" s="104"/>
      <c r="B4" s="15"/>
      <c r="C4" s="16"/>
      <c r="D4" s="10"/>
      <c r="E4" s="6"/>
      <c r="F4" s="6"/>
      <c r="G4" s="6"/>
      <c r="H4" s="6"/>
      <c r="I4" s="6"/>
      <c r="J4" s="6"/>
    </row>
    <row r="5" spans="1:10" ht="24" customHeight="1" x14ac:dyDescent="0.25">
      <c r="A5" s="9" t="s">
        <v>122</v>
      </c>
      <c r="B5" s="6"/>
      <c r="C5" s="6"/>
      <c r="D5" s="6"/>
      <c r="E5" s="6"/>
      <c r="F5" s="6"/>
      <c r="G5" s="6"/>
      <c r="H5" s="6"/>
      <c r="I5" s="6"/>
      <c r="J5" s="6"/>
    </row>
    <row r="6" spans="1:10" ht="24" customHeight="1" x14ac:dyDescent="0.25">
      <c r="A6" s="9" t="s">
        <v>134</v>
      </c>
      <c r="B6" s="6"/>
      <c r="C6" s="6"/>
      <c r="D6" s="6"/>
      <c r="E6" s="6"/>
      <c r="F6" s="6"/>
      <c r="G6" s="6"/>
      <c r="H6" s="6"/>
      <c r="I6" s="6"/>
      <c r="J6" s="6"/>
    </row>
    <row r="7" spans="1:10" ht="24" customHeight="1" x14ac:dyDescent="0.25">
      <c r="A7" s="9" t="s">
        <v>140</v>
      </c>
      <c r="B7" s="6"/>
      <c r="C7" s="6"/>
      <c r="D7" s="6"/>
      <c r="E7" s="6"/>
      <c r="F7" s="6"/>
      <c r="G7" s="6"/>
      <c r="H7" s="6"/>
      <c r="I7" s="6"/>
      <c r="J7" s="6"/>
    </row>
    <row r="8" spans="1:10" ht="24" customHeight="1" x14ac:dyDescent="0.25">
      <c r="A8" s="9" t="s">
        <v>124</v>
      </c>
      <c r="B8" s="6"/>
      <c r="C8" s="6"/>
      <c r="D8" s="6"/>
      <c r="E8" s="6"/>
      <c r="F8" s="6"/>
      <c r="G8" s="6"/>
      <c r="H8" s="6"/>
      <c r="I8" s="6"/>
      <c r="J8" s="6"/>
    </row>
    <row r="9" spans="1:10" ht="24" customHeight="1" x14ac:dyDescent="0.25">
      <c r="A9" s="9" t="s">
        <v>123</v>
      </c>
      <c r="B9" s="77" t="s">
        <v>130</v>
      </c>
      <c r="C9" s="81" t="s">
        <v>126</v>
      </c>
      <c r="D9" s="80" t="s">
        <v>127</v>
      </c>
      <c r="E9" s="78" t="s">
        <v>128</v>
      </c>
      <c r="F9" s="79" t="s">
        <v>129</v>
      </c>
      <c r="G9" s="96" t="s">
        <v>155</v>
      </c>
      <c r="H9" s="99" t="s">
        <v>162</v>
      </c>
      <c r="I9" s="100" t="s">
        <v>163</v>
      </c>
      <c r="J9" s="98"/>
    </row>
    <row r="10" spans="1:10" ht="24" customHeight="1" x14ac:dyDescent="0.25">
      <c r="A10" s="9" t="s">
        <v>102</v>
      </c>
      <c r="B10" s="6"/>
      <c r="C10" s="6"/>
      <c r="D10" s="6"/>
      <c r="E10" s="6"/>
      <c r="F10" s="6"/>
      <c r="G10" s="6"/>
      <c r="H10" s="6"/>
      <c r="I10" s="6"/>
      <c r="J10" s="6"/>
    </row>
    <row r="11" spans="1:10" ht="24" customHeight="1" x14ac:dyDescent="0.25">
      <c r="A11" s="9" t="s">
        <v>168</v>
      </c>
      <c r="B11" s="6"/>
      <c r="C11" s="6"/>
      <c r="D11" s="6"/>
      <c r="E11" s="6"/>
      <c r="F11" s="6"/>
      <c r="G11" s="6"/>
      <c r="H11" s="6"/>
      <c r="I11" s="6"/>
      <c r="J11" s="6"/>
    </row>
    <row r="12" spans="1:10" ht="24" customHeight="1" x14ac:dyDescent="0.25">
      <c r="A12" s="9" t="s">
        <v>125</v>
      </c>
      <c r="B12" s="6"/>
      <c r="C12" s="6"/>
      <c r="D12" s="6"/>
      <c r="E12" s="6"/>
      <c r="F12" s="6"/>
      <c r="G12" s="6"/>
      <c r="H12" s="6"/>
      <c r="I12" s="6"/>
      <c r="J12" s="6"/>
    </row>
    <row r="13" spans="1:10" ht="24" customHeight="1" x14ac:dyDescent="0.25">
      <c r="A13" s="9" t="s">
        <v>135</v>
      </c>
      <c r="B13" s="6"/>
      <c r="C13" s="6"/>
      <c r="D13" s="6"/>
      <c r="E13" s="6"/>
      <c r="F13" s="6"/>
      <c r="G13" s="6"/>
      <c r="H13" s="6"/>
      <c r="I13" s="6"/>
      <c r="J13" s="6"/>
    </row>
    <row r="14" spans="1:10" ht="24" customHeight="1" x14ac:dyDescent="0.25">
      <c r="A14" s="6"/>
      <c r="B14" s="6"/>
      <c r="C14" s="6"/>
      <c r="D14" s="6"/>
      <c r="E14" s="6"/>
      <c r="F14" s="6"/>
      <c r="G14" s="6"/>
      <c r="H14" s="6"/>
      <c r="I14" s="6"/>
      <c r="J14" s="6"/>
    </row>
    <row r="15" spans="1:10" ht="24" customHeight="1" x14ac:dyDescent="0.25">
      <c r="A15" s="6"/>
      <c r="B15" s="6"/>
      <c r="C15" s="6"/>
      <c r="D15" s="6"/>
      <c r="E15" s="6"/>
      <c r="F15" s="6"/>
      <c r="G15" s="6"/>
      <c r="H15" s="6"/>
      <c r="I15" s="6"/>
      <c r="J15" s="6"/>
    </row>
    <row r="16" spans="1:10" x14ac:dyDescent="0.25">
      <c r="A16" s="6"/>
      <c r="B16" s="6"/>
      <c r="C16" s="6"/>
      <c r="D16" s="6"/>
      <c r="E16" s="6"/>
      <c r="F16" s="6"/>
      <c r="G16" s="6"/>
      <c r="H16" s="6"/>
      <c r="I16" s="6"/>
      <c r="J16" s="6"/>
    </row>
    <row r="17" spans="1:10" x14ac:dyDescent="0.25">
      <c r="A17" s="6"/>
      <c r="B17" s="6"/>
      <c r="C17" s="6"/>
      <c r="D17" s="6"/>
      <c r="E17" s="6"/>
      <c r="F17" s="6"/>
      <c r="G17" s="6"/>
      <c r="H17" s="6"/>
      <c r="I17" s="6"/>
      <c r="J17" s="6"/>
    </row>
    <row r="18" spans="1:10" x14ac:dyDescent="0.25">
      <c r="A18" s="6"/>
      <c r="B18" s="6"/>
      <c r="C18" s="6"/>
      <c r="D18" s="6"/>
      <c r="E18" s="6"/>
      <c r="F18" s="6"/>
      <c r="G18" s="6"/>
      <c r="H18" s="6"/>
      <c r="I18" s="6"/>
      <c r="J18" s="6"/>
    </row>
    <row r="19" spans="1:10" x14ac:dyDescent="0.25">
      <c r="A19" s="6"/>
      <c r="B19" s="6"/>
      <c r="C19" s="6"/>
      <c r="D19" s="6"/>
      <c r="E19" s="6"/>
      <c r="F19" s="6"/>
      <c r="G19" s="6"/>
      <c r="H19" s="6"/>
      <c r="I19" s="6"/>
      <c r="J19" s="6"/>
    </row>
    <row r="20" spans="1:10" x14ac:dyDescent="0.25">
      <c r="A20" s="6"/>
      <c r="B20" s="6"/>
      <c r="C20" s="6"/>
      <c r="D20" s="6"/>
      <c r="E20" s="6"/>
      <c r="F20" s="6"/>
      <c r="G20" s="6"/>
      <c r="H20" s="6"/>
      <c r="I20" s="6"/>
      <c r="J20" s="6"/>
    </row>
    <row r="21" spans="1:10" x14ac:dyDescent="0.25">
      <c r="A21" s="6"/>
      <c r="B21" s="6"/>
      <c r="C21" s="6"/>
      <c r="D21" s="6"/>
      <c r="E21" s="6"/>
      <c r="F21" s="6"/>
      <c r="G21" s="6"/>
      <c r="H21" s="6"/>
      <c r="I21" s="6"/>
      <c r="J21" s="6"/>
    </row>
    <row r="22" spans="1:10" x14ac:dyDescent="0.25">
      <c r="A22" s="6"/>
      <c r="B22" s="6"/>
      <c r="C22" s="6"/>
      <c r="D22" s="6"/>
      <c r="E22" s="6"/>
      <c r="F22" s="6"/>
      <c r="G22" s="6"/>
      <c r="H22" s="6"/>
      <c r="I22" s="6"/>
      <c r="J22" s="6"/>
    </row>
    <row r="23" spans="1:10" x14ac:dyDescent="0.25">
      <c r="A23" s="6"/>
      <c r="B23" s="6"/>
      <c r="C23" s="6"/>
      <c r="D23" s="6"/>
      <c r="E23" s="6"/>
      <c r="F23" s="6"/>
      <c r="G23" s="6"/>
      <c r="H23" s="6"/>
      <c r="I23" s="6"/>
      <c r="J23" s="6"/>
    </row>
    <row r="24" spans="1:10" x14ac:dyDescent="0.25">
      <c r="A24" s="6"/>
      <c r="B24" s="6"/>
      <c r="C24" s="6"/>
      <c r="D24" s="6"/>
      <c r="E24" s="6"/>
      <c r="F24" s="6"/>
      <c r="G24" s="6"/>
      <c r="H24" s="6"/>
      <c r="I24" s="6"/>
      <c r="J24" s="6"/>
    </row>
    <row r="25" spans="1:10" x14ac:dyDescent="0.25">
      <c r="A25" s="6"/>
      <c r="B25" s="6"/>
      <c r="C25" s="6"/>
      <c r="D25" s="6"/>
      <c r="E25" s="6"/>
      <c r="F25" s="6"/>
      <c r="G25" s="6"/>
      <c r="H25" s="6"/>
      <c r="I25" s="6"/>
      <c r="J25" s="6"/>
    </row>
    <row r="26" spans="1:10" x14ac:dyDescent="0.25">
      <c r="A26" s="6"/>
      <c r="B26" s="6"/>
      <c r="C26" s="6"/>
      <c r="D26" s="6"/>
      <c r="E26" s="6"/>
      <c r="F26" s="6"/>
      <c r="G26" s="6"/>
      <c r="H26" s="6"/>
      <c r="I26" s="6"/>
      <c r="J26" s="6"/>
    </row>
    <row r="27" spans="1:10" x14ac:dyDescent="0.25">
      <c r="A27" s="6"/>
      <c r="B27" s="6"/>
      <c r="C27" s="6"/>
      <c r="D27" s="6"/>
      <c r="E27" s="6"/>
      <c r="F27" s="6"/>
      <c r="G27" s="6"/>
      <c r="H27" s="6"/>
      <c r="I27" s="6"/>
      <c r="J27" s="6"/>
    </row>
    <row r="28" spans="1:10" x14ac:dyDescent="0.25">
      <c r="A28" s="6"/>
      <c r="B28" s="6"/>
      <c r="C28" s="6"/>
      <c r="D28" s="6"/>
      <c r="E28" s="6"/>
      <c r="F28" s="6"/>
      <c r="G28" s="6"/>
      <c r="H28" s="6"/>
      <c r="I28" s="6"/>
      <c r="J28" s="6"/>
    </row>
    <row r="29" spans="1:10" x14ac:dyDescent="0.25">
      <c r="A29" s="6"/>
      <c r="B29" s="6"/>
      <c r="C29" s="6"/>
      <c r="D29" s="6"/>
      <c r="E29" s="6"/>
      <c r="F29" s="6"/>
      <c r="G29" s="6"/>
      <c r="H29" s="6"/>
      <c r="I29" s="6"/>
      <c r="J29" s="6"/>
    </row>
    <row r="30" spans="1:10" x14ac:dyDescent="0.25">
      <c r="A30" s="6"/>
      <c r="B30" s="6"/>
      <c r="C30" s="6"/>
      <c r="D30" s="6"/>
      <c r="E30" s="6"/>
      <c r="F30" s="6"/>
      <c r="G30" s="6"/>
      <c r="H30" s="6"/>
      <c r="I30" s="6"/>
      <c r="J30" s="6"/>
    </row>
    <row r="31" spans="1:10" x14ac:dyDescent="0.25">
      <c r="A31" s="6"/>
      <c r="B31" s="6"/>
      <c r="C31" s="6"/>
      <c r="D31" s="6"/>
      <c r="E31" s="6"/>
      <c r="F31" s="6"/>
      <c r="G31" s="6"/>
      <c r="H31" s="6"/>
      <c r="I31" s="6"/>
      <c r="J31" s="6"/>
    </row>
    <row r="32" spans="1:10" x14ac:dyDescent="0.25">
      <c r="A32" s="6"/>
      <c r="B32" s="6"/>
      <c r="C32" s="6"/>
      <c r="D32" s="6"/>
      <c r="E32" s="6"/>
      <c r="F32" s="6"/>
      <c r="G32" s="6"/>
      <c r="H32" s="6"/>
      <c r="I32" s="6"/>
      <c r="J32" s="6"/>
    </row>
    <row r="33" spans="1:10" x14ac:dyDescent="0.25">
      <c r="A33" s="6"/>
      <c r="B33" s="6"/>
      <c r="C33" s="6"/>
      <c r="D33" s="6"/>
      <c r="E33" s="6"/>
      <c r="F33" s="6"/>
      <c r="G33" s="6"/>
      <c r="H33" s="6"/>
      <c r="I33" s="6"/>
      <c r="J33" s="6"/>
    </row>
    <row r="34" spans="1:10" x14ac:dyDescent="0.25">
      <c r="A34" s="6"/>
      <c r="B34" s="6"/>
      <c r="C34" s="6"/>
      <c r="D34" s="6"/>
      <c r="E34" s="6"/>
      <c r="F34" s="6"/>
      <c r="G34" s="6"/>
      <c r="H34" s="6"/>
      <c r="I34" s="6"/>
      <c r="J34" s="6"/>
    </row>
    <row r="35" spans="1:10" x14ac:dyDescent="0.25">
      <c r="A35" s="6"/>
      <c r="B35" s="6"/>
      <c r="C35" s="6"/>
      <c r="D35" s="6"/>
      <c r="E35" s="6"/>
      <c r="F35" s="6"/>
      <c r="G35" s="6"/>
      <c r="H35" s="6"/>
      <c r="I35" s="6"/>
      <c r="J35" s="6"/>
    </row>
    <row r="36" spans="1:10" x14ac:dyDescent="0.25">
      <c r="A36" s="6"/>
      <c r="B36" s="6"/>
      <c r="C36" s="6"/>
      <c r="D36" s="6"/>
      <c r="E36" s="6"/>
      <c r="F36" s="6"/>
      <c r="G36" s="6"/>
      <c r="H36" s="6"/>
      <c r="I36" s="6"/>
      <c r="J36" s="6"/>
    </row>
    <row r="37" spans="1:10" x14ac:dyDescent="0.25">
      <c r="A37" s="6"/>
      <c r="B37" s="6"/>
      <c r="C37" s="6"/>
      <c r="D37" s="6"/>
      <c r="E37" s="6"/>
      <c r="F37" s="6"/>
      <c r="G37" s="6"/>
      <c r="H37" s="6"/>
      <c r="I37" s="6"/>
      <c r="J37" s="6"/>
    </row>
    <row r="38" spans="1:10" x14ac:dyDescent="0.25">
      <c r="A38" s="6"/>
      <c r="B38" s="6"/>
      <c r="C38" s="6"/>
      <c r="D38" s="6"/>
      <c r="E38" s="6"/>
      <c r="F38" s="6"/>
      <c r="G38" s="6"/>
      <c r="H38" s="6"/>
      <c r="I38" s="6"/>
      <c r="J38" s="6"/>
    </row>
    <row r="39" spans="1:10" x14ac:dyDescent="0.25">
      <c r="A39" s="6"/>
      <c r="B39" s="6"/>
      <c r="C39" s="6"/>
      <c r="D39" s="6"/>
      <c r="E39" s="6"/>
      <c r="F39" s="6"/>
      <c r="G39" s="6"/>
      <c r="H39" s="6"/>
      <c r="I39" s="6"/>
      <c r="J39" s="6"/>
    </row>
  </sheetData>
  <mergeCells count="1">
    <mergeCell ref="A3:A4"/>
  </mergeCells>
  <pageMargins left="0.7" right="0.7" top="0.75" bottom="0.75" header="0.3" footer="0.3"/>
  <pageSetup paperSize="9" orientation="portrait" r:id="rId1"/>
  <tableParts count="1">
    <tablePart r:id="rId2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F1E8911-AF1D-42A9-9466-79B310490333}">
  <sheetPr>
    <tabColor theme="0"/>
  </sheetPr>
  <dimension ref="A2:F3"/>
  <sheetViews>
    <sheetView zoomScale="85" zoomScaleNormal="85" workbookViewId="0">
      <selection activeCell="R42" sqref="R42"/>
    </sheetView>
  </sheetViews>
  <sheetFormatPr baseColWidth="10" defaultColWidth="9.140625" defaultRowHeight="15" x14ac:dyDescent="0.25"/>
  <cols>
    <col min="1" max="1" width="14.85546875" bestFit="1" customWidth="1"/>
    <col min="2" max="2" width="14.85546875" customWidth="1"/>
    <col min="3" max="3" width="23" bestFit="1" customWidth="1"/>
  </cols>
  <sheetData>
    <row r="2" spans="1:6" x14ac:dyDescent="0.25">
      <c r="A2" s="76"/>
      <c r="B2" s="76"/>
      <c r="C2" s="76"/>
      <c r="F2" s="76"/>
    </row>
    <row r="3" spans="1:6" x14ac:dyDescent="0.25">
      <c r="C3" s="76"/>
      <c r="D3" s="76"/>
      <c r="E3" s="76"/>
    </row>
  </sheetData>
  <pageMargins left="0.7" right="0.7" top="0.75" bottom="0.75" header="0.3" footer="0.3"/>
  <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1A23818-6A9A-42F4-B33B-D7430F78DB0C}">
  <sheetPr codeName="Sheet2">
    <tabColor theme="2"/>
  </sheetPr>
  <dimension ref="A1:C15"/>
  <sheetViews>
    <sheetView workbookViewId="0">
      <selection activeCell="C25" sqref="C25"/>
    </sheetView>
  </sheetViews>
  <sheetFormatPr baseColWidth="10" defaultColWidth="9.140625" defaultRowHeight="15" x14ac:dyDescent="0.25"/>
  <cols>
    <col min="2" max="2" width="30.28515625" customWidth="1"/>
    <col min="3" max="3" width="55.85546875" customWidth="1"/>
  </cols>
  <sheetData>
    <row r="1" spans="1:3" x14ac:dyDescent="0.25">
      <c r="A1" s="1" t="s">
        <v>25</v>
      </c>
    </row>
    <row r="2" spans="1:3" x14ac:dyDescent="0.25">
      <c r="A2" s="1" t="s">
        <v>106</v>
      </c>
    </row>
    <row r="4" spans="1:3" x14ac:dyDescent="0.25">
      <c r="A4" s="5" t="s">
        <v>26</v>
      </c>
      <c r="B4" s="7" t="s">
        <v>2</v>
      </c>
    </row>
    <row r="6" spans="1:3" x14ac:dyDescent="0.25">
      <c r="A6" s="105" t="s">
        <v>28</v>
      </c>
      <c r="B6" s="105"/>
      <c r="C6" s="105"/>
    </row>
    <row r="7" spans="1:3" x14ac:dyDescent="0.25">
      <c r="A7" s="106" t="s">
        <v>136</v>
      </c>
      <c r="B7" s="107"/>
      <c r="C7" s="108"/>
    </row>
    <row r="8" spans="1:3" x14ac:dyDescent="0.25">
      <c r="A8" s="109"/>
      <c r="B8" s="110"/>
      <c r="C8" s="111"/>
    </row>
    <row r="9" spans="1:3" x14ac:dyDescent="0.25">
      <c r="A9" s="109"/>
      <c r="B9" s="110"/>
      <c r="C9" s="111"/>
    </row>
    <row r="10" spans="1:3" x14ac:dyDescent="0.25">
      <c r="A10" s="109"/>
      <c r="B10" s="110"/>
      <c r="C10" s="111"/>
    </row>
    <row r="11" spans="1:3" x14ac:dyDescent="0.25">
      <c r="A11" s="109"/>
      <c r="B11" s="110"/>
      <c r="C11" s="111"/>
    </row>
    <row r="12" spans="1:3" x14ac:dyDescent="0.25">
      <c r="A12" s="109"/>
      <c r="B12" s="110"/>
      <c r="C12" s="111"/>
    </row>
    <row r="13" spans="1:3" x14ac:dyDescent="0.25">
      <c r="A13" s="109"/>
      <c r="B13" s="110"/>
      <c r="C13" s="111"/>
    </row>
    <row r="14" spans="1:3" x14ac:dyDescent="0.25">
      <c r="A14" s="109"/>
      <c r="B14" s="110"/>
      <c r="C14" s="111"/>
    </row>
    <row r="15" spans="1:3" x14ac:dyDescent="0.25">
      <c r="A15" s="112"/>
      <c r="B15" s="113"/>
      <c r="C15" s="114"/>
    </row>
  </sheetData>
  <mergeCells count="2">
    <mergeCell ref="A6:C6"/>
    <mergeCell ref="A7:C15"/>
  </mergeCells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ECF225F-8869-4BA6-8D55-5B277887A298}">
  <sheetPr>
    <tabColor rgb="FFFF0000"/>
  </sheetPr>
  <dimension ref="A1:S45"/>
  <sheetViews>
    <sheetView workbookViewId="0">
      <selection activeCell="B12" sqref="B12"/>
    </sheetView>
  </sheetViews>
  <sheetFormatPr baseColWidth="10" defaultColWidth="9.140625" defaultRowHeight="15" x14ac:dyDescent="0.25"/>
  <cols>
    <col min="1" max="1" width="28.5703125" customWidth="1"/>
    <col min="2" max="18" width="10.140625" customWidth="1"/>
    <col min="19" max="19" width="83.85546875" customWidth="1"/>
  </cols>
  <sheetData>
    <row r="1" spans="1:19" x14ac:dyDescent="0.25">
      <c r="A1" s="1" t="s">
        <v>119</v>
      </c>
    </row>
    <row r="2" spans="1:19" x14ac:dyDescent="0.25">
      <c r="A2" s="1" t="s">
        <v>137</v>
      </c>
    </row>
    <row r="5" spans="1:19" x14ac:dyDescent="0.25">
      <c r="A5" s="8" t="s">
        <v>165</v>
      </c>
      <c r="B5" s="22" t="s">
        <v>4</v>
      </c>
      <c r="C5" s="22" t="s">
        <v>5</v>
      </c>
      <c r="D5" s="22" t="s">
        <v>6</v>
      </c>
      <c r="E5" s="22" t="s">
        <v>7</v>
      </c>
      <c r="F5" s="22" t="s">
        <v>8</v>
      </c>
      <c r="G5" s="22" t="s">
        <v>9</v>
      </c>
      <c r="H5" s="22" t="s">
        <v>10</v>
      </c>
      <c r="I5" s="22" t="s">
        <v>11</v>
      </c>
      <c r="J5" s="22" t="s">
        <v>12</v>
      </c>
      <c r="K5" s="22" t="s">
        <v>13</v>
      </c>
      <c r="L5" s="22" t="s">
        <v>14</v>
      </c>
      <c r="M5" s="22" t="s">
        <v>15</v>
      </c>
      <c r="N5" s="22" t="s">
        <v>16</v>
      </c>
      <c r="O5" s="22" t="s">
        <v>17</v>
      </c>
      <c r="P5" s="22" t="s">
        <v>18</v>
      </c>
      <c r="Q5" s="22" t="s">
        <v>19</v>
      </c>
      <c r="R5" s="22" t="s">
        <v>20</v>
      </c>
      <c r="S5" s="8" t="s">
        <v>27</v>
      </c>
    </row>
    <row r="6" spans="1:19" x14ac:dyDescent="0.25">
      <c r="A6" s="73">
        <v>50</v>
      </c>
      <c r="B6" s="27">
        <v>4</v>
      </c>
      <c r="C6" s="27"/>
      <c r="D6" s="27"/>
      <c r="E6" s="27"/>
      <c r="F6" s="27"/>
      <c r="G6" s="27"/>
      <c r="H6" s="27"/>
      <c r="I6" s="27"/>
      <c r="J6" s="27"/>
      <c r="K6" s="27"/>
      <c r="L6" s="27"/>
      <c r="M6" s="27"/>
      <c r="N6" s="27"/>
      <c r="O6" s="27"/>
      <c r="P6" s="27"/>
      <c r="Q6" s="27"/>
      <c r="R6" s="27"/>
      <c r="S6" s="25"/>
    </row>
    <row r="7" spans="1:19" x14ac:dyDescent="0.25">
      <c r="A7" s="74">
        <f>$A6+10</f>
        <v>60</v>
      </c>
      <c r="B7" s="32">
        <v>4.6478623845482918</v>
      </c>
      <c r="C7" s="32"/>
      <c r="D7" s="32"/>
      <c r="E7" s="32"/>
      <c r="F7" s="32"/>
      <c r="G7" s="32"/>
      <c r="H7" s="32"/>
      <c r="I7" s="32"/>
      <c r="J7" s="32"/>
      <c r="K7" s="32"/>
      <c r="L7" s="32"/>
      <c r="M7" s="32"/>
      <c r="N7" s="32"/>
      <c r="O7" s="32"/>
      <c r="P7" s="32"/>
      <c r="Q7" s="32"/>
      <c r="R7" s="32"/>
      <c r="S7" s="26"/>
    </row>
    <row r="8" spans="1:19" x14ac:dyDescent="0.25">
      <c r="A8" s="75">
        <f>$A7+10</f>
        <v>70</v>
      </c>
      <c r="B8" s="27">
        <v>4.7301508539530577</v>
      </c>
      <c r="C8" s="27"/>
      <c r="D8" s="27"/>
      <c r="E8" s="27"/>
      <c r="F8" s="27"/>
      <c r="G8" s="27"/>
      <c r="H8" s="27"/>
      <c r="I8" s="27"/>
      <c r="J8" s="27"/>
      <c r="K8" s="27"/>
      <c r="L8" s="27"/>
      <c r="M8" s="27"/>
      <c r="N8" s="27"/>
      <c r="O8" s="27"/>
      <c r="P8" s="27"/>
      <c r="Q8" s="27"/>
      <c r="R8" s="27"/>
      <c r="S8" s="25"/>
    </row>
    <row r="9" spans="1:19" x14ac:dyDescent="0.25">
      <c r="A9" s="74">
        <f t="shared" ref="A9:A28" si="0">$A8+10</f>
        <v>80</v>
      </c>
      <c r="B9" s="32">
        <v>5.4138586682143988</v>
      </c>
      <c r="C9" s="32"/>
      <c r="D9" s="32"/>
      <c r="E9" s="32"/>
      <c r="F9" s="32"/>
      <c r="G9" s="32"/>
      <c r="H9" s="32"/>
      <c r="I9" s="32"/>
      <c r="J9" s="32"/>
      <c r="K9" s="32"/>
      <c r="L9" s="32"/>
      <c r="M9" s="32"/>
      <c r="N9" s="32"/>
      <c r="O9" s="32"/>
      <c r="P9" s="32"/>
      <c r="Q9" s="32"/>
      <c r="R9" s="32"/>
      <c r="S9" s="26"/>
    </row>
    <row r="10" spans="1:19" x14ac:dyDescent="0.25">
      <c r="A10" s="75">
        <f t="shared" si="0"/>
        <v>90</v>
      </c>
      <c r="B10" s="27">
        <v>5.9328046246154393</v>
      </c>
      <c r="C10" s="27"/>
      <c r="D10" s="27"/>
      <c r="E10" s="27"/>
      <c r="F10" s="27"/>
      <c r="G10" s="27"/>
      <c r="H10" s="27"/>
      <c r="I10" s="27"/>
      <c r="J10" s="27"/>
      <c r="K10" s="27"/>
      <c r="L10" s="27"/>
      <c r="M10" s="27"/>
      <c r="N10" s="27"/>
      <c r="O10" s="27"/>
      <c r="P10" s="27"/>
      <c r="Q10" s="27"/>
      <c r="R10" s="27"/>
      <c r="S10" s="25"/>
    </row>
    <row r="11" spans="1:19" x14ac:dyDescent="0.25">
      <c r="A11" s="74">
        <f t="shared" si="0"/>
        <v>100</v>
      </c>
      <c r="B11" s="32">
        <v>6.7944665058349347</v>
      </c>
      <c r="C11" s="32"/>
      <c r="D11" s="32"/>
      <c r="E11" s="32"/>
      <c r="F11" s="32"/>
      <c r="G11" s="32"/>
      <c r="H11" s="32"/>
      <c r="I11" s="32"/>
      <c r="J11" s="32"/>
      <c r="K11" s="32"/>
      <c r="L11" s="32"/>
      <c r="M11" s="32"/>
      <c r="N11" s="32"/>
      <c r="O11" s="32"/>
      <c r="P11" s="32"/>
      <c r="Q11" s="32"/>
      <c r="R11" s="32"/>
      <c r="S11" s="26"/>
    </row>
    <row r="12" spans="1:19" x14ac:dyDescent="0.25">
      <c r="A12" s="75">
        <f t="shared" si="0"/>
        <v>110</v>
      </c>
      <c r="B12" s="27">
        <v>7.5626194878917401</v>
      </c>
      <c r="C12" s="27"/>
      <c r="D12" s="27"/>
      <c r="E12" s="27"/>
      <c r="F12" s="27"/>
      <c r="G12" s="27"/>
      <c r="H12" s="27"/>
      <c r="I12" s="27"/>
      <c r="J12" s="27"/>
      <c r="K12" s="27"/>
      <c r="L12" s="27"/>
      <c r="M12" s="27"/>
      <c r="N12" s="27"/>
      <c r="O12" s="27"/>
      <c r="P12" s="27"/>
      <c r="Q12" s="27"/>
      <c r="R12" s="27"/>
      <c r="S12" s="25"/>
    </row>
    <row r="13" spans="1:19" x14ac:dyDescent="0.25">
      <c r="A13" s="74">
        <f t="shared" si="0"/>
        <v>120</v>
      </c>
      <c r="B13" s="32">
        <v>7.6950867340457405</v>
      </c>
      <c r="C13" s="32"/>
      <c r="D13" s="32"/>
      <c r="E13" s="32"/>
      <c r="F13" s="32"/>
      <c r="G13" s="32"/>
      <c r="H13" s="32"/>
      <c r="I13" s="32"/>
      <c r="J13" s="32"/>
      <c r="K13" s="32"/>
      <c r="L13" s="32"/>
      <c r="M13" s="32"/>
      <c r="N13" s="32"/>
      <c r="O13" s="32"/>
      <c r="P13" s="32"/>
      <c r="Q13" s="32"/>
      <c r="R13" s="32"/>
      <c r="S13" s="26"/>
    </row>
    <row r="14" spans="1:19" x14ac:dyDescent="0.25">
      <c r="A14" s="75">
        <f t="shared" si="0"/>
        <v>130</v>
      </c>
      <c r="B14" s="27">
        <v>8.4628426987971732</v>
      </c>
      <c r="C14" s="27"/>
      <c r="D14" s="27"/>
      <c r="E14" s="27"/>
      <c r="F14" s="27"/>
      <c r="G14" s="27"/>
      <c r="H14" s="27"/>
      <c r="I14" s="27"/>
      <c r="J14" s="27"/>
      <c r="K14" s="27"/>
      <c r="L14" s="27"/>
      <c r="M14" s="27"/>
      <c r="N14" s="27"/>
      <c r="O14" s="27"/>
      <c r="P14" s="27"/>
      <c r="Q14" s="27"/>
      <c r="R14" s="27"/>
      <c r="S14" s="25"/>
    </row>
    <row r="15" spans="1:19" x14ac:dyDescent="0.25">
      <c r="A15" s="74">
        <f t="shared" si="0"/>
        <v>140</v>
      </c>
      <c r="B15" s="32">
        <v>9.1761272148866375</v>
      </c>
      <c r="C15" s="32"/>
      <c r="D15" s="32"/>
      <c r="E15" s="32"/>
      <c r="F15" s="32"/>
      <c r="G15" s="32"/>
      <c r="H15" s="32"/>
      <c r="I15" s="32"/>
      <c r="J15" s="32"/>
      <c r="K15" s="32"/>
      <c r="L15" s="32"/>
      <c r="M15" s="32"/>
      <c r="N15" s="32"/>
      <c r="O15" s="32"/>
      <c r="P15" s="32"/>
      <c r="Q15" s="32"/>
      <c r="R15" s="32"/>
      <c r="S15" s="26"/>
    </row>
    <row r="16" spans="1:19" x14ac:dyDescent="0.25">
      <c r="A16" s="75">
        <f t="shared" si="0"/>
        <v>150</v>
      </c>
      <c r="B16" s="27">
        <v>9.7452816347709224</v>
      </c>
      <c r="C16" s="27"/>
      <c r="D16" s="27"/>
      <c r="E16" s="27"/>
      <c r="F16" s="27"/>
      <c r="G16" s="27"/>
      <c r="H16" s="27"/>
      <c r="I16" s="27"/>
      <c r="J16" s="27"/>
      <c r="K16" s="27"/>
      <c r="L16" s="27"/>
      <c r="M16" s="27"/>
      <c r="N16" s="27"/>
      <c r="O16" s="27"/>
      <c r="P16" s="27"/>
      <c r="Q16" s="27"/>
      <c r="R16" s="27"/>
      <c r="S16" s="25"/>
    </row>
    <row r="17" spans="1:19" x14ac:dyDescent="0.25">
      <c r="A17" s="74">
        <f t="shared" si="0"/>
        <v>160</v>
      </c>
      <c r="B17" s="32">
        <v>10.122576914139037</v>
      </c>
      <c r="C17" s="32"/>
      <c r="D17" s="32"/>
      <c r="E17" s="32"/>
      <c r="F17" s="32"/>
      <c r="G17" s="32"/>
      <c r="H17" s="32"/>
      <c r="I17" s="32"/>
      <c r="J17" s="32"/>
      <c r="K17" s="32"/>
      <c r="L17" s="32"/>
      <c r="M17" s="32"/>
      <c r="N17" s="32"/>
      <c r="O17" s="32"/>
      <c r="P17" s="32"/>
      <c r="Q17" s="32"/>
      <c r="R17" s="32"/>
      <c r="S17" s="26"/>
    </row>
    <row r="18" spans="1:19" x14ac:dyDescent="0.25">
      <c r="A18" s="75">
        <f t="shared" si="0"/>
        <v>170</v>
      </c>
      <c r="B18" s="27">
        <v>11.003013768505962</v>
      </c>
      <c r="C18" s="27"/>
      <c r="D18" s="27"/>
      <c r="E18" s="27"/>
      <c r="F18" s="27"/>
      <c r="G18" s="27"/>
      <c r="H18" s="27"/>
      <c r="I18" s="27"/>
      <c r="J18" s="27"/>
      <c r="K18" s="27"/>
      <c r="L18" s="27"/>
      <c r="M18" s="27"/>
      <c r="N18" s="27"/>
      <c r="O18" s="27"/>
      <c r="P18" s="27"/>
      <c r="Q18" s="27"/>
      <c r="R18" s="27"/>
      <c r="S18" s="25"/>
    </row>
    <row r="19" spans="1:19" x14ac:dyDescent="0.25">
      <c r="A19" s="74">
        <f t="shared" si="0"/>
        <v>180</v>
      </c>
      <c r="B19" s="32">
        <v>11.99126533685598</v>
      </c>
      <c r="C19" s="32"/>
      <c r="D19" s="32"/>
      <c r="E19" s="32"/>
      <c r="F19" s="32"/>
      <c r="G19" s="32"/>
      <c r="H19" s="32"/>
      <c r="I19" s="32"/>
      <c r="J19" s="32"/>
      <c r="K19" s="32"/>
      <c r="L19" s="32"/>
      <c r="M19" s="32"/>
      <c r="N19" s="32"/>
      <c r="O19" s="32"/>
      <c r="P19" s="32"/>
      <c r="Q19" s="32"/>
      <c r="R19" s="32"/>
      <c r="S19" s="26"/>
    </row>
    <row r="20" spans="1:19" x14ac:dyDescent="0.25">
      <c r="A20" s="75">
        <f t="shared" si="0"/>
        <v>190</v>
      </c>
      <c r="B20" s="27">
        <v>12.71243110225687</v>
      </c>
      <c r="C20" s="27"/>
      <c r="D20" s="27"/>
      <c r="E20" s="27"/>
      <c r="F20" s="27"/>
      <c r="G20" s="27"/>
      <c r="H20" s="27"/>
      <c r="I20" s="27"/>
      <c r="J20" s="27"/>
      <c r="K20" s="27"/>
      <c r="L20" s="27"/>
      <c r="M20" s="27"/>
      <c r="N20" s="27"/>
      <c r="O20" s="27"/>
      <c r="P20" s="27"/>
      <c r="Q20" s="27"/>
      <c r="R20" s="27"/>
      <c r="S20" s="25"/>
    </row>
    <row r="21" spans="1:19" x14ac:dyDescent="0.25">
      <c r="A21" s="74">
        <f t="shared" si="0"/>
        <v>200</v>
      </c>
      <c r="B21" s="32">
        <v>12.774836410196935</v>
      </c>
      <c r="C21" s="32"/>
      <c r="D21" s="32"/>
      <c r="E21" s="32"/>
      <c r="F21" s="32"/>
      <c r="G21" s="32"/>
      <c r="H21" s="32"/>
      <c r="I21" s="32"/>
      <c r="J21" s="32"/>
      <c r="K21" s="32"/>
      <c r="L21" s="32"/>
      <c r="M21" s="32"/>
      <c r="N21" s="32"/>
      <c r="O21" s="32"/>
      <c r="P21" s="32"/>
      <c r="Q21" s="32"/>
      <c r="R21" s="32"/>
      <c r="S21" s="26"/>
    </row>
    <row r="22" spans="1:19" x14ac:dyDescent="0.25">
      <c r="A22" s="75">
        <f t="shared" si="0"/>
        <v>210</v>
      </c>
      <c r="B22" s="27">
        <v>13.20335247133495</v>
      </c>
      <c r="C22" s="27"/>
      <c r="D22" s="27"/>
      <c r="E22" s="27"/>
      <c r="F22" s="27"/>
      <c r="G22" s="27"/>
      <c r="H22" s="27"/>
      <c r="I22" s="27"/>
      <c r="J22" s="27"/>
      <c r="K22" s="27"/>
      <c r="L22" s="27"/>
      <c r="M22" s="27"/>
      <c r="N22" s="27"/>
      <c r="O22" s="27"/>
      <c r="P22" s="27"/>
      <c r="Q22" s="27"/>
      <c r="R22" s="27"/>
      <c r="S22" s="25"/>
    </row>
    <row r="23" spans="1:19" x14ac:dyDescent="0.25">
      <c r="A23" s="74">
        <f t="shared" si="0"/>
        <v>220</v>
      </c>
      <c r="B23" s="32">
        <v>13.299107899132936</v>
      </c>
      <c r="C23" s="32"/>
      <c r="D23" s="32"/>
      <c r="E23" s="32"/>
      <c r="F23" s="32"/>
      <c r="G23" s="32"/>
      <c r="H23" s="32"/>
      <c r="I23" s="32"/>
      <c r="J23" s="32"/>
      <c r="K23" s="32"/>
      <c r="L23" s="32"/>
      <c r="M23" s="32"/>
      <c r="N23" s="32"/>
      <c r="O23" s="32"/>
      <c r="P23" s="32"/>
      <c r="Q23" s="32"/>
      <c r="R23" s="32"/>
      <c r="S23" s="26"/>
    </row>
    <row r="24" spans="1:19" x14ac:dyDescent="0.25">
      <c r="A24" s="75">
        <f t="shared" si="0"/>
        <v>230</v>
      </c>
      <c r="B24" s="27">
        <v>13.579051953845818</v>
      </c>
      <c r="C24" s="27"/>
      <c r="D24" s="27"/>
      <c r="E24" s="27"/>
      <c r="F24" s="27"/>
      <c r="G24" s="27"/>
      <c r="H24" s="27"/>
      <c r="I24" s="27"/>
      <c r="J24" s="27"/>
      <c r="K24" s="27"/>
      <c r="L24" s="27"/>
      <c r="M24" s="27"/>
      <c r="N24" s="27"/>
      <c r="O24" s="27"/>
      <c r="P24" s="27"/>
      <c r="Q24" s="27"/>
      <c r="R24" s="27"/>
      <c r="S24" s="25"/>
    </row>
    <row r="25" spans="1:19" x14ac:dyDescent="0.25">
      <c r="A25" s="74">
        <f t="shared" si="0"/>
        <v>240</v>
      </c>
      <c r="B25" s="32">
        <v>14.396165463799825</v>
      </c>
      <c r="C25" s="32"/>
      <c r="D25" s="32"/>
      <c r="E25" s="32"/>
      <c r="F25" s="32"/>
      <c r="G25" s="32"/>
      <c r="H25" s="32"/>
      <c r="I25" s="32"/>
      <c r="J25" s="32"/>
      <c r="K25" s="32"/>
      <c r="L25" s="32"/>
      <c r="M25" s="32"/>
      <c r="N25" s="32"/>
      <c r="O25" s="32"/>
      <c r="P25" s="32"/>
      <c r="Q25" s="32"/>
      <c r="R25" s="32"/>
      <c r="S25" s="26"/>
    </row>
    <row r="26" spans="1:19" x14ac:dyDescent="0.25">
      <c r="A26" s="75">
        <f t="shared" si="0"/>
        <v>250</v>
      </c>
      <c r="B26" s="27">
        <v>14.855786786986112</v>
      </c>
      <c r="C26" s="27"/>
      <c r="D26" s="27"/>
      <c r="E26" s="27"/>
      <c r="F26" s="27"/>
      <c r="G26" s="27"/>
      <c r="H26" s="27"/>
      <c r="I26" s="27"/>
      <c r="J26" s="27"/>
      <c r="K26" s="27"/>
      <c r="L26" s="27"/>
      <c r="M26" s="27"/>
      <c r="N26" s="27"/>
      <c r="O26" s="27"/>
      <c r="P26" s="27"/>
      <c r="Q26" s="27"/>
      <c r="R26" s="27"/>
      <c r="S26" s="25"/>
    </row>
    <row r="27" spans="1:19" x14ac:dyDescent="0.25">
      <c r="A27" s="74">
        <f t="shared" si="0"/>
        <v>260</v>
      </c>
      <c r="B27" s="32">
        <v>14.923086045141403</v>
      </c>
      <c r="C27" s="32"/>
      <c r="D27" s="32"/>
      <c r="E27" s="32"/>
      <c r="F27" s="32"/>
      <c r="G27" s="32"/>
      <c r="H27" s="32"/>
      <c r="I27" s="32"/>
      <c r="J27" s="32"/>
      <c r="K27" s="32"/>
      <c r="L27" s="32"/>
      <c r="M27" s="32"/>
      <c r="N27" s="32"/>
      <c r="O27" s="32"/>
      <c r="P27" s="32"/>
      <c r="Q27" s="32"/>
      <c r="R27" s="32"/>
      <c r="S27" s="26"/>
    </row>
    <row r="28" spans="1:19" x14ac:dyDescent="0.25">
      <c r="A28" s="75">
        <f t="shared" si="0"/>
        <v>270</v>
      </c>
      <c r="B28" s="27">
        <v>15.749098339041829</v>
      </c>
      <c r="C28" s="27"/>
      <c r="D28" s="27"/>
      <c r="E28" s="27"/>
      <c r="F28" s="27"/>
      <c r="G28" s="27"/>
      <c r="H28" s="27"/>
      <c r="I28" s="27"/>
      <c r="J28" s="27"/>
      <c r="K28" s="27"/>
      <c r="L28" s="27"/>
      <c r="M28" s="27"/>
      <c r="N28" s="27"/>
      <c r="O28" s="27"/>
      <c r="P28" s="27"/>
      <c r="Q28" s="27"/>
      <c r="R28" s="27"/>
      <c r="S28" s="25"/>
    </row>
    <row r="29" spans="1:19" x14ac:dyDescent="0.25">
      <c r="A29" s="74">
        <f t="shared" ref="A29:A45" si="1">$A28+10</f>
        <v>280</v>
      </c>
      <c r="B29" s="32">
        <v>16.54404380185127</v>
      </c>
      <c r="C29" s="32"/>
      <c r="D29" s="32"/>
      <c r="E29" s="32"/>
      <c r="F29" s="32"/>
      <c r="G29" s="32"/>
      <c r="H29" s="32"/>
      <c r="I29" s="32"/>
      <c r="J29" s="32"/>
      <c r="K29" s="32"/>
      <c r="L29" s="32"/>
      <c r="M29" s="32"/>
      <c r="N29" s="32"/>
      <c r="O29" s="32"/>
      <c r="P29" s="32"/>
      <c r="Q29" s="32"/>
      <c r="R29" s="32"/>
      <c r="S29" s="26"/>
    </row>
    <row r="30" spans="1:19" x14ac:dyDescent="0.25">
      <c r="A30" s="75">
        <f t="shared" si="1"/>
        <v>290</v>
      </c>
      <c r="B30" s="27">
        <v>17.386741846266034</v>
      </c>
      <c r="C30" s="27"/>
      <c r="D30" s="27"/>
      <c r="E30" s="27"/>
      <c r="F30" s="27"/>
      <c r="G30" s="27"/>
      <c r="H30" s="27"/>
      <c r="I30" s="27"/>
      <c r="J30" s="27"/>
      <c r="K30" s="27"/>
      <c r="L30" s="27"/>
      <c r="M30" s="27"/>
      <c r="N30" s="27"/>
      <c r="O30" s="27"/>
      <c r="P30" s="27"/>
      <c r="Q30" s="27"/>
      <c r="R30" s="27"/>
      <c r="S30" s="25"/>
    </row>
    <row r="31" spans="1:19" x14ac:dyDescent="0.25">
      <c r="A31" s="74">
        <f t="shared" si="1"/>
        <v>300</v>
      </c>
      <c r="B31" s="32">
        <v>17.609058112785529</v>
      </c>
      <c r="C31" s="32"/>
      <c r="D31" s="32"/>
      <c r="E31" s="32"/>
      <c r="F31" s="32"/>
      <c r="G31" s="32"/>
      <c r="H31" s="32"/>
      <c r="I31" s="32"/>
      <c r="J31" s="32"/>
      <c r="K31" s="32"/>
      <c r="L31" s="32"/>
      <c r="M31" s="32"/>
      <c r="N31" s="32"/>
      <c r="O31" s="32"/>
      <c r="P31" s="32"/>
      <c r="Q31" s="32"/>
      <c r="R31" s="32"/>
      <c r="S31" s="26"/>
    </row>
    <row r="32" spans="1:19" x14ac:dyDescent="0.25">
      <c r="A32" s="75">
        <f t="shared" si="1"/>
        <v>310</v>
      </c>
      <c r="B32" s="27">
        <v>18.384390340571741</v>
      </c>
      <c r="C32" s="27"/>
      <c r="D32" s="27"/>
      <c r="E32" s="27"/>
      <c r="F32" s="27"/>
      <c r="G32" s="27"/>
      <c r="H32" s="27"/>
      <c r="I32" s="27"/>
      <c r="J32" s="27"/>
      <c r="K32" s="27"/>
      <c r="L32" s="27"/>
      <c r="M32" s="27"/>
      <c r="N32" s="27"/>
      <c r="O32" s="27"/>
      <c r="P32" s="27"/>
      <c r="Q32" s="27"/>
      <c r="R32" s="27"/>
      <c r="S32" s="25"/>
    </row>
    <row r="33" spans="1:19" x14ac:dyDescent="0.25">
      <c r="A33" s="74">
        <f t="shared" si="1"/>
        <v>320</v>
      </c>
      <c r="B33" s="32">
        <v>19.099140375079234</v>
      </c>
      <c r="C33" s="32"/>
      <c r="D33" s="32"/>
      <c r="E33" s="32"/>
      <c r="F33" s="32"/>
      <c r="G33" s="32"/>
      <c r="H33" s="32"/>
      <c r="I33" s="32"/>
      <c r="J33" s="32"/>
      <c r="K33" s="32"/>
      <c r="L33" s="32"/>
      <c r="M33" s="32"/>
      <c r="N33" s="32"/>
      <c r="O33" s="32"/>
      <c r="P33" s="32"/>
      <c r="Q33" s="32"/>
      <c r="R33" s="32"/>
      <c r="S33" s="26"/>
    </row>
    <row r="34" spans="1:19" x14ac:dyDescent="0.25">
      <c r="A34" s="75">
        <f t="shared" si="1"/>
        <v>330</v>
      </c>
      <c r="B34" s="27">
        <v>19.287038526712884</v>
      </c>
      <c r="C34" s="27"/>
      <c r="D34" s="27"/>
      <c r="E34" s="27"/>
      <c r="F34" s="27"/>
      <c r="G34" s="27"/>
      <c r="H34" s="27"/>
      <c r="I34" s="27"/>
      <c r="J34" s="27"/>
      <c r="K34" s="27"/>
      <c r="L34" s="27"/>
      <c r="M34" s="27"/>
      <c r="N34" s="27"/>
      <c r="O34" s="27"/>
      <c r="P34" s="27"/>
      <c r="Q34" s="27"/>
      <c r="R34" s="27"/>
      <c r="S34" s="25"/>
    </row>
    <row r="35" spans="1:19" x14ac:dyDescent="0.25">
      <c r="A35" s="74">
        <f t="shared" si="1"/>
        <v>340</v>
      </c>
      <c r="B35" s="32">
        <v>19.738527742494657</v>
      </c>
      <c r="C35" s="32"/>
      <c r="D35" s="32"/>
      <c r="E35" s="32"/>
      <c r="F35" s="32"/>
      <c r="G35" s="32"/>
      <c r="H35" s="32"/>
      <c r="I35" s="32"/>
      <c r="J35" s="32"/>
      <c r="K35" s="32"/>
      <c r="L35" s="32"/>
      <c r="M35" s="32"/>
      <c r="N35" s="32"/>
      <c r="O35" s="32"/>
      <c r="P35" s="32"/>
      <c r="Q35" s="32"/>
      <c r="R35" s="32"/>
      <c r="S35" s="26"/>
    </row>
    <row r="36" spans="1:19" x14ac:dyDescent="0.25">
      <c r="A36" s="75">
        <f t="shared" si="1"/>
        <v>350</v>
      </c>
      <c r="B36" s="27">
        <v>19.908817568991857</v>
      </c>
      <c r="C36" s="27"/>
      <c r="D36" s="27"/>
      <c r="E36" s="27"/>
      <c r="F36" s="27"/>
      <c r="G36" s="27"/>
      <c r="H36" s="27"/>
      <c r="I36" s="27"/>
      <c r="J36" s="27"/>
      <c r="K36" s="27"/>
      <c r="L36" s="27"/>
      <c r="M36" s="27"/>
      <c r="N36" s="27"/>
      <c r="O36" s="27"/>
      <c r="P36" s="27"/>
      <c r="Q36" s="27"/>
      <c r="R36" s="27"/>
      <c r="S36" s="25"/>
    </row>
    <row r="37" spans="1:19" x14ac:dyDescent="0.25">
      <c r="A37" s="74">
        <f t="shared" si="1"/>
        <v>360</v>
      </c>
      <c r="B37" s="32">
        <v>20.441059828161993</v>
      </c>
      <c r="C37" s="32"/>
      <c r="D37" s="32"/>
      <c r="E37" s="32"/>
      <c r="F37" s="32"/>
      <c r="G37" s="32"/>
      <c r="H37" s="32"/>
      <c r="I37" s="32"/>
      <c r="J37" s="32"/>
      <c r="K37" s="32"/>
      <c r="L37" s="32"/>
      <c r="M37" s="32"/>
      <c r="N37" s="32"/>
      <c r="O37" s="32"/>
      <c r="P37" s="32"/>
      <c r="Q37" s="32"/>
      <c r="R37" s="32"/>
      <c r="S37" s="26"/>
    </row>
    <row r="38" spans="1:19" x14ac:dyDescent="0.25">
      <c r="A38" s="75">
        <f t="shared" si="1"/>
        <v>370</v>
      </c>
      <c r="B38" s="27">
        <v>21.053813017558099</v>
      </c>
      <c r="C38" s="27"/>
      <c r="D38" s="27"/>
      <c r="E38" s="27"/>
      <c r="F38" s="27"/>
      <c r="G38" s="27"/>
      <c r="H38" s="27"/>
      <c r="I38" s="27"/>
      <c r="J38" s="27"/>
      <c r="K38" s="27"/>
      <c r="L38" s="27"/>
      <c r="M38" s="27"/>
      <c r="N38" s="27"/>
      <c r="O38" s="27"/>
      <c r="P38" s="27"/>
      <c r="Q38" s="27"/>
      <c r="R38" s="27"/>
      <c r="S38" s="25"/>
    </row>
    <row r="39" spans="1:19" x14ac:dyDescent="0.25">
      <c r="A39" s="74">
        <f t="shared" si="1"/>
        <v>380</v>
      </c>
      <c r="B39" s="32">
        <v>21.967199133908874</v>
      </c>
      <c r="C39" s="32"/>
      <c r="D39" s="32"/>
      <c r="E39" s="32"/>
      <c r="F39" s="32"/>
      <c r="G39" s="32"/>
      <c r="H39" s="32"/>
      <c r="I39" s="32"/>
      <c r="J39" s="32"/>
      <c r="K39" s="32"/>
      <c r="L39" s="32"/>
      <c r="M39" s="32"/>
      <c r="N39" s="32"/>
      <c r="O39" s="32"/>
      <c r="P39" s="32"/>
      <c r="Q39" s="32"/>
      <c r="R39" s="32"/>
      <c r="S39" s="26"/>
    </row>
    <row r="40" spans="1:19" x14ac:dyDescent="0.25">
      <c r="A40" s="75">
        <f t="shared" si="1"/>
        <v>390</v>
      </c>
      <c r="B40" s="27">
        <v>22.785146401516947</v>
      </c>
      <c r="C40" s="27"/>
      <c r="D40" s="27"/>
      <c r="E40" s="27"/>
      <c r="F40" s="27"/>
      <c r="G40" s="27"/>
      <c r="H40" s="27"/>
      <c r="I40" s="27"/>
      <c r="J40" s="27"/>
      <c r="K40" s="27"/>
      <c r="L40" s="27"/>
      <c r="M40" s="27"/>
      <c r="N40" s="27"/>
      <c r="O40" s="27"/>
      <c r="P40" s="27"/>
      <c r="Q40" s="27"/>
      <c r="R40" s="27"/>
      <c r="S40" s="25"/>
    </row>
    <row r="41" spans="1:19" x14ac:dyDescent="0.25">
      <c r="A41" s="74">
        <f t="shared" si="1"/>
        <v>400</v>
      </c>
      <c r="B41" s="32">
        <v>23.583891476223311</v>
      </c>
      <c r="C41" s="32"/>
      <c r="D41" s="32"/>
      <c r="E41" s="32"/>
      <c r="F41" s="32"/>
      <c r="G41" s="32"/>
      <c r="H41" s="32"/>
      <c r="I41" s="32"/>
      <c r="J41" s="32"/>
      <c r="K41" s="32"/>
      <c r="L41" s="32"/>
      <c r="M41" s="32"/>
      <c r="N41" s="32"/>
      <c r="O41" s="32"/>
      <c r="P41" s="32"/>
      <c r="Q41" s="32"/>
      <c r="R41" s="32"/>
      <c r="S41" s="26"/>
    </row>
    <row r="42" spans="1:19" x14ac:dyDescent="0.25">
      <c r="A42" s="75">
        <f t="shared" si="1"/>
        <v>410</v>
      </c>
      <c r="B42" s="27">
        <v>24.284215566477879</v>
      </c>
      <c r="C42" s="27"/>
      <c r="D42" s="27"/>
      <c r="E42" s="27"/>
      <c r="F42" s="27"/>
      <c r="G42" s="27"/>
      <c r="H42" s="27"/>
      <c r="I42" s="27"/>
      <c r="J42" s="27"/>
      <c r="K42" s="27"/>
      <c r="L42" s="27"/>
      <c r="M42" s="27"/>
      <c r="N42" s="27"/>
      <c r="O42" s="27"/>
      <c r="P42" s="27"/>
      <c r="Q42" s="27"/>
      <c r="R42" s="27"/>
      <c r="S42" s="25"/>
    </row>
    <row r="43" spans="1:19" x14ac:dyDescent="0.25">
      <c r="A43" s="74">
        <f t="shared" si="1"/>
        <v>420</v>
      </c>
      <c r="B43" s="32">
        <v>24.741125411336768</v>
      </c>
      <c r="C43" s="32"/>
      <c r="D43" s="32"/>
      <c r="E43" s="32"/>
      <c r="F43" s="32"/>
      <c r="G43" s="32"/>
      <c r="H43" s="32"/>
      <c r="I43" s="32"/>
      <c r="J43" s="32"/>
      <c r="K43" s="32"/>
      <c r="L43" s="32"/>
      <c r="M43" s="32"/>
      <c r="N43" s="32"/>
      <c r="O43" s="32"/>
      <c r="P43" s="32"/>
      <c r="Q43" s="32"/>
      <c r="R43" s="32"/>
      <c r="S43" s="26"/>
    </row>
    <row r="44" spans="1:19" x14ac:dyDescent="0.25">
      <c r="A44" s="75">
        <f t="shared" si="1"/>
        <v>430</v>
      </c>
      <c r="B44" s="27">
        <v>25.526468780139698</v>
      </c>
      <c r="C44" s="27"/>
      <c r="D44" s="27"/>
      <c r="E44" s="27"/>
      <c r="F44" s="27"/>
      <c r="G44" s="27"/>
      <c r="H44" s="27"/>
      <c r="I44" s="27"/>
      <c r="J44" s="27"/>
      <c r="K44" s="27"/>
      <c r="L44" s="27"/>
      <c r="M44" s="27"/>
      <c r="N44" s="27"/>
      <c r="O44" s="27"/>
      <c r="P44" s="27"/>
      <c r="Q44" s="27"/>
      <c r="R44" s="27"/>
      <c r="S44" s="25"/>
    </row>
    <row r="45" spans="1:19" x14ac:dyDescent="0.25">
      <c r="A45" s="74">
        <f t="shared" si="1"/>
        <v>440</v>
      </c>
      <c r="B45" s="32">
        <v>26.502076485096303</v>
      </c>
      <c r="C45" s="32"/>
      <c r="D45" s="32"/>
      <c r="E45" s="32"/>
      <c r="F45" s="32"/>
      <c r="G45" s="32"/>
      <c r="H45" s="32"/>
      <c r="I45" s="32"/>
      <c r="J45" s="32"/>
      <c r="K45" s="32"/>
      <c r="L45" s="32"/>
      <c r="M45" s="32"/>
      <c r="N45" s="32"/>
      <c r="O45" s="32"/>
      <c r="P45" s="32"/>
      <c r="Q45" s="32"/>
      <c r="R45" s="32"/>
      <c r="S45" s="26"/>
    </row>
  </sheetData>
  <dataValidations count="1">
    <dataValidation type="decimal" operator="greaterThanOrEqual" allowBlank="1" showInputMessage="1" showErrorMessage="1" sqref="A7:R45" xr:uid="{14AEABBA-5B86-4289-AFBF-BFB8E4949F6D}">
      <formula1>0</formula1>
    </dataValidation>
  </dataValidations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FE20651-77F9-4045-8DC8-3E2221DDB5DD}">
  <sheetPr>
    <tabColor rgb="FFFF0000"/>
  </sheetPr>
  <dimension ref="A1:S6"/>
  <sheetViews>
    <sheetView workbookViewId="0">
      <selection activeCell="A4" sqref="A4"/>
    </sheetView>
  </sheetViews>
  <sheetFormatPr baseColWidth="10" defaultColWidth="9.140625" defaultRowHeight="15" x14ac:dyDescent="0.25"/>
  <cols>
    <col min="1" max="1" width="28.5703125" customWidth="1"/>
    <col min="2" max="2" width="10.140625" customWidth="1"/>
    <col min="3" max="3" width="10.140625" bestFit="1" customWidth="1"/>
    <col min="5" max="5" width="9.42578125" customWidth="1"/>
    <col min="9" max="9" width="9.28515625" customWidth="1"/>
    <col min="11" max="11" width="9.28515625" customWidth="1"/>
    <col min="14" max="14" width="9.28515625" customWidth="1"/>
    <col min="17" max="17" width="9.42578125" customWidth="1"/>
    <col min="19" max="19" width="83.85546875" customWidth="1"/>
  </cols>
  <sheetData>
    <row r="1" spans="1:19" x14ac:dyDescent="0.25">
      <c r="A1" s="1" t="s">
        <v>156</v>
      </c>
    </row>
    <row r="2" spans="1:19" x14ac:dyDescent="0.25">
      <c r="A2" s="1" t="s">
        <v>157</v>
      </c>
    </row>
    <row r="4" spans="1:19" x14ac:dyDescent="0.25">
      <c r="A4" s="5" t="s">
        <v>164</v>
      </c>
      <c r="B4" s="51"/>
    </row>
    <row r="5" spans="1:19" x14ac:dyDescent="0.25">
      <c r="A5" t="s">
        <v>158</v>
      </c>
      <c r="B5" s="2" t="s">
        <v>4</v>
      </c>
      <c r="C5" s="2" t="s">
        <v>5</v>
      </c>
      <c r="D5" s="2" t="s">
        <v>6</v>
      </c>
      <c r="E5" s="2" t="s">
        <v>7</v>
      </c>
      <c r="F5" s="2" t="s">
        <v>8</v>
      </c>
      <c r="G5" s="2" t="s">
        <v>9</v>
      </c>
      <c r="H5" s="2" t="s">
        <v>10</v>
      </c>
      <c r="I5" s="2" t="s">
        <v>11</v>
      </c>
      <c r="J5" s="2" t="s">
        <v>12</v>
      </c>
      <c r="K5" s="2" t="s">
        <v>13</v>
      </c>
      <c r="L5" s="2" t="s">
        <v>14</v>
      </c>
      <c r="M5" s="2" t="s">
        <v>15</v>
      </c>
      <c r="N5" s="2" t="s">
        <v>16</v>
      </c>
      <c r="O5" s="2" t="s">
        <v>17</v>
      </c>
      <c r="P5" s="2" t="s">
        <v>18</v>
      </c>
      <c r="Q5" s="2" t="s">
        <v>19</v>
      </c>
      <c r="R5" s="2" t="s">
        <v>20</v>
      </c>
      <c r="S5" s="2" t="s">
        <v>27</v>
      </c>
    </row>
    <row r="6" spans="1:19" x14ac:dyDescent="0.25">
      <c r="A6" s="97" t="s">
        <v>159</v>
      </c>
      <c r="B6" s="29">
        <v>85</v>
      </c>
      <c r="C6" s="29"/>
      <c r="D6" s="29"/>
      <c r="E6" s="29"/>
      <c r="F6" s="29"/>
      <c r="G6" s="29"/>
      <c r="H6" s="29"/>
      <c r="I6" s="29"/>
      <c r="J6" s="29"/>
      <c r="K6" s="29"/>
      <c r="L6" s="29"/>
      <c r="M6" s="29"/>
      <c r="N6" s="29"/>
      <c r="O6" s="29"/>
      <c r="P6" s="29"/>
      <c r="Q6" s="29"/>
      <c r="R6" s="29"/>
      <c r="S6" s="17"/>
    </row>
  </sheetData>
  <dataValidations count="1">
    <dataValidation type="decimal" operator="greaterThanOrEqual" allowBlank="1" showInputMessage="1" showErrorMessage="1" sqref="B6:R6" xr:uid="{709EEF03-CB9E-4D5E-93B6-07C4CDF5BDA5}">
      <formula1>0</formula1>
    </dataValidation>
  </dataValidations>
  <pageMargins left="0.7" right="0.7" top="0.75" bottom="0.75" header="0.3" footer="0.3"/>
  <tableParts count="1">
    <tablePart r:id="rId1"/>
  </tablePart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3A6050B-3C85-42D7-BA7B-F497276080C2}">
  <sheetPr codeName="Sheet3">
    <tabColor theme="5"/>
  </sheetPr>
  <dimension ref="A1:F11"/>
  <sheetViews>
    <sheetView workbookViewId="0">
      <selection activeCell="A10" sqref="A10"/>
    </sheetView>
  </sheetViews>
  <sheetFormatPr baseColWidth="10" defaultColWidth="9.140625" defaultRowHeight="15" outlineLevelCol="1" x14ac:dyDescent="0.25"/>
  <cols>
    <col min="1" max="1" width="28.5703125" customWidth="1"/>
    <col min="2" max="2" width="8.28515625" hidden="1" customWidth="1" outlineLevel="1"/>
    <col min="3" max="3" width="12.140625" bestFit="1" customWidth="1" collapsed="1"/>
    <col min="4" max="4" width="83.85546875" customWidth="1"/>
    <col min="5" max="5" width="11.28515625" hidden="1" customWidth="1" outlineLevel="1"/>
    <col min="6" max="6" width="9.140625" collapsed="1"/>
  </cols>
  <sheetData>
    <row r="1" spans="1:5" x14ac:dyDescent="0.25">
      <c r="A1" s="1" t="s">
        <v>131</v>
      </c>
    </row>
    <row r="2" spans="1:5" x14ac:dyDescent="0.25">
      <c r="A2" s="1" t="s">
        <v>132</v>
      </c>
    </row>
    <row r="5" spans="1:5" x14ac:dyDescent="0.25">
      <c r="A5" t="s">
        <v>0</v>
      </c>
      <c r="B5" t="s">
        <v>1</v>
      </c>
      <c r="C5" t="s">
        <v>2</v>
      </c>
      <c r="D5" t="s">
        <v>3</v>
      </c>
      <c r="E5" t="s">
        <v>30</v>
      </c>
    </row>
    <row r="6" spans="1:5" x14ac:dyDescent="0.25">
      <c r="A6" s="82" t="s">
        <v>55</v>
      </c>
      <c r="B6" s="4">
        <f t="shared" ref="B6:B9" si="0">ROW(1:1)</f>
        <v>1</v>
      </c>
      <c r="C6" s="3"/>
      <c r="D6" s="19"/>
      <c r="E6" s="21" t="str">
        <f>"Region_"&amp;TEXT(TBL_REGIONS_INDEX[[#This Row],[Index]],"000")</f>
        <v>Region_001</v>
      </c>
    </row>
    <row r="7" spans="1:5" x14ac:dyDescent="0.25">
      <c r="A7" s="82" t="s">
        <v>56</v>
      </c>
      <c r="B7" s="4">
        <f t="shared" si="0"/>
        <v>2</v>
      </c>
      <c r="C7" s="24"/>
      <c r="D7" s="19"/>
      <c r="E7" s="21" t="str">
        <f>"Region_"&amp;TEXT(TBL_REGIONS_INDEX[[#This Row],[Index]],"000")</f>
        <v>Region_002</v>
      </c>
    </row>
    <row r="8" spans="1:5" x14ac:dyDescent="0.25">
      <c r="A8" s="82" t="s">
        <v>57</v>
      </c>
      <c r="B8" s="4">
        <f t="shared" si="0"/>
        <v>3</v>
      </c>
      <c r="C8" s="24" t="s">
        <v>170</v>
      </c>
      <c r="D8" s="19"/>
      <c r="E8" s="21" t="str">
        <f>"Region_"&amp;TEXT(TBL_REGIONS_INDEX[[#This Row],[Index]],"000")</f>
        <v>Region_003</v>
      </c>
    </row>
    <row r="9" spans="1:5" x14ac:dyDescent="0.25">
      <c r="A9" s="82" t="s">
        <v>58</v>
      </c>
      <c r="B9" s="4">
        <f t="shared" si="0"/>
        <v>4</v>
      </c>
      <c r="C9" s="24"/>
      <c r="D9" s="19"/>
      <c r="E9" s="21" t="str">
        <f>"Region_"&amp;TEXT(TBL_REGIONS_INDEX[[#This Row],[Index]],"000")</f>
        <v>Region_004</v>
      </c>
    </row>
    <row r="10" spans="1:5" x14ac:dyDescent="0.25">
      <c r="A10" s="82" t="s">
        <v>169</v>
      </c>
      <c r="B10" s="4">
        <f>ROW(5:5)</f>
        <v>5</v>
      </c>
      <c r="C10" s="24" t="s">
        <v>170</v>
      </c>
      <c r="D10" s="19"/>
      <c r="E10" s="21" t="str">
        <f>"Region_"&amp;TEXT(TBL_REGIONS_INDEX[[#This Row],[Index]],"000")</f>
        <v>Region_005</v>
      </c>
    </row>
    <row r="11" spans="1:5" x14ac:dyDescent="0.25">
      <c r="A11" s="82" t="s">
        <v>170</v>
      </c>
      <c r="B11" s="4">
        <f>ROW(6:6)</f>
        <v>6</v>
      </c>
      <c r="C11" s="24"/>
      <c r="D11" s="19"/>
      <c r="E11" s="21" t="str">
        <f>"Region_"&amp;TEXT(TBL_REGIONS_INDEX[[#This Row],[Index]],"000")</f>
        <v>Region_006</v>
      </c>
    </row>
  </sheetData>
  <conditionalFormatting sqref="C6:C11">
    <cfRule type="cellIs" dxfId="211" priority="16" operator="equal">
      <formula>$B6</formula>
    </cfRule>
  </conditionalFormatting>
  <dataValidations count="2">
    <dataValidation type="list" allowBlank="1" showInputMessage="1" showErrorMessage="1" sqref="C6:C11" xr:uid="{A4BE3B3D-5DB5-443D-B5C1-B36CF7995A06}">
      <formula1>INDIRECT("TBL_REGIONS_INDEX[Region]")</formula1>
    </dataValidation>
    <dataValidation type="custom" allowBlank="1" showInputMessage="1" showErrorMessage="1" error="Regionsnamen können nicht wiederholt werden." sqref="A6:B11" xr:uid="{DB38B620-1D7A-4CC2-8879-39ACF6C9FC04}">
      <formula1>COUNTIF($A$6:$A6,$A6)&lt;2</formula1>
    </dataValidation>
  </dataValidations>
  <pageMargins left="0.7" right="0.7" top="0.75" bottom="0.75" header="0.3" footer="0.3"/>
  <pageSetup paperSize="9" orientation="portrait" r:id="rId1"/>
  <tableParts count="1">
    <tablePart r:id="rId2"/>
  </tablePart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AD60CCB-1855-4F97-B6C7-DC3AB3615489}">
  <sheetPr codeName="Sheet4">
    <tabColor theme="5"/>
  </sheetPr>
  <dimension ref="A1:V10"/>
  <sheetViews>
    <sheetView workbookViewId="0">
      <selection activeCell="C8" sqref="C8"/>
    </sheetView>
  </sheetViews>
  <sheetFormatPr baseColWidth="10" defaultColWidth="9.140625" defaultRowHeight="15" outlineLevelCol="1" x14ac:dyDescent="0.25"/>
  <cols>
    <col min="1" max="1" width="28.5703125" customWidth="1"/>
    <col min="2" max="2" width="9.140625" hidden="1" customWidth="1" outlineLevel="1"/>
    <col min="3" max="3" width="10.140625" customWidth="1" collapsed="1"/>
    <col min="4" max="4" width="10.140625" bestFit="1" customWidth="1"/>
    <col min="6" max="6" width="9.42578125" customWidth="1"/>
    <col min="10" max="10" width="9.28515625" customWidth="1"/>
    <col min="12" max="12" width="9.28515625" customWidth="1"/>
    <col min="15" max="15" width="9.28515625" customWidth="1"/>
    <col min="18" max="18" width="9.42578125" customWidth="1"/>
    <col min="20" max="20" width="83.85546875" customWidth="1"/>
    <col min="21" max="21" width="12.5703125" hidden="1" customWidth="1" outlineLevel="1"/>
    <col min="22" max="22" width="9.140625" collapsed="1"/>
  </cols>
  <sheetData>
    <row r="1" spans="1:21" x14ac:dyDescent="0.25">
      <c r="A1" s="1" t="s">
        <v>133</v>
      </c>
    </row>
    <row r="2" spans="1:21" x14ac:dyDescent="0.25">
      <c r="A2" s="1" t="s">
        <v>138</v>
      </c>
    </row>
    <row r="4" spans="1:21" x14ac:dyDescent="0.25">
      <c r="A4" s="5" t="s">
        <v>107</v>
      </c>
      <c r="C4" s="51"/>
    </row>
    <row r="5" spans="1:21" x14ac:dyDescent="0.25">
      <c r="A5" t="s">
        <v>0</v>
      </c>
      <c r="B5" t="s">
        <v>1</v>
      </c>
      <c r="C5" s="2" t="s">
        <v>4</v>
      </c>
      <c r="D5" s="2" t="s">
        <v>5</v>
      </c>
      <c r="E5" s="2" t="s">
        <v>6</v>
      </c>
      <c r="F5" s="2" t="s">
        <v>7</v>
      </c>
      <c r="G5" s="2" t="s">
        <v>8</v>
      </c>
      <c r="H5" s="2" t="s">
        <v>9</v>
      </c>
      <c r="I5" s="2" t="s">
        <v>10</v>
      </c>
      <c r="J5" s="2" t="s">
        <v>11</v>
      </c>
      <c r="K5" s="2" t="s">
        <v>12</v>
      </c>
      <c r="L5" s="2" t="s">
        <v>13</v>
      </c>
      <c r="M5" s="2" t="s">
        <v>14</v>
      </c>
      <c r="N5" s="2" t="s">
        <v>15</v>
      </c>
      <c r="O5" s="2" t="s">
        <v>16</v>
      </c>
      <c r="P5" s="2" t="s">
        <v>17</v>
      </c>
      <c r="Q5" s="2" t="s">
        <v>18</v>
      </c>
      <c r="R5" s="2" t="s">
        <v>19</v>
      </c>
      <c r="S5" s="2" t="s">
        <v>20</v>
      </c>
      <c r="T5" s="2" t="s">
        <v>27</v>
      </c>
      <c r="U5" s="2" t="s">
        <v>31</v>
      </c>
    </row>
    <row r="6" spans="1:21" x14ac:dyDescent="0.25">
      <c r="A6" s="83" t="s">
        <v>55</v>
      </c>
      <c r="B6" s="4">
        <f>INDEX(TBL_REGIONS_INDEX[Index],MATCH(TBL_DEMAND[[#This Row],[Region]],TBL_REGIONS_INDEX[Region],0))</f>
        <v>1</v>
      </c>
      <c r="C6" s="29">
        <v>5</v>
      </c>
      <c r="D6" s="29"/>
      <c r="E6" s="29"/>
      <c r="F6" s="29"/>
      <c r="G6" s="29"/>
      <c r="H6" s="29"/>
      <c r="I6" s="29"/>
      <c r="J6" s="29"/>
      <c r="K6" s="29"/>
      <c r="L6" s="29"/>
      <c r="M6" s="29"/>
      <c r="N6" s="29"/>
      <c r="O6" s="29"/>
      <c r="P6" s="29"/>
      <c r="Q6" s="29"/>
      <c r="R6" s="29"/>
      <c r="S6" s="29"/>
      <c r="T6" s="17"/>
      <c r="U6" s="21" t="str">
        <f>"Demand_"&amp;TEXT(TBL_DEMAND[[#This Row],[Index]],"000")</f>
        <v>Demand_001</v>
      </c>
    </row>
    <row r="7" spans="1:21" x14ac:dyDescent="0.25">
      <c r="A7" s="83" t="s">
        <v>56</v>
      </c>
      <c r="B7" s="4">
        <f>INDEX(TBL_REGIONS_INDEX[Index],MATCH(TBL_DEMAND[[#This Row],[Region]],TBL_REGIONS_INDEX[Region],0))</f>
        <v>2</v>
      </c>
      <c r="C7" s="29">
        <v>5</v>
      </c>
      <c r="D7" s="29"/>
      <c r="E7" s="29"/>
      <c r="F7" s="29"/>
      <c r="G7" s="29"/>
      <c r="H7" s="29"/>
      <c r="I7" s="29"/>
      <c r="J7" s="29"/>
      <c r="K7" s="29"/>
      <c r="L7" s="29"/>
      <c r="M7" s="29"/>
      <c r="N7" s="29"/>
      <c r="O7" s="29"/>
      <c r="P7" s="29"/>
      <c r="Q7" s="29"/>
      <c r="R7" s="29"/>
      <c r="S7" s="29"/>
      <c r="T7" s="17"/>
      <c r="U7" s="21" t="str">
        <f>"Demand_"&amp;TEXT(TBL_DEMAND[[#This Row],[Index]],"000")</f>
        <v>Demand_002</v>
      </c>
    </row>
    <row r="8" spans="1:21" x14ac:dyDescent="0.25">
      <c r="A8" s="83" t="s">
        <v>57</v>
      </c>
      <c r="B8" s="4">
        <f>INDEX(TBL_REGIONS_INDEX[Index],MATCH(TBL_DEMAND[[#This Row],[Region]],TBL_REGIONS_INDEX[Region],0))</f>
        <v>3</v>
      </c>
      <c r="C8" s="29">
        <v>3</v>
      </c>
      <c r="D8" s="29"/>
      <c r="E8" s="29"/>
      <c r="F8" s="29"/>
      <c r="G8" s="29"/>
      <c r="H8" s="29"/>
      <c r="I8" s="29"/>
      <c r="J8" s="29"/>
      <c r="K8" s="29"/>
      <c r="L8" s="29"/>
      <c r="M8" s="29"/>
      <c r="N8" s="29"/>
      <c r="O8" s="29"/>
      <c r="P8" s="29"/>
      <c r="Q8" s="29"/>
      <c r="R8" s="29"/>
      <c r="S8" s="29"/>
      <c r="T8" s="17"/>
      <c r="U8" s="21" t="str">
        <f>"Demand_"&amp;TEXT(TBL_DEMAND[[#This Row],[Index]],"000")</f>
        <v>Demand_003</v>
      </c>
    </row>
    <row r="9" spans="1:21" x14ac:dyDescent="0.25">
      <c r="A9" s="83" t="s">
        <v>58</v>
      </c>
      <c r="B9" s="4">
        <f>INDEX(TBL_REGIONS_INDEX[Index],MATCH(TBL_DEMAND[[#This Row],[Region]],TBL_REGIONS_INDEX[Region],0))</f>
        <v>4</v>
      </c>
      <c r="C9" s="29">
        <v>8</v>
      </c>
      <c r="D9" s="29"/>
      <c r="E9" s="29"/>
      <c r="F9" s="29"/>
      <c r="G9" s="29"/>
      <c r="H9" s="29"/>
      <c r="I9" s="29"/>
      <c r="J9" s="29"/>
      <c r="K9" s="29"/>
      <c r="L9" s="29"/>
      <c r="M9" s="29"/>
      <c r="N9" s="29"/>
      <c r="O9" s="29"/>
      <c r="P9" s="29"/>
      <c r="Q9" s="29"/>
      <c r="R9" s="29"/>
      <c r="S9" s="29"/>
      <c r="T9" s="17"/>
      <c r="U9" s="21" t="str">
        <f>"Demand_"&amp;TEXT(TBL_DEMAND[[#This Row],[Index]],"000")</f>
        <v>Demand_004</v>
      </c>
    </row>
    <row r="10" spans="1:21" x14ac:dyDescent="0.25">
      <c r="A10" s="83" t="s">
        <v>169</v>
      </c>
      <c r="B10" s="4">
        <f>INDEX(TBL_REGIONS_INDEX[Index],MATCH(TBL_DEMAND[[#This Row],[Region]],TBL_REGIONS_INDEX[Region],0))</f>
        <v>5</v>
      </c>
      <c r="C10" s="29">
        <v>2</v>
      </c>
      <c r="D10" s="29"/>
      <c r="E10" s="29"/>
      <c r="F10" s="29"/>
      <c r="G10" s="29"/>
      <c r="H10" s="29"/>
      <c r="I10" s="29"/>
      <c r="J10" s="29"/>
      <c r="K10" s="29"/>
      <c r="L10" s="29"/>
      <c r="M10" s="29"/>
      <c r="N10" s="29"/>
      <c r="O10" s="29"/>
      <c r="P10" s="29"/>
      <c r="Q10" s="29"/>
      <c r="R10" s="29"/>
      <c r="S10" s="29"/>
      <c r="T10" s="17"/>
      <c r="U10" s="21" t="str">
        <f>"Demand_"&amp;TEXT(TBL_DEMAND[[#This Row],[Index]],"000")</f>
        <v>Demand_005</v>
      </c>
    </row>
  </sheetData>
  <dataValidations count="2">
    <dataValidation type="list" allowBlank="1" showInputMessage="1" showErrorMessage="1" sqref="A6:A10" xr:uid="{82CFC977-746C-4457-A377-C813B9F7534A}">
      <formula1>INDIRECT("TBL_REGIONS_INDEX[Region]")</formula1>
    </dataValidation>
    <dataValidation type="decimal" operator="greaterThanOrEqual" allowBlank="1" showInputMessage="1" showErrorMessage="1" sqref="C6:S10" xr:uid="{0E3DC7C2-6ECB-43C4-9ED0-8579AD081B53}">
      <formula1>0</formula1>
    </dataValidation>
  </dataValidations>
  <pageMargins left="0.7" right="0.7" top="0.75" bottom="0.75" header="0.3" footer="0.3"/>
  <tableParts count="1">
    <tablePart r:id="rId1"/>
  </tableParts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4A9EF7C-86C7-44F8-944F-E8CFADDA8DC6}">
  <sheetPr codeName="Sheet5">
    <tabColor theme="5"/>
  </sheetPr>
  <dimension ref="A1:V10"/>
  <sheetViews>
    <sheetView workbookViewId="0">
      <selection activeCell="C8" sqref="C8"/>
    </sheetView>
  </sheetViews>
  <sheetFormatPr baseColWidth="10" defaultColWidth="9.140625" defaultRowHeight="15" outlineLevelCol="1" x14ac:dyDescent="0.25"/>
  <cols>
    <col min="1" max="1" width="28.5703125" customWidth="1"/>
    <col min="2" max="2" width="0.7109375" hidden="1" customWidth="1" outlineLevel="1"/>
    <col min="3" max="3" width="10.140625" bestFit="1" customWidth="1" collapsed="1"/>
    <col min="4" max="4" width="10.140625" bestFit="1" customWidth="1"/>
    <col min="6" max="6" width="9.42578125" customWidth="1"/>
    <col min="10" max="10" width="9.28515625" customWidth="1"/>
    <col min="12" max="12" width="9.28515625" customWidth="1"/>
    <col min="15" max="15" width="9.28515625" customWidth="1"/>
    <col min="18" max="18" width="9.42578125" customWidth="1"/>
    <col min="20" max="20" width="83.85546875" customWidth="1"/>
    <col min="21" max="21" width="14.85546875" hidden="1" customWidth="1" outlineLevel="1"/>
    <col min="22" max="22" width="9.140625" collapsed="1"/>
  </cols>
  <sheetData>
    <row r="1" spans="1:21" x14ac:dyDescent="0.25">
      <c r="A1" s="1" t="s">
        <v>139</v>
      </c>
    </row>
    <row r="2" spans="1:21" x14ac:dyDescent="0.25">
      <c r="A2" s="1" t="s">
        <v>138</v>
      </c>
    </row>
    <row r="4" spans="1:21" x14ac:dyDescent="0.25">
      <c r="A4" s="5" t="s">
        <v>107</v>
      </c>
    </row>
    <row r="5" spans="1:21" x14ac:dyDescent="0.25">
      <c r="A5" t="s">
        <v>0</v>
      </c>
      <c r="B5" t="s">
        <v>1</v>
      </c>
      <c r="C5" s="2" t="s">
        <v>4</v>
      </c>
      <c r="D5" s="2" t="s">
        <v>5</v>
      </c>
      <c r="E5" s="2" t="s">
        <v>6</v>
      </c>
      <c r="F5" s="2" t="s">
        <v>7</v>
      </c>
      <c r="G5" s="2" t="s">
        <v>8</v>
      </c>
      <c r="H5" s="2" t="s">
        <v>9</v>
      </c>
      <c r="I5" s="2" t="s">
        <v>10</v>
      </c>
      <c r="J5" s="2" t="s">
        <v>11</v>
      </c>
      <c r="K5" s="2" t="s">
        <v>12</v>
      </c>
      <c r="L5" s="2" t="s">
        <v>13</v>
      </c>
      <c r="M5" s="2" t="s">
        <v>14</v>
      </c>
      <c r="N5" s="2" t="s">
        <v>15</v>
      </c>
      <c r="O5" s="2" t="s">
        <v>16</v>
      </c>
      <c r="P5" s="2" t="s">
        <v>17</v>
      </c>
      <c r="Q5" s="2" t="s">
        <v>18</v>
      </c>
      <c r="R5" s="2" t="s">
        <v>19</v>
      </c>
      <c r="S5" s="2" t="s">
        <v>20</v>
      </c>
      <c r="T5" s="2" t="s">
        <v>27</v>
      </c>
      <c r="U5" s="2" t="s">
        <v>32</v>
      </c>
    </row>
    <row r="6" spans="1:21" x14ac:dyDescent="0.25">
      <c r="A6" s="83" t="s">
        <v>55</v>
      </c>
      <c r="B6" s="4">
        <f>INDEX(TBL_REGIONS_INDEX[Index],MATCH(TBL_PRODUCTION[[#This Row],[Region]],TBL_REGIONS_INDEX[Region],0))</f>
        <v>1</v>
      </c>
      <c r="C6" s="29">
        <v>2</v>
      </c>
      <c r="D6" s="29"/>
      <c r="E6" s="29"/>
      <c r="F6" s="29"/>
      <c r="G6" s="29"/>
      <c r="H6" s="29"/>
      <c r="I6" s="29"/>
      <c r="J6" s="29"/>
      <c r="K6" s="29"/>
      <c r="L6" s="29"/>
      <c r="M6" s="29"/>
      <c r="N6" s="29"/>
      <c r="O6" s="29"/>
      <c r="P6" s="29"/>
      <c r="Q6" s="29"/>
      <c r="R6" s="29"/>
      <c r="S6" s="29"/>
      <c r="T6" s="17"/>
      <c r="U6" s="21" t="str">
        <f>"Production_"&amp;TEXT(TBL_PRODUCTION[[#This Row],[Index]],"000")</f>
        <v>Production_001</v>
      </c>
    </row>
    <row r="7" spans="1:21" x14ac:dyDescent="0.25">
      <c r="A7" s="83" t="s">
        <v>56</v>
      </c>
      <c r="B7" s="4">
        <f>INDEX(TBL_REGIONS_INDEX[Index],MATCH(TBL_PRODUCTION[[#This Row],[Region]],TBL_REGIONS_INDEX[Region],0))</f>
        <v>2</v>
      </c>
      <c r="C7" s="29">
        <v>2</v>
      </c>
      <c r="D7" s="29"/>
      <c r="E7" s="29"/>
      <c r="F7" s="29"/>
      <c r="G7" s="29"/>
      <c r="H7" s="29"/>
      <c r="I7" s="29"/>
      <c r="J7" s="29"/>
      <c r="K7" s="29"/>
      <c r="L7" s="29"/>
      <c r="M7" s="29"/>
      <c r="N7" s="29"/>
      <c r="O7" s="29"/>
      <c r="P7" s="29"/>
      <c r="Q7" s="29"/>
      <c r="R7" s="29"/>
      <c r="S7" s="29"/>
      <c r="T7" s="17"/>
      <c r="U7" s="21" t="str">
        <f>"Production_"&amp;TEXT(TBL_PRODUCTION[[#This Row],[Index]],"000")</f>
        <v>Production_002</v>
      </c>
    </row>
    <row r="8" spans="1:21" x14ac:dyDescent="0.25">
      <c r="A8" s="83" t="s">
        <v>57</v>
      </c>
      <c r="B8" s="4">
        <f>INDEX(TBL_REGIONS_INDEX[Index],MATCH(TBL_PRODUCTION[[#This Row],[Region]],TBL_REGIONS_INDEX[Region],0))</f>
        <v>3</v>
      </c>
      <c r="C8" s="29">
        <v>1</v>
      </c>
      <c r="D8" s="29"/>
      <c r="E8" s="29"/>
      <c r="F8" s="29"/>
      <c r="G8" s="29"/>
      <c r="H8" s="29"/>
      <c r="I8" s="29"/>
      <c r="J8" s="29"/>
      <c r="K8" s="29"/>
      <c r="L8" s="29"/>
      <c r="M8" s="29"/>
      <c r="N8" s="29"/>
      <c r="O8" s="29"/>
      <c r="P8" s="29"/>
      <c r="Q8" s="29"/>
      <c r="R8" s="29"/>
      <c r="S8" s="29"/>
      <c r="T8" s="17"/>
      <c r="U8" s="21" t="str">
        <f>"Production_"&amp;TEXT(TBL_PRODUCTION[[#This Row],[Index]],"000")</f>
        <v>Production_003</v>
      </c>
    </row>
    <row r="9" spans="1:21" x14ac:dyDescent="0.25">
      <c r="A9" s="83" t="s">
        <v>58</v>
      </c>
      <c r="B9" s="4">
        <f>INDEX(TBL_REGIONS_INDEX[Index],MATCH(TBL_PRODUCTION[[#This Row],[Region]],TBL_REGIONS_INDEX[Region],0))</f>
        <v>4</v>
      </c>
      <c r="C9" s="29">
        <v>9</v>
      </c>
      <c r="D9" s="29"/>
      <c r="E9" s="29"/>
      <c r="F9" s="29"/>
      <c r="G9" s="29"/>
      <c r="H9" s="29"/>
      <c r="I9" s="29"/>
      <c r="J9" s="29"/>
      <c r="K9" s="29"/>
      <c r="L9" s="29"/>
      <c r="M9" s="29"/>
      <c r="N9" s="29"/>
      <c r="O9" s="29"/>
      <c r="P9" s="29"/>
      <c r="Q9" s="29"/>
      <c r="R9" s="29"/>
      <c r="S9" s="29"/>
      <c r="T9" s="17"/>
      <c r="U9" s="21" t="str">
        <f>"Production_"&amp;TEXT(TBL_PRODUCTION[[#This Row],[Index]],"000")</f>
        <v>Production_004</v>
      </c>
    </row>
    <row r="10" spans="1:21" x14ac:dyDescent="0.25">
      <c r="A10" s="83" t="s">
        <v>169</v>
      </c>
      <c r="B10" s="4">
        <f>INDEX(TBL_REGIONS_INDEX[Index],MATCH(TBL_PRODUCTION[[#This Row],[Region]],TBL_REGIONS_INDEX[Region],0))</f>
        <v>5</v>
      </c>
      <c r="C10" s="29">
        <v>1</v>
      </c>
      <c r="D10" s="29"/>
      <c r="E10" s="29"/>
      <c r="F10" s="29"/>
      <c r="G10" s="29"/>
      <c r="H10" s="29"/>
      <c r="I10" s="29"/>
      <c r="J10" s="29"/>
      <c r="K10" s="29"/>
      <c r="L10" s="29"/>
      <c r="M10" s="29"/>
      <c r="N10" s="29"/>
      <c r="O10" s="29"/>
      <c r="P10" s="29"/>
      <c r="Q10" s="29"/>
      <c r="R10" s="29"/>
      <c r="S10" s="29"/>
      <c r="T10" s="17"/>
      <c r="U10" s="21" t="str">
        <f>"Production_"&amp;TEXT(TBL_PRODUCTION[[#This Row],[Index]],"000")</f>
        <v>Production_005</v>
      </c>
    </row>
  </sheetData>
  <dataValidations count="2">
    <dataValidation type="list" allowBlank="1" showInputMessage="1" showErrorMessage="1" sqref="A6:A10" xr:uid="{48FD369F-DE0B-498D-A263-DB59B27F680F}">
      <formula1>INDIRECT("TBL_REGIONS_INDEX[Region]")</formula1>
    </dataValidation>
    <dataValidation type="decimal" operator="greaterThanOrEqual" allowBlank="1" showInputMessage="1" showErrorMessage="1" sqref="C6:S10" xr:uid="{4C4EEBC7-A632-4E52-90DF-4A8652AE5F27}">
      <formula1>0</formula1>
    </dataValidation>
  </dataValidations>
  <pageMargins left="0.7" right="0.7" top="0.75" bottom="0.75" header="0.3" footer="0.3"/>
  <tableParts count="1">
    <tablePart r:id="rId1"/>
  </tableParts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F6002AF-D60F-4488-88AB-FC1D7170F995}">
  <sheetPr codeName="Sheet6">
    <tabColor theme="4"/>
  </sheetPr>
  <dimension ref="A1:E7"/>
  <sheetViews>
    <sheetView workbookViewId="0">
      <selection activeCell="A8" sqref="A8"/>
    </sheetView>
  </sheetViews>
  <sheetFormatPr baseColWidth="10" defaultColWidth="9.140625" defaultRowHeight="15" outlineLevelCol="1" x14ac:dyDescent="0.25"/>
  <cols>
    <col min="1" max="1" width="28.5703125" customWidth="1"/>
    <col min="2" max="2" width="8.28515625" hidden="1" customWidth="1" outlineLevel="1"/>
    <col min="3" max="3" width="83.85546875" customWidth="1" collapsed="1"/>
    <col min="4" max="4" width="18.28515625" hidden="1" customWidth="1" outlineLevel="1"/>
    <col min="5" max="5" width="9.140625" collapsed="1"/>
  </cols>
  <sheetData>
    <row r="1" spans="1:4" x14ac:dyDescent="0.25">
      <c r="A1" s="1" t="s">
        <v>141</v>
      </c>
    </row>
    <row r="2" spans="1:4" x14ac:dyDescent="0.25">
      <c r="A2" s="1"/>
    </row>
    <row r="5" spans="1:4" x14ac:dyDescent="0.25">
      <c r="A5" t="s">
        <v>34</v>
      </c>
      <c r="B5" t="s">
        <v>1</v>
      </c>
      <c r="C5" t="s">
        <v>3</v>
      </c>
      <c r="D5" s="2" t="s">
        <v>33</v>
      </c>
    </row>
    <row r="6" spans="1:4" x14ac:dyDescent="0.25">
      <c r="A6" s="82" t="s">
        <v>29</v>
      </c>
      <c r="B6" s="4">
        <f>ROW(1:1)</f>
        <v>1</v>
      </c>
      <c r="C6" s="20"/>
      <c r="D6" s="21" t="str">
        <f>"PipedImporter_"&amp;TEXT(TBL_PIPED_IMPORTERS[[#This Row],[Index]],"000")</f>
        <v>PipedImporter_001</v>
      </c>
    </row>
    <row r="7" spans="1:4" x14ac:dyDescent="0.25">
      <c r="A7" s="82" t="s">
        <v>68</v>
      </c>
      <c r="B7" s="4">
        <f>ROW(2:2)</f>
        <v>2</v>
      </c>
      <c r="C7" s="20"/>
      <c r="D7" s="21" t="str">
        <f>"PipedImporter_"&amp;TEXT(TBL_PIPED_IMPORTERS[[#This Row],[Index]],"000")</f>
        <v>PipedImporter_002</v>
      </c>
    </row>
  </sheetData>
  <dataValidations count="1">
    <dataValidation type="custom" allowBlank="1" showInputMessage="1" showErrorMessage="1" sqref="A6:C7" xr:uid="{55AF58CB-1CDA-48FC-9C29-FCA014A29DC6}">
      <formula1>COUNTIF($A$6:$A6,$A6)&lt;2</formula1>
    </dataValidation>
  </dataValidations>
  <pageMargins left="0.7" right="0.7" top="0.75" bottom="0.75" header="0.3" footer="0.3"/>
  <tableParts count="1">
    <tablePart r:id="rId1"/>
  </tableParts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EB88110-8275-404E-9E4B-A29B463AFD4B}">
  <sheetPr codeName="Sheet7">
    <tabColor theme="4"/>
  </sheetPr>
  <dimension ref="A1:U7"/>
  <sheetViews>
    <sheetView workbookViewId="0">
      <selection activeCell="A6" sqref="A6"/>
    </sheetView>
  </sheetViews>
  <sheetFormatPr baseColWidth="10" defaultColWidth="9.140625" defaultRowHeight="15" outlineLevelCol="1" x14ac:dyDescent="0.25"/>
  <cols>
    <col min="1" max="1" width="28.5703125" customWidth="1"/>
    <col min="2" max="2" width="0" hidden="1" customWidth="1" outlineLevel="1"/>
    <col min="3" max="3" width="10.140625" bestFit="1" customWidth="1" collapsed="1"/>
    <col min="4" max="4" width="10.140625" bestFit="1" customWidth="1"/>
    <col min="6" max="6" width="9.42578125" customWidth="1"/>
    <col min="10" max="10" width="9.28515625" customWidth="1"/>
    <col min="12" max="12" width="9.28515625" customWidth="1"/>
    <col min="15" max="15" width="9.28515625" customWidth="1"/>
    <col min="18" max="18" width="9.42578125" customWidth="1"/>
    <col min="20" max="20" width="83.85546875" customWidth="1"/>
    <col min="21" max="21" width="28.42578125" bestFit="1" customWidth="1" outlineLevel="1"/>
  </cols>
  <sheetData>
    <row r="1" spans="1:21" x14ac:dyDescent="0.25">
      <c r="A1" s="1" t="s">
        <v>148</v>
      </c>
    </row>
    <row r="2" spans="1:21" x14ac:dyDescent="0.25">
      <c r="A2" s="1" t="s">
        <v>160</v>
      </c>
    </row>
    <row r="4" spans="1:21" x14ac:dyDescent="0.25">
      <c r="A4" s="5" t="s">
        <v>107</v>
      </c>
    </row>
    <row r="5" spans="1:21" x14ac:dyDescent="0.25">
      <c r="A5" t="s">
        <v>34</v>
      </c>
      <c r="B5" t="s">
        <v>1</v>
      </c>
      <c r="C5" s="2" t="s">
        <v>4</v>
      </c>
      <c r="D5" s="2" t="s">
        <v>5</v>
      </c>
      <c r="E5" s="2" t="s">
        <v>6</v>
      </c>
      <c r="F5" s="2" t="s">
        <v>7</v>
      </c>
      <c r="G5" s="2" t="s">
        <v>8</v>
      </c>
      <c r="H5" s="2" t="s">
        <v>9</v>
      </c>
      <c r="I5" s="2" t="s">
        <v>10</v>
      </c>
      <c r="J5" s="2" t="s">
        <v>11</v>
      </c>
      <c r="K5" s="2" t="s">
        <v>12</v>
      </c>
      <c r="L5" s="2" t="s">
        <v>13</v>
      </c>
      <c r="M5" s="2" t="s">
        <v>14</v>
      </c>
      <c r="N5" s="2" t="s">
        <v>15</v>
      </c>
      <c r="O5" s="2" t="s">
        <v>16</v>
      </c>
      <c r="P5" s="2" t="s">
        <v>17</v>
      </c>
      <c r="Q5" s="2" t="s">
        <v>18</v>
      </c>
      <c r="R5" s="2" t="s">
        <v>19</v>
      </c>
      <c r="S5" s="2" t="s">
        <v>20</v>
      </c>
      <c r="T5" s="2" t="s">
        <v>27</v>
      </c>
      <c r="U5" s="2" t="s">
        <v>35</v>
      </c>
    </row>
    <row r="6" spans="1:21" x14ac:dyDescent="0.25">
      <c r="A6" s="83" t="s">
        <v>29</v>
      </c>
      <c r="B6" s="4">
        <f>INDEX(TBL_REGIONS_INDEX[Index],MATCH(TBL_PIPED_IMPORTERS_PRODUCTION[[#This Row],[Importer]],TBL_PIPED_IMPORTERS[Importer],0))</f>
        <v>1</v>
      </c>
      <c r="C6" s="29">
        <v>1</v>
      </c>
      <c r="D6" s="29"/>
      <c r="E6" s="29"/>
      <c r="F6" s="29"/>
      <c r="G6" s="29"/>
      <c r="H6" s="29"/>
      <c r="I6" s="29"/>
      <c r="J6" s="29"/>
      <c r="K6" s="29"/>
      <c r="L6" s="29"/>
      <c r="M6" s="29"/>
      <c r="N6" s="29"/>
      <c r="O6" s="29"/>
      <c r="P6" s="29"/>
      <c r="Q6" s="29"/>
      <c r="R6" s="29"/>
      <c r="S6" s="29"/>
      <c r="T6" s="17"/>
      <c r="U6" s="21" t="str">
        <f>"PipedImporterProduction_"&amp;TEXT(TBL_PIPED_IMPORTERS_PRODUCTION[[#This Row],[Index]],"000")</f>
        <v>PipedImporterProduction_001</v>
      </c>
    </row>
    <row r="7" spans="1:21" x14ac:dyDescent="0.25">
      <c r="A7" s="83" t="s">
        <v>68</v>
      </c>
      <c r="B7" s="4">
        <f>INDEX(TBL_REGIONS_INDEX[Index],MATCH(TBL_PIPED_IMPORTERS_PRODUCTION[[#This Row],[Importer]],TBL_PIPED_IMPORTERS[Importer],0))</f>
        <v>2</v>
      </c>
      <c r="C7" s="29">
        <v>1</v>
      </c>
      <c r="D7" s="29"/>
      <c r="E7" s="29"/>
      <c r="F7" s="29"/>
      <c r="G7" s="29"/>
      <c r="H7" s="29"/>
      <c r="I7" s="29"/>
      <c r="J7" s="29"/>
      <c r="K7" s="29"/>
      <c r="L7" s="29"/>
      <c r="M7" s="29"/>
      <c r="N7" s="29"/>
      <c r="O7" s="29"/>
      <c r="P7" s="29"/>
      <c r="Q7" s="29"/>
      <c r="R7" s="29"/>
      <c r="S7" s="29"/>
      <c r="T7" s="17"/>
      <c r="U7" s="21" t="str">
        <f>"PipedImporterProduction_"&amp;TEXT(TBL_PIPED_IMPORTERS_PRODUCTION[[#This Row],[Index]],"000")</f>
        <v>PipedImporterProduction_002</v>
      </c>
    </row>
  </sheetData>
  <dataValidations count="2">
    <dataValidation type="list" allowBlank="1" showInputMessage="1" showErrorMessage="1" sqref="A6:A7" xr:uid="{C7B92B02-47D6-42E7-89EC-5B27E9A86064}">
      <formula1>INDIRECT("TBL_PIPED_IMPORTERS[Importer]")</formula1>
    </dataValidation>
    <dataValidation type="decimal" operator="greaterThanOrEqual" allowBlank="1" showInputMessage="1" showErrorMessage="1" sqref="C6:S7" xr:uid="{B2F4FD3C-776F-499B-B239-C4EDFCAD6157}">
      <formula1>0</formula1>
    </dataValidation>
  </dataValidations>
  <pageMargins left="0.7" right="0.7" top="0.75" bottom="0.75" header="0.3" footer="0.3"/>
  <tableParts count="1">
    <tablePart r:id="rId1"/>
  </tableParts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2C99C18-4644-4460-A709-2FC0C0ED6879}">
  <sheetPr codeName="Sheet8">
    <tabColor theme="4"/>
  </sheetPr>
  <dimension ref="A1:Z11"/>
  <sheetViews>
    <sheetView workbookViewId="0">
      <selection activeCell="C9" sqref="C9:C10"/>
    </sheetView>
  </sheetViews>
  <sheetFormatPr baseColWidth="10" defaultColWidth="9.140625" defaultRowHeight="15" outlineLevelCol="1" x14ac:dyDescent="0.25"/>
  <cols>
    <col min="1" max="1" width="28.5703125" customWidth="1"/>
    <col min="2" max="2" width="14.28515625" hidden="1" customWidth="1" outlineLevel="1"/>
    <col min="3" max="3" width="28.5703125" customWidth="1" collapsed="1"/>
    <col min="4" max="4" width="12.5703125" hidden="1" customWidth="1" outlineLevel="1"/>
    <col min="5" max="5" width="28.5703125" customWidth="1" collapsed="1"/>
    <col min="6" max="6" width="16.28515625" hidden="1" customWidth="1" outlineLevel="1"/>
    <col min="7" max="7" width="16.7109375" hidden="1" customWidth="1" outlineLevel="1"/>
    <col min="8" max="8" width="83.85546875" customWidth="1" collapsed="1"/>
    <col min="9" max="9" width="36.85546875" hidden="1" customWidth="1" outlineLevel="1"/>
    <col min="10" max="10" width="9.140625" collapsed="1"/>
    <col min="11" max="11" width="9.42578125" customWidth="1"/>
    <col min="15" max="15" width="9.28515625" customWidth="1"/>
    <col min="17" max="17" width="9.28515625" customWidth="1"/>
    <col min="20" max="20" width="9.28515625" customWidth="1"/>
    <col min="23" max="23" width="9.42578125" customWidth="1"/>
    <col min="25" max="25" width="71.5703125" customWidth="1"/>
    <col min="26" max="26" width="28.42578125" bestFit="1" customWidth="1" outlineLevel="1"/>
  </cols>
  <sheetData>
    <row r="1" spans="1:9" x14ac:dyDescent="0.25">
      <c r="A1" s="1" t="s">
        <v>144</v>
      </c>
    </row>
    <row r="5" spans="1:9" x14ac:dyDescent="0.25">
      <c r="A5" t="s">
        <v>34</v>
      </c>
      <c r="B5" t="s">
        <v>145</v>
      </c>
      <c r="C5" t="s">
        <v>0</v>
      </c>
      <c r="D5" t="s">
        <v>36</v>
      </c>
      <c r="E5" t="s">
        <v>38</v>
      </c>
      <c r="F5" t="s">
        <v>147</v>
      </c>
      <c r="G5" t="s">
        <v>146</v>
      </c>
      <c r="H5" s="2" t="s">
        <v>3</v>
      </c>
      <c r="I5" s="2" t="s">
        <v>37</v>
      </c>
    </row>
    <row r="6" spans="1:9" x14ac:dyDescent="0.25">
      <c r="A6" s="83" t="s">
        <v>29</v>
      </c>
      <c r="B6" s="4">
        <f>INDEX(TBL_REGIONS_INDEX[Index],MATCH(TBL_PIPED_IMPORTERS_CONNECTIONS[[#This Row],[Importer]],TBL_PIPED_IMPORTERS[Importer],0))</f>
        <v>1</v>
      </c>
      <c r="C6" s="86" t="s">
        <v>55</v>
      </c>
      <c r="D6" s="4">
        <f>INDEX(TBL_REGIONS_INDEX[Index],MATCH(TBL_PIPED_IMPORTERS_CONNECTIONS[[#This Row],[Region]],TBL_REGIONS_INDEX[Region],0))</f>
        <v>1</v>
      </c>
      <c r="E6" s="88" t="s">
        <v>143</v>
      </c>
      <c r="F6" s="4" t="str">
        <f>TEXT(TBL_PIPED_IMPORTERS_CONNECTIONS[[#This Row],[Importer Index]],"000")&amp;TEXT(TBL_PIPED_IMPORTERS_CONNECTIONS[[#This Row],[Region Index]],"000")</f>
        <v>001001</v>
      </c>
      <c r="G6" s="4">
        <f>COUNTIF($F$6:$F6,$F6)</f>
        <v>1</v>
      </c>
      <c r="H6" s="17"/>
      <c r="I6" s="21" t="str">
        <f>"PipedImporterConnection_"&amp;TEXT(TBL_PIPED_IMPORTERS_CONNECTIONS[[#This Row],[Importer Index]],"000")&amp;"_"&amp;TEXT(TBL_PIPED_IMPORTERS_CONNECTIONS[[#This Row],[Region Index]],"000")&amp;"_"&amp;TEXT(TBL_PIPED_IMPORTERS_CONNECTIONS[[#This Row],[Connection Index]],"000")</f>
        <v>PipedImporterConnection_001_001_001</v>
      </c>
    </row>
    <row r="7" spans="1:9" x14ac:dyDescent="0.25">
      <c r="A7" s="83" t="s">
        <v>29</v>
      </c>
      <c r="B7" s="4">
        <f>INDEX(TBL_REGIONS_INDEX[Index],MATCH(TBL_PIPED_IMPORTERS_CONNECTIONS[[#This Row],[Importer]],TBL_PIPED_IMPORTERS[Importer],0))</f>
        <v>1</v>
      </c>
      <c r="C7" s="87" t="s">
        <v>56</v>
      </c>
      <c r="D7" s="4">
        <f>INDEX(TBL_REGIONS_INDEX[Index],MATCH(TBL_PIPED_IMPORTERS_CONNECTIONS[[#This Row],[Region]],TBL_REGIONS_INDEX[Region],0))</f>
        <v>2</v>
      </c>
      <c r="E7" s="88" t="s">
        <v>69</v>
      </c>
      <c r="F7" s="4" t="str">
        <f>TEXT(TBL_PIPED_IMPORTERS_CONNECTIONS[[#This Row],[Importer Index]],"000")&amp;TEXT(TBL_PIPED_IMPORTERS_CONNECTIONS[[#This Row],[Region Index]],"000")</f>
        <v>001002</v>
      </c>
      <c r="G7" s="4">
        <f>COUNTIF($F$6:$F7,$F7)</f>
        <v>1</v>
      </c>
      <c r="H7" s="17"/>
      <c r="I7" s="21" t="str">
        <f>"PipedImporterConnection_"&amp;TEXT(TBL_PIPED_IMPORTERS_CONNECTIONS[[#This Row],[Importer Index]],"000")&amp;"_"&amp;TEXT(TBL_PIPED_IMPORTERS_CONNECTIONS[[#This Row],[Region Index]],"000")&amp;"_"&amp;TEXT(TBL_PIPED_IMPORTERS_CONNECTIONS[[#This Row],[Connection Index]],"000")</f>
        <v>PipedImporterConnection_001_002_001</v>
      </c>
    </row>
    <row r="8" spans="1:9" x14ac:dyDescent="0.25">
      <c r="A8" s="83" t="s">
        <v>29</v>
      </c>
      <c r="B8" s="4">
        <f>INDEX(TBL_REGIONS_INDEX[Index],MATCH(TBL_PIPED_IMPORTERS_CONNECTIONS[[#This Row],[Importer]],TBL_PIPED_IMPORTERS[Importer],0))</f>
        <v>1</v>
      </c>
      <c r="C8" s="87" t="s">
        <v>57</v>
      </c>
      <c r="D8" s="4">
        <f>INDEX(TBL_REGIONS_INDEX[Index],MATCH(TBL_PIPED_IMPORTERS_CONNECTIONS[[#This Row],[Region]],TBL_REGIONS_INDEX[Region],0))</f>
        <v>3</v>
      </c>
      <c r="E8" s="88" t="s">
        <v>70</v>
      </c>
      <c r="F8" s="4" t="str">
        <f>TEXT(TBL_PIPED_IMPORTERS_CONNECTIONS[[#This Row],[Importer Index]],"000")&amp;TEXT(TBL_PIPED_IMPORTERS_CONNECTIONS[[#This Row],[Region Index]],"000")</f>
        <v>001003</v>
      </c>
      <c r="G8" s="4">
        <f>COUNTIF($F$6:$F8,$F8)</f>
        <v>1</v>
      </c>
      <c r="H8" s="17"/>
      <c r="I8" s="21" t="str">
        <f>"PipedImporterConnection_"&amp;TEXT(TBL_PIPED_IMPORTERS_CONNECTIONS[[#This Row],[Importer Index]],"000")&amp;"_"&amp;TEXT(TBL_PIPED_IMPORTERS_CONNECTIONS[[#This Row],[Region Index]],"000")&amp;"_"&amp;TEXT(TBL_PIPED_IMPORTERS_CONNECTIONS[[#This Row],[Connection Index]],"000")</f>
        <v>PipedImporterConnection_001_003_001</v>
      </c>
    </row>
    <row r="9" spans="1:9" x14ac:dyDescent="0.25">
      <c r="A9" s="83" t="s">
        <v>68</v>
      </c>
      <c r="B9" s="4">
        <f>INDEX(TBL_REGIONS_INDEX[Index],MATCH(TBL_PIPED_IMPORTERS_CONNECTIONS[[#This Row],[Importer]],TBL_PIPED_IMPORTERS[Importer],0))</f>
        <v>2</v>
      </c>
      <c r="C9" s="87" t="s">
        <v>56</v>
      </c>
      <c r="D9" s="4">
        <f>INDEX(TBL_REGIONS_INDEX[Index],MATCH(TBL_PIPED_IMPORTERS_CONNECTIONS[[#This Row],[Region]],TBL_REGIONS_INDEX[Region],0))</f>
        <v>2</v>
      </c>
      <c r="E9" s="88" t="s">
        <v>71</v>
      </c>
      <c r="F9" s="4" t="str">
        <f>TEXT(TBL_PIPED_IMPORTERS_CONNECTIONS[[#This Row],[Importer Index]],"000")&amp;TEXT(TBL_PIPED_IMPORTERS_CONNECTIONS[[#This Row],[Region Index]],"000")</f>
        <v>002002</v>
      </c>
      <c r="G9" s="4">
        <f>COUNTIF($F$6:$F9,$F9)</f>
        <v>1</v>
      </c>
      <c r="H9" s="17"/>
      <c r="I9" s="21" t="str">
        <f>"PipedImporterConnection_"&amp;TEXT(TBL_PIPED_IMPORTERS_CONNECTIONS[[#This Row],[Importer Index]],"000")&amp;"_"&amp;TEXT(TBL_PIPED_IMPORTERS_CONNECTIONS[[#This Row],[Region Index]],"000")&amp;"_"&amp;TEXT(TBL_PIPED_IMPORTERS_CONNECTIONS[[#This Row],[Connection Index]],"000")</f>
        <v>PipedImporterConnection_002_002_001</v>
      </c>
    </row>
    <row r="10" spans="1:9" x14ac:dyDescent="0.25">
      <c r="A10" s="83" t="s">
        <v>68</v>
      </c>
      <c r="B10" s="4">
        <f>INDEX(TBL_REGIONS_INDEX[Index],MATCH(TBL_PIPED_IMPORTERS_CONNECTIONS[[#This Row],[Importer]],TBL_PIPED_IMPORTERS[Importer],0))</f>
        <v>2</v>
      </c>
      <c r="C10" s="87" t="s">
        <v>58</v>
      </c>
      <c r="D10" s="4">
        <f>INDEX(TBL_REGIONS_INDEX[Index],MATCH(TBL_PIPED_IMPORTERS_CONNECTIONS[[#This Row],[Region]],TBL_REGIONS_INDEX[Region],0))</f>
        <v>4</v>
      </c>
      <c r="E10" s="88" t="s">
        <v>72</v>
      </c>
      <c r="F10" s="4" t="str">
        <f>TEXT(TBL_PIPED_IMPORTERS_CONNECTIONS[[#This Row],[Importer Index]],"000")&amp;TEXT(TBL_PIPED_IMPORTERS_CONNECTIONS[[#This Row],[Region Index]],"000")</f>
        <v>002004</v>
      </c>
      <c r="G10" s="4">
        <f>COUNTIF($F$6:$F10,$F10)</f>
        <v>1</v>
      </c>
      <c r="H10" s="17"/>
      <c r="I10" s="21" t="str">
        <f>"PipedImporterConnection_"&amp;TEXT(TBL_PIPED_IMPORTERS_CONNECTIONS[[#This Row],[Importer Index]],"000")&amp;"_"&amp;TEXT(TBL_PIPED_IMPORTERS_CONNECTIONS[[#This Row],[Region Index]],"000")&amp;"_"&amp;TEXT(TBL_PIPED_IMPORTERS_CONNECTIONS[[#This Row],[Connection Index]],"000")</f>
        <v>PipedImporterConnection_002_004_001</v>
      </c>
    </row>
    <row r="11" spans="1:9" x14ac:dyDescent="0.25">
      <c r="A11" s="83" t="s">
        <v>29</v>
      </c>
      <c r="B11" s="4">
        <f>INDEX(TBL_REGIONS_INDEX[Index],MATCH(TBL_PIPED_IMPORTERS_CONNECTIONS[[#This Row],[Importer]],TBL_PIPED_IMPORTERS[Importer],0))</f>
        <v>1</v>
      </c>
      <c r="C11" s="87" t="s">
        <v>55</v>
      </c>
      <c r="D11" s="4">
        <f>INDEX(TBL_REGIONS_INDEX[Index],MATCH(TBL_PIPED_IMPORTERS_CONNECTIONS[[#This Row],[Region]],TBL_REGIONS_INDEX[Region],0))</f>
        <v>1</v>
      </c>
      <c r="E11" s="88" t="s">
        <v>142</v>
      </c>
      <c r="F11" s="84" t="str">
        <f>TEXT(TBL_PIPED_IMPORTERS_CONNECTIONS[[#This Row],[Importer Index]],"000")&amp;TEXT(TBL_PIPED_IMPORTERS_CONNECTIONS[[#This Row],[Region Index]],"000")</f>
        <v>001001</v>
      </c>
      <c r="G11" s="84">
        <f>COUNTIF($F$6:$F11,$F11)</f>
        <v>2</v>
      </c>
      <c r="H11" s="17"/>
      <c r="I11" s="21" t="str">
        <f>"PipedImporterConnection_"&amp;TEXT(TBL_PIPED_IMPORTERS_CONNECTIONS[[#This Row],[Importer Index]],"000")&amp;"_"&amp;TEXT(TBL_PIPED_IMPORTERS_CONNECTIONS[[#This Row],[Region Index]],"000")&amp;"_"&amp;TEXT(TBL_PIPED_IMPORTERS_CONNECTIONS[[#This Row],[Connection Index]],"000")</f>
        <v>PipedImporterConnection_001_001_002</v>
      </c>
    </row>
  </sheetData>
  <phoneticPr fontId="5" type="noConversion"/>
  <dataValidations count="3">
    <dataValidation type="list" allowBlank="1" showInputMessage="1" showErrorMessage="1" sqref="A6:A11" xr:uid="{5AE96752-F0D2-48A2-BFAE-592837F4AA07}">
      <formula1>INDIRECT("TBL_PIPED_IMPORTERS[Importer]")</formula1>
    </dataValidation>
    <dataValidation type="list" allowBlank="1" showInputMessage="1" showErrorMessage="1" sqref="C6:C11" xr:uid="{321EF8A6-46BD-4618-850C-5BBFA6BDB2DB}">
      <formula1>INDIRECT("TBL_REGIONS_INDEX[Region]")</formula1>
    </dataValidation>
    <dataValidation type="custom" allowBlank="1" showInputMessage="1" showErrorMessage="1" sqref="E6:E11" xr:uid="{3CDEE79A-1528-4038-8CE8-84D17AE0D2CE}">
      <formula1>COUNTIF($E$6:$E6,$E6)&lt;2</formula1>
    </dataValidation>
  </dataValidations>
  <pageMargins left="0.7" right="0.7" top="0.75" bottom="0.75" header="0.3" footer="0.3"/>
  <tableParts count="1">
    <tablePart r:id="rId1"/>
  </tableParts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6F1D58C-6E64-4AEF-9A0C-33D7AFE004EB}">
  <sheetPr codeName="Sheet9">
    <tabColor theme="4"/>
  </sheetPr>
  <dimension ref="A1:Y445"/>
  <sheetViews>
    <sheetView topLeftCell="B1" workbookViewId="0">
      <selection activeCell="E8" sqref="E8"/>
    </sheetView>
  </sheetViews>
  <sheetFormatPr baseColWidth="10" defaultColWidth="9.140625" defaultRowHeight="15" outlineLevelCol="1" x14ac:dyDescent="0.25"/>
  <cols>
    <col min="1" max="1" width="4" hidden="1" customWidth="1" outlineLevel="1"/>
    <col min="2" max="2" width="28.5703125" customWidth="1" collapsed="1"/>
    <col min="3" max="3" width="23" bestFit="1" customWidth="1"/>
    <col min="4" max="4" width="13.28515625" customWidth="1"/>
    <col min="22" max="22" width="83.85546875" customWidth="1"/>
    <col min="23" max="23" width="36.85546875" hidden="1" customWidth="1" outlineLevel="1"/>
    <col min="24" max="24" width="36.140625" hidden="1" customWidth="1" outlineLevel="1"/>
    <col min="25" max="25" width="9.140625" collapsed="1"/>
  </cols>
  <sheetData>
    <row r="1" spans="1:24" x14ac:dyDescent="0.25">
      <c r="B1" s="1" t="s">
        <v>73</v>
      </c>
    </row>
    <row r="2" spans="1:24" x14ac:dyDescent="0.25">
      <c r="B2" s="1" t="s">
        <v>149</v>
      </c>
    </row>
    <row r="3" spans="1:24" x14ac:dyDescent="0.25">
      <c r="B3" s="1" t="s">
        <v>150</v>
      </c>
    </row>
    <row r="4" spans="1:24" x14ac:dyDescent="0.25">
      <c r="B4" s="1" t="s">
        <v>96</v>
      </c>
    </row>
    <row r="5" spans="1:24" x14ac:dyDescent="0.25">
      <c r="B5" s="8" t="s">
        <v>39</v>
      </c>
      <c r="C5" s="8" t="s">
        <v>40</v>
      </c>
      <c r="D5" s="8" t="s">
        <v>41</v>
      </c>
      <c r="E5" s="22" t="s">
        <v>4</v>
      </c>
      <c r="F5" s="22" t="s">
        <v>5</v>
      </c>
      <c r="G5" s="22" t="s">
        <v>6</v>
      </c>
      <c r="H5" s="22" t="s">
        <v>7</v>
      </c>
      <c r="I5" s="22" t="s">
        <v>8</v>
      </c>
      <c r="J5" s="22" t="s">
        <v>9</v>
      </c>
      <c r="K5" s="22" t="s">
        <v>10</v>
      </c>
      <c r="L5" s="22" t="s">
        <v>11</v>
      </c>
      <c r="M5" s="22" t="s">
        <v>12</v>
      </c>
      <c r="N5" s="22" t="s">
        <v>13</v>
      </c>
      <c r="O5" s="22" t="s">
        <v>14</v>
      </c>
      <c r="P5" s="22" t="s">
        <v>15</v>
      </c>
      <c r="Q5" s="22" t="s">
        <v>16</v>
      </c>
      <c r="R5" s="22" t="s">
        <v>17</v>
      </c>
      <c r="S5" s="22" t="s">
        <v>18</v>
      </c>
      <c r="T5" s="22" t="s">
        <v>19</v>
      </c>
      <c r="U5" s="22" t="s">
        <v>20</v>
      </c>
      <c r="V5" s="8" t="s">
        <v>27</v>
      </c>
      <c r="W5" s="23" t="s">
        <v>37</v>
      </c>
      <c r="X5" s="30" t="s">
        <v>48</v>
      </c>
    </row>
    <row r="6" spans="1:24" x14ac:dyDescent="0.25">
      <c r="A6" s="94">
        <v>1</v>
      </c>
      <c r="B6" s="115" t="str">
        <f>IFERROR(INDEX(TBL_PIPED_IMPORTERS_CONNECTIONS[Name],$A6),"")</f>
        <v>Import Nor-DE I</v>
      </c>
      <c r="C6" s="89" t="s">
        <v>42</v>
      </c>
      <c r="D6" s="90" t="s">
        <v>107</v>
      </c>
      <c r="E6" s="27">
        <v>0</v>
      </c>
      <c r="F6" s="27"/>
      <c r="G6" s="27"/>
      <c r="H6" s="27"/>
      <c r="I6" s="27"/>
      <c r="J6" s="27"/>
      <c r="K6" s="27"/>
      <c r="L6" s="27"/>
      <c r="M6" s="27"/>
      <c r="N6" s="27"/>
      <c r="O6" s="27"/>
      <c r="P6" s="27"/>
      <c r="Q6" s="27"/>
      <c r="R6" s="27"/>
      <c r="S6" s="27"/>
      <c r="T6" s="27"/>
      <c r="U6" s="27"/>
      <c r="V6" s="25"/>
      <c r="W6" s="31" t="str">
        <f>INDEX(TBL_PIPED_IMPORTERS_CONNECTIONS[PipedImporterConnectionID],$A6)</f>
        <v>PipedImporterConnection_001_001_001</v>
      </c>
      <c r="X6" s="31" t="str">
        <f>"PipedImporterCapMin_"&amp;RIGHT($W6,11)</f>
        <v>PipedImporterCapMin_001_001_001</v>
      </c>
    </row>
    <row r="7" spans="1:24" x14ac:dyDescent="0.25">
      <c r="A7" s="94">
        <f>$A6</f>
        <v>1</v>
      </c>
      <c r="B7" s="116"/>
      <c r="C7" s="91" t="s">
        <v>43</v>
      </c>
      <c r="D7" s="92" t="s">
        <v>107</v>
      </c>
      <c r="E7" s="28">
        <v>10</v>
      </c>
      <c r="F7" s="28"/>
      <c r="G7" s="28"/>
      <c r="H7" s="28"/>
      <c r="I7" s="28"/>
      <c r="J7" s="28"/>
      <c r="K7" s="28"/>
      <c r="L7" s="28"/>
      <c r="M7" s="28"/>
      <c r="N7" s="28"/>
      <c r="O7" s="28"/>
      <c r="P7" s="28"/>
      <c r="Q7" s="28"/>
      <c r="R7" s="28"/>
      <c r="S7" s="28"/>
      <c r="T7" s="28"/>
      <c r="U7" s="28"/>
      <c r="V7" s="26"/>
      <c r="W7" s="31" t="str">
        <f>INDEX(TBL_PIPED_IMPORTERS_CONNECTIONS[PipedImporterConnectionID],$A7)</f>
        <v>PipedImporterConnection_001_001_001</v>
      </c>
      <c r="X7" s="31" t="str">
        <f>"PipedImporterCapMax_"&amp;RIGHT($W7,11)</f>
        <v>PipedImporterCapMax_001_001_001</v>
      </c>
    </row>
    <row r="8" spans="1:24" x14ac:dyDescent="0.25">
      <c r="A8" s="94">
        <f>$A7</f>
        <v>1</v>
      </c>
      <c r="B8" s="116"/>
      <c r="C8" s="89" t="s">
        <v>108</v>
      </c>
      <c r="D8" s="90" t="s">
        <v>45</v>
      </c>
      <c r="E8" s="27">
        <v>0</v>
      </c>
      <c r="F8" s="27"/>
      <c r="G8" s="27"/>
      <c r="H8" s="27"/>
      <c r="I8" s="27"/>
      <c r="J8" s="27"/>
      <c r="K8" s="27"/>
      <c r="L8" s="27"/>
      <c r="M8" s="27"/>
      <c r="N8" s="27"/>
      <c r="O8" s="27"/>
      <c r="P8" s="27"/>
      <c r="Q8" s="27"/>
      <c r="R8" s="27"/>
      <c r="S8" s="27"/>
      <c r="T8" s="27"/>
      <c r="U8" s="27"/>
      <c r="V8" s="25"/>
      <c r="W8" s="31" t="str">
        <f>INDEX(TBL_PIPED_IMPORTERS_CONNECTIONS[PipedImporterConnectionID],$A8)</f>
        <v>PipedImporterConnection_001_001_001</v>
      </c>
      <c r="X8" s="31" t="str">
        <f>"PipedImporterTariffFixed_"&amp;RIGHT($W8,11)</f>
        <v>PipedImporterTariffFixed_001_001_001</v>
      </c>
    </row>
    <row r="9" spans="1:24" x14ac:dyDescent="0.25">
      <c r="A9" s="94">
        <f>$A8</f>
        <v>1</v>
      </c>
      <c r="B9" s="117"/>
      <c r="C9" s="91" t="s">
        <v>109</v>
      </c>
      <c r="D9" s="92" t="s">
        <v>47</v>
      </c>
      <c r="E9" s="28">
        <v>0.5</v>
      </c>
      <c r="F9" s="28"/>
      <c r="G9" s="28"/>
      <c r="H9" s="28"/>
      <c r="I9" s="28"/>
      <c r="J9" s="28"/>
      <c r="K9" s="28"/>
      <c r="L9" s="28"/>
      <c r="M9" s="28"/>
      <c r="N9" s="28"/>
      <c r="O9" s="28"/>
      <c r="P9" s="28"/>
      <c r="Q9" s="28"/>
      <c r="R9" s="28"/>
      <c r="S9" s="28"/>
      <c r="T9" s="28"/>
      <c r="U9" s="28"/>
      <c r="V9" s="26"/>
      <c r="W9" s="31" t="str">
        <f>INDEX(TBL_PIPED_IMPORTERS_CONNECTIONS[PipedImporterConnectionID],$A9)</f>
        <v>PipedImporterConnection_001_001_001</v>
      </c>
      <c r="X9" s="31" t="str">
        <f>"PipedImporterTariffVar_"&amp;RIGHT($W9,11)</f>
        <v>PipedImporterTariffVar_001_001_001</v>
      </c>
    </row>
    <row r="10" spans="1:24" x14ac:dyDescent="0.25">
      <c r="A10" s="94">
        <f>$A6+1</f>
        <v>2</v>
      </c>
      <c r="B10" s="115" t="str">
        <f>IFERROR(INDEX(TBL_PIPED_IMPORTERS_CONNECTIONS[Name],$A10),"")</f>
        <v>Import Nor-FR</v>
      </c>
      <c r="C10" s="93" t="str">
        <f>IF($B10&lt;&gt;"",C6,"")</f>
        <v>Capacity - Min</v>
      </c>
      <c r="D10" s="93" t="str">
        <f>IF($B10&lt;&gt;"",D6,"")</f>
        <v>mcm/day</v>
      </c>
      <c r="E10" s="27">
        <v>0</v>
      </c>
      <c r="F10" s="27"/>
      <c r="G10" s="27"/>
      <c r="H10" s="27"/>
      <c r="I10" s="27"/>
      <c r="J10" s="27"/>
      <c r="K10" s="27"/>
      <c r="L10" s="27"/>
      <c r="M10" s="27"/>
      <c r="N10" s="27"/>
      <c r="O10" s="27"/>
      <c r="P10" s="27"/>
      <c r="Q10" s="27"/>
      <c r="R10" s="27"/>
      <c r="S10" s="27"/>
      <c r="T10" s="27"/>
      <c r="U10" s="27"/>
      <c r="V10" s="25"/>
      <c r="W10" s="31" t="str">
        <f>INDEX(TBL_PIPED_IMPORTERS_CONNECTIONS[PipedImporterConnectionID],$A10)</f>
        <v>PipedImporterConnection_001_002_001</v>
      </c>
      <c r="X10" s="31" t="str">
        <f>"PipedImporterCapMin_"&amp;RIGHT($W10,11)</f>
        <v>PipedImporterCapMin_001_002_001</v>
      </c>
    </row>
    <row r="11" spans="1:24" x14ac:dyDescent="0.25">
      <c r="A11" s="94">
        <f>$A10</f>
        <v>2</v>
      </c>
      <c r="B11" s="116"/>
      <c r="C11" s="93" t="str">
        <f>IF($B10&lt;&gt;"",C7,"")</f>
        <v>Capacity - Max</v>
      </c>
      <c r="D11" s="93" t="str">
        <f>IF($B10&lt;&gt;"",D7,"")</f>
        <v>mcm/day</v>
      </c>
      <c r="E11" s="28">
        <v>7</v>
      </c>
      <c r="F11" s="28"/>
      <c r="G11" s="28"/>
      <c r="H11" s="28"/>
      <c r="I11" s="28"/>
      <c r="J11" s="28"/>
      <c r="K11" s="28"/>
      <c r="L11" s="28"/>
      <c r="M11" s="28"/>
      <c r="N11" s="28"/>
      <c r="O11" s="28"/>
      <c r="P11" s="28"/>
      <c r="Q11" s="28"/>
      <c r="R11" s="28"/>
      <c r="S11" s="28"/>
      <c r="T11" s="28"/>
      <c r="U11" s="28"/>
      <c r="V11" s="26"/>
      <c r="W11" s="31" t="str">
        <f>INDEX(TBL_PIPED_IMPORTERS_CONNECTIONS[PipedImporterConnectionID],$A11)</f>
        <v>PipedImporterConnection_001_002_001</v>
      </c>
      <c r="X11" s="31" t="str">
        <f>"PipedImporterCapMax_"&amp;RIGHT($W11,11)</f>
        <v>PipedImporterCapMax_001_002_001</v>
      </c>
    </row>
    <row r="12" spans="1:24" x14ac:dyDescent="0.25">
      <c r="A12" s="94">
        <f>$A11</f>
        <v>2</v>
      </c>
      <c r="B12" s="116"/>
      <c r="C12" s="93" t="str">
        <f>IF($B10&lt;&gt;"",C8,"")</f>
        <v>Cost to Market - fixed</v>
      </c>
      <c r="D12" s="93" t="str">
        <f>IF($B10&lt;&gt;"",D8,"")</f>
        <v>EUR/month</v>
      </c>
      <c r="E12" s="27">
        <v>0</v>
      </c>
      <c r="F12" s="27"/>
      <c r="G12" s="27"/>
      <c r="H12" s="27"/>
      <c r="I12" s="27"/>
      <c r="J12" s="27"/>
      <c r="K12" s="27"/>
      <c r="L12" s="27"/>
      <c r="M12" s="27"/>
      <c r="N12" s="27"/>
      <c r="O12" s="27"/>
      <c r="P12" s="27"/>
      <c r="Q12" s="27"/>
      <c r="R12" s="27"/>
      <c r="S12" s="27"/>
      <c r="T12" s="27"/>
      <c r="U12" s="27"/>
      <c r="V12" s="25"/>
      <c r="W12" s="31" t="str">
        <f>INDEX(TBL_PIPED_IMPORTERS_CONNECTIONS[PipedImporterConnectionID],$A12)</f>
        <v>PipedImporterConnection_001_002_001</v>
      </c>
      <c r="X12" s="31" t="str">
        <f>"PipedImporterTariffFixed_"&amp;RIGHT($W12,11)</f>
        <v>PipedImporterTariffFixed_001_002_001</v>
      </c>
    </row>
    <row r="13" spans="1:24" x14ac:dyDescent="0.25">
      <c r="A13" s="94">
        <f>$A12</f>
        <v>2</v>
      </c>
      <c r="B13" s="117"/>
      <c r="C13" s="93" t="str">
        <f>IF($B10&lt;&gt;"",C9,"")</f>
        <v>Cost to Market - variable</v>
      </c>
      <c r="D13" s="93" t="str">
        <f>IF($B10&lt;&gt;"",D9,"")</f>
        <v>EUR/MWh</v>
      </c>
      <c r="E13" s="28">
        <v>0.3</v>
      </c>
      <c r="F13" s="28"/>
      <c r="G13" s="28"/>
      <c r="H13" s="28"/>
      <c r="I13" s="28"/>
      <c r="J13" s="28"/>
      <c r="K13" s="28"/>
      <c r="L13" s="28"/>
      <c r="M13" s="28"/>
      <c r="N13" s="28"/>
      <c r="O13" s="28"/>
      <c r="P13" s="28"/>
      <c r="Q13" s="28"/>
      <c r="R13" s="28"/>
      <c r="S13" s="28"/>
      <c r="T13" s="28"/>
      <c r="U13" s="28"/>
      <c r="V13" s="26"/>
      <c r="W13" s="31" t="str">
        <f>INDEX(TBL_PIPED_IMPORTERS_CONNECTIONS[PipedImporterConnectionID],$A13)</f>
        <v>PipedImporterConnection_001_002_001</v>
      </c>
      <c r="X13" s="31" t="str">
        <f>"PipedImporterTariffVar_"&amp;RIGHT($W13,11)</f>
        <v>PipedImporterTariffVar_001_002_001</v>
      </c>
    </row>
    <row r="14" spans="1:24" x14ac:dyDescent="0.25">
      <c r="A14" s="94">
        <f t="shared" ref="A14" si="0">$A10+1</f>
        <v>3</v>
      </c>
      <c r="B14" s="115" t="str">
        <f>IFERROR(INDEX(TBL_PIPED_IMPORTERS_CONNECTIONS[Name],$A14),"")</f>
        <v>Import Nor-NL</v>
      </c>
      <c r="C14" s="93" t="str">
        <f t="shared" ref="C14:D14" si="1">IF($B14&lt;&gt;"",C10,"")</f>
        <v>Capacity - Min</v>
      </c>
      <c r="D14" s="93" t="str">
        <f t="shared" si="1"/>
        <v>mcm/day</v>
      </c>
      <c r="E14" s="27">
        <v>0.5</v>
      </c>
      <c r="F14" s="27"/>
      <c r="G14" s="27"/>
      <c r="H14" s="27"/>
      <c r="I14" s="27"/>
      <c r="J14" s="27"/>
      <c r="K14" s="27"/>
      <c r="L14" s="27"/>
      <c r="M14" s="27"/>
      <c r="N14" s="27"/>
      <c r="O14" s="27"/>
      <c r="P14" s="27"/>
      <c r="Q14" s="27"/>
      <c r="R14" s="27"/>
      <c r="S14" s="27"/>
      <c r="T14" s="27"/>
      <c r="U14" s="27"/>
      <c r="V14" s="25"/>
      <c r="W14" s="31" t="str">
        <f>INDEX(TBL_PIPED_IMPORTERS_CONNECTIONS[PipedImporterConnectionID],$A14)</f>
        <v>PipedImporterConnection_001_003_001</v>
      </c>
      <c r="X14" s="31" t="str">
        <f>"PipedImporterCapMin_"&amp;RIGHT($W14,11)</f>
        <v>PipedImporterCapMin_001_003_001</v>
      </c>
    </row>
    <row r="15" spans="1:24" x14ac:dyDescent="0.25">
      <c r="A15" s="94">
        <f t="shared" ref="A15:A17" si="2">$A14</f>
        <v>3</v>
      </c>
      <c r="B15" s="116"/>
      <c r="C15" s="93" t="str">
        <f t="shared" ref="C15:D15" si="3">IF($B14&lt;&gt;"",C11,"")</f>
        <v>Capacity - Max</v>
      </c>
      <c r="D15" s="93" t="str">
        <f t="shared" si="3"/>
        <v>mcm/day</v>
      </c>
      <c r="E15" s="28">
        <v>1</v>
      </c>
      <c r="F15" s="28"/>
      <c r="G15" s="28"/>
      <c r="H15" s="28"/>
      <c r="I15" s="28"/>
      <c r="J15" s="28"/>
      <c r="K15" s="28"/>
      <c r="L15" s="28"/>
      <c r="M15" s="28"/>
      <c r="N15" s="28"/>
      <c r="O15" s="28"/>
      <c r="P15" s="28"/>
      <c r="Q15" s="28"/>
      <c r="R15" s="28"/>
      <c r="S15" s="28"/>
      <c r="T15" s="28"/>
      <c r="U15" s="28"/>
      <c r="V15" s="26"/>
      <c r="W15" s="31" t="str">
        <f>INDEX(TBL_PIPED_IMPORTERS_CONNECTIONS[PipedImporterConnectionID],$A15)</f>
        <v>PipedImporterConnection_001_003_001</v>
      </c>
      <c r="X15" s="31" t="str">
        <f>"PipedImporterCapMax_"&amp;RIGHT($W15,11)</f>
        <v>PipedImporterCapMax_001_003_001</v>
      </c>
    </row>
    <row r="16" spans="1:24" x14ac:dyDescent="0.25">
      <c r="A16" s="94">
        <f t="shared" si="2"/>
        <v>3</v>
      </c>
      <c r="B16" s="116"/>
      <c r="C16" s="93" t="str">
        <f t="shared" ref="C16:D16" si="4">IF($B14&lt;&gt;"",C12,"")</f>
        <v>Cost to Market - fixed</v>
      </c>
      <c r="D16" s="93" t="str">
        <f t="shared" si="4"/>
        <v>EUR/month</v>
      </c>
      <c r="E16" s="27">
        <v>0</v>
      </c>
      <c r="F16" s="27"/>
      <c r="G16" s="27"/>
      <c r="H16" s="27"/>
      <c r="I16" s="27"/>
      <c r="J16" s="27"/>
      <c r="K16" s="27"/>
      <c r="L16" s="27"/>
      <c r="M16" s="27"/>
      <c r="N16" s="27"/>
      <c r="O16" s="27"/>
      <c r="P16" s="27"/>
      <c r="Q16" s="27"/>
      <c r="R16" s="27"/>
      <c r="S16" s="27"/>
      <c r="T16" s="27"/>
      <c r="U16" s="27"/>
      <c r="V16" s="25"/>
      <c r="W16" s="31" t="str">
        <f>INDEX(TBL_PIPED_IMPORTERS_CONNECTIONS[PipedImporterConnectionID],$A16)</f>
        <v>PipedImporterConnection_001_003_001</v>
      </c>
      <c r="X16" s="31" t="str">
        <f>"PipedImporterTariffFixed_"&amp;RIGHT($W16,11)</f>
        <v>PipedImporterTariffFixed_001_003_001</v>
      </c>
    </row>
    <row r="17" spans="1:24" x14ac:dyDescent="0.25">
      <c r="A17" s="94">
        <f t="shared" si="2"/>
        <v>3</v>
      </c>
      <c r="B17" s="117"/>
      <c r="C17" s="93" t="str">
        <f t="shared" ref="C17:D17" si="5">IF($B14&lt;&gt;"",C13,"")</f>
        <v>Cost to Market - variable</v>
      </c>
      <c r="D17" s="93" t="str">
        <f t="shared" si="5"/>
        <v>EUR/MWh</v>
      </c>
      <c r="E17" s="28">
        <v>0.3</v>
      </c>
      <c r="F17" s="28"/>
      <c r="G17" s="28"/>
      <c r="H17" s="28"/>
      <c r="I17" s="28"/>
      <c r="J17" s="28"/>
      <c r="K17" s="28"/>
      <c r="L17" s="28"/>
      <c r="M17" s="28"/>
      <c r="N17" s="28"/>
      <c r="O17" s="28"/>
      <c r="P17" s="28"/>
      <c r="Q17" s="28"/>
      <c r="R17" s="28"/>
      <c r="S17" s="28"/>
      <c r="T17" s="28"/>
      <c r="U17" s="28"/>
      <c r="V17" s="26"/>
      <c r="W17" s="31" t="str">
        <f>INDEX(TBL_PIPED_IMPORTERS_CONNECTIONS[PipedImporterConnectionID],$A17)</f>
        <v>PipedImporterConnection_001_003_001</v>
      </c>
      <c r="X17" s="31" t="str">
        <f>"PipedImporterTariffVar_"&amp;RIGHT($W17,11)</f>
        <v>PipedImporterTariffVar_001_003_001</v>
      </c>
    </row>
    <row r="18" spans="1:24" x14ac:dyDescent="0.25">
      <c r="A18" s="94">
        <f t="shared" ref="A18" si="6">$A14+1</f>
        <v>4</v>
      </c>
      <c r="B18" s="115" t="str">
        <f>IFERROR(INDEX(TBL_PIPED_IMPORTERS_CONNECTIONS[Name],$A18),"")</f>
        <v>Import Alg-FR</v>
      </c>
      <c r="C18" s="93" t="str">
        <f t="shared" ref="C18:D18" si="7">IF($B18&lt;&gt;"",C14,"")</f>
        <v>Capacity - Min</v>
      </c>
      <c r="D18" s="93" t="str">
        <f t="shared" si="7"/>
        <v>mcm/day</v>
      </c>
      <c r="E18" s="27">
        <v>0</v>
      </c>
      <c r="F18" s="27"/>
      <c r="G18" s="27"/>
      <c r="H18" s="27"/>
      <c r="I18" s="27"/>
      <c r="J18" s="27"/>
      <c r="K18" s="27"/>
      <c r="L18" s="27"/>
      <c r="M18" s="27"/>
      <c r="N18" s="27"/>
      <c r="O18" s="27"/>
      <c r="P18" s="27"/>
      <c r="Q18" s="27"/>
      <c r="R18" s="27"/>
      <c r="S18" s="27"/>
      <c r="T18" s="27"/>
      <c r="U18" s="27"/>
      <c r="V18" s="25"/>
      <c r="W18" s="31" t="str">
        <f>INDEX(TBL_PIPED_IMPORTERS_CONNECTIONS[PipedImporterConnectionID],$A18)</f>
        <v>PipedImporterConnection_002_002_001</v>
      </c>
      <c r="X18" s="31" t="str">
        <f>"PipedImporterCapMin_"&amp;RIGHT($W18,11)</f>
        <v>PipedImporterCapMin_002_002_001</v>
      </c>
    </row>
    <row r="19" spans="1:24" x14ac:dyDescent="0.25">
      <c r="A19" s="94">
        <f t="shared" ref="A19:A21" si="8">$A18</f>
        <v>4</v>
      </c>
      <c r="B19" s="116"/>
      <c r="C19" s="93" t="str">
        <f t="shared" ref="C19:D19" si="9">IF($B18&lt;&gt;"",C15,"")</f>
        <v>Capacity - Max</v>
      </c>
      <c r="D19" s="93" t="str">
        <f t="shared" si="9"/>
        <v>mcm/day</v>
      </c>
      <c r="E19" s="28">
        <v>2</v>
      </c>
      <c r="F19" s="28"/>
      <c r="G19" s="28"/>
      <c r="H19" s="28"/>
      <c r="I19" s="28"/>
      <c r="J19" s="28"/>
      <c r="K19" s="28"/>
      <c r="L19" s="28"/>
      <c r="M19" s="28"/>
      <c r="N19" s="28"/>
      <c r="O19" s="28"/>
      <c r="P19" s="28"/>
      <c r="Q19" s="28"/>
      <c r="R19" s="28"/>
      <c r="S19" s="28"/>
      <c r="T19" s="28"/>
      <c r="U19" s="28"/>
      <c r="V19" s="26"/>
      <c r="W19" s="31" t="str">
        <f>INDEX(TBL_PIPED_IMPORTERS_CONNECTIONS[PipedImporterConnectionID],$A19)</f>
        <v>PipedImporterConnection_002_002_001</v>
      </c>
      <c r="X19" s="31" t="str">
        <f>"PipedImporterCapMax_"&amp;RIGHT($W19,11)</f>
        <v>PipedImporterCapMax_002_002_001</v>
      </c>
    </row>
    <row r="20" spans="1:24" x14ac:dyDescent="0.25">
      <c r="A20" s="94">
        <f t="shared" si="8"/>
        <v>4</v>
      </c>
      <c r="B20" s="116"/>
      <c r="C20" s="93" t="str">
        <f t="shared" ref="C20:D20" si="10">IF($B18&lt;&gt;"",C16,"")</f>
        <v>Cost to Market - fixed</v>
      </c>
      <c r="D20" s="93" t="str">
        <f t="shared" si="10"/>
        <v>EUR/month</v>
      </c>
      <c r="E20" s="27">
        <v>0</v>
      </c>
      <c r="F20" s="27"/>
      <c r="G20" s="27"/>
      <c r="H20" s="27"/>
      <c r="I20" s="27"/>
      <c r="J20" s="27"/>
      <c r="K20" s="27"/>
      <c r="L20" s="27"/>
      <c r="M20" s="27"/>
      <c r="N20" s="27"/>
      <c r="O20" s="27"/>
      <c r="P20" s="27"/>
      <c r="Q20" s="27"/>
      <c r="R20" s="27"/>
      <c r="S20" s="27"/>
      <c r="T20" s="27"/>
      <c r="U20" s="27"/>
      <c r="V20" s="25"/>
      <c r="W20" s="31" t="str">
        <f>INDEX(TBL_PIPED_IMPORTERS_CONNECTIONS[PipedImporterConnectionID],$A20)</f>
        <v>PipedImporterConnection_002_002_001</v>
      </c>
      <c r="X20" s="31" t="str">
        <f>"PipedImporterTariffFixed_"&amp;RIGHT($W20,11)</f>
        <v>PipedImporterTariffFixed_002_002_001</v>
      </c>
    </row>
    <row r="21" spans="1:24" x14ac:dyDescent="0.25">
      <c r="A21" s="94">
        <f t="shared" si="8"/>
        <v>4</v>
      </c>
      <c r="B21" s="117"/>
      <c r="C21" s="93" t="str">
        <f t="shared" ref="C21:D21" si="11">IF($B18&lt;&gt;"",C17,"")</f>
        <v>Cost to Market - variable</v>
      </c>
      <c r="D21" s="93" t="str">
        <f t="shared" si="11"/>
        <v>EUR/MWh</v>
      </c>
      <c r="E21" s="28">
        <v>0.2</v>
      </c>
      <c r="F21" s="28"/>
      <c r="G21" s="28"/>
      <c r="H21" s="28"/>
      <c r="I21" s="28"/>
      <c r="J21" s="28"/>
      <c r="K21" s="28"/>
      <c r="L21" s="28"/>
      <c r="M21" s="28"/>
      <c r="N21" s="28"/>
      <c r="O21" s="28"/>
      <c r="P21" s="28"/>
      <c r="Q21" s="28"/>
      <c r="R21" s="28"/>
      <c r="S21" s="28"/>
      <c r="T21" s="28"/>
      <c r="U21" s="28"/>
      <c r="V21" s="26"/>
      <c r="W21" s="31" t="str">
        <f>INDEX(TBL_PIPED_IMPORTERS_CONNECTIONS[PipedImporterConnectionID],$A21)</f>
        <v>PipedImporterConnection_002_002_001</v>
      </c>
      <c r="X21" s="31" t="str">
        <f>"PipedImporterTariffVar_"&amp;RIGHT($W21,11)</f>
        <v>PipedImporterTariffVar_002_002_001</v>
      </c>
    </row>
    <row r="22" spans="1:24" x14ac:dyDescent="0.25">
      <c r="A22" s="94">
        <f t="shared" ref="A22" si="12">$A18+1</f>
        <v>5</v>
      </c>
      <c r="B22" s="115" t="str">
        <f>IFERROR(INDEX(TBL_PIPED_IMPORTERS_CONNECTIONS[Name],$A22),"")</f>
        <v>Import Alg-CH</v>
      </c>
      <c r="C22" s="93" t="str">
        <f t="shared" ref="C22:D22" si="13">IF($B22&lt;&gt;"",C18,"")</f>
        <v>Capacity - Min</v>
      </c>
      <c r="D22" s="93" t="str">
        <f t="shared" si="13"/>
        <v>mcm/day</v>
      </c>
      <c r="E22" s="27">
        <v>0</v>
      </c>
      <c r="F22" s="27"/>
      <c r="G22" s="27"/>
      <c r="H22" s="27"/>
      <c r="I22" s="27"/>
      <c r="J22" s="27"/>
      <c r="K22" s="27"/>
      <c r="L22" s="27"/>
      <c r="M22" s="27"/>
      <c r="N22" s="27"/>
      <c r="O22" s="27"/>
      <c r="P22" s="27"/>
      <c r="Q22" s="27"/>
      <c r="R22" s="27"/>
      <c r="S22" s="27"/>
      <c r="T22" s="27"/>
      <c r="U22" s="27"/>
      <c r="V22" s="25"/>
      <c r="W22" s="31" t="str">
        <f>INDEX(TBL_PIPED_IMPORTERS_CONNECTIONS[PipedImporterConnectionID],$A22)</f>
        <v>PipedImporterConnection_002_004_001</v>
      </c>
      <c r="X22" s="31" t="str">
        <f>"PipedImporterCapMin_"&amp;RIGHT($W22,11)</f>
        <v>PipedImporterCapMin_002_004_001</v>
      </c>
    </row>
    <row r="23" spans="1:24" x14ac:dyDescent="0.25">
      <c r="A23" s="94">
        <f t="shared" ref="A23:A25" si="14">$A22</f>
        <v>5</v>
      </c>
      <c r="B23" s="116"/>
      <c r="C23" s="93" t="str">
        <f t="shared" ref="C23:D23" si="15">IF($B22&lt;&gt;"",C19,"")</f>
        <v>Capacity - Max</v>
      </c>
      <c r="D23" s="93" t="str">
        <f t="shared" si="15"/>
        <v>mcm/day</v>
      </c>
      <c r="E23" s="28">
        <v>4</v>
      </c>
      <c r="F23" s="28"/>
      <c r="G23" s="28"/>
      <c r="H23" s="28"/>
      <c r="I23" s="28"/>
      <c r="J23" s="28"/>
      <c r="K23" s="28"/>
      <c r="L23" s="28"/>
      <c r="M23" s="28"/>
      <c r="N23" s="28"/>
      <c r="O23" s="28"/>
      <c r="P23" s="28"/>
      <c r="Q23" s="28"/>
      <c r="R23" s="28"/>
      <c r="S23" s="28"/>
      <c r="T23" s="28"/>
      <c r="U23" s="28"/>
      <c r="V23" s="26"/>
      <c r="W23" s="31" t="str">
        <f>INDEX(TBL_PIPED_IMPORTERS_CONNECTIONS[PipedImporterConnectionID],$A23)</f>
        <v>PipedImporterConnection_002_004_001</v>
      </c>
      <c r="X23" s="31" t="str">
        <f>"PipedImporterCapMax_"&amp;RIGHT($W23,11)</f>
        <v>PipedImporterCapMax_002_004_001</v>
      </c>
    </row>
    <row r="24" spans="1:24" x14ac:dyDescent="0.25">
      <c r="A24" s="94">
        <f t="shared" si="14"/>
        <v>5</v>
      </c>
      <c r="B24" s="116"/>
      <c r="C24" s="93" t="str">
        <f t="shared" ref="C24:D24" si="16">IF($B22&lt;&gt;"",C20,"")</f>
        <v>Cost to Market - fixed</v>
      </c>
      <c r="D24" s="93" t="str">
        <f t="shared" si="16"/>
        <v>EUR/month</v>
      </c>
      <c r="E24" s="27">
        <v>0</v>
      </c>
      <c r="F24" s="27"/>
      <c r="G24" s="27"/>
      <c r="H24" s="27"/>
      <c r="I24" s="27"/>
      <c r="J24" s="27"/>
      <c r="K24" s="27"/>
      <c r="L24" s="27"/>
      <c r="M24" s="27"/>
      <c r="N24" s="27"/>
      <c r="O24" s="27"/>
      <c r="P24" s="27"/>
      <c r="Q24" s="27"/>
      <c r="R24" s="27"/>
      <c r="S24" s="27"/>
      <c r="T24" s="27"/>
      <c r="U24" s="27"/>
      <c r="V24" s="25"/>
      <c r="W24" s="31" t="str">
        <f>INDEX(TBL_PIPED_IMPORTERS_CONNECTIONS[PipedImporterConnectionID],$A24)</f>
        <v>PipedImporterConnection_002_004_001</v>
      </c>
      <c r="X24" s="31" t="str">
        <f>"PipedImporterTariffFixed_"&amp;RIGHT($W24,11)</f>
        <v>PipedImporterTariffFixed_002_004_001</v>
      </c>
    </row>
    <row r="25" spans="1:24" x14ac:dyDescent="0.25">
      <c r="A25" s="94">
        <f t="shared" si="14"/>
        <v>5</v>
      </c>
      <c r="B25" s="117"/>
      <c r="C25" s="93" t="str">
        <f t="shared" ref="C25:D25" si="17">IF($B22&lt;&gt;"",C21,"")</f>
        <v>Cost to Market - variable</v>
      </c>
      <c r="D25" s="93" t="str">
        <f t="shared" si="17"/>
        <v>EUR/MWh</v>
      </c>
      <c r="E25" s="28">
        <v>0.3</v>
      </c>
      <c r="F25" s="28"/>
      <c r="G25" s="28"/>
      <c r="H25" s="28"/>
      <c r="I25" s="28"/>
      <c r="J25" s="28"/>
      <c r="K25" s="28"/>
      <c r="L25" s="28"/>
      <c r="M25" s="28"/>
      <c r="N25" s="28"/>
      <c r="O25" s="28"/>
      <c r="P25" s="28"/>
      <c r="Q25" s="28"/>
      <c r="R25" s="28"/>
      <c r="S25" s="28"/>
      <c r="T25" s="28"/>
      <c r="U25" s="28"/>
      <c r="V25" s="26"/>
      <c r="W25" s="31" t="str">
        <f>INDEX(TBL_PIPED_IMPORTERS_CONNECTIONS[PipedImporterConnectionID],$A25)</f>
        <v>PipedImporterConnection_002_004_001</v>
      </c>
      <c r="X25" s="31" t="str">
        <f>"PipedImporterTariffVar_"&amp;RIGHT($W25,11)</f>
        <v>PipedImporterTariffVar_002_004_001</v>
      </c>
    </row>
    <row r="26" spans="1:24" x14ac:dyDescent="0.25">
      <c r="A26" s="94">
        <f t="shared" ref="A26" si="18">$A22+1</f>
        <v>6</v>
      </c>
      <c r="B26" s="115" t="str">
        <f>IFERROR(INDEX(TBL_PIPED_IMPORTERS_CONNECTIONS[Name],$A26),"")</f>
        <v>Import Nor-DE II</v>
      </c>
      <c r="C26" s="93" t="str">
        <f t="shared" ref="C26:D26" si="19">IF($B26&lt;&gt;"",C22,"")</f>
        <v>Capacity - Min</v>
      </c>
      <c r="D26" s="93" t="str">
        <f t="shared" si="19"/>
        <v>mcm/day</v>
      </c>
      <c r="E26" s="27">
        <v>0</v>
      </c>
      <c r="F26" s="27"/>
      <c r="G26" s="27"/>
      <c r="H26" s="27"/>
      <c r="I26" s="27"/>
      <c r="J26" s="27"/>
      <c r="K26" s="27"/>
      <c r="L26" s="27"/>
      <c r="M26" s="27"/>
      <c r="N26" s="27"/>
      <c r="O26" s="27"/>
      <c r="P26" s="27"/>
      <c r="Q26" s="27"/>
      <c r="R26" s="27"/>
      <c r="S26" s="27"/>
      <c r="T26" s="27"/>
      <c r="U26" s="27"/>
      <c r="V26" s="25"/>
      <c r="W26" s="31" t="str">
        <f>INDEX(TBL_PIPED_IMPORTERS_CONNECTIONS[PipedImporterConnectionID],$A26)</f>
        <v>PipedImporterConnection_001_001_002</v>
      </c>
      <c r="X26" s="31" t="str">
        <f>"PipedImporterCapMin_"&amp;RIGHT($W26,11)</f>
        <v>PipedImporterCapMin_001_001_002</v>
      </c>
    </row>
    <row r="27" spans="1:24" x14ac:dyDescent="0.25">
      <c r="A27" s="94">
        <f t="shared" ref="A27:A29" si="20">$A26</f>
        <v>6</v>
      </c>
      <c r="B27" s="116"/>
      <c r="C27" s="93" t="str">
        <f t="shared" ref="C27:D27" si="21">IF($B26&lt;&gt;"",C23,"")</f>
        <v>Capacity - Max</v>
      </c>
      <c r="D27" s="93" t="str">
        <f t="shared" si="21"/>
        <v>mcm/day</v>
      </c>
      <c r="E27" s="28">
        <v>5</v>
      </c>
      <c r="F27" s="28"/>
      <c r="G27" s="28"/>
      <c r="H27" s="28"/>
      <c r="I27" s="28"/>
      <c r="J27" s="28"/>
      <c r="K27" s="28"/>
      <c r="L27" s="28"/>
      <c r="M27" s="28"/>
      <c r="N27" s="28"/>
      <c r="O27" s="28"/>
      <c r="P27" s="28"/>
      <c r="Q27" s="28"/>
      <c r="R27" s="28"/>
      <c r="S27" s="28"/>
      <c r="T27" s="28"/>
      <c r="U27" s="28"/>
      <c r="V27" s="26"/>
      <c r="W27" s="31" t="str">
        <f>INDEX(TBL_PIPED_IMPORTERS_CONNECTIONS[PipedImporterConnectionID],$A27)</f>
        <v>PipedImporterConnection_001_001_002</v>
      </c>
      <c r="X27" s="31" t="str">
        <f>"PipedImporterCapMax_"&amp;RIGHT($W27,11)</f>
        <v>PipedImporterCapMax_001_001_002</v>
      </c>
    </row>
    <row r="28" spans="1:24" x14ac:dyDescent="0.25">
      <c r="A28" s="94">
        <f t="shared" si="20"/>
        <v>6</v>
      </c>
      <c r="B28" s="116"/>
      <c r="C28" s="93" t="str">
        <f t="shared" ref="C28:D28" si="22">IF($B26&lt;&gt;"",C24,"")</f>
        <v>Cost to Market - fixed</v>
      </c>
      <c r="D28" s="93" t="str">
        <f t="shared" si="22"/>
        <v>EUR/month</v>
      </c>
      <c r="E28" s="27">
        <v>0</v>
      </c>
      <c r="F28" s="27"/>
      <c r="G28" s="27"/>
      <c r="H28" s="27"/>
      <c r="I28" s="27"/>
      <c r="J28" s="27"/>
      <c r="K28" s="27"/>
      <c r="L28" s="27"/>
      <c r="M28" s="27"/>
      <c r="N28" s="27"/>
      <c r="O28" s="27"/>
      <c r="P28" s="27"/>
      <c r="Q28" s="27"/>
      <c r="R28" s="27"/>
      <c r="S28" s="27"/>
      <c r="T28" s="27"/>
      <c r="U28" s="27"/>
      <c r="V28" s="25"/>
      <c r="W28" s="31" t="str">
        <f>INDEX(TBL_PIPED_IMPORTERS_CONNECTIONS[PipedImporterConnectionID],$A28)</f>
        <v>PipedImporterConnection_001_001_002</v>
      </c>
      <c r="X28" s="31" t="str">
        <f>"PipedImporterTariffFixed_"&amp;RIGHT($W28,11)</f>
        <v>PipedImporterTariffFixed_001_001_002</v>
      </c>
    </row>
    <row r="29" spans="1:24" x14ac:dyDescent="0.25">
      <c r="A29" s="94">
        <f t="shared" si="20"/>
        <v>6</v>
      </c>
      <c r="B29" s="117"/>
      <c r="C29" s="93" t="str">
        <f t="shared" ref="C29:D29" si="23">IF($B26&lt;&gt;"",C25,"")</f>
        <v>Cost to Market - variable</v>
      </c>
      <c r="D29" s="93" t="str">
        <f t="shared" si="23"/>
        <v>EUR/MWh</v>
      </c>
      <c r="E29" s="28">
        <v>0.7</v>
      </c>
      <c r="F29" s="28"/>
      <c r="G29" s="28"/>
      <c r="H29" s="28"/>
      <c r="I29" s="28"/>
      <c r="J29" s="28"/>
      <c r="K29" s="28"/>
      <c r="L29" s="28"/>
      <c r="M29" s="28"/>
      <c r="N29" s="28"/>
      <c r="O29" s="28"/>
      <c r="P29" s="28"/>
      <c r="Q29" s="28"/>
      <c r="R29" s="28"/>
      <c r="S29" s="28"/>
      <c r="T29" s="28"/>
      <c r="U29" s="28"/>
      <c r="V29" s="26"/>
      <c r="W29" s="31" t="str">
        <f>INDEX(TBL_PIPED_IMPORTERS_CONNECTIONS[PipedImporterConnectionID],$A29)</f>
        <v>PipedImporterConnection_001_001_002</v>
      </c>
      <c r="X29" s="31" t="str">
        <f>"PipedImporterTariffVar_"&amp;RIGHT($W29,11)</f>
        <v>PipedImporterTariffVar_001_001_002</v>
      </c>
    </row>
    <row r="30" spans="1:24" x14ac:dyDescent="0.25">
      <c r="A30" s="94">
        <f t="shared" ref="A30" si="24">$A26+1</f>
        <v>7</v>
      </c>
      <c r="B30" s="115" t="str">
        <f>IFERROR(INDEX(TBL_PIPED_IMPORTERS_CONNECTIONS[Name],$A30),"")</f>
        <v/>
      </c>
      <c r="C30" s="93" t="str">
        <f t="shared" ref="C30:D30" si="25">IF($B30&lt;&gt;"",C26,"")</f>
        <v/>
      </c>
      <c r="D30" s="93" t="str">
        <f t="shared" si="25"/>
        <v/>
      </c>
      <c r="E30" s="27"/>
      <c r="F30" s="27"/>
      <c r="G30" s="27"/>
      <c r="H30" s="27"/>
      <c r="I30" s="27"/>
      <c r="J30" s="27"/>
      <c r="K30" s="27"/>
      <c r="L30" s="27"/>
      <c r="M30" s="27"/>
      <c r="N30" s="27"/>
      <c r="O30" s="27"/>
      <c r="P30" s="27"/>
      <c r="Q30" s="27"/>
      <c r="R30" s="27"/>
      <c r="S30" s="27"/>
      <c r="T30" s="27"/>
      <c r="U30" s="27"/>
      <c r="V30" s="25"/>
      <c r="W30" s="31" t="e">
        <f>INDEX(TBL_PIPED_IMPORTERS_CONNECTIONS[PipedImporterConnectionID],$A30)</f>
        <v>#REF!</v>
      </c>
      <c r="X30" s="31" t="e">
        <f>"PipedImporterCapMin_"&amp;RIGHT($W30,11)</f>
        <v>#REF!</v>
      </c>
    </row>
    <row r="31" spans="1:24" x14ac:dyDescent="0.25">
      <c r="A31" s="94">
        <f t="shared" ref="A31:A33" si="26">$A30</f>
        <v>7</v>
      </c>
      <c r="B31" s="116"/>
      <c r="C31" s="93" t="str">
        <f t="shared" ref="C31:D31" si="27">IF($B30&lt;&gt;"",C27,"")</f>
        <v/>
      </c>
      <c r="D31" s="93" t="str">
        <f t="shared" si="27"/>
        <v/>
      </c>
      <c r="E31" s="28"/>
      <c r="F31" s="28"/>
      <c r="G31" s="28"/>
      <c r="H31" s="28"/>
      <c r="I31" s="28"/>
      <c r="J31" s="28"/>
      <c r="K31" s="28"/>
      <c r="L31" s="28"/>
      <c r="M31" s="28"/>
      <c r="N31" s="28"/>
      <c r="O31" s="28"/>
      <c r="P31" s="28"/>
      <c r="Q31" s="28"/>
      <c r="R31" s="28"/>
      <c r="S31" s="28"/>
      <c r="T31" s="28"/>
      <c r="U31" s="28"/>
      <c r="V31" s="26"/>
      <c r="W31" s="31" t="e">
        <f>INDEX(TBL_PIPED_IMPORTERS_CONNECTIONS[PipedImporterConnectionID],$A31)</f>
        <v>#REF!</v>
      </c>
      <c r="X31" s="31" t="e">
        <f>"PipedImporterCapMax_"&amp;RIGHT($W31,11)</f>
        <v>#REF!</v>
      </c>
    </row>
    <row r="32" spans="1:24" x14ac:dyDescent="0.25">
      <c r="A32" s="94">
        <f t="shared" si="26"/>
        <v>7</v>
      </c>
      <c r="B32" s="116"/>
      <c r="C32" s="93" t="str">
        <f t="shared" ref="C32:D32" si="28">IF($B30&lt;&gt;"",C28,"")</f>
        <v/>
      </c>
      <c r="D32" s="93" t="str">
        <f t="shared" si="28"/>
        <v/>
      </c>
      <c r="E32" s="27"/>
      <c r="F32" s="27"/>
      <c r="G32" s="27"/>
      <c r="H32" s="27"/>
      <c r="I32" s="27"/>
      <c r="J32" s="27"/>
      <c r="K32" s="27"/>
      <c r="L32" s="27"/>
      <c r="M32" s="27"/>
      <c r="N32" s="27"/>
      <c r="O32" s="27"/>
      <c r="P32" s="27"/>
      <c r="Q32" s="27"/>
      <c r="R32" s="27"/>
      <c r="S32" s="27"/>
      <c r="T32" s="27"/>
      <c r="U32" s="27"/>
      <c r="V32" s="25"/>
      <c r="W32" s="31" t="e">
        <f>INDEX(TBL_PIPED_IMPORTERS_CONNECTIONS[PipedImporterConnectionID],$A32)</f>
        <v>#REF!</v>
      </c>
      <c r="X32" s="31" t="e">
        <f>"PipedImporterTariffFixed_"&amp;RIGHT($W32,11)</f>
        <v>#REF!</v>
      </c>
    </row>
    <row r="33" spans="1:24" x14ac:dyDescent="0.25">
      <c r="A33" s="94">
        <f t="shared" si="26"/>
        <v>7</v>
      </c>
      <c r="B33" s="117"/>
      <c r="C33" s="93" t="str">
        <f t="shared" ref="C33:D33" si="29">IF($B30&lt;&gt;"",C29,"")</f>
        <v/>
      </c>
      <c r="D33" s="93" t="str">
        <f t="shared" si="29"/>
        <v/>
      </c>
      <c r="E33" s="28"/>
      <c r="F33" s="28"/>
      <c r="G33" s="28"/>
      <c r="H33" s="28"/>
      <c r="I33" s="28"/>
      <c r="J33" s="28"/>
      <c r="K33" s="28"/>
      <c r="L33" s="28"/>
      <c r="M33" s="28"/>
      <c r="N33" s="28"/>
      <c r="O33" s="28"/>
      <c r="P33" s="28"/>
      <c r="Q33" s="28"/>
      <c r="R33" s="28"/>
      <c r="S33" s="28"/>
      <c r="T33" s="28"/>
      <c r="U33" s="28"/>
      <c r="V33" s="26"/>
      <c r="W33" s="31" t="e">
        <f>INDEX(TBL_PIPED_IMPORTERS_CONNECTIONS[PipedImporterConnectionID],$A33)</f>
        <v>#REF!</v>
      </c>
      <c r="X33" s="31" t="e">
        <f>"PipedImporterTariffVar_"&amp;RIGHT($W33,11)</f>
        <v>#REF!</v>
      </c>
    </row>
    <row r="34" spans="1:24" x14ac:dyDescent="0.25">
      <c r="A34" s="94">
        <f t="shared" ref="A34" si="30">$A30+1</f>
        <v>8</v>
      </c>
      <c r="B34" s="115" t="str">
        <f>IFERROR(INDEX(TBL_PIPED_IMPORTERS_CONNECTIONS[Name],$A34),"")</f>
        <v/>
      </c>
      <c r="C34" s="93" t="str">
        <f t="shared" ref="C34:D34" si="31">IF($B34&lt;&gt;"",C30,"")</f>
        <v/>
      </c>
      <c r="D34" s="93" t="str">
        <f t="shared" si="31"/>
        <v/>
      </c>
      <c r="E34" s="27"/>
      <c r="F34" s="27"/>
      <c r="G34" s="27"/>
      <c r="H34" s="27"/>
      <c r="I34" s="27"/>
      <c r="J34" s="27"/>
      <c r="K34" s="27"/>
      <c r="L34" s="27"/>
      <c r="M34" s="27"/>
      <c r="N34" s="27"/>
      <c r="O34" s="27"/>
      <c r="P34" s="27"/>
      <c r="Q34" s="27"/>
      <c r="R34" s="27"/>
      <c r="S34" s="27"/>
      <c r="T34" s="27"/>
      <c r="U34" s="27"/>
      <c r="V34" s="25"/>
      <c r="W34" s="31" t="e">
        <f>INDEX(TBL_PIPED_IMPORTERS_CONNECTIONS[PipedImporterConnectionID],$A34)</f>
        <v>#REF!</v>
      </c>
      <c r="X34" s="31" t="e">
        <f>"PipedImporterCapMin_"&amp;RIGHT($W34,11)</f>
        <v>#REF!</v>
      </c>
    </row>
    <row r="35" spans="1:24" x14ac:dyDescent="0.25">
      <c r="A35" s="94">
        <f t="shared" ref="A35:A37" si="32">$A34</f>
        <v>8</v>
      </c>
      <c r="B35" s="116"/>
      <c r="C35" s="93" t="str">
        <f t="shared" ref="C35" si="33">IF($B34&lt;&gt;"",C31,"")</f>
        <v/>
      </c>
      <c r="D35" s="93" t="str">
        <f t="shared" ref="D35" si="34">IF($B34&lt;&gt;"",D31,"")</f>
        <v/>
      </c>
      <c r="E35" s="28"/>
      <c r="F35" s="28"/>
      <c r="G35" s="28"/>
      <c r="H35" s="28"/>
      <c r="I35" s="28"/>
      <c r="J35" s="28"/>
      <c r="K35" s="28"/>
      <c r="L35" s="28"/>
      <c r="M35" s="28"/>
      <c r="N35" s="28"/>
      <c r="O35" s="28"/>
      <c r="P35" s="28"/>
      <c r="Q35" s="28"/>
      <c r="R35" s="28"/>
      <c r="S35" s="28"/>
      <c r="T35" s="28"/>
      <c r="U35" s="28"/>
      <c r="V35" s="26"/>
      <c r="W35" s="31" t="e">
        <f>INDEX(TBL_PIPED_IMPORTERS_CONNECTIONS[PipedImporterConnectionID],$A35)</f>
        <v>#REF!</v>
      </c>
      <c r="X35" s="31" t="e">
        <f>"PipedImporterCapMax_"&amp;RIGHT($W35,11)</f>
        <v>#REF!</v>
      </c>
    </row>
    <row r="36" spans="1:24" x14ac:dyDescent="0.25">
      <c r="A36" s="94">
        <f t="shared" si="32"/>
        <v>8</v>
      </c>
      <c r="B36" s="116"/>
      <c r="C36" s="93" t="str">
        <f t="shared" ref="C36:D36" si="35">IF($B34&lt;&gt;"",C32,"")</f>
        <v/>
      </c>
      <c r="D36" s="93" t="str">
        <f t="shared" si="35"/>
        <v/>
      </c>
      <c r="E36" s="27"/>
      <c r="F36" s="27"/>
      <c r="G36" s="27"/>
      <c r="H36" s="27"/>
      <c r="I36" s="27"/>
      <c r="J36" s="27"/>
      <c r="K36" s="27"/>
      <c r="L36" s="27"/>
      <c r="M36" s="27"/>
      <c r="N36" s="27"/>
      <c r="O36" s="27"/>
      <c r="P36" s="27"/>
      <c r="Q36" s="27"/>
      <c r="R36" s="27"/>
      <c r="S36" s="27"/>
      <c r="T36" s="27"/>
      <c r="U36" s="27"/>
      <c r="V36" s="25"/>
      <c r="W36" s="31" t="e">
        <f>INDEX(TBL_PIPED_IMPORTERS_CONNECTIONS[PipedImporterConnectionID],$A36)</f>
        <v>#REF!</v>
      </c>
      <c r="X36" s="31" t="e">
        <f>"PipedImporterTariffFixed_"&amp;RIGHT($W36,11)</f>
        <v>#REF!</v>
      </c>
    </row>
    <row r="37" spans="1:24" x14ac:dyDescent="0.25">
      <c r="A37" s="94">
        <f t="shared" si="32"/>
        <v>8</v>
      </c>
      <c r="B37" s="117"/>
      <c r="C37" s="93" t="str">
        <f t="shared" ref="C37:D37" si="36">IF($B34&lt;&gt;"",C33,"")</f>
        <v/>
      </c>
      <c r="D37" s="93" t="str">
        <f t="shared" si="36"/>
        <v/>
      </c>
      <c r="E37" s="28"/>
      <c r="F37" s="28"/>
      <c r="G37" s="28"/>
      <c r="H37" s="28"/>
      <c r="I37" s="28"/>
      <c r="J37" s="28"/>
      <c r="K37" s="28"/>
      <c r="L37" s="28"/>
      <c r="M37" s="28"/>
      <c r="N37" s="28"/>
      <c r="O37" s="28"/>
      <c r="P37" s="28"/>
      <c r="Q37" s="28"/>
      <c r="R37" s="28"/>
      <c r="S37" s="28"/>
      <c r="T37" s="28"/>
      <c r="U37" s="28"/>
      <c r="V37" s="26"/>
      <c r="W37" s="31" t="e">
        <f>INDEX(TBL_PIPED_IMPORTERS_CONNECTIONS[PipedImporterConnectionID],$A37)</f>
        <v>#REF!</v>
      </c>
      <c r="X37" s="31" t="e">
        <f>"PipedImporterTariffVar_"&amp;RIGHT($W37,11)</f>
        <v>#REF!</v>
      </c>
    </row>
    <row r="38" spans="1:24" x14ac:dyDescent="0.25">
      <c r="A38" s="94">
        <f t="shared" ref="A38" si="37">$A34+1</f>
        <v>9</v>
      </c>
      <c r="B38" s="115" t="str">
        <f>IFERROR(INDEX(TBL_PIPED_IMPORTERS_CONNECTIONS[Name],$A38),"")</f>
        <v/>
      </c>
      <c r="C38" s="93" t="str">
        <f t="shared" ref="C38:D38" si="38">IF($B38&lt;&gt;"",C34,"")</f>
        <v/>
      </c>
      <c r="D38" s="93" t="str">
        <f t="shared" si="38"/>
        <v/>
      </c>
      <c r="E38" s="27"/>
      <c r="F38" s="27"/>
      <c r="G38" s="27"/>
      <c r="H38" s="27"/>
      <c r="I38" s="27"/>
      <c r="J38" s="27"/>
      <c r="K38" s="27"/>
      <c r="L38" s="27"/>
      <c r="M38" s="27"/>
      <c r="N38" s="27"/>
      <c r="O38" s="27"/>
      <c r="P38" s="27"/>
      <c r="Q38" s="27"/>
      <c r="R38" s="27"/>
      <c r="S38" s="27"/>
      <c r="T38" s="27"/>
      <c r="U38" s="27"/>
      <c r="V38" s="25"/>
      <c r="W38" s="31" t="e">
        <f>INDEX(TBL_PIPED_IMPORTERS_CONNECTIONS[PipedImporterConnectionID],$A38)</f>
        <v>#REF!</v>
      </c>
      <c r="X38" s="31" t="e">
        <f>"PipedImporterCapMin_"&amp;RIGHT($W38,11)</f>
        <v>#REF!</v>
      </c>
    </row>
    <row r="39" spans="1:24" x14ac:dyDescent="0.25">
      <c r="A39" s="94">
        <f t="shared" ref="A39:A57" si="39">$A38</f>
        <v>9</v>
      </c>
      <c r="B39" s="116"/>
      <c r="C39" s="93" t="str">
        <f t="shared" ref="C39" si="40">IF($B38&lt;&gt;"",C35,"")</f>
        <v/>
      </c>
      <c r="D39" s="93" t="str">
        <f t="shared" ref="D39" si="41">IF($B38&lt;&gt;"",D35,"")</f>
        <v/>
      </c>
      <c r="E39" s="28"/>
      <c r="F39" s="28"/>
      <c r="G39" s="28"/>
      <c r="H39" s="28"/>
      <c r="I39" s="28"/>
      <c r="J39" s="28"/>
      <c r="K39" s="28"/>
      <c r="L39" s="28"/>
      <c r="M39" s="28"/>
      <c r="N39" s="28"/>
      <c r="O39" s="28"/>
      <c r="P39" s="28"/>
      <c r="Q39" s="28"/>
      <c r="R39" s="28"/>
      <c r="S39" s="28"/>
      <c r="T39" s="28"/>
      <c r="U39" s="28"/>
      <c r="V39" s="26"/>
      <c r="W39" s="31" t="e">
        <f>INDEX(TBL_PIPED_IMPORTERS_CONNECTIONS[PipedImporterConnectionID],$A39)</f>
        <v>#REF!</v>
      </c>
      <c r="X39" s="31" t="e">
        <f>"PipedImporterCapMax_"&amp;RIGHT($W39,11)</f>
        <v>#REF!</v>
      </c>
    </row>
    <row r="40" spans="1:24" x14ac:dyDescent="0.25">
      <c r="A40" s="94">
        <f t="shared" si="39"/>
        <v>9</v>
      </c>
      <c r="B40" s="116"/>
      <c r="C40" s="93" t="str">
        <f t="shared" ref="C40:D40" si="42">IF($B38&lt;&gt;"",C36,"")</f>
        <v/>
      </c>
      <c r="D40" s="93" t="str">
        <f t="shared" si="42"/>
        <v/>
      </c>
      <c r="E40" s="27"/>
      <c r="F40" s="27"/>
      <c r="G40" s="27"/>
      <c r="H40" s="27"/>
      <c r="I40" s="27"/>
      <c r="J40" s="27"/>
      <c r="K40" s="27"/>
      <c r="L40" s="27"/>
      <c r="M40" s="27"/>
      <c r="N40" s="27"/>
      <c r="O40" s="27"/>
      <c r="P40" s="27"/>
      <c r="Q40" s="27"/>
      <c r="R40" s="27"/>
      <c r="S40" s="27"/>
      <c r="T40" s="27"/>
      <c r="U40" s="27"/>
      <c r="V40" s="25"/>
      <c r="W40" s="31" t="e">
        <f>INDEX(TBL_PIPED_IMPORTERS_CONNECTIONS[PipedImporterConnectionID],$A40)</f>
        <v>#REF!</v>
      </c>
      <c r="X40" s="31" t="e">
        <f>"PipedImporterTariffFixed_"&amp;RIGHT($W40,11)</f>
        <v>#REF!</v>
      </c>
    </row>
    <row r="41" spans="1:24" x14ac:dyDescent="0.25">
      <c r="A41" s="94">
        <f t="shared" si="39"/>
        <v>9</v>
      </c>
      <c r="B41" s="117"/>
      <c r="C41" s="93" t="str">
        <f t="shared" ref="C41:D41" si="43">IF($B38&lt;&gt;"",C37,"")</f>
        <v/>
      </c>
      <c r="D41" s="93" t="str">
        <f t="shared" si="43"/>
        <v/>
      </c>
      <c r="E41" s="28"/>
      <c r="F41" s="28"/>
      <c r="G41" s="28"/>
      <c r="H41" s="28"/>
      <c r="I41" s="28"/>
      <c r="J41" s="28"/>
      <c r="K41" s="28"/>
      <c r="L41" s="28"/>
      <c r="M41" s="28"/>
      <c r="N41" s="28"/>
      <c r="O41" s="28"/>
      <c r="P41" s="28"/>
      <c r="Q41" s="28"/>
      <c r="R41" s="28"/>
      <c r="S41" s="28"/>
      <c r="T41" s="28"/>
      <c r="U41" s="28"/>
      <c r="V41" s="26"/>
      <c r="W41" s="31" t="e">
        <f>INDEX(TBL_PIPED_IMPORTERS_CONNECTIONS[PipedImporterConnectionID],$A41)</f>
        <v>#REF!</v>
      </c>
      <c r="X41" s="31" t="e">
        <f>"PipedImporterTariffVar_"&amp;RIGHT($W41,11)</f>
        <v>#REF!</v>
      </c>
    </row>
    <row r="42" spans="1:24" x14ac:dyDescent="0.25">
      <c r="A42" s="94">
        <f t="shared" ref="A42" si="44">$A38+1</f>
        <v>10</v>
      </c>
      <c r="B42" s="115" t="str">
        <f>IFERROR(INDEX(TBL_PIPED_IMPORTERS_CONNECTIONS[Name],$A42),"")</f>
        <v/>
      </c>
      <c r="C42" s="93" t="str">
        <f t="shared" ref="C42:D42" si="45">IF($B42&lt;&gt;"",C38,"")</f>
        <v/>
      </c>
      <c r="D42" s="93" t="str">
        <f t="shared" si="45"/>
        <v/>
      </c>
      <c r="E42" s="27"/>
      <c r="F42" s="27"/>
      <c r="G42" s="27"/>
      <c r="H42" s="27"/>
      <c r="I42" s="27"/>
      <c r="J42" s="27"/>
      <c r="K42" s="27"/>
      <c r="L42" s="27"/>
      <c r="M42" s="27"/>
      <c r="N42" s="27"/>
      <c r="O42" s="27"/>
      <c r="P42" s="27"/>
      <c r="Q42" s="27"/>
      <c r="R42" s="27"/>
      <c r="S42" s="27"/>
      <c r="T42" s="27"/>
      <c r="U42" s="27"/>
      <c r="V42" s="25"/>
      <c r="W42" s="31" t="e">
        <f>INDEX(TBL_PIPED_IMPORTERS_CONNECTIONS[PipedImporterConnectionID],$A42)</f>
        <v>#REF!</v>
      </c>
      <c r="X42" s="31" t="e">
        <f>"PipedImporterCapMin_"&amp;RIGHT($W42,11)</f>
        <v>#REF!</v>
      </c>
    </row>
    <row r="43" spans="1:24" x14ac:dyDescent="0.25">
      <c r="A43" s="94">
        <f t="shared" si="39"/>
        <v>10</v>
      </c>
      <c r="B43" s="116"/>
      <c r="C43" s="93" t="str">
        <f t="shared" ref="C43" si="46">IF($B42&lt;&gt;"",C39,"")</f>
        <v/>
      </c>
      <c r="D43" s="93" t="str">
        <f t="shared" ref="D43" si="47">IF($B42&lt;&gt;"",D39,"")</f>
        <v/>
      </c>
      <c r="E43" s="28"/>
      <c r="F43" s="28"/>
      <c r="G43" s="28"/>
      <c r="H43" s="28"/>
      <c r="I43" s="28"/>
      <c r="J43" s="28"/>
      <c r="K43" s="28"/>
      <c r="L43" s="28"/>
      <c r="M43" s="28"/>
      <c r="N43" s="28"/>
      <c r="O43" s="28"/>
      <c r="P43" s="28"/>
      <c r="Q43" s="28"/>
      <c r="R43" s="28"/>
      <c r="S43" s="28"/>
      <c r="T43" s="28"/>
      <c r="U43" s="28"/>
      <c r="V43" s="26"/>
      <c r="W43" s="31" t="e">
        <f>INDEX(TBL_PIPED_IMPORTERS_CONNECTIONS[PipedImporterConnectionID],$A43)</f>
        <v>#REF!</v>
      </c>
      <c r="X43" s="31" t="e">
        <f>"PipedImporterCapMax_"&amp;RIGHT($W43,11)</f>
        <v>#REF!</v>
      </c>
    </row>
    <row r="44" spans="1:24" x14ac:dyDescent="0.25">
      <c r="A44" s="94">
        <f t="shared" si="39"/>
        <v>10</v>
      </c>
      <c r="B44" s="116"/>
      <c r="C44" s="93" t="str">
        <f t="shared" ref="C44:D44" si="48">IF($B42&lt;&gt;"",C40,"")</f>
        <v/>
      </c>
      <c r="D44" s="93" t="str">
        <f t="shared" si="48"/>
        <v/>
      </c>
      <c r="E44" s="27"/>
      <c r="F44" s="27"/>
      <c r="G44" s="27"/>
      <c r="H44" s="27"/>
      <c r="I44" s="27"/>
      <c r="J44" s="27"/>
      <c r="K44" s="27"/>
      <c r="L44" s="27"/>
      <c r="M44" s="27"/>
      <c r="N44" s="27"/>
      <c r="O44" s="27"/>
      <c r="P44" s="27"/>
      <c r="Q44" s="27"/>
      <c r="R44" s="27"/>
      <c r="S44" s="27"/>
      <c r="T44" s="27"/>
      <c r="U44" s="27"/>
      <c r="V44" s="25"/>
      <c r="W44" s="31" t="e">
        <f>INDEX(TBL_PIPED_IMPORTERS_CONNECTIONS[PipedImporterConnectionID],$A44)</f>
        <v>#REF!</v>
      </c>
      <c r="X44" s="31" t="e">
        <f>"PipedImporterTariffFixed_"&amp;RIGHT($W44,11)</f>
        <v>#REF!</v>
      </c>
    </row>
    <row r="45" spans="1:24" x14ac:dyDescent="0.25">
      <c r="A45" s="94">
        <f t="shared" si="39"/>
        <v>10</v>
      </c>
      <c r="B45" s="117"/>
      <c r="C45" s="93" t="str">
        <f t="shared" ref="C45:D45" si="49">IF($B42&lt;&gt;"",C41,"")</f>
        <v/>
      </c>
      <c r="D45" s="93" t="str">
        <f t="shared" si="49"/>
        <v/>
      </c>
      <c r="E45" s="28"/>
      <c r="F45" s="28"/>
      <c r="G45" s="28"/>
      <c r="H45" s="28"/>
      <c r="I45" s="28"/>
      <c r="J45" s="28"/>
      <c r="K45" s="28"/>
      <c r="L45" s="28"/>
      <c r="M45" s="28"/>
      <c r="N45" s="28"/>
      <c r="O45" s="28"/>
      <c r="P45" s="28"/>
      <c r="Q45" s="28"/>
      <c r="R45" s="28"/>
      <c r="S45" s="28"/>
      <c r="T45" s="28"/>
      <c r="U45" s="28"/>
      <c r="V45" s="26"/>
      <c r="W45" s="31" t="e">
        <f>INDEX(TBL_PIPED_IMPORTERS_CONNECTIONS[PipedImporterConnectionID],$A45)</f>
        <v>#REF!</v>
      </c>
      <c r="X45" s="31" t="e">
        <f>"PipedImporterTariffVar_"&amp;RIGHT($W45,11)</f>
        <v>#REF!</v>
      </c>
    </row>
    <row r="46" spans="1:24" x14ac:dyDescent="0.25">
      <c r="A46" s="94">
        <f t="shared" ref="A46" si="50">$A42+1</f>
        <v>11</v>
      </c>
      <c r="B46" s="115" t="str">
        <f>IFERROR(INDEX(TBL_PIPED_IMPORTERS_CONNECTIONS[Name],$A46),"")</f>
        <v/>
      </c>
      <c r="C46" s="93" t="str">
        <f t="shared" ref="C46:D46" si="51">IF($B46&lt;&gt;"",C42,"")</f>
        <v/>
      </c>
      <c r="D46" s="93" t="str">
        <f t="shared" si="51"/>
        <v/>
      </c>
      <c r="E46" s="27"/>
      <c r="F46" s="27"/>
      <c r="G46" s="27"/>
      <c r="H46" s="27"/>
      <c r="I46" s="27"/>
      <c r="J46" s="27"/>
      <c r="K46" s="27"/>
      <c r="L46" s="27"/>
      <c r="M46" s="27"/>
      <c r="N46" s="27"/>
      <c r="O46" s="27"/>
      <c r="P46" s="27"/>
      <c r="Q46" s="27"/>
      <c r="R46" s="27"/>
      <c r="S46" s="27"/>
      <c r="T46" s="27"/>
      <c r="U46" s="27"/>
      <c r="V46" s="25"/>
      <c r="W46" s="31" t="e">
        <f>INDEX(TBL_PIPED_IMPORTERS_CONNECTIONS[PipedImporterConnectionID],$A46)</f>
        <v>#REF!</v>
      </c>
      <c r="X46" s="31" t="e">
        <f>"PipedImporterCapMin_"&amp;RIGHT($W46,11)</f>
        <v>#REF!</v>
      </c>
    </row>
    <row r="47" spans="1:24" x14ac:dyDescent="0.25">
      <c r="A47" s="94">
        <f t="shared" si="39"/>
        <v>11</v>
      </c>
      <c r="B47" s="116"/>
      <c r="C47" s="93" t="str">
        <f t="shared" ref="C47" si="52">IF($B46&lt;&gt;"",C43,"")</f>
        <v/>
      </c>
      <c r="D47" s="93" t="str">
        <f t="shared" ref="D47" si="53">IF($B46&lt;&gt;"",D43,"")</f>
        <v/>
      </c>
      <c r="E47" s="28"/>
      <c r="F47" s="28"/>
      <c r="G47" s="28"/>
      <c r="H47" s="28"/>
      <c r="I47" s="28"/>
      <c r="J47" s="28"/>
      <c r="K47" s="28"/>
      <c r="L47" s="28"/>
      <c r="M47" s="28"/>
      <c r="N47" s="28"/>
      <c r="O47" s="28"/>
      <c r="P47" s="28"/>
      <c r="Q47" s="28"/>
      <c r="R47" s="28"/>
      <c r="S47" s="28"/>
      <c r="T47" s="28"/>
      <c r="U47" s="28"/>
      <c r="V47" s="26"/>
      <c r="W47" s="31" t="e">
        <f>INDEX(TBL_PIPED_IMPORTERS_CONNECTIONS[PipedImporterConnectionID],$A47)</f>
        <v>#REF!</v>
      </c>
      <c r="X47" s="31" t="e">
        <f>"PipedImporterCapMax_"&amp;RIGHT($W47,11)</f>
        <v>#REF!</v>
      </c>
    </row>
    <row r="48" spans="1:24" x14ac:dyDescent="0.25">
      <c r="A48" s="94">
        <f t="shared" si="39"/>
        <v>11</v>
      </c>
      <c r="B48" s="116"/>
      <c r="C48" s="93" t="str">
        <f t="shared" ref="C48:D48" si="54">IF($B46&lt;&gt;"",C44,"")</f>
        <v/>
      </c>
      <c r="D48" s="93" t="str">
        <f t="shared" si="54"/>
        <v/>
      </c>
      <c r="E48" s="27"/>
      <c r="F48" s="27"/>
      <c r="G48" s="27"/>
      <c r="H48" s="27"/>
      <c r="I48" s="27"/>
      <c r="J48" s="27"/>
      <c r="K48" s="27"/>
      <c r="L48" s="27"/>
      <c r="M48" s="27"/>
      <c r="N48" s="27"/>
      <c r="O48" s="27"/>
      <c r="P48" s="27"/>
      <c r="Q48" s="27"/>
      <c r="R48" s="27"/>
      <c r="S48" s="27"/>
      <c r="T48" s="27"/>
      <c r="U48" s="27"/>
      <c r="V48" s="25"/>
      <c r="W48" s="31" t="e">
        <f>INDEX(TBL_PIPED_IMPORTERS_CONNECTIONS[PipedImporterConnectionID],$A48)</f>
        <v>#REF!</v>
      </c>
      <c r="X48" s="31" t="e">
        <f>"PipedImporterTariffFixed_"&amp;RIGHT($W48,11)</f>
        <v>#REF!</v>
      </c>
    </row>
    <row r="49" spans="1:24" x14ac:dyDescent="0.25">
      <c r="A49" s="94">
        <f t="shared" si="39"/>
        <v>11</v>
      </c>
      <c r="B49" s="117"/>
      <c r="C49" s="93" t="str">
        <f t="shared" ref="C49:D49" si="55">IF($B46&lt;&gt;"",C45,"")</f>
        <v/>
      </c>
      <c r="D49" s="93" t="str">
        <f t="shared" si="55"/>
        <v/>
      </c>
      <c r="E49" s="28"/>
      <c r="F49" s="28"/>
      <c r="G49" s="28"/>
      <c r="H49" s="28"/>
      <c r="I49" s="28"/>
      <c r="J49" s="28"/>
      <c r="K49" s="28"/>
      <c r="L49" s="28"/>
      <c r="M49" s="28"/>
      <c r="N49" s="28"/>
      <c r="O49" s="28"/>
      <c r="P49" s="28"/>
      <c r="Q49" s="28"/>
      <c r="R49" s="28"/>
      <c r="S49" s="28"/>
      <c r="T49" s="28"/>
      <c r="U49" s="28"/>
      <c r="V49" s="26"/>
      <c r="W49" s="31" t="e">
        <f>INDEX(TBL_PIPED_IMPORTERS_CONNECTIONS[PipedImporterConnectionID],$A49)</f>
        <v>#REF!</v>
      </c>
      <c r="X49" s="31" t="e">
        <f>"PipedImporterTariffVar_"&amp;RIGHT($W49,11)</f>
        <v>#REF!</v>
      </c>
    </row>
    <row r="50" spans="1:24" x14ac:dyDescent="0.25">
      <c r="A50" s="94">
        <f t="shared" ref="A50" si="56">$A46+1</f>
        <v>12</v>
      </c>
      <c r="B50" s="115" t="str">
        <f>IFERROR(INDEX(TBL_PIPED_IMPORTERS_CONNECTIONS[Name],$A50),"")</f>
        <v/>
      </c>
      <c r="C50" s="93" t="str">
        <f t="shared" ref="C50:D50" si="57">IF($B50&lt;&gt;"",C46,"")</f>
        <v/>
      </c>
      <c r="D50" s="93" t="str">
        <f t="shared" si="57"/>
        <v/>
      </c>
      <c r="E50" s="27"/>
      <c r="F50" s="27"/>
      <c r="G50" s="27"/>
      <c r="H50" s="27"/>
      <c r="I50" s="27"/>
      <c r="J50" s="27"/>
      <c r="K50" s="27"/>
      <c r="L50" s="27"/>
      <c r="M50" s="27"/>
      <c r="N50" s="27"/>
      <c r="O50" s="27"/>
      <c r="P50" s="27"/>
      <c r="Q50" s="27"/>
      <c r="R50" s="27"/>
      <c r="S50" s="27"/>
      <c r="T50" s="27"/>
      <c r="U50" s="27"/>
      <c r="V50" s="25"/>
      <c r="W50" s="31" t="e">
        <f>INDEX(TBL_PIPED_IMPORTERS_CONNECTIONS[PipedImporterConnectionID],$A50)</f>
        <v>#REF!</v>
      </c>
      <c r="X50" s="31" t="e">
        <f>"PipedImporterCapMin_"&amp;RIGHT($W50,11)</f>
        <v>#REF!</v>
      </c>
    </row>
    <row r="51" spans="1:24" x14ac:dyDescent="0.25">
      <c r="A51" s="94">
        <f t="shared" si="39"/>
        <v>12</v>
      </c>
      <c r="B51" s="116"/>
      <c r="C51" s="93" t="str">
        <f t="shared" ref="C51" si="58">IF($B50&lt;&gt;"",C47,"")</f>
        <v/>
      </c>
      <c r="D51" s="93" t="str">
        <f t="shared" ref="D51" si="59">IF($B50&lt;&gt;"",D47,"")</f>
        <v/>
      </c>
      <c r="E51" s="28"/>
      <c r="F51" s="28"/>
      <c r="G51" s="28"/>
      <c r="H51" s="28"/>
      <c r="I51" s="28"/>
      <c r="J51" s="28"/>
      <c r="K51" s="28"/>
      <c r="L51" s="28"/>
      <c r="M51" s="28"/>
      <c r="N51" s="28"/>
      <c r="O51" s="28"/>
      <c r="P51" s="28"/>
      <c r="Q51" s="28"/>
      <c r="R51" s="28"/>
      <c r="S51" s="28"/>
      <c r="T51" s="28"/>
      <c r="U51" s="28"/>
      <c r="V51" s="26"/>
      <c r="W51" s="31" t="e">
        <f>INDEX(TBL_PIPED_IMPORTERS_CONNECTIONS[PipedImporterConnectionID],$A51)</f>
        <v>#REF!</v>
      </c>
      <c r="X51" s="31" t="e">
        <f>"PipedImporterCapMax_"&amp;RIGHT($W51,11)</f>
        <v>#REF!</v>
      </c>
    </row>
    <row r="52" spans="1:24" x14ac:dyDescent="0.25">
      <c r="A52" s="94">
        <f t="shared" si="39"/>
        <v>12</v>
      </c>
      <c r="B52" s="116"/>
      <c r="C52" s="93" t="str">
        <f t="shared" ref="C52:D52" si="60">IF($B50&lt;&gt;"",C48,"")</f>
        <v/>
      </c>
      <c r="D52" s="93" t="str">
        <f t="shared" si="60"/>
        <v/>
      </c>
      <c r="E52" s="27"/>
      <c r="F52" s="27"/>
      <c r="G52" s="27"/>
      <c r="H52" s="27"/>
      <c r="I52" s="27"/>
      <c r="J52" s="27"/>
      <c r="K52" s="27"/>
      <c r="L52" s="27"/>
      <c r="M52" s="27"/>
      <c r="N52" s="27"/>
      <c r="O52" s="27"/>
      <c r="P52" s="27"/>
      <c r="Q52" s="27"/>
      <c r="R52" s="27"/>
      <c r="S52" s="27"/>
      <c r="T52" s="27"/>
      <c r="U52" s="27"/>
      <c r="V52" s="25"/>
      <c r="W52" s="31" t="e">
        <f>INDEX(TBL_PIPED_IMPORTERS_CONNECTIONS[PipedImporterConnectionID],$A52)</f>
        <v>#REF!</v>
      </c>
      <c r="X52" s="31" t="e">
        <f>"PipedImporterTariffFixed_"&amp;RIGHT($W52,11)</f>
        <v>#REF!</v>
      </c>
    </row>
    <row r="53" spans="1:24" x14ac:dyDescent="0.25">
      <c r="A53" s="94">
        <f t="shared" si="39"/>
        <v>12</v>
      </c>
      <c r="B53" s="117"/>
      <c r="C53" s="93" t="str">
        <f t="shared" ref="C53:D53" si="61">IF($B50&lt;&gt;"",C49,"")</f>
        <v/>
      </c>
      <c r="D53" s="93" t="str">
        <f t="shared" si="61"/>
        <v/>
      </c>
      <c r="E53" s="28"/>
      <c r="F53" s="28"/>
      <c r="G53" s="28"/>
      <c r="H53" s="28"/>
      <c r="I53" s="28"/>
      <c r="J53" s="28"/>
      <c r="K53" s="28"/>
      <c r="L53" s="28"/>
      <c r="M53" s="28"/>
      <c r="N53" s="28"/>
      <c r="O53" s="28"/>
      <c r="P53" s="28"/>
      <c r="Q53" s="28"/>
      <c r="R53" s="28"/>
      <c r="S53" s="28"/>
      <c r="T53" s="28"/>
      <c r="U53" s="28"/>
      <c r="V53" s="26"/>
      <c r="W53" s="31" t="e">
        <f>INDEX(TBL_PIPED_IMPORTERS_CONNECTIONS[PipedImporterConnectionID],$A53)</f>
        <v>#REF!</v>
      </c>
      <c r="X53" s="31" t="e">
        <f>"PipedImporterTariffVar_"&amp;RIGHT($W53,11)</f>
        <v>#REF!</v>
      </c>
    </row>
    <row r="54" spans="1:24" x14ac:dyDescent="0.25">
      <c r="A54" s="94">
        <f t="shared" ref="A54" si="62">$A50+1</f>
        <v>13</v>
      </c>
      <c r="B54" s="115" t="str">
        <f>IFERROR(INDEX(TBL_PIPED_IMPORTERS_CONNECTIONS[Name],$A54),"")</f>
        <v/>
      </c>
      <c r="C54" s="93" t="str">
        <f t="shared" ref="C54:D54" si="63">IF($B54&lt;&gt;"",C50,"")</f>
        <v/>
      </c>
      <c r="D54" s="93" t="str">
        <f t="shared" si="63"/>
        <v/>
      </c>
      <c r="E54" s="27"/>
      <c r="F54" s="27"/>
      <c r="G54" s="27"/>
      <c r="H54" s="27"/>
      <c r="I54" s="27"/>
      <c r="J54" s="27"/>
      <c r="K54" s="27"/>
      <c r="L54" s="27"/>
      <c r="M54" s="27"/>
      <c r="N54" s="27"/>
      <c r="O54" s="27"/>
      <c r="P54" s="27"/>
      <c r="Q54" s="27"/>
      <c r="R54" s="27"/>
      <c r="S54" s="27"/>
      <c r="T54" s="27"/>
      <c r="U54" s="27"/>
      <c r="V54" s="25"/>
      <c r="W54" s="31" t="e">
        <f>INDEX(TBL_PIPED_IMPORTERS_CONNECTIONS[PipedImporterConnectionID],$A54)</f>
        <v>#REF!</v>
      </c>
      <c r="X54" s="31" t="e">
        <f>"PipedImporterCapMin_"&amp;RIGHT($W54,11)</f>
        <v>#REF!</v>
      </c>
    </row>
    <row r="55" spans="1:24" x14ac:dyDescent="0.25">
      <c r="A55" s="94">
        <f t="shared" si="39"/>
        <v>13</v>
      </c>
      <c r="B55" s="116"/>
      <c r="C55" s="93" t="str">
        <f t="shared" ref="C55" si="64">IF($B54&lt;&gt;"",C51,"")</f>
        <v/>
      </c>
      <c r="D55" s="93" t="str">
        <f t="shared" ref="D55" si="65">IF($B54&lt;&gt;"",D51,"")</f>
        <v/>
      </c>
      <c r="E55" s="28"/>
      <c r="F55" s="28"/>
      <c r="G55" s="28"/>
      <c r="H55" s="28"/>
      <c r="I55" s="28"/>
      <c r="J55" s="28"/>
      <c r="K55" s="28"/>
      <c r="L55" s="28"/>
      <c r="M55" s="28"/>
      <c r="N55" s="28"/>
      <c r="O55" s="28"/>
      <c r="P55" s="28"/>
      <c r="Q55" s="28"/>
      <c r="R55" s="28"/>
      <c r="S55" s="28"/>
      <c r="T55" s="28"/>
      <c r="U55" s="28"/>
      <c r="V55" s="26"/>
      <c r="W55" s="31" t="e">
        <f>INDEX(TBL_PIPED_IMPORTERS_CONNECTIONS[PipedImporterConnectionID],$A55)</f>
        <v>#REF!</v>
      </c>
      <c r="X55" s="31" t="e">
        <f>"PipedImporterCapMax_"&amp;RIGHT($W55,11)</f>
        <v>#REF!</v>
      </c>
    </row>
    <row r="56" spans="1:24" x14ac:dyDescent="0.25">
      <c r="A56" s="94">
        <f t="shared" si="39"/>
        <v>13</v>
      </c>
      <c r="B56" s="116"/>
      <c r="C56" s="93" t="str">
        <f t="shared" ref="C56:D56" si="66">IF($B54&lt;&gt;"",C52,"")</f>
        <v/>
      </c>
      <c r="D56" s="93" t="str">
        <f t="shared" si="66"/>
        <v/>
      </c>
      <c r="E56" s="27"/>
      <c r="F56" s="27"/>
      <c r="G56" s="27"/>
      <c r="H56" s="27"/>
      <c r="I56" s="27"/>
      <c r="J56" s="27"/>
      <c r="K56" s="27"/>
      <c r="L56" s="27"/>
      <c r="M56" s="27"/>
      <c r="N56" s="27"/>
      <c r="O56" s="27"/>
      <c r="P56" s="27"/>
      <c r="Q56" s="27"/>
      <c r="R56" s="27"/>
      <c r="S56" s="27"/>
      <c r="T56" s="27"/>
      <c r="U56" s="27"/>
      <c r="V56" s="25"/>
      <c r="W56" s="31" t="e">
        <f>INDEX(TBL_PIPED_IMPORTERS_CONNECTIONS[PipedImporterConnectionID],$A56)</f>
        <v>#REF!</v>
      </c>
      <c r="X56" s="31" t="e">
        <f>"PipedImporterTariffFixed_"&amp;RIGHT($W56,11)</f>
        <v>#REF!</v>
      </c>
    </row>
    <row r="57" spans="1:24" x14ac:dyDescent="0.25">
      <c r="A57" s="94">
        <f t="shared" si="39"/>
        <v>13</v>
      </c>
      <c r="B57" s="117"/>
      <c r="C57" s="93" t="str">
        <f t="shared" ref="C57:D57" si="67">IF($B54&lt;&gt;"",C53,"")</f>
        <v/>
      </c>
      <c r="D57" s="93" t="str">
        <f t="shared" si="67"/>
        <v/>
      </c>
      <c r="E57" s="28"/>
      <c r="F57" s="28"/>
      <c r="G57" s="28"/>
      <c r="H57" s="28"/>
      <c r="I57" s="28"/>
      <c r="J57" s="28"/>
      <c r="K57" s="28"/>
      <c r="L57" s="28"/>
      <c r="M57" s="28"/>
      <c r="N57" s="28"/>
      <c r="O57" s="28"/>
      <c r="P57" s="28"/>
      <c r="Q57" s="28"/>
      <c r="R57" s="28"/>
      <c r="S57" s="28"/>
      <c r="T57" s="28"/>
      <c r="U57" s="28"/>
      <c r="V57" s="26"/>
      <c r="W57" s="31" t="e">
        <f>INDEX(TBL_PIPED_IMPORTERS_CONNECTIONS[PipedImporterConnectionID],$A57)</f>
        <v>#REF!</v>
      </c>
      <c r="X57" s="31" t="e">
        <f>"PipedImporterTariffVar_"&amp;RIGHT($W57,11)</f>
        <v>#REF!</v>
      </c>
    </row>
    <row r="58" spans="1:24" x14ac:dyDescent="0.25">
      <c r="A58" s="94">
        <f t="shared" ref="A58" si="68">$A54+1</f>
        <v>14</v>
      </c>
      <c r="B58" s="115" t="str">
        <f>IFERROR(INDEX(TBL_PIPED_IMPORTERS_CONNECTIONS[Name],$A58),"")</f>
        <v/>
      </c>
      <c r="C58" s="93" t="str">
        <f t="shared" ref="C58:D58" si="69">IF($B58&lt;&gt;"",C54,"")</f>
        <v/>
      </c>
      <c r="D58" s="93" t="str">
        <f t="shared" si="69"/>
        <v/>
      </c>
      <c r="E58" s="27"/>
      <c r="F58" s="27"/>
      <c r="G58" s="27"/>
      <c r="H58" s="27"/>
      <c r="I58" s="27"/>
      <c r="J58" s="27"/>
      <c r="K58" s="27"/>
      <c r="L58" s="27"/>
      <c r="M58" s="27"/>
      <c r="N58" s="27"/>
      <c r="O58" s="27"/>
      <c r="P58" s="27"/>
      <c r="Q58" s="27"/>
      <c r="R58" s="27"/>
      <c r="S58" s="27"/>
      <c r="T58" s="27"/>
      <c r="U58" s="27"/>
      <c r="V58" s="25"/>
      <c r="W58" s="31" t="e">
        <f>INDEX(TBL_PIPED_IMPORTERS_CONNECTIONS[PipedImporterConnectionID],$A58)</f>
        <v>#REF!</v>
      </c>
      <c r="X58" s="31" t="e">
        <f>"PipedImporterCapMin_"&amp;RIGHT($W58,11)</f>
        <v>#REF!</v>
      </c>
    </row>
    <row r="59" spans="1:24" x14ac:dyDescent="0.25">
      <c r="A59" s="94">
        <f t="shared" ref="A59:A61" si="70">$A58</f>
        <v>14</v>
      </c>
      <c r="B59" s="116"/>
      <c r="C59" s="93" t="str">
        <f t="shared" ref="C59:D59" si="71">IF($B58&lt;&gt;"",C55,"")</f>
        <v/>
      </c>
      <c r="D59" s="93" t="str">
        <f t="shared" si="71"/>
        <v/>
      </c>
      <c r="E59" s="28"/>
      <c r="F59" s="28"/>
      <c r="G59" s="28"/>
      <c r="H59" s="28"/>
      <c r="I59" s="28"/>
      <c r="J59" s="28"/>
      <c r="K59" s="28"/>
      <c r="L59" s="28"/>
      <c r="M59" s="28"/>
      <c r="N59" s="28"/>
      <c r="O59" s="28"/>
      <c r="P59" s="28"/>
      <c r="Q59" s="28"/>
      <c r="R59" s="28"/>
      <c r="S59" s="28"/>
      <c r="T59" s="28"/>
      <c r="U59" s="28"/>
      <c r="V59" s="26"/>
      <c r="W59" s="31" t="e">
        <f>INDEX(TBL_PIPED_IMPORTERS_CONNECTIONS[PipedImporterConnectionID],$A59)</f>
        <v>#REF!</v>
      </c>
      <c r="X59" s="31" t="e">
        <f>"PipedImporterCapMax_"&amp;RIGHT($W59,11)</f>
        <v>#REF!</v>
      </c>
    </row>
    <row r="60" spans="1:24" x14ac:dyDescent="0.25">
      <c r="A60" s="94">
        <f t="shared" si="70"/>
        <v>14</v>
      </c>
      <c r="B60" s="116"/>
      <c r="C60" s="93" t="str">
        <f t="shared" ref="C60:D60" si="72">IF($B58&lt;&gt;"",C56,"")</f>
        <v/>
      </c>
      <c r="D60" s="93" t="str">
        <f t="shared" si="72"/>
        <v/>
      </c>
      <c r="E60" s="27"/>
      <c r="F60" s="27"/>
      <c r="G60" s="27"/>
      <c r="H60" s="27"/>
      <c r="I60" s="27"/>
      <c r="J60" s="27"/>
      <c r="K60" s="27"/>
      <c r="L60" s="27"/>
      <c r="M60" s="27"/>
      <c r="N60" s="27"/>
      <c r="O60" s="27"/>
      <c r="P60" s="27"/>
      <c r="Q60" s="27"/>
      <c r="R60" s="27"/>
      <c r="S60" s="27"/>
      <c r="T60" s="27"/>
      <c r="U60" s="27"/>
      <c r="V60" s="25"/>
      <c r="W60" s="31" t="e">
        <f>INDEX(TBL_PIPED_IMPORTERS_CONNECTIONS[PipedImporterConnectionID],$A60)</f>
        <v>#REF!</v>
      </c>
      <c r="X60" s="31" t="e">
        <f>"PipedImporterTariffFixed_"&amp;RIGHT($W60,11)</f>
        <v>#REF!</v>
      </c>
    </row>
    <row r="61" spans="1:24" x14ac:dyDescent="0.25">
      <c r="A61" s="94">
        <f t="shared" si="70"/>
        <v>14</v>
      </c>
      <c r="B61" s="117"/>
      <c r="C61" s="93" t="str">
        <f t="shared" ref="C61:D61" si="73">IF($B58&lt;&gt;"",C57,"")</f>
        <v/>
      </c>
      <c r="D61" s="93" t="str">
        <f t="shared" si="73"/>
        <v/>
      </c>
      <c r="E61" s="28"/>
      <c r="F61" s="28"/>
      <c r="G61" s="28"/>
      <c r="H61" s="28"/>
      <c r="I61" s="28"/>
      <c r="J61" s="28"/>
      <c r="K61" s="28"/>
      <c r="L61" s="28"/>
      <c r="M61" s="28"/>
      <c r="N61" s="28"/>
      <c r="O61" s="28"/>
      <c r="P61" s="28"/>
      <c r="Q61" s="28"/>
      <c r="R61" s="28"/>
      <c r="S61" s="28"/>
      <c r="T61" s="28"/>
      <c r="U61" s="28"/>
      <c r="V61" s="26"/>
      <c r="W61" s="31" t="e">
        <f>INDEX(TBL_PIPED_IMPORTERS_CONNECTIONS[PipedImporterConnectionID],$A61)</f>
        <v>#REF!</v>
      </c>
      <c r="X61" s="31" t="e">
        <f>"PipedImporterTariffVar_"&amp;RIGHT($W61,11)</f>
        <v>#REF!</v>
      </c>
    </row>
    <row r="62" spans="1:24" x14ac:dyDescent="0.25">
      <c r="A62" s="94">
        <f t="shared" ref="A62" si="74">$A58+1</f>
        <v>15</v>
      </c>
      <c r="B62" s="115" t="str">
        <f>IFERROR(INDEX(TBL_PIPED_IMPORTERS_CONNECTIONS[Name],$A62),"")</f>
        <v/>
      </c>
      <c r="C62" s="93" t="str">
        <f t="shared" ref="C62:D62" si="75">IF($B62&lt;&gt;"",C58,"")</f>
        <v/>
      </c>
      <c r="D62" s="93" t="str">
        <f t="shared" si="75"/>
        <v/>
      </c>
      <c r="E62" s="27"/>
      <c r="F62" s="27"/>
      <c r="G62" s="27"/>
      <c r="H62" s="27"/>
      <c r="I62" s="27"/>
      <c r="J62" s="27"/>
      <c r="K62" s="27"/>
      <c r="L62" s="27"/>
      <c r="M62" s="27"/>
      <c r="N62" s="27"/>
      <c r="O62" s="27"/>
      <c r="P62" s="27"/>
      <c r="Q62" s="27"/>
      <c r="R62" s="27"/>
      <c r="S62" s="27"/>
      <c r="T62" s="27"/>
      <c r="U62" s="27"/>
      <c r="V62" s="25"/>
      <c r="W62" s="31" t="e">
        <f>INDEX(TBL_PIPED_IMPORTERS_CONNECTIONS[PipedImporterConnectionID],$A62)</f>
        <v>#REF!</v>
      </c>
      <c r="X62" s="31" t="e">
        <f>"PipedImporterCapMin_"&amp;RIGHT($W62,11)</f>
        <v>#REF!</v>
      </c>
    </row>
    <row r="63" spans="1:24" x14ac:dyDescent="0.25">
      <c r="A63" s="94">
        <f t="shared" ref="A63:A65" si="76">$A62</f>
        <v>15</v>
      </c>
      <c r="B63" s="116"/>
      <c r="C63" s="93" t="str">
        <f t="shared" ref="C63:D63" si="77">IF($B62&lt;&gt;"",C59,"")</f>
        <v/>
      </c>
      <c r="D63" s="93" t="str">
        <f t="shared" si="77"/>
        <v/>
      </c>
      <c r="E63" s="28"/>
      <c r="F63" s="28"/>
      <c r="G63" s="28"/>
      <c r="H63" s="28"/>
      <c r="I63" s="28"/>
      <c r="J63" s="28"/>
      <c r="K63" s="28"/>
      <c r="L63" s="28"/>
      <c r="M63" s="28"/>
      <c r="N63" s="28"/>
      <c r="O63" s="28"/>
      <c r="P63" s="28"/>
      <c r="Q63" s="28"/>
      <c r="R63" s="28"/>
      <c r="S63" s="28"/>
      <c r="T63" s="28"/>
      <c r="U63" s="28"/>
      <c r="V63" s="26"/>
      <c r="W63" s="31" t="e">
        <f>INDEX(TBL_PIPED_IMPORTERS_CONNECTIONS[PipedImporterConnectionID],$A63)</f>
        <v>#REF!</v>
      </c>
      <c r="X63" s="31" t="e">
        <f>"PipedImporterCapMax_"&amp;RIGHT($W63,11)</f>
        <v>#REF!</v>
      </c>
    </row>
    <row r="64" spans="1:24" x14ac:dyDescent="0.25">
      <c r="A64" s="94">
        <f t="shared" si="76"/>
        <v>15</v>
      </c>
      <c r="B64" s="116"/>
      <c r="C64" s="93" t="str">
        <f t="shared" ref="C64:D64" si="78">IF($B62&lt;&gt;"",C60,"")</f>
        <v/>
      </c>
      <c r="D64" s="93" t="str">
        <f t="shared" si="78"/>
        <v/>
      </c>
      <c r="E64" s="27"/>
      <c r="F64" s="27"/>
      <c r="G64" s="27"/>
      <c r="H64" s="27"/>
      <c r="I64" s="27"/>
      <c r="J64" s="27"/>
      <c r="K64" s="27"/>
      <c r="L64" s="27"/>
      <c r="M64" s="27"/>
      <c r="N64" s="27"/>
      <c r="O64" s="27"/>
      <c r="P64" s="27"/>
      <c r="Q64" s="27"/>
      <c r="R64" s="27"/>
      <c r="S64" s="27"/>
      <c r="T64" s="27"/>
      <c r="U64" s="27"/>
      <c r="V64" s="25"/>
      <c r="W64" s="31" t="e">
        <f>INDEX(TBL_PIPED_IMPORTERS_CONNECTIONS[PipedImporterConnectionID],$A64)</f>
        <v>#REF!</v>
      </c>
      <c r="X64" s="31" t="e">
        <f>"PipedImporterTariffFixed_"&amp;RIGHT($W64,11)</f>
        <v>#REF!</v>
      </c>
    </row>
    <row r="65" spans="1:24" x14ac:dyDescent="0.25">
      <c r="A65" s="94">
        <f t="shared" si="76"/>
        <v>15</v>
      </c>
      <c r="B65" s="117"/>
      <c r="C65" s="93" t="str">
        <f t="shared" ref="C65:D65" si="79">IF($B62&lt;&gt;"",C61,"")</f>
        <v/>
      </c>
      <c r="D65" s="93" t="str">
        <f t="shared" si="79"/>
        <v/>
      </c>
      <c r="E65" s="28"/>
      <c r="F65" s="28"/>
      <c r="G65" s="28"/>
      <c r="H65" s="28"/>
      <c r="I65" s="28"/>
      <c r="J65" s="28"/>
      <c r="K65" s="28"/>
      <c r="L65" s="28"/>
      <c r="M65" s="28"/>
      <c r="N65" s="28"/>
      <c r="O65" s="28"/>
      <c r="P65" s="28"/>
      <c r="Q65" s="28"/>
      <c r="R65" s="28"/>
      <c r="S65" s="28"/>
      <c r="T65" s="28"/>
      <c r="U65" s="28"/>
      <c r="V65" s="26"/>
      <c r="W65" s="31" t="e">
        <f>INDEX(TBL_PIPED_IMPORTERS_CONNECTIONS[PipedImporterConnectionID],$A65)</f>
        <v>#REF!</v>
      </c>
      <c r="X65" s="31" t="e">
        <f>"PipedImporterTariffVar_"&amp;RIGHT($W65,11)</f>
        <v>#REF!</v>
      </c>
    </row>
    <row r="66" spans="1:24" x14ac:dyDescent="0.25">
      <c r="A66" s="94">
        <f t="shared" ref="A66" si="80">$A62+1</f>
        <v>16</v>
      </c>
      <c r="B66" s="115" t="str">
        <f>IFERROR(INDEX(TBL_PIPED_IMPORTERS_CONNECTIONS[Name],$A66),"")</f>
        <v/>
      </c>
      <c r="C66" s="93" t="str">
        <f t="shared" ref="C66:D66" si="81">IF($B66&lt;&gt;"",C62,"")</f>
        <v/>
      </c>
      <c r="D66" s="93" t="str">
        <f t="shared" si="81"/>
        <v/>
      </c>
      <c r="E66" s="27"/>
      <c r="F66" s="27"/>
      <c r="G66" s="27"/>
      <c r="H66" s="27"/>
      <c r="I66" s="27"/>
      <c r="J66" s="27"/>
      <c r="K66" s="27"/>
      <c r="L66" s="27"/>
      <c r="M66" s="27"/>
      <c r="N66" s="27"/>
      <c r="O66" s="27"/>
      <c r="P66" s="27"/>
      <c r="Q66" s="27"/>
      <c r="R66" s="27"/>
      <c r="S66" s="27"/>
      <c r="T66" s="27"/>
      <c r="U66" s="27"/>
      <c r="V66" s="25"/>
      <c r="W66" s="31" t="e">
        <f>INDEX(TBL_PIPED_IMPORTERS_CONNECTIONS[PipedImporterConnectionID],$A66)</f>
        <v>#REF!</v>
      </c>
      <c r="X66" s="31" t="e">
        <f>"PipedImporterCapMin_"&amp;RIGHT($W66,11)</f>
        <v>#REF!</v>
      </c>
    </row>
    <row r="67" spans="1:24" x14ac:dyDescent="0.25">
      <c r="A67" s="94">
        <f t="shared" ref="A67:A85" si="82">$A66</f>
        <v>16</v>
      </c>
      <c r="B67" s="116"/>
      <c r="C67" s="93" t="str">
        <f t="shared" ref="C67:D67" si="83">IF($B66&lt;&gt;"",C63,"")</f>
        <v/>
      </c>
      <c r="D67" s="93" t="str">
        <f t="shared" si="83"/>
        <v/>
      </c>
      <c r="E67" s="28"/>
      <c r="F67" s="28"/>
      <c r="G67" s="28"/>
      <c r="H67" s="28"/>
      <c r="I67" s="28"/>
      <c r="J67" s="28"/>
      <c r="K67" s="28"/>
      <c r="L67" s="28"/>
      <c r="M67" s="28"/>
      <c r="N67" s="28"/>
      <c r="O67" s="28"/>
      <c r="P67" s="28"/>
      <c r="Q67" s="28"/>
      <c r="R67" s="28"/>
      <c r="S67" s="28"/>
      <c r="T67" s="28"/>
      <c r="U67" s="28"/>
      <c r="V67" s="26"/>
      <c r="W67" s="31" t="e">
        <f>INDEX(TBL_PIPED_IMPORTERS_CONNECTIONS[PipedImporterConnectionID],$A67)</f>
        <v>#REF!</v>
      </c>
      <c r="X67" s="31" t="e">
        <f>"PipedImporterCapMax_"&amp;RIGHT($W67,11)</f>
        <v>#REF!</v>
      </c>
    </row>
    <row r="68" spans="1:24" x14ac:dyDescent="0.25">
      <c r="A68" s="94">
        <f t="shared" si="82"/>
        <v>16</v>
      </c>
      <c r="B68" s="116"/>
      <c r="C68" s="93" t="str">
        <f t="shared" ref="C68:D68" si="84">IF($B66&lt;&gt;"",C64,"")</f>
        <v/>
      </c>
      <c r="D68" s="93" t="str">
        <f t="shared" si="84"/>
        <v/>
      </c>
      <c r="E68" s="27"/>
      <c r="F68" s="27"/>
      <c r="G68" s="27"/>
      <c r="H68" s="27"/>
      <c r="I68" s="27"/>
      <c r="J68" s="27"/>
      <c r="K68" s="27"/>
      <c r="L68" s="27"/>
      <c r="M68" s="27"/>
      <c r="N68" s="27"/>
      <c r="O68" s="27"/>
      <c r="P68" s="27"/>
      <c r="Q68" s="27"/>
      <c r="R68" s="27"/>
      <c r="S68" s="27"/>
      <c r="T68" s="27"/>
      <c r="U68" s="27"/>
      <c r="V68" s="25"/>
      <c r="W68" s="31" t="e">
        <f>INDEX(TBL_PIPED_IMPORTERS_CONNECTIONS[PipedImporterConnectionID],$A68)</f>
        <v>#REF!</v>
      </c>
      <c r="X68" s="31" t="e">
        <f>"PipedImporterTariffFixed_"&amp;RIGHT($W68,11)</f>
        <v>#REF!</v>
      </c>
    </row>
    <row r="69" spans="1:24" x14ac:dyDescent="0.25">
      <c r="A69" s="94">
        <f t="shared" si="82"/>
        <v>16</v>
      </c>
      <c r="B69" s="117"/>
      <c r="C69" s="93" t="str">
        <f t="shared" ref="C69:D69" si="85">IF($B66&lt;&gt;"",C65,"")</f>
        <v/>
      </c>
      <c r="D69" s="93" t="str">
        <f t="shared" si="85"/>
        <v/>
      </c>
      <c r="E69" s="28"/>
      <c r="F69" s="28"/>
      <c r="G69" s="28"/>
      <c r="H69" s="28"/>
      <c r="I69" s="28"/>
      <c r="J69" s="28"/>
      <c r="K69" s="28"/>
      <c r="L69" s="28"/>
      <c r="M69" s="28"/>
      <c r="N69" s="28"/>
      <c r="O69" s="28"/>
      <c r="P69" s="28"/>
      <c r="Q69" s="28"/>
      <c r="R69" s="28"/>
      <c r="S69" s="28"/>
      <c r="T69" s="28"/>
      <c r="U69" s="28"/>
      <c r="V69" s="26"/>
      <c r="W69" s="31" t="e">
        <f>INDEX(TBL_PIPED_IMPORTERS_CONNECTIONS[PipedImporterConnectionID],$A69)</f>
        <v>#REF!</v>
      </c>
      <c r="X69" s="31" t="e">
        <f>"PipedImporterTariffVar_"&amp;RIGHT($W69,11)</f>
        <v>#REF!</v>
      </c>
    </row>
    <row r="70" spans="1:24" x14ac:dyDescent="0.25">
      <c r="A70" s="94">
        <f t="shared" ref="A70" si="86">$A66+1</f>
        <v>17</v>
      </c>
      <c r="B70" s="115" t="str">
        <f>IFERROR(INDEX(TBL_PIPED_IMPORTERS_CONNECTIONS[Name],$A70),"")</f>
        <v/>
      </c>
      <c r="C70" s="93" t="str">
        <f t="shared" ref="C70:D70" si="87">IF($B70&lt;&gt;"",C66,"")</f>
        <v/>
      </c>
      <c r="D70" s="93" t="str">
        <f t="shared" si="87"/>
        <v/>
      </c>
      <c r="E70" s="27"/>
      <c r="F70" s="27"/>
      <c r="G70" s="27"/>
      <c r="H70" s="27"/>
      <c r="I70" s="27"/>
      <c r="J70" s="27"/>
      <c r="K70" s="27"/>
      <c r="L70" s="27"/>
      <c r="M70" s="27"/>
      <c r="N70" s="27"/>
      <c r="O70" s="27"/>
      <c r="P70" s="27"/>
      <c r="Q70" s="27"/>
      <c r="R70" s="27"/>
      <c r="S70" s="27"/>
      <c r="T70" s="27"/>
      <c r="U70" s="27"/>
      <c r="V70" s="25"/>
      <c r="W70" s="31" t="e">
        <f>INDEX(TBL_PIPED_IMPORTERS_CONNECTIONS[PipedImporterConnectionID],$A70)</f>
        <v>#REF!</v>
      </c>
      <c r="X70" s="31" t="e">
        <f>"PipedImporterCapMin_"&amp;RIGHT($W70,11)</f>
        <v>#REF!</v>
      </c>
    </row>
    <row r="71" spans="1:24" x14ac:dyDescent="0.25">
      <c r="A71" s="94">
        <f t="shared" si="82"/>
        <v>17</v>
      </c>
      <c r="B71" s="116"/>
      <c r="C71" s="93" t="str">
        <f t="shared" ref="C71:D71" si="88">IF($B70&lt;&gt;"",C67,"")</f>
        <v/>
      </c>
      <c r="D71" s="93" t="str">
        <f t="shared" si="88"/>
        <v/>
      </c>
      <c r="E71" s="28"/>
      <c r="F71" s="28"/>
      <c r="G71" s="28"/>
      <c r="H71" s="28"/>
      <c r="I71" s="28"/>
      <c r="J71" s="28"/>
      <c r="K71" s="28"/>
      <c r="L71" s="28"/>
      <c r="M71" s="28"/>
      <c r="N71" s="28"/>
      <c r="O71" s="28"/>
      <c r="P71" s="28"/>
      <c r="Q71" s="28"/>
      <c r="R71" s="28"/>
      <c r="S71" s="28"/>
      <c r="T71" s="28"/>
      <c r="U71" s="28"/>
      <c r="V71" s="26"/>
      <c r="W71" s="31" t="e">
        <f>INDEX(TBL_PIPED_IMPORTERS_CONNECTIONS[PipedImporterConnectionID],$A71)</f>
        <v>#REF!</v>
      </c>
      <c r="X71" s="31" t="e">
        <f>"PipedImporterCapMax_"&amp;RIGHT($W71,11)</f>
        <v>#REF!</v>
      </c>
    </row>
    <row r="72" spans="1:24" x14ac:dyDescent="0.25">
      <c r="A72" s="94">
        <f t="shared" si="82"/>
        <v>17</v>
      </c>
      <c r="B72" s="116"/>
      <c r="C72" s="93" t="str">
        <f t="shared" ref="C72:D72" si="89">IF($B70&lt;&gt;"",C68,"")</f>
        <v/>
      </c>
      <c r="D72" s="93" t="str">
        <f t="shared" si="89"/>
        <v/>
      </c>
      <c r="E72" s="27"/>
      <c r="F72" s="27"/>
      <c r="G72" s="27"/>
      <c r="H72" s="27"/>
      <c r="I72" s="27"/>
      <c r="J72" s="27"/>
      <c r="K72" s="27"/>
      <c r="L72" s="27"/>
      <c r="M72" s="27"/>
      <c r="N72" s="27"/>
      <c r="O72" s="27"/>
      <c r="P72" s="27"/>
      <c r="Q72" s="27"/>
      <c r="R72" s="27"/>
      <c r="S72" s="27"/>
      <c r="T72" s="27"/>
      <c r="U72" s="27"/>
      <c r="V72" s="25"/>
      <c r="W72" s="31" t="e">
        <f>INDEX(TBL_PIPED_IMPORTERS_CONNECTIONS[PipedImporterConnectionID],$A72)</f>
        <v>#REF!</v>
      </c>
      <c r="X72" s="31" t="e">
        <f>"PipedImporterTariffFixed_"&amp;RIGHT($W72,11)</f>
        <v>#REF!</v>
      </c>
    </row>
    <row r="73" spans="1:24" x14ac:dyDescent="0.25">
      <c r="A73" s="94">
        <f t="shared" si="82"/>
        <v>17</v>
      </c>
      <c r="B73" s="117"/>
      <c r="C73" s="93" t="str">
        <f t="shared" ref="C73:D73" si="90">IF($B70&lt;&gt;"",C69,"")</f>
        <v/>
      </c>
      <c r="D73" s="93" t="str">
        <f t="shared" si="90"/>
        <v/>
      </c>
      <c r="E73" s="28"/>
      <c r="F73" s="28"/>
      <c r="G73" s="28"/>
      <c r="H73" s="28"/>
      <c r="I73" s="28"/>
      <c r="J73" s="28"/>
      <c r="K73" s="28"/>
      <c r="L73" s="28"/>
      <c r="M73" s="28"/>
      <c r="N73" s="28"/>
      <c r="O73" s="28"/>
      <c r="P73" s="28"/>
      <c r="Q73" s="28"/>
      <c r="R73" s="28"/>
      <c r="S73" s="28"/>
      <c r="T73" s="28"/>
      <c r="U73" s="28"/>
      <c r="V73" s="26"/>
      <c r="W73" s="31" t="e">
        <f>INDEX(TBL_PIPED_IMPORTERS_CONNECTIONS[PipedImporterConnectionID],$A73)</f>
        <v>#REF!</v>
      </c>
      <c r="X73" s="31" t="e">
        <f>"PipedImporterTariffVar_"&amp;RIGHT($W73,11)</f>
        <v>#REF!</v>
      </c>
    </row>
    <row r="74" spans="1:24" x14ac:dyDescent="0.25">
      <c r="A74" s="94">
        <f t="shared" ref="A74" si="91">$A70+1</f>
        <v>18</v>
      </c>
      <c r="B74" s="115" t="str">
        <f>IFERROR(INDEX(TBL_PIPED_IMPORTERS_CONNECTIONS[Name],$A74),"")</f>
        <v/>
      </c>
      <c r="C74" s="93" t="str">
        <f t="shared" ref="C74:D74" si="92">IF($B74&lt;&gt;"",C70,"")</f>
        <v/>
      </c>
      <c r="D74" s="93" t="str">
        <f t="shared" si="92"/>
        <v/>
      </c>
      <c r="E74" s="27"/>
      <c r="F74" s="27"/>
      <c r="G74" s="27"/>
      <c r="H74" s="27"/>
      <c r="I74" s="27"/>
      <c r="J74" s="27"/>
      <c r="K74" s="27"/>
      <c r="L74" s="27"/>
      <c r="M74" s="27"/>
      <c r="N74" s="27"/>
      <c r="O74" s="27"/>
      <c r="P74" s="27"/>
      <c r="Q74" s="27"/>
      <c r="R74" s="27"/>
      <c r="S74" s="27"/>
      <c r="T74" s="27"/>
      <c r="U74" s="27"/>
      <c r="V74" s="25"/>
      <c r="W74" s="31" t="e">
        <f>INDEX(TBL_PIPED_IMPORTERS_CONNECTIONS[PipedImporterConnectionID],$A74)</f>
        <v>#REF!</v>
      </c>
      <c r="X74" s="31" t="e">
        <f>"PipedImporterCapMin_"&amp;RIGHT($W74,11)</f>
        <v>#REF!</v>
      </c>
    </row>
    <row r="75" spans="1:24" x14ac:dyDescent="0.25">
      <c r="A75" s="94">
        <f t="shared" si="82"/>
        <v>18</v>
      </c>
      <c r="B75" s="116"/>
      <c r="C75" s="93" t="str">
        <f t="shared" ref="C75:D75" si="93">IF($B74&lt;&gt;"",C71,"")</f>
        <v/>
      </c>
      <c r="D75" s="93" t="str">
        <f t="shared" si="93"/>
        <v/>
      </c>
      <c r="E75" s="28"/>
      <c r="F75" s="28"/>
      <c r="G75" s="28"/>
      <c r="H75" s="28"/>
      <c r="I75" s="28"/>
      <c r="J75" s="28"/>
      <c r="K75" s="28"/>
      <c r="L75" s="28"/>
      <c r="M75" s="28"/>
      <c r="N75" s="28"/>
      <c r="O75" s="28"/>
      <c r="P75" s="28"/>
      <c r="Q75" s="28"/>
      <c r="R75" s="28"/>
      <c r="S75" s="28"/>
      <c r="T75" s="28"/>
      <c r="U75" s="28"/>
      <c r="V75" s="26"/>
      <c r="W75" s="31" t="e">
        <f>INDEX(TBL_PIPED_IMPORTERS_CONNECTIONS[PipedImporterConnectionID],$A75)</f>
        <v>#REF!</v>
      </c>
      <c r="X75" s="31" t="e">
        <f>"PipedImporterCapMax_"&amp;RIGHT($W75,11)</f>
        <v>#REF!</v>
      </c>
    </row>
    <row r="76" spans="1:24" x14ac:dyDescent="0.25">
      <c r="A76" s="94">
        <f t="shared" si="82"/>
        <v>18</v>
      </c>
      <c r="B76" s="116"/>
      <c r="C76" s="93" t="str">
        <f t="shared" ref="C76:D76" si="94">IF($B74&lt;&gt;"",C72,"")</f>
        <v/>
      </c>
      <c r="D76" s="93" t="str">
        <f t="shared" si="94"/>
        <v/>
      </c>
      <c r="E76" s="27"/>
      <c r="F76" s="27"/>
      <c r="G76" s="27"/>
      <c r="H76" s="27"/>
      <c r="I76" s="27"/>
      <c r="J76" s="27"/>
      <c r="K76" s="27"/>
      <c r="L76" s="27"/>
      <c r="M76" s="27"/>
      <c r="N76" s="27"/>
      <c r="O76" s="27"/>
      <c r="P76" s="27"/>
      <c r="Q76" s="27"/>
      <c r="R76" s="27"/>
      <c r="S76" s="27"/>
      <c r="T76" s="27"/>
      <c r="U76" s="27"/>
      <c r="V76" s="25"/>
      <c r="W76" s="31" t="e">
        <f>INDEX(TBL_PIPED_IMPORTERS_CONNECTIONS[PipedImporterConnectionID],$A76)</f>
        <v>#REF!</v>
      </c>
      <c r="X76" s="31" t="e">
        <f>"PipedImporterTariffFixed_"&amp;RIGHT($W76,11)</f>
        <v>#REF!</v>
      </c>
    </row>
    <row r="77" spans="1:24" x14ac:dyDescent="0.25">
      <c r="A77" s="94">
        <f t="shared" si="82"/>
        <v>18</v>
      </c>
      <c r="B77" s="117"/>
      <c r="C77" s="93" t="str">
        <f t="shared" ref="C77:D77" si="95">IF($B74&lt;&gt;"",C73,"")</f>
        <v/>
      </c>
      <c r="D77" s="93" t="str">
        <f t="shared" si="95"/>
        <v/>
      </c>
      <c r="E77" s="28"/>
      <c r="F77" s="28"/>
      <c r="G77" s="28"/>
      <c r="H77" s="28"/>
      <c r="I77" s="28"/>
      <c r="J77" s="28"/>
      <c r="K77" s="28"/>
      <c r="L77" s="28"/>
      <c r="M77" s="28"/>
      <c r="N77" s="28"/>
      <c r="O77" s="28"/>
      <c r="P77" s="28"/>
      <c r="Q77" s="28"/>
      <c r="R77" s="28"/>
      <c r="S77" s="28"/>
      <c r="T77" s="28"/>
      <c r="U77" s="28"/>
      <c r="V77" s="26"/>
      <c r="W77" s="31" t="e">
        <f>INDEX(TBL_PIPED_IMPORTERS_CONNECTIONS[PipedImporterConnectionID],$A77)</f>
        <v>#REF!</v>
      </c>
      <c r="X77" s="31" t="e">
        <f>"PipedImporterTariffVar_"&amp;RIGHT($W77,11)</f>
        <v>#REF!</v>
      </c>
    </row>
    <row r="78" spans="1:24" x14ac:dyDescent="0.25">
      <c r="A78" s="94">
        <f t="shared" ref="A78" si="96">$A74+1</f>
        <v>19</v>
      </c>
      <c r="B78" s="115" t="str">
        <f>IFERROR(INDEX(TBL_PIPED_IMPORTERS_CONNECTIONS[Name],$A78),"")</f>
        <v/>
      </c>
      <c r="C78" s="93" t="str">
        <f t="shared" ref="C78:D78" si="97">IF($B78&lt;&gt;"",C74,"")</f>
        <v/>
      </c>
      <c r="D78" s="93" t="str">
        <f t="shared" si="97"/>
        <v/>
      </c>
      <c r="E78" s="27"/>
      <c r="F78" s="27"/>
      <c r="G78" s="27"/>
      <c r="H78" s="27"/>
      <c r="I78" s="27"/>
      <c r="J78" s="27"/>
      <c r="K78" s="27"/>
      <c r="L78" s="27"/>
      <c r="M78" s="27"/>
      <c r="N78" s="27"/>
      <c r="O78" s="27"/>
      <c r="P78" s="27"/>
      <c r="Q78" s="27"/>
      <c r="R78" s="27"/>
      <c r="S78" s="27"/>
      <c r="T78" s="27"/>
      <c r="U78" s="27"/>
      <c r="V78" s="25"/>
      <c r="W78" s="31" t="e">
        <f>INDEX(TBL_PIPED_IMPORTERS_CONNECTIONS[PipedImporterConnectionID],$A78)</f>
        <v>#REF!</v>
      </c>
      <c r="X78" s="31" t="e">
        <f>"PipedImporterCapMin_"&amp;RIGHT($W78,11)</f>
        <v>#REF!</v>
      </c>
    </row>
    <row r="79" spans="1:24" x14ac:dyDescent="0.25">
      <c r="A79" s="94">
        <f t="shared" si="82"/>
        <v>19</v>
      </c>
      <c r="B79" s="116"/>
      <c r="C79" s="93" t="str">
        <f t="shared" ref="C79:D79" si="98">IF($B78&lt;&gt;"",C75,"")</f>
        <v/>
      </c>
      <c r="D79" s="93" t="str">
        <f t="shared" si="98"/>
        <v/>
      </c>
      <c r="E79" s="28"/>
      <c r="F79" s="28"/>
      <c r="G79" s="28"/>
      <c r="H79" s="28"/>
      <c r="I79" s="28"/>
      <c r="J79" s="28"/>
      <c r="K79" s="28"/>
      <c r="L79" s="28"/>
      <c r="M79" s="28"/>
      <c r="N79" s="28"/>
      <c r="O79" s="28"/>
      <c r="P79" s="28"/>
      <c r="Q79" s="28"/>
      <c r="R79" s="28"/>
      <c r="S79" s="28"/>
      <c r="T79" s="28"/>
      <c r="U79" s="28"/>
      <c r="V79" s="26"/>
      <c r="W79" s="31" t="e">
        <f>INDEX(TBL_PIPED_IMPORTERS_CONNECTIONS[PipedImporterConnectionID],$A79)</f>
        <v>#REF!</v>
      </c>
      <c r="X79" s="31" t="e">
        <f>"PipedImporterCapMax_"&amp;RIGHT($W79,11)</f>
        <v>#REF!</v>
      </c>
    </row>
    <row r="80" spans="1:24" x14ac:dyDescent="0.25">
      <c r="A80" s="94">
        <f t="shared" si="82"/>
        <v>19</v>
      </c>
      <c r="B80" s="116"/>
      <c r="C80" s="93" t="str">
        <f t="shared" ref="C80:D80" si="99">IF($B78&lt;&gt;"",C76,"")</f>
        <v/>
      </c>
      <c r="D80" s="93" t="str">
        <f t="shared" si="99"/>
        <v/>
      </c>
      <c r="E80" s="27"/>
      <c r="F80" s="27"/>
      <c r="G80" s="27"/>
      <c r="H80" s="27"/>
      <c r="I80" s="27"/>
      <c r="J80" s="27"/>
      <c r="K80" s="27"/>
      <c r="L80" s="27"/>
      <c r="M80" s="27"/>
      <c r="N80" s="27"/>
      <c r="O80" s="27"/>
      <c r="P80" s="27"/>
      <c r="Q80" s="27"/>
      <c r="R80" s="27"/>
      <c r="S80" s="27"/>
      <c r="T80" s="27"/>
      <c r="U80" s="27"/>
      <c r="V80" s="25"/>
      <c r="W80" s="31" t="e">
        <f>INDEX(TBL_PIPED_IMPORTERS_CONNECTIONS[PipedImporterConnectionID],$A80)</f>
        <v>#REF!</v>
      </c>
      <c r="X80" s="31" t="e">
        <f>"PipedImporterTariffFixed_"&amp;RIGHT($W80,11)</f>
        <v>#REF!</v>
      </c>
    </row>
    <row r="81" spans="1:24" x14ac:dyDescent="0.25">
      <c r="A81" s="94">
        <f t="shared" si="82"/>
        <v>19</v>
      </c>
      <c r="B81" s="117"/>
      <c r="C81" s="93" t="str">
        <f t="shared" ref="C81:D81" si="100">IF($B78&lt;&gt;"",C77,"")</f>
        <v/>
      </c>
      <c r="D81" s="93" t="str">
        <f t="shared" si="100"/>
        <v/>
      </c>
      <c r="E81" s="28"/>
      <c r="F81" s="28"/>
      <c r="G81" s="28"/>
      <c r="H81" s="28"/>
      <c r="I81" s="28"/>
      <c r="J81" s="28"/>
      <c r="K81" s="28"/>
      <c r="L81" s="28"/>
      <c r="M81" s="28"/>
      <c r="N81" s="28"/>
      <c r="O81" s="28"/>
      <c r="P81" s="28"/>
      <c r="Q81" s="28"/>
      <c r="R81" s="28"/>
      <c r="S81" s="28"/>
      <c r="T81" s="28"/>
      <c r="U81" s="28"/>
      <c r="V81" s="26"/>
      <c r="W81" s="31" t="e">
        <f>INDEX(TBL_PIPED_IMPORTERS_CONNECTIONS[PipedImporterConnectionID],$A81)</f>
        <v>#REF!</v>
      </c>
      <c r="X81" s="31" t="e">
        <f>"PipedImporterTariffVar_"&amp;RIGHT($W81,11)</f>
        <v>#REF!</v>
      </c>
    </row>
    <row r="82" spans="1:24" x14ac:dyDescent="0.25">
      <c r="A82" s="94">
        <f t="shared" ref="A82" si="101">$A78+1</f>
        <v>20</v>
      </c>
      <c r="B82" s="115" t="str">
        <f>IFERROR(INDEX(TBL_PIPED_IMPORTERS_CONNECTIONS[Name],$A82),"")</f>
        <v/>
      </c>
      <c r="C82" s="93" t="str">
        <f t="shared" ref="C82:D82" si="102">IF($B82&lt;&gt;"",C78,"")</f>
        <v/>
      </c>
      <c r="D82" s="93" t="str">
        <f t="shared" si="102"/>
        <v/>
      </c>
      <c r="E82" s="27"/>
      <c r="F82" s="27"/>
      <c r="G82" s="27"/>
      <c r="H82" s="27"/>
      <c r="I82" s="27"/>
      <c r="J82" s="27"/>
      <c r="K82" s="27"/>
      <c r="L82" s="27"/>
      <c r="M82" s="27"/>
      <c r="N82" s="27"/>
      <c r="O82" s="27"/>
      <c r="P82" s="27"/>
      <c r="Q82" s="27"/>
      <c r="R82" s="27"/>
      <c r="S82" s="27"/>
      <c r="T82" s="27"/>
      <c r="U82" s="27"/>
      <c r="V82" s="25"/>
      <c r="W82" s="31" t="e">
        <f>INDEX(TBL_PIPED_IMPORTERS_CONNECTIONS[PipedImporterConnectionID],$A82)</f>
        <v>#REF!</v>
      </c>
      <c r="X82" s="31" t="e">
        <f>"PipedImporterCapMin_"&amp;RIGHT($W82,11)</f>
        <v>#REF!</v>
      </c>
    </row>
    <row r="83" spans="1:24" x14ac:dyDescent="0.25">
      <c r="A83" s="94">
        <f t="shared" si="82"/>
        <v>20</v>
      </c>
      <c r="B83" s="116"/>
      <c r="C83" s="93" t="str">
        <f t="shared" ref="C83:D83" si="103">IF($B82&lt;&gt;"",C79,"")</f>
        <v/>
      </c>
      <c r="D83" s="93" t="str">
        <f t="shared" si="103"/>
        <v/>
      </c>
      <c r="E83" s="28"/>
      <c r="F83" s="28"/>
      <c r="G83" s="28"/>
      <c r="H83" s="28"/>
      <c r="I83" s="28"/>
      <c r="J83" s="28"/>
      <c r="K83" s="28"/>
      <c r="L83" s="28"/>
      <c r="M83" s="28"/>
      <c r="N83" s="28"/>
      <c r="O83" s="28"/>
      <c r="P83" s="28"/>
      <c r="Q83" s="28"/>
      <c r="R83" s="28"/>
      <c r="S83" s="28"/>
      <c r="T83" s="28"/>
      <c r="U83" s="28"/>
      <c r="V83" s="26"/>
      <c r="W83" s="31" t="e">
        <f>INDEX(TBL_PIPED_IMPORTERS_CONNECTIONS[PipedImporterConnectionID],$A83)</f>
        <v>#REF!</v>
      </c>
      <c r="X83" s="31" t="e">
        <f>"PipedImporterCapMax_"&amp;RIGHT($W83,11)</f>
        <v>#REF!</v>
      </c>
    </row>
    <row r="84" spans="1:24" x14ac:dyDescent="0.25">
      <c r="A84" s="94">
        <f t="shared" si="82"/>
        <v>20</v>
      </c>
      <c r="B84" s="116"/>
      <c r="C84" s="93" t="str">
        <f t="shared" ref="C84:D84" si="104">IF($B82&lt;&gt;"",C80,"")</f>
        <v/>
      </c>
      <c r="D84" s="93" t="str">
        <f t="shared" si="104"/>
        <v/>
      </c>
      <c r="E84" s="27"/>
      <c r="F84" s="27"/>
      <c r="G84" s="27"/>
      <c r="H84" s="27"/>
      <c r="I84" s="27"/>
      <c r="J84" s="27"/>
      <c r="K84" s="27"/>
      <c r="L84" s="27"/>
      <c r="M84" s="27"/>
      <c r="N84" s="27"/>
      <c r="O84" s="27"/>
      <c r="P84" s="27"/>
      <c r="Q84" s="27"/>
      <c r="R84" s="27"/>
      <c r="S84" s="27"/>
      <c r="T84" s="27"/>
      <c r="U84" s="27"/>
      <c r="V84" s="25"/>
      <c r="W84" s="31" t="e">
        <f>INDEX(TBL_PIPED_IMPORTERS_CONNECTIONS[PipedImporterConnectionID],$A84)</f>
        <v>#REF!</v>
      </c>
      <c r="X84" s="31" t="e">
        <f>"PipedImporterTariffFixed_"&amp;RIGHT($W84,11)</f>
        <v>#REF!</v>
      </c>
    </row>
    <row r="85" spans="1:24" x14ac:dyDescent="0.25">
      <c r="A85" s="94">
        <f t="shared" si="82"/>
        <v>20</v>
      </c>
      <c r="B85" s="117"/>
      <c r="C85" s="93" t="str">
        <f t="shared" ref="C85:D85" si="105">IF($B82&lt;&gt;"",C81,"")</f>
        <v/>
      </c>
      <c r="D85" s="93" t="str">
        <f t="shared" si="105"/>
        <v/>
      </c>
      <c r="E85" s="28"/>
      <c r="F85" s="28"/>
      <c r="G85" s="28"/>
      <c r="H85" s="28"/>
      <c r="I85" s="28"/>
      <c r="J85" s="28"/>
      <c r="K85" s="28"/>
      <c r="L85" s="28"/>
      <c r="M85" s="28"/>
      <c r="N85" s="28"/>
      <c r="O85" s="28"/>
      <c r="P85" s="28"/>
      <c r="Q85" s="28"/>
      <c r="R85" s="28"/>
      <c r="S85" s="28"/>
      <c r="T85" s="28"/>
      <c r="U85" s="28"/>
      <c r="V85" s="26"/>
      <c r="W85" s="31" t="e">
        <f>INDEX(TBL_PIPED_IMPORTERS_CONNECTIONS[PipedImporterConnectionID],$A85)</f>
        <v>#REF!</v>
      </c>
      <c r="X85" s="31" t="e">
        <f>"PipedImporterTariffVar_"&amp;RIGHT($W85,11)</f>
        <v>#REF!</v>
      </c>
    </row>
    <row r="86" spans="1:24" x14ac:dyDescent="0.25">
      <c r="A86" s="94">
        <f t="shared" ref="A86" si="106">$A82+1</f>
        <v>21</v>
      </c>
      <c r="B86" s="115" t="str">
        <f>IFERROR(INDEX(TBL_PIPED_IMPORTERS_CONNECTIONS[Name],$A86),"")</f>
        <v/>
      </c>
      <c r="C86" s="93" t="str">
        <f t="shared" ref="C86:D86" si="107">IF($B86&lt;&gt;"",C82,"")</f>
        <v/>
      </c>
      <c r="D86" s="93" t="str">
        <f t="shared" si="107"/>
        <v/>
      </c>
      <c r="E86" s="27"/>
      <c r="F86" s="27"/>
      <c r="G86" s="27"/>
      <c r="H86" s="27"/>
      <c r="I86" s="27"/>
      <c r="J86" s="27"/>
      <c r="K86" s="27"/>
      <c r="L86" s="27"/>
      <c r="M86" s="27"/>
      <c r="N86" s="27"/>
      <c r="O86" s="27"/>
      <c r="P86" s="27"/>
      <c r="Q86" s="27"/>
      <c r="R86" s="27"/>
      <c r="S86" s="27"/>
      <c r="T86" s="27"/>
      <c r="U86" s="27"/>
      <c r="V86" s="25"/>
      <c r="W86" s="31" t="e">
        <f>INDEX(TBL_PIPED_IMPORTERS_CONNECTIONS[PipedImporterConnectionID],$A86)</f>
        <v>#REF!</v>
      </c>
      <c r="X86" s="31" t="e">
        <f>"PipedImporterCapMin_"&amp;RIGHT($W86,11)</f>
        <v>#REF!</v>
      </c>
    </row>
    <row r="87" spans="1:24" x14ac:dyDescent="0.25">
      <c r="A87" s="94">
        <f t="shared" ref="A87:A89" si="108">$A86</f>
        <v>21</v>
      </c>
      <c r="B87" s="116"/>
      <c r="C87" s="93" t="str">
        <f t="shared" ref="C87:D87" si="109">IF($B86&lt;&gt;"",C83,"")</f>
        <v/>
      </c>
      <c r="D87" s="93" t="str">
        <f t="shared" si="109"/>
        <v/>
      </c>
      <c r="E87" s="28"/>
      <c r="F87" s="28"/>
      <c r="G87" s="28"/>
      <c r="H87" s="28"/>
      <c r="I87" s="28"/>
      <c r="J87" s="28"/>
      <c r="K87" s="28"/>
      <c r="L87" s="28"/>
      <c r="M87" s="28"/>
      <c r="N87" s="28"/>
      <c r="O87" s="28"/>
      <c r="P87" s="28"/>
      <c r="Q87" s="28"/>
      <c r="R87" s="28"/>
      <c r="S87" s="28"/>
      <c r="T87" s="28"/>
      <c r="U87" s="28"/>
      <c r="V87" s="26"/>
      <c r="W87" s="31" t="e">
        <f>INDEX(TBL_PIPED_IMPORTERS_CONNECTIONS[PipedImporterConnectionID],$A87)</f>
        <v>#REF!</v>
      </c>
      <c r="X87" s="31" t="e">
        <f>"PipedImporterCapMax_"&amp;RIGHT($W87,11)</f>
        <v>#REF!</v>
      </c>
    </row>
    <row r="88" spans="1:24" x14ac:dyDescent="0.25">
      <c r="A88" s="94">
        <f t="shared" si="108"/>
        <v>21</v>
      </c>
      <c r="B88" s="116"/>
      <c r="C88" s="93" t="str">
        <f t="shared" ref="C88:D88" si="110">IF($B86&lt;&gt;"",C84,"")</f>
        <v/>
      </c>
      <c r="D88" s="93" t="str">
        <f t="shared" si="110"/>
        <v/>
      </c>
      <c r="E88" s="27"/>
      <c r="F88" s="27"/>
      <c r="G88" s="27"/>
      <c r="H88" s="27"/>
      <c r="I88" s="27"/>
      <c r="J88" s="27"/>
      <c r="K88" s="27"/>
      <c r="L88" s="27"/>
      <c r="M88" s="27"/>
      <c r="N88" s="27"/>
      <c r="O88" s="27"/>
      <c r="P88" s="27"/>
      <c r="Q88" s="27"/>
      <c r="R88" s="27"/>
      <c r="S88" s="27"/>
      <c r="T88" s="27"/>
      <c r="U88" s="27"/>
      <c r="V88" s="25"/>
      <c r="W88" s="31" t="e">
        <f>INDEX(TBL_PIPED_IMPORTERS_CONNECTIONS[PipedImporterConnectionID],$A88)</f>
        <v>#REF!</v>
      </c>
      <c r="X88" s="31" t="e">
        <f>"PipedImporterTariffFixed_"&amp;RIGHT($W88,11)</f>
        <v>#REF!</v>
      </c>
    </row>
    <row r="89" spans="1:24" x14ac:dyDescent="0.25">
      <c r="A89" s="94">
        <f t="shared" si="108"/>
        <v>21</v>
      </c>
      <c r="B89" s="117"/>
      <c r="C89" s="93" t="str">
        <f t="shared" ref="C89:D89" si="111">IF($B86&lt;&gt;"",C85,"")</f>
        <v/>
      </c>
      <c r="D89" s="93" t="str">
        <f t="shared" si="111"/>
        <v/>
      </c>
      <c r="E89" s="28"/>
      <c r="F89" s="28"/>
      <c r="G89" s="28"/>
      <c r="H89" s="28"/>
      <c r="I89" s="28"/>
      <c r="J89" s="28"/>
      <c r="K89" s="28"/>
      <c r="L89" s="28"/>
      <c r="M89" s="28"/>
      <c r="N89" s="28"/>
      <c r="O89" s="28"/>
      <c r="P89" s="28"/>
      <c r="Q89" s="28"/>
      <c r="R89" s="28"/>
      <c r="S89" s="28"/>
      <c r="T89" s="28"/>
      <c r="U89" s="28"/>
      <c r="V89" s="26"/>
      <c r="W89" s="31" t="e">
        <f>INDEX(TBL_PIPED_IMPORTERS_CONNECTIONS[PipedImporterConnectionID],$A89)</f>
        <v>#REF!</v>
      </c>
      <c r="X89" s="31" t="e">
        <f>"PipedImporterTariffVar_"&amp;RIGHT($W89,11)</f>
        <v>#REF!</v>
      </c>
    </row>
    <row r="90" spans="1:24" x14ac:dyDescent="0.25">
      <c r="A90" s="94">
        <f t="shared" ref="A90" si="112">$A86+1</f>
        <v>22</v>
      </c>
      <c r="B90" s="115" t="str">
        <f>IFERROR(INDEX(TBL_PIPED_IMPORTERS_CONNECTIONS[Name],$A90),"")</f>
        <v/>
      </c>
      <c r="C90" s="93" t="str">
        <f t="shared" ref="C90:D90" si="113">IF($B90&lt;&gt;"",C86,"")</f>
        <v/>
      </c>
      <c r="D90" s="93" t="str">
        <f t="shared" si="113"/>
        <v/>
      </c>
      <c r="E90" s="27"/>
      <c r="F90" s="27"/>
      <c r="G90" s="27"/>
      <c r="H90" s="27"/>
      <c r="I90" s="27"/>
      <c r="J90" s="27"/>
      <c r="K90" s="27"/>
      <c r="L90" s="27"/>
      <c r="M90" s="27"/>
      <c r="N90" s="27"/>
      <c r="O90" s="27"/>
      <c r="P90" s="27"/>
      <c r="Q90" s="27"/>
      <c r="R90" s="27"/>
      <c r="S90" s="27"/>
      <c r="T90" s="27"/>
      <c r="U90" s="27"/>
      <c r="V90" s="25"/>
      <c r="W90" s="31" t="e">
        <f>INDEX(TBL_PIPED_IMPORTERS_CONNECTIONS[PipedImporterConnectionID],$A90)</f>
        <v>#REF!</v>
      </c>
      <c r="X90" s="31" t="e">
        <f>"PipedImporterCapMin_"&amp;RIGHT($W90,11)</f>
        <v>#REF!</v>
      </c>
    </row>
    <row r="91" spans="1:24" x14ac:dyDescent="0.25">
      <c r="A91" s="94">
        <f t="shared" ref="A91:A93" si="114">$A90</f>
        <v>22</v>
      </c>
      <c r="B91" s="116"/>
      <c r="C91" s="93" t="str">
        <f t="shared" ref="C91:D91" si="115">IF($B90&lt;&gt;"",C87,"")</f>
        <v/>
      </c>
      <c r="D91" s="93" t="str">
        <f t="shared" si="115"/>
        <v/>
      </c>
      <c r="E91" s="28"/>
      <c r="F91" s="28"/>
      <c r="G91" s="28"/>
      <c r="H91" s="28"/>
      <c r="I91" s="28"/>
      <c r="J91" s="28"/>
      <c r="K91" s="28"/>
      <c r="L91" s="28"/>
      <c r="M91" s="28"/>
      <c r="N91" s="28"/>
      <c r="O91" s="28"/>
      <c r="P91" s="28"/>
      <c r="Q91" s="28"/>
      <c r="R91" s="28"/>
      <c r="S91" s="28"/>
      <c r="T91" s="28"/>
      <c r="U91" s="28"/>
      <c r="V91" s="26"/>
      <c r="W91" s="31" t="e">
        <f>INDEX(TBL_PIPED_IMPORTERS_CONNECTIONS[PipedImporterConnectionID],$A91)</f>
        <v>#REF!</v>
      </c>
      <c r="X91" s="31" t="e">
        <f>"PipedImporterCapMax_"&amp;RIGHT($W91,11)</f>
        <v>#REF!</v>
      </c>
    </row>
    <row r="92" spans="1:24" x14ac:dyDescent="0.25">
      <c r="A92" s="94">
        <f t="shared" si="114"/>
        <v>22</v>
      </c>
      <c r="B92" s="116"/>
      <c r="C92" s="93" t="str">
        <f t="shared" ref="C92:D92" si="116">IF($B90&lt;&gt;"",C88,"")</f>
        <v/>
      </c>
      <c r="D92" s="93" t="str">
        <f t="shared" si="116"/>
        <v/>
      </c>
      <c r="E92" s="27"/>
      <c r="F92" s="27"/>
      <c r="G92" s="27"/>
      <c r="H92" s="27"/>
      <c r="I92" s="27"/>
      <c r="J92" s="27"/>
      <c r="K92" s="27"/>
      <c r="L92" s="27"/>
      <c r="M92" s="27"/>
      <c r="N92" s="27"/>
      <c r="O92" s="27"/>
      <c r="P92" s="27"/>
      <c r="Q92" s="27"/>
      <c r="R92" s="27"/>
      <c r="S92" s="27"/>
      <c r="T92" s="27"/>
      <c r="U92" s="27"/>
      <c r="V92" s="25"/>
      <c r="W92" s="31" t="e">
        <f>INDEX(TBL_PIPED_IMPORTERS_CONNECTIONS[PipedImporterConnectionID],$A92)</f>
        <v>#REF!</v>
      </c>
      <c r="X92" s="31" t="e">
        <f>"PipedImporterTariffFixed_"&amp;RIGHT($W92,11)</f>
        <v>#REF!</v>
      </c>
    </row>
    <row r="93" spans="1:24" x14ac:dyDescent="0.25">
      <c r="A93" s="94">
        <f t="shared" si="114"/>
        <v>22</v>
      </c>
      <c r="B93" s="117"/>
      <c r="C93" s="93" t="str">
        <f t="shared" ref="C93:D93" si="117">IF($B90&lt;&gt;"",C89,"")</f>
        <v/>
      </c>
      <c r="D93" s="93" t="str">
        <f t="shared" si="117"/>
        <v/>
      </c>
      <c r="E93" s="28"/>
      <c r="F93" s="28"/>
      <c r="G93" s="28"/>
      <c r="H93" s="28"/>
      <c r="I93" s="28"/>
      <c r="J93" s="28"/>
      <c r="K93" s="28"/>
      <c r="L93" s="28"/>
      <c r="M93" s="28"/>
      <c r="N93" s="28"/>
      <c r="O93" s="28"/>
      <c r="P93" s="28"/>
      <c r="Q93" s="28"/>
      <c r="R93" s="28"/>
      <c r="S93" s="28"/>
      <c r="T93" s="28"/>
      <c r="U93" s="28"/>
      <c r="V93" s="26"/>
      <c r="W93" s="31" t="e">
        <f>INDEX(TBL_PIPED_IMPORTERS_CONNECTIONS[PipedImporterConnectionID],$A93)</f>
        <v>#REF!</v>
      </c>
      <c r="X93" s="31" t="e">
        <f>"PipedImporterTariffVar_"&amp;RIGHT($W93,11)</f>
        <v>#REF!</v>
      </c>
    </row>
    <row r="94" spans="1:24" x14ac:dyDescent="0.25">
      <c r="A94" s="94">
        <f t="shared" ref="A94" si="118">$A90+1</f>
        <v>23</v>
      </c>
      <c r="B94" s="115" t="str">
        <f>IFERROR(INDEX(TBL_PIPED_IMPORTERS_CONNECTIONS[Name],$A94),"")</f>
        <v/>
      </c>
      <c r="C94" s="93" t="str">
        <f t="shared" ref="C94:D94" si="119">IF($B94&lt;&gt;"",C90,"")</f>
        <v/>
      </c>
      <c r="D94" s="93" t="str">
        <f t="shared" si="119"/>
        <v/>
      </c>
      <c r="E94" s="27"/>
      <c r="F94" s="27"/>
      <c r="G94" s="27"/>
      <c r="H94" s="27"/>
      <c r="I94" s="27"/>
      <c r="J94" s="27"/>
      <c r="K94" s="27"/>
      <c r="L94" s="27"/>
      <c r="M94" s="27"/>
      <c r="N94" s="27"/>
      <c r="O94" s="27"/>
      <c r="P94" s="27"/>
      <c r="Q94" s="27"/>
      <c r="R94" s="27"/>
      <c r="S94" s="27"/>
      <c r="T94" s="27"/>
      <c r="U94" s="27"/>
      <c r="V94" s="25"/>
      <c r="W94" s="31" t="e">
        <f>INDEX(TBL_PIPED_IMPORTERS_CONNECTIONS[PipedImporterConnectionID],$A94)</f>
        <v>#REF!</v>
      </c>
      <c r="X94" s="31" t="e">
        <f>"PipedImporterCapMin_"&amp;RIGHT($W94,11)</f>
        <v>#REF!</v>
      </c>
    </row>
    <row r="95" spans="1:24" x14ac:dyDescent="0.25">
      <c r="A95" s="94">
        <f t="shared" ref="A95:A113" si="120">$A94</f>
        <v>23</v>
      </c>
      <c r="B95" s="116"/>
      <c r="C95" s="93" t="str">
        <f t="shared" ref="C95:D95" si="121">IF($B94&lt;&gt;"",C91,"")</f>
        <v/>
      </c>
      <c r="D95" s="93" t="str">
        <f t="shared" si="121"/>
        <v/>
      </c>
      <c r="E95" s="28"/>
      <c r="F95" s="28"/>
      <c r="G95" s="28"/>
      <c r="H95" s="28"/>
      <c r="I95" s="28"/>
      <c r="J95" s="28"/>
      <c r="K95" s="28"/>
      <c r="L95" s="28"/>
      <c r="M95" s="28"/>
      <c r="N95" s="28"/>
      <c r="O95" s="28"/>
      <c r="P95" s="28"/>
      <c r="Q95" s="28"/>
      <c r="R95" s="28"/>
      <c r="S95" s="28"/>
      <c r="T95" s="28"/>
      <c r="U95" s="28"/>
      <c r="V95" s="26"/>
      <c r="W95" s="31" t="e">
        <f>INDEX(TBL_PIPED_IMPORTERS_CONNECTIONS[PipedImporterConnectionID],$A95)</f>
        <v>#REF!</v>
      </c>
      <c r="X95" s="31" t="e">
        <f>"PipedImporterCapMax_"&amp;RIGHT($W95,11)</f>
        <v>#REF!</v>
      </c>
    </row>
    <row r="96" spans="1:24" x14ac:dyDescent="0.25">
      <c r="A96" s="94">
        <f t="shared" si="120"/>
        <v>23</v>
      </c>
      <c r="B96" s="116"/>
      <c r="C96" s="93" t="str">
        <f t="shared" ref="C96:D96" si="122">IF($B94&lt;&gt;"",C92,"")</f>
        <v/>
      </c>
      <c r="D96" s="93" t="str">
        <f t="shared" si="122"/>
        <v/>
      </c>
      <c r="E96" s="27"/>
      <c r="F96" s="27"/>
      <c r="G96" s="27"/>
      <c r="H96" s="27"/>
      <c r="I96" s="27"/>
      <c r="J96" s="27"/>
      <c r="K96" s="27"/>
      <c r="L96" s="27"/>
      <c r="M96" s="27"/>
      <c r="N96" s="27"/>
      <c r="O96" s="27"/>
      <c r="P96" s="27"/>
      <c r="Q96" s="27"/>
      <c r="R96" s="27"/>
      <c r="S96" s="27"/>
      <c r="T96" s="27"/>
      <c r="U96" s="27"/>
      <c r="V96" s="25"/>
      <c r="W96" s="31" t="e">
        <f>INDEX(TBL_PIPED_IMPORTERS_CONNECTIONS[PipedImporterConnectionID],$A96)</f>
        <v>#REF!</v>
      </c>
      <c r="X96" s="31" t="e">
        <f>"PipedImporterTariffFixed_"&amp;RIGHT($W96,11)</f>
        <v>#REF!</v>
      </c>
    </row>
    <row r="97" spans="1:24" x14ac:dyDescent="0.25">
      <c r="A97" s="94">
        <f t="shared" si="120"/>
        <v>23</v>
      </c>
      <c r="B97" s="117"/>
      <c r="C97" s="93" t="str">
        <f t="shared" ref="C97:D97" si="123">IF($B94&lt;&gt;"",C93,"")</f>
        <v/>
      </c>
      <c r="D97" s="93" t="str">
        <f t="shared" si="123"/>
        <v/>
      </c>
      <c r="E97" s="28"/>
      <c r="F97" s="28"/>
      <c r="G97" s="28"/>
      <c r="H97" s="28"/>
      <c r="I97" s="28"/>
      <c r="J97" s="28"/>
      <c r="K97" s="28"/>
      <c r="L97" s="28"/>
      <c r="M97" s="28"/>
      <c r="N97" s="28"/>
      <c r="O97" s="28"/>
      <c r="P97" s="28"/>
      <c r="Q97" s="28"/>
      <c r="R97" s="28"/>
      <c r="S97" s="28"/>
      <c r="T97" s="28"/>
      <c r="U97" s="28"/>
      <c r="V97" s="26"/>
      <c r="W97" s="31" t="e">
        <f>INDEX(TBL_PIPED_IMPORTERS_CONNECTIONS[PipedImporterConnectionID],$A97)</f>
        <v>#REF!</v>
      </c>
      <c r="X97" s="31" t="e">
        <f>"PipedImporterTariffVar_"&amp;RIGHT($W97,11)</f>
        <v>#REF!</v>
      </c>
    </row>
    <row r="98" spans="1:24" x14ac:dyDescent="0.25">
      <c r="A98" s="94">
        <f t="shared" ref="A98" si="124">$A94+1</f>
        <v>24</v>
      </c>
      <c r="B98" s="115" t="str">
        <f>IFERROR(INDEX(TBL_PIPED_IMPORTERS_CONNECTIONS[Name],$A98),"")</f>
        <v/>
      </c>
      <c r="C98" s="93" t="str">
        <f t="shared" ref="C98:D98" si="125">IF($B98&lt;&gt;"",C94,"")</f>
        <v/>
      </c>
      <c r="D98" s="93" t="str">
        <f t="shared" si="125"/>
        <v/>
      </c>
      <c r="E98" s="27"/>
      <c r="F98" s="27"/>
      <c r="G98" s="27"/>
      <c r="H98" s="27"/>
      <c r="I98" s="27"/>
      <c r="J98" s="27"/>
      <c r="K98" s="27"/>
      <c r="L98" s="27"/>
      <c r="M98" s="27"/>
      <c r="N98" s="27"/>
      <c r="O98" s="27"/>
      <c r="P98" s="27"/>
      <c r="Q98" s="27"/>
      <c r="R98" s="27"/>
      <c r="S98" s="27"/>
      <c r="T98" s="27"/>
      <c r="U98" s="27"/>
      <c r="V98" s="25"/>
      <c r="W98" s="31" t="e">
        <f>INDEX(TBL_PIPED_IMPORTERS_CONNECTIONS[PipedImporterConnectionID],$A98)</f>
        <v>#REF!</v>
      </c>
      <c r="X98" s="31" t="e">
        <f>"PipedImporterCapMin_"&amp;RIGHT($W98,11)</f>
        <v>#REF!</v>
      </c>
    </row>
    <row r="99" spans="1:24" x14ac:dyDescent="0.25">
      <c r="A99" s="94">
        <f t="shared" si="120"/>
        <v>24</v>
      </c>
      <c r="B99" s="116"/>
      <c r="C99" s="93" t="str">
        <f t="shared" ref="C99:D99" si="126">IF($B98&lt;&gt;"",C95,"")</f>
        <v/>
      </c>
      <c r="D99" s="93" t="str">
        <f t="shared" si="126"/>
        <v/>
      </c>
      <c r="E99" s="28"/>
      <c r="F99" s="28"/>
      <c r="G99" s="28"/>
      <c r="H99" s="28"/>
      <c r="I99" s="28"/>
      <c r="J99" s="28"/>
      <c r="K99" s="28"/>
      <c r="L99" s="28"/>
      <c r="M99" s="28"/>
      <c r="N99" s="28"/>
      <c r="O99" s="28"/>
      <c r="P99" s="28"/>
      <c r="Q99" s="28"/>
      <c r="R99" s="28"/>
      <c r="S99" s="28"/>
      <c r="T99" s="28"/>
      <c r="U99" s="28"/>
      <c r="V99" s="26"/>
      <c r="W99" s="31" t="e">
        <f>INDEX(TBL_PIPED_IMPORTERS_CONNECTIONS[PipedImporterConnectionID],$A99)</f>
        <v>#REF!</v>
      </c>
      <c r="X99" s="31" t="e">
        <f>"PipedImporterCapMax_"&amp;RIGHT($W99,11)</f>
        <v>#REF!</v>
      </c>
    </row>
    <row r="100" spans="1:24" x14ac:dyDescent="0.25">
      <c r="A100" s="94">
        <f t="shared" si="120"/>
        <v>24</v>
      </c>
      <c r="B100" s="116"/>
      <c r="C100" s="93" t="str">
        <f t="shared" ref="C100:D100" si="127">IF($B98&lt;&gt;"",C96,"")</f>
        <v/>
      </c>
      <c r="D100" s="93" t="str">
        <f t="shared" si="127"/>
        <v/>
      </c>
      <c r="E100" s="27"/>
      <c r="F100" s="27"/>
      <c r="G100" s="27"/>
      <c r="H100" s="27"/>
      <c r="I100" s="27"/>
      <c r="J100" s="27"/>
      <c r="K100" s="27"/>
      <c r="L100" s="27"/>
      <c r="M100" s="27"/>
      <c r="N100" s="27"/>
      <c r="O100" s="27"/>
      <c r="P100" s="27"/>
      <c r="Q100" s="27"/>
      <c r="R100" s="27"/>
      <c r="S100" s="27"/>
      <c r="T100" s="27"/>
      <c r="U100" s="27"/>
      <c r="V100" s="25"/>
      <c r="W100" s="31" t="e">
        <f>INDEX(TBL_PIPED_IMPORTERS_CONNECTIONS[PipedImporterConnectionID],$A100)</f>
        <v>#REF!</v>
      </c>
      <c r="X100" s="31" t="e">
        <f>"PipedImporterTariffFixed_"&amp;RIGHT($W100,11)</f>
        <v>#REF!</v>
      </c>
    </row>
    <row r="101" spans="1:24" x14ac:dyDescent="0.25">
      <c r="A101" s="94">
        <f t="shared" si="120"/>
        <v>24</v>
      </c>
      <c r="B101" s="117"/>
      <c r="C101" s="93" t="str">
        <f t="shared" ref="C101:D101" si="128">IF($B98&lt;&gt;"",C97,"")</f>
        <v/>
      </c>
      <c r="D101" s="93" t="str">
        <f t="shared" si="128"/>
        <v/>
      </c>
      <c r="E101" s="28"/>
      <c r="F101" s="28"/>
      <c r="G101" s="28"/>
      <c r="H101" s="28"/>
      <c r="I101" s="28"/>
      <c r="J101" s="28"/>
      <c r="K101" s="28"/>
      <c r="L101" s="28"/>
      <c r="M101" s="28"/>
      <c r="N101" s="28"/>
      <c r="O101" s="28"/>
      <c r="P101" s="28"/>
      <c r="Q101" s="28"/>
      <c r="R101" s="28"/>
      <c r="S101" s="28"/>
      <c r="T101" s="28"/>
      <c r="U101" s="28"/>
      <c r="V101" s="26"/>
      <c r="W101" s="31" t="e">
        <f>INDEX(TBL_PIPED_IMPORTERS_CONNECTIONS[PipedImporterConnectionID],$A101)</f>
        <v>#REF!</v>
      </c>
      <c r="X101" s="31" t="e">
        <f>"PipedImporterTariffVar_"&amp;RIGHT($W101,11)</f>
        <v>#REF!</v>
      </c>
    </row>
    <row r="102" spans="1:24" x14ac:dyDescent="0.25">
      <c r="A102" s="94">
        <f t="shared" ref="A102" si="129">$A98+1</f>
        <v>25</v>
      </c>
      <c r="B102" s="115" t="str">
        <f>IFERROR(INDEX(TBL_PIPED_IMPORTERS_CONNECTIONS[Name],$A102),"")</f>
        <v/>
      </c>
      <c r="C102" s="93" t="str">
        <f t="shared" ref="C102:D102" si="130">IF($B102&lt;&gt;"",C98,"")</f>
        <v/>
      </c>
      <c r="D102" s="93" t="str">
        <f t="shared" si="130"/>
        <v/>
      </c>
      <c r="E102" s="27"/>
      <c r="F102" s="27"/>
      <c r="G102" s="27"/>
      <c r="H102" s="27"/>
      <c r="I102" s="27"/>
      <c r="J102" s="27"/>
      <c r="K102" s="27"/>
      <c r="L102" s="27"/>
      <c r="M102" s="27"/>
      <c r="N102" s="27"/>
      <c r="O102" s="27"/>
      <c r="P102" s="27"/>
      <c r="Q102" s="27"/>
      <c r="R102" s="27"/>
      <c r="S102" s="27"/>
      <c r="T102" s="27"/>
      <c r="U102" s="27"/>
      <c r="V102" s="25"/>
      <c r="W102" s="31" t="e">
        <f>INDEX(TBL_PIPED_IMPORTERS_CONNECTIONS[PipedImporterConnectionID],$A102)</f>
        <v>#REF!</v>
      </c>
      <c r="X102" s="31" t="e">
        <f>"PipedImporterCapMin_"&amp;RIGHT($W102,11)</f>
        <v>#REF!</v>
      </c>
    </row>
    <row r="103" spans="1:24" x14ac:dyDescent="0.25">
      <c r="A103" s="94">
        <f t="shared" si="120"/>
        <v>25</v>
      </c>
      <c r="B103" s="116"/>
      <c r="C103" s="93" t="str">
        <f t="shared" ref="C103:D103" si="131">IF($B102&lt;&gt;"",C99,"")</f>
        <v/>
      </c>
      <c r="D103" s="93" t="str">
        <f t="shared" si="131"/>
        <v/>
      </c>
      <c r="E103" s="28"/>
      <c r="F103" s="28"/>
      <c r="G103" s="28"/>
      <c r="H103" s="28"/>
      <c r="I103" s="28"/>
      <c r="J103" s="28"/>
      <c r="K103" s="28"/>
      <c r="L103" s="28"/>
      <c r="M103" s="28"/>
      <c r="N103" s="28"/>
      <c r="O103" s="28"/>
      <c r="P103" s="28"/>
      <c r="Q103" s="28"/>
      <c r="R103" s="28"/>
      <c r="S103" s="28"/>
      <c r="T103" s="28"/>
      <c r="U103" s="28"/>
      <c r="V103" s="26"/>
      <c r="W103" s="31" t="e">
        <f>INDEX(TBL_PIPED_IMPORTERS_CONNECTIONS[PipedImporterConnectionID],$A103)</f>
        <v>#REF!</v>
      </c>
      <c r="X103" s="31" t="e">
        <f>"PipedImporterCapMax_"&amp;RIGHT($W103,11)</f>
        <v>#REF!</v>
      </c>
    </row>
    <row r="104" spans="1:24" x14ac:dyDescent="0.25">
      <c r="A104" s="94">
        <f t="shared" si="120"/>
        <v>25</v>
      </c>
      <c r="B104" s="116"/>
      <c r="C104" s="93" t="str">
        <f t="shared" ref="C104:D104" si="132">IF($B102&lt;&gt;"",C100,"")</f>
        <v/>
      </c>
      <c r="D104" s="93" t="str">
        <f t="shared" si="132"/>
        <v/>
      </c>
      <c r="E104" s="27"/>
      <c r="F104" s="27"/>
      <c r="G104" s="27"/>
      <c r="H104" s="27"/>
      <c r="I104" s="27"/>
      <c r="J104" s="27"/>
      <c r="K104" s="27"/>
      <c r="L104" s="27"/>
      <c r="M104" s="27"/>
      <c r="N104" s="27"/>
      <c r="O104" s="27"/>
      <c r="P104" s="27"/>
      <c r="Q104" s="27"/>
      <c r="R104" s="27"/>
      <c r="S104" s="27"/>
      <c r="T104" s="27"/>
      <c r="U104" s="27"/>
      <c r="V104" s="25"/>
      <c r="W104" s="31" t="e">
        <f>INDEX(TBL_PIPED_IMPORTERS_CONNECTIONS[PipedImporterConnectionID],$A104)</f>
        <v>#REF!</v>
      </c>
      <c r="X104" s="31" t="e">
        <f>"PipedImporterTariffFixed_"&amp;RIGHT($W104,11)</f>
        <v>#REF!</v>
      </c>
    </row>
    <row r="105" spans="1:24" x14ac:dyDescent="0.25">
      <c r="A105" s="94">
        <f t="shared" si="120"/>
        <v>25</v>
      </c>
      <c r="B105" s="117"/>
      <c r="C105" s="93" t="str">
        <f t="shared" ref="C105:D105" si="133">IF($B102&lt;&gt;"",C101,"")</f>
        <v/>
      </c>
      <c r="D105" s="93" t="str">
        <f t="shared" si="133"/>
        <v/>
      </c>
      <c r="E105" s="28"/>
      <c r="F105" s="28"/>
      <c r="G105" s="28"/>
      <c r="H105" s="28"/>
      <c r="I105" s="28"/>
      <c r="J105" s="28"/>
      <c r="K105" s="28"/>
      <c r="L105" s="28"/>
      <c r="M105" s="28"/>
      <c r="N105" s="28"/>
      <c r="O105" s="28"/>
      <c r="P105" s="28"/>
      <c r="Q105" s="28"/>
      <c r="R105" s="28"/>
      <c r="S105" s="28"/>
      <c r="T105" s="28"/>
      <c r="U105" s="28"/>
      <c r="V105" s="26"/>
      <c r="W105" s="31" t="e">
        <f>INDEX(TBL_PIPED_IMPORTERS_CONNECTIONS[PipedImporterConnectionID],$A105)</f>
        <v>#REF!</v>
      </c>
      <c r="X105" s="31" t="e">
        <f>"PipedImporterTariffVar_"&amp;RIGHT($W105,11)</f>
        <v>#REF!</v>
      </c>
    </row>
    <row r="106" spans="1:24" x14ac:dyDescent="0.25">
      <c r="A106" s="94">
        <f t="shared" ref="A106" si="134">$A102+1</f>
        <v>26</v>
      </c>
      <c r="B106" s="115" t="str">
        <f>IFERROR(INDEX(TBL_PIPED_IMPORTERS_CONNECTIONS[Name],$A106),"")</f>
        <v/>
      </c>
      <c r="C106" s="93" t="str">
        <f t="shared" ref="C106:D106" si="135">IF($B106&lt;&gt;"",C102,"")</f>
        <v/>
      </c>
      <c r="D106" s="93" t="str">
        <f t="shared" si="135"/>
        <v/>
      </c>
      <c r="E106" s="27"/>
      <c r="F106" s="27"/>
      <c r="G106" s="27"/>
      <c r="H106" s="27"/>
      <c r="I106" s="27"/>
      <c r="J106" s="27"/>
      <c r="K106" s="27"/>
      <c r="L106" s="27"/>
      <c r="M106" s="27"/>
      <c r="N106" s="27"/>
      <c r="O106" s="27"/>
      <c r="P106" s="27"/>
      <c r="Q106" s="27"/>
      <c r="R106" s="27"/>
      <c r="S106" s="27"/>
      <c r="T106" s="27"/>
      <c r="U106" s="27"/>
      <c r="V106" s="25"/>
      <c r="W106" s="31" t="e">
        <f>INDEX(TBL_PIPED_IMPORTERS_CONNECTIONS[PipedImporterConnectionID],$A106)</f>
        <v>#REF!</v>
      </c>
      <c r="X106" s="31" t="e">
        <f>"PipedImporterCapMin_"&amp;RIGHT($W106,11)</f>
        <v>#REF!</v>
      </c>
    </row>
    <row r="107" spans="1:24" x14ac:dyDescent="0.25">
      <c r="A107" s="94">
        <f t="shared" si="120"/>
        <v>26</v>
      </c>
      <c r="B107" s="116"/>
      <c r="C107" s="93" t="str">
        <f t="shared" ref="C107:D107" si="136">IF($B106&lt;&gt;"",C103,"")</f>
        <v/>
      </c>
      <c r="D107" s="93" t="str">
        <f t="shared" si="136"/>
        <v/>
      </c>
      <c r="E107" s="28"/>
      <c r="F107" s="28"/>
      <c r="G107" s="28"/>
      <c r="H107" s="28"/>
      <c r="I107" s="28"/>
      <c r="J107" s="28"/>
      <c r="K107" s="28"/>
      <c r="L107" s="28"/>
      <c r="M107" s="28"/>
      <c r="N107" s="28"/>
      <c r="O107" s="28"/>
      <c r="P107" s="28"/>
      <c r="Q107" s="28"/>
      <c r="R107" s="28"/>
      <c r="S107" s="28"/>
      <c r="T107" s="28"/>
      <c r="U107" s="28"/>
      <c r="V107" s="26"/>
      <c r="W107" s="31" t="e">
        <f>INDEX(TBL_PIPED_IMPORTERS_CONNECTIONS[PipedImporterConnectionID],$A107)</f>
        <v>#REF!</v>
      </c>
      <c r="X107" s="31" t="e">
        <f>"PipedImporterCapMax_"&amp;RIGHT($W107,11)</f>
        <v>#REF!</v>
      </c>
    </row>
    <row r="108" spans="1:24" x14ac:dyDescent="0.25">
      <c r="A108" s="94">
        <f t="shared" si="120"/>
        <v>26</v>
      </c>
      <c r="B108" s="116"/>
      <c r="C108" s="93" t="str">
        <f t="shared" ref="C108:D108" si="137">IF($B106&lt;&gt;"",C104,"")</f>
        <v/>
      </c>
      <c r="D108" s="93" t="str">
        <f t="shared" si="137"/>
        <v/>
      </c>
      <c r="E108" s="27"/>
      <c r="F108" s="27"/>
      <c r="G108" s="27"/>
      <c r="H108" s="27"/>
      <c r="I108" s="27"/>
      <c r="J108" s="27"/>
      <c r="K108" s="27"/>
      <c r="L108" s="27"/>
      <c r="M108" s="27"/>
      <c r="N108" s="27"/>
      <c r="O108" s="27"/>
      <c r="P108" s="27"/>
      <c r="Q108" s="27"/>
      <c r="R108" s="27"/>
      <c r="S108" s="27"/>
      <c r="T108" s="27"/>
      <c r="U108" s="27"/>
      <c r="V108" s="25"/>
      <c r="W108" s="31" t="e">
        <f>INDEX(TBL_PIPED_IMPORTERS_CONNECTIONS[PipedImporterConnectionID],$A108)</f>
        <v>#REF!</v>
      </c>
      <c r="X108" s="31" t="e">
        <f>"PipedImporterTariffFixed_"&amp;RIGHT($W108,11)</f>
        <v>#REF!</v>
      </c>
    </row>
    <row r="109" spans="1:24" x14ac:dyDescent="0.25">
      <c r="A109" s="94">
        <f t="shared" si="120"/>
        <v>26</v>
      </c>
      <c r="B109" s="117"/>
      <c r="C109" s="93" t="str">
        <f t="shared" ref="C109:D109" si="138">IF($B106&lt;&gt;"",C105,"")</f>
        <v/>
      </c>
      <c r="D109" s="93" t="str">
        <f t="shared" si="138"/>
        <v/>
      </c>
      <c r="E109" s="28"/>
      <c r="F109" s="28"/>
      <c r="G109" s="28"/>
      <c r="H109" s="28"/>
      <c r="I109" s="28"/>
      <c r="J109" s="28"/>
      <c r="K109" s="28"/>
      <c r="L109" s="28"/>
      <c r="M109" s="28"/>
      <c r="N109" s="28"/>
      <c r="O109" s="28"/>
      <c r="P109" s="28"/>
      <c r="Q109" s="28"/>
      <c r="R109" s="28"/>
      <c r="S109" s="28"/>
      <c r="T109" s="28"/>
      <c r="U109" s="28"/>
      <c r="V109" s="26"/>
      <c r="W109" s="31" t="e">
        <f>INDEX(TBL_PIPED_IMPORTERS_CONNECTIONS[PipedImporterConnectionID],$A109)</f>
        <v>#REF!</v>
      </c>
      <c r="X109" s="31" t="e">
        <f>"PipedImporterTariffVar_"&amp;RIGHT($W109,11)</f>
        <v>#REF!</v>
      </c>
    </row>
    <row r="110" spans="1:24" x14ac:dyDescent="0.25">
      <c r="A110" s="94">
        <f t="shared" ref="A110" si="139">$A106+1</f>
        <v>27</v>
      </c>
      <c r="B110" s="115" t="str">
        <f>IFERROR(INDEX(TBL_PIPED_IMPORTERS_CONNECTIONS[Name],$A110),"")</f>
        <v/>
      </c>
      <c r="C110" s="93" t="str">
        <f t="shared" ref="C110:D110" si="140">IF($B110&lt;&gt;"",C106,"")</f>
        <v/>
      </c>
      <c r="D110" s="93" t="str">
        <f t="shared" si="140"/>
        <v/>
      </c>
      <c r="E110" s="27"/>
      <c r="F110" s="27"/>
      <c r="G110" s="27"/>
      <c r="H110" s="27"/>
      <c r="I110" s="27"/>
      <c r="J110" s="27"/>
      <c r="K110" s="27"/>
      <c r="L110" s="27"/>
      <c r="M110" s="27"/>
      <c r="N110" s="27"/>
      <c r="O110" s="27"/>
      <c r="P110" s="27"/>
      <c r="Q110" s="27"/>
      <c r="R110" s="27"/>
      <c r="S110" s="27"/>
      <c r="T110" s="27"/>
      <c r="U110" s="27"/>
      <c r="V110" s="25"/>
      <c r="W110" s="31" t="e">
        <f>INDEX(TBL_PIPED_IMPORTERS_CONNECTIONS[PipedImporterConnectionID],$A110)</f>
        <v>#REF!</v>
      </c>
      <c r="X110" s="31" t="e">
        <f>"PipedImporterCapMin_"&amp;RIGHT($W110,11)</f>
        <v>#REF!</v>
      </c>
    </row>
    <row r="111" spans="1:24" x14ac:dyDescent="0.25">
      <c r="A111" s="94">
        <f t="shared" si="120"/>
        <v>27</v>
      </c>
      <c r="B111" s="116"/>
      <c r="C111" s="93" t="str">
        <f t="shared" ref="C111:D111" si="141">IF($B110&lt;&gt;"",C107,"")</f>
        <v/>
      </c>
      <c r="D111" s="93" t="str">
        <f t="shared" si="141"/>
        <v/>
      </c>
      <c r="E111" s="28"/>
      <c r="F111" s="28"/>
      <c r="G111" s="28"/>
      <c r="H111" s="28"/>
      <c r="I111" s="28"/>
      <c r="J111" s="28"/>
      <c r="K111" s="28"/>
      <c r="L111" s="28"/>
      <c r="M111" s="28"/>
      <c r="N111" s="28"/>
      <c r="O111" s="28"/>
      <c r="P111" s="28"/>
      <c r="Q111" s="28"/>
      <c r="R111" s="28"/>
      <c r="S111" s="28"/>
      <c r="T111" s="28"/>
      <c r="U111" s="28"/>
      <c r="V111" s="26"/>
      <c r="W111" s="31" t="e">
        <f>INDEX(TBL_PIPED_IMPORTERS_CONNECTIONS[PipedImporterConnectionID],$A111)</f>
        <v>#REF!</v>
      </c>
      <c r="X111" s="31" t="e">
        <f>"PipedImporterCapMax_"&amp;RIGHT($W111,11)</f>
        <v>#REF!</v>
      </c>
    </row>
    <row r="112" spans="1:24" x14ac:dyDescent="0.25">
      <c r="A112" s="94">
        <f t="shared" si="120"/>
        <v>27</v>
      </c>
      <c r="B112" s="116"/>
      <c r="C112" s="93" t="str">
        <f t="shared" ref="C112:D112" si="142">IF($B110&lt;&gt;"",C108,"")</f>
        <v/>
      </c>
      <c r="D112" s="93" t="str">
        <f t="shared" si="142"/>
        <v/>
      </c>
      <c r="E112" s="27"/>
      <c r="F112" s="27"/>
      <c r="G112" s="27"/>
      <c r="H112" s="27"/>
      <c r="I112" s="27"/>
      <c r="J112" s="27"/>
      <c r="K112" s="27"/>
      <c r="L112" s="27"/>
      <c r="M112" s="27"/>
      <c r="N112" s="27"/>
      <c r="O112" s="27"/>
      <c r="P112" s="27"/>
      <c r="Q112" s="27"/>
      <c r="R112" s="27"/>
      <c r="S112" s="27"/>
      <c r="T112" s="27"/>
      <c r="U112" s="27"/>
      <c r="V112" s="25"/>
      <c r="W112" s="31" t="e">
        <f>INDEX(TBL_PIPED_IMPORTERS_CONNECTIONS[PipedImporterConnectionID],$A112)</f>
        <v>#REF!</v>
      </c>
      <c r="X112" s="31" t="e">
        <f>"PipedImporterTariffFixed_"&amp;RIGHT($W112,11)</f>
        <v>#REF!</v>
      </c>
    </row>
    <row r="113" spans="1:24" x14ac:dyDescent="0.25">
      <c r="A113" s="94">
        <f t="shared" si="120"/>
        <v>27</v>
      </c>
      <c r="B113" s="117"/>
      <c r="C113" s="93" t="str">
        <f t="shared" ref="C113:D113" si="143">IF($B110&lt;&gt;"",C109,"")</f>
        <v/>
      </c>
      <c r="D113" s="93" t="str">
        <f t="shared" si="143"/>
        <v/>
      </c>
      <c r="E113" s="28"/>
      <c r="F113" s="28"/>
      <c r="G113" s="28"/>
      <c r="H113" s="28"/>
      <c r="I113" s="28"/>
      <c r="J113" s="28"/>
      <c r="K113" s="28"/>
      <c r="L113" s="28"/>
      <c r="M113" s="28"/>
      <c r="N113" s="28"/>
      <c r="O113" s="28"/>
      <c r="P113" s="28"/>
      <c r="Q113" s="28"/>
      <c r="R113" s="28"/>
      <c r="S113" s="28"/>
      <c r="T113" s="28"/>
      <c r="U113" s="28"/>
      <c r="V113" s="26"/>
      <c r="W113" s="31" t="e">
        <f>INDEX(TBL_PIPED_IMPORTERS_CONNECTIONS[PipedImporterConnectionID],$A113)</f>
        <v>#REF!</v>
      </c>
      <c r="X113" s="31" t="e">
        <f>"PipedImporterTariffVar_"&amp;RIGHT($W113,11)</f>
        <v>#REF!</v>
      </c>
    </row>
    <row r="114" spans="1:24" x14ac:dyDescent="0.25">
      <c r="A114" s="94">
        <f t="shared" ref="A114" si="144">$A110+1</f>
        <v>28</v>
      </c>
      <c r="B114" s="115" t="str">
        <f>IFERROR(INDEX(TBL_PIPED_IMPORTERS_CONNECTIONS[Name],$A114),"")</f>
        <v/>
      </c>
      <c r="C114" s="93" t="str">
        <f t="shared" ref="C114:D114" si="145">IF($B114&lt;&gt;"",C110,"")</f>
        <v/>
      </c>
      <c r="D114" s="93" t="str">
        <f t="shared" si="145"/>
        <v/>
      </c>
      <c r="E114" s="27"/>
      <c r="F114" s="27"/>
      <c r="G114" s="27"/>
      <c r="H114" s="27"/>
      <c r="I114" s="27"/>
      <c r="J114" s="27"/>
      <c r="K114" s="27"/>
      <c r="L114" s="27"/>
      <c r="M114" s="27"/>
      <c r="N114" s="27"/>
      <c r="O114" s="27"/>
      <c r="P114" s="27"/>
      <c r="Q114" s="27"/>
      <c r="R114" s="27"/>
      <c r="S114" s="27"/>
      <c r="T114" s="27"/>
      <c r="U114" s="27"/>
      <c r="V114" s="25"/>
      <c r="W114" s="31" t="e">
        <f>INDEX(TBL_PIPED_IMPORTERS_CONNECTIONS[PipedImporterConnectionID],$A114)</f>
        <v>#REF!</v>
      </c>
      <c r="X114" s="31" t="e">
        <f>"PipedImporterCapMin_"&amp;RIGHT($W114,11)</f>
        <v>#REF!</v>
      </c>
    </row>
    <row r="115" spans="1:24" x14ac:dyDescent="0.25">
      <c r="A115" s="94">
        <f t="shared" ref="A115:A117" si="146">$A114</f>
        <v>28</v>
      </c>
      <c r="B115" s="116"/>
      <c r="C115" s="93" t="str">
        <f t="shared" ref="C115:D115" si="147">IF($B114&lt;&gt;"",C111,"")</f>
        <v/>
      </c>
      <c r="D115" s="93" t="str">
        <f t="shared" si="147"/>
        <v/>
      </c>
      <c r="E115" s="28"/>
      <c r="F115" s="28"/>
      <c r="G115" s="28"/>
      <c r="H115" s="28"/>
      <c r="I115" s="28"/>
      <c r="J115" s="28"/>
      <c r="K115" s="28"/>
      <c r="L115" s="28"/>
      <c r="M115" s="28"/>
      <c r="N115" s="28"/>
      <c r="O115" s="28"/>
      <c r="P115" s="28"/>
      <c r="Q115" s="28"/>
      <c r="R115" s="28"/>
      <c r="S115" s="28"/>
      <c r="T115" s="28"/>
      <c r="U115" s="28"/>
      <c r="V115" s="26"/>
      <c r="W115" s="31" t="e">
        <f>INDEX(TBL_PIPED_IMPORTERS_CONNECTIONS[PipedImporterConnectionID],$A115)</f>
        <v>#REF!</v>
      </c>
      <c r="X115" s="31" t="e">
        <f>"PipedImporterCapMax_"&amp;RIGHT($W115,11)</f>
        <v>#REF!</v>
      </c>
    </row>
    <row r="116" spans="1:24" x14ac:dyDescent="0.25">
      <c r="A116" s="94">
        <f t="shared" si="146"/>
        <v>28</v>
      </c>
      <c r="B116" s="116"/>
      <c r="C116" s="93" t="str">
        <f t="shared" ref="C116:D116" si="148">IF($B114&lt;&gt;"",C112,"")</f>
        <v/>
      </c>
      <c r="D116" s="93" t="str">
        <f t="shared" si="148"/>
        <v/>
      </c>
      <c r="E116" s="27"/>
      <c r="F116" s="27"/>
      <c r="G116" s="27"/>
      <c r="H116" s="27"/>
      <c r="I116" s="27"/>
      <c r="J116" s="27"/>
      <c r="K116" s="27"/>
      <c r="L116" s="27"/>
      <c r="M116" s="27"/>
      <c r="N116" s="27"/>
      <c r="O116" s="27"/>
      <c r="P116" s="27"/>
      <c r="Q116" s="27"/>
      <c r="R116" s="27"/>
      <c r="S116" s="27"/>
      <c r="T116" s="27"/>
      <c r="U116" s="27"/>
      <c r="V116" s="25"/>
      <c r="W116" s="31" t="e">
        <f>INDEX(TBL_PIPED_IMPORTERS_CONNECTIONS[PipedImporterConnectionID],$A116)</f>
        <v>#REF!</v>
      </c>
      <c r="X116" s="31" t="e">
        <f>"PipedImporterTariffFixed_"&amp;RIGHT($W116,11)</f>
        <v>#REF!</v>
      </c>
    </row>
    <row r="117" spans="1:24" x14ac:dyDescent="0.25">
      <c r="A117" s="94">
        <f t="shared" si="146"/>
        <v>28</v>
      </c>
      <c r="B117" s="117"/>
      <c r="C117" s="93" t="str">
        <f t="shared" ref="C117:D117" si="149">IF($B114&lt;&gt;"",C113,"")</f>
        <v/>
      </c>
      <c r="D117" s="93" t="str">
        <f t="shared" si="149"/>
        <v/>
      </c>
      <c r="E117" s="28"/>
      <c r="F117" s="28"/>
      <c r="G117" s="28"/>
      <c r="H117" s="28"/>
      <c r="I117" s="28"/>
      <c r="J117" s="28"/>
      <c r="K117" s="28"/>
      <c r="L117" s="28"/>
      <c r="M117" s="28"/>
      <c r="N117" s="28"/>
      <c r="O117" s="28"/>
      <c r="P117" s="28"/>
      <c r="Q117" s="28"/>
      <c r="R117" s="28"/>
      <c r="S117" s="28"/>
      <c r="T117" s="28"/>
      <c r="U117" s="28"/>
      <c r="V117" s="26"/>
      <c r="W117" s="31" t="e">
        <f>INDEX(TBL_PIPED_IMPORTERS_CONNECTIONS[PipedImporterConnectionID],$A117)</f>
        <v>#REF!</v>
      </c>
      <c r="X117" s="31" t="e">
        <f>"PipedImporterTariffVar_"&amp;RIGHT($W117,11)</f>
        <v>#REF!</v>
      </c>
    </row>
    <row r="118" spans="1:24" x14ac:dyDescent="0.25">
      <c r="A118" s="94">
        <f t="shared" ref="A118" si="150">$A114+1</f>
        <v>29</v>
      </c>
      <c r="B118" s="115" t="str">
        <f>IFERROR(INDEX(TBL_PIPED_IMPORTERS_CONNECTIONS[Name],$A118),"")</f>
        <v/>
      </c>
      <c r="C118" s="93" t="str">
        <f t="shared" ref="C118:D118" si="151">IF($B118&lt;&gt;"",C114,"")</f>
        <v/>
      </c>
      <c r="D118" s="93" t="str">
        <f t="shared" si="151"/>
        <v/>
      </c>
      <c r="E118" s="27"/>
      <c r="F118" s="27"/>
      <c r="G118" s="27"/>
      <c r="H118" s="27"/>
      <c r="I118" s="27"/>
      <c r="J118" s="27"/>
      <c r="K118" s="27"/>
      <c r="L118" s="27"/>
      <c r="M118" s="27"/>
      <c r="N118" s="27"/>
      <c r="O118" s="27"/>
      <c r="P118" s="27"/>
      <c r="Q118" s="27"/>
      <c r="R118" s="27"/>
      <c r="S118" s="27"/>
      <c r="T118" s="27"/>
      <c r="U118" s="27"/>
      <c r="V118" s="25"/>
      <c r="W118" s="31" t="e">
        <f>INDEX(TBL_PIPED_IMPORTERS_CONNECTIONS[PipedImporterConnectionID],$A118)</f>
        <v>#REF!</v>
      </c>
      <c r="X118" s="31" t="e">
        <f>"PipedImporterCapMin_"&amp;RIGHT($W118,11)</f>
        <v>#REF!</v>
      </c>
    </row>
    <row r="119" spans="1:24" x14ac:dyDescent="0.25">
      <c r="A119" s="94">
        <f t="shared" ref="A119:A121" si="152">$A118</f>
        <v>29</v>
      </c>
      <c r="B119" s="116"/>
      <c r="C119" s="93" t="str">
        <f t="shared" ref="C119:D119" si="153">IF($B118&lt;&gt;"",C115,"")</f>
        <v/>
      </c>
      <c r="D119" s="93" t="str">
        <f t="shared" si="153"/>
        <v/>
      </c>
      <c r="E119" s="28"/>
      <c r="F119" s="28"/>
      <c r="G119" s="28"/>
      <c r="H119" s="28"/>
      <c r="I119" s="28"/>
      <c r="J119" s="28"/>
      <c r="K119" s="28"/>
      <c r="L119" s="28"/>
      <c r="M119" s="28"/>
      <c r="N119" s="28"/>
      <c r="O119" s="28"/>
      <c r="P119" s="28"/>
      <c r="Q119" s="28"/>
      <c r="R119" s="28"/>
      <c r="S119" s="28"/>
      <c r="T119" s="28"/>
      <c r="U119" s="28"/>
      <c r="V119" s="26"/>
      <c r="W119" s="31" t="e">
        <f>INDEX(TBL_PIPED_IMPORTERS_CONNECTIONS[PipedImporterConnectionID],$A119)</f>
        <v>#REF!</v>
      </c>
      <c r="X119" s="31" t="e">
        <f>"PipedImporterCapMax_"&amp;RIGHT($W119,11)</f>
        <v>#REF!</v>
      </c>
    </row>
    <row r="120" spans="1:24" x14ac:dyDescent="0.25">
      <c r="A120" s="94">
        <f t="shared" si="152"/>
        <v>29</v>
      </c>
      <c r="B120" s="116"/>
      <c r="C120" s="93" t="str">
        <f t="shared" ref="C120:D120" si="154">IF($B118&lt;&gt;"",C116,"")</f>
        <v/>
      </c>
      <c r="D120" s="93" t="str">
        <f t="shared" si="154"/>
        <v/>
      </c>
      <c r="E120" s="27"/>
      <c r="F120" s="27"/>
      <c r="G120" s="27"/>
      <c r="H120" s="27"/>
      <c r="I120" s="27"/>
      <c r="J120" s="27"/>
      <c r="K120" s="27"/>
      <c r="L120" s="27"/>
      <c r="M120" s="27"/>
      <c r="N120" s="27"/>
      <c r="O120" s="27"/>
      <c r="P120" s="27"/>
      <c r="Q120" s="27"/>
      <c r="R120" s="27"/>
      <c r="S120" s="27"/>
      <c r="T120" s="27"/>
      <c r="U120" s="27"/>
      <c r="V120" s="25"/>
      <c r="W120" s="31" t="e">
        <f>INDEX(TBL_PIPED_IMPORTERS_CONNECTIONS[PipedImporterConnectionID],$A120)</f>
        <v>#REF!</v>
      </c>
      <c r="X120" s="31" t="e">
        <f>"PipedImporterTariffFixed_"&amp;RIGHT($W120,11)</f>
        <v>#REF!</v>
      </c>
    </row>
    <row r="121" spans="1:24" x14ac:dyDescent="0.25">
      <c r="A121" s="94">
        <f t="shared" si="152"/>
        <v>29</v>
      </c>
      <c r="B121" s="117"/>
      <c r="C121" s="93" t="str">
        <f t="shared" ref="C121:D121" si="155">IF($B118&lt;&gt;"",C117,"")</f>
        <v/>
      </c>
      <c r="D121" s="93" t="str">
        <f t="shared" si="155"/>
        <v/>
      </c>
      <c r="E121" s="28"/>
      <c r="F121" s="28"/>
      <c r="G121" s="28"/>
      <c r="H121" s="28"/>
      <c r="I121" s="28"/>
      <c r="J121" s="28"/>
      <c r="K121" s="28"/>
      <c r="L121" s="28"/>
      <c r="M121" s="28"/>
      <c r="N121" s="28"/>
      <c r="O121" s="28"/>
      <c r="P121" s="28"/>
      <c r="Q121" s="28"/>
      <c r="R121" s="28"/>
      <c r="S121" s="28"/>
      <c r="T121" s="28"/>
      <c r="U121" s="28"/>
      <c r="V121" s="26"/>
      <c r="W121" s="31" t="e">
        <f>INDEX(TBL_PIPED_IMPORTERS_CONNECTIONS[PipedImporterConnectionID],$A121)</f>
        <v>#REF!</v>
      </c>
      <c r="X121" s="31" t="e">
        <f>"PipedImporterTariffVar_"&amp;RIGHT($W121,11)</f>
        <v>#REF!</v>
      </c>
    </row>
    <row r="122" spans="1:24" x14ac:dyDescent="0.25">
      <c r="A122" s="94">
        <f t="shared" ref="A122" si="156">$A118+1</f>
        <v>30</v>
      </c>
      <c r="B122" s="115" t="str">
        <f>IFERROR(INDEX(TBL_PIPED_IMPORTERS_CONNECTIONS[Name],$A122),"")</f>
        <v/>
      </c>
      <c r="C122" s="93" t="str">
        <f t="shared" ref="C122:D122" si="157">IF($B122&lt;&gt;"",C118,"")</f>
        <v/>
      </c>
      <c r="D122" s="93" t="str">
        <f t="shared" si="157"/>
        <v/>
      </c>
      <c r="E122" s="27"/>
      <c r="F122" s="27"/>
      <c r="G122" s="27"/>
      <c r="H122" s="27"/>
      <c r="I122" s="27"/>
      <c r="J122" s="27"/>
      <c r="K122" s="27"/>
      <c r="L122" s="27"/>
      <c r="M122" s="27"/>
      <c r="N122" s="27"/>
      <c r="O122" s="27"/>
      <c r="P122" s="27"/>
      <c r="Q122" s="27"/>
      <c r="R122" s="27"/>
      <c r="S122" s="27"/>
      <c r="T122" s="27"/>
      <c r="U122" s="27"/>
      <c r="V122" s="25"/>
      <c r="W122" s="31" t="e">
        <f>INDEX(TBL_PIPED_IMPORTERS_CONNECTIONS[PipedImporterConnectionID],$A122)</f>
        <v>#REF!</v>
      </c>
      <c r="X122" s="31" t="e">
        <f>"PipedImporterCapMin_"&amp;RIGHT($W122,11)</f>
        <v>#REF!</v>
      </c>
    </row>
    <row r="123" spans="1:24" x14ac:dyDescent="0.25">
      <c r="A123" s="94">
        <f t="shared" ref="A123:A141" si="158">$A122</f>
        <v>30</v>
      </c>
      <c r="B123" s="116"/>
      <c r="C123" s="93" t="str">
        <f t="shared" ref="C123:D123" si="159">IF($B122&lt;&gt;"",C119,"")</f>
        <v/>
      </c>
      <c r="D123" s="93" t="str">
        <f t="shared" si="159"/>
        <v/>
      </c>
      <c r="E123" s="28"/>
      <c r="F123" s="28"/>
      <c r="G123" s="28"/>
      <c r="H123" s="28"/>
      <c r="I123" s="28"/>
      <c r="J123" s="28"/>
      <c r="K123" s="28"/>
      <c r="L123" s="28"/>
      <c r="M123" s="28"/>
      <c r="N123" s="28"/>
      <c r="O123" s="28"/>
      <c r="P123" s="28"/>
      <c r="Q123" s="28"/>
      <c r="R123" s="28"/>
      <c r="S123" s="28"/>
      <c r="T123" s="28"/>
      <c r="U123" s="28"/>
      <c r="V123" s="26"/>
      <c r="W123" s="31" t="e">
        <f>INDEX(TBL_PIPED_IMPORTERS_CONNECTIONS[PipedImporterConnectionID],$A123)</f>
        <v>#REF!</v>
      </c>
      <c r="X123" s="31" t="e">
        <f>"PipedImporterCapMax_"&amp;RIGHT($W123,11)</f>
        <v>#REF!</v>
      </c>
    </row>
    <row r="124" spans="1:24" x14ac:dyDescent="0.25">
      <c r="A124" s="94">
        <f t="shared" si="158"/>
        <v>30</v>
      </c>
      <c r="B124" s="116"/>
      <c r="C124" s="93" t="str">
        <f t="shared" ref="C124:D124" si="160">IF($B122&lt;&gt;"",C120,"")</f>
        <v/>
      </c>
      <c r="D124" s="93" t="str">
        <f t="shared" si="160"/>
        <v/>
      </c>
      <c r="E124" s="27"/>
      <c r="F124" s="27"/>
      <c r="G124" s="27"/>
      <c r="H124" s="27"/>
      <c r="I124" s="27"/>
      <c r="J124" s="27"/>
      <c r="K124" s="27"/>
      <c r="L124" s="27"/>
      <c r="M124" s="27"/>
      <c r="N124" s="27"/>
      <c r="O124" s="27"/>
      <c r="P124" s="27"/>
      <c r="Q124" s="27"/>
      <c r="R124" s="27"/>
      <c r="S124" s="27"/>
      <c r="T124" s="27"/>
      <c r="U124" s="27"/>
      <c r="V124" s="25"/>
      <c r="W124" s="31" t="e">
        <f>INDEX(TBL_PIPED_IMPORTERS_CONNECTIONS[PipedImporterConnectionID],$A124)</f>
        <v>#REF!</v>
      </c>
      <c r="X124" s="31" t="e">
        <f>"PipedImporterTariffFixed_"&amp;RIGHT($W124,11)</f>
        <v>#REF!</v>
      </c>
    </row>
    <row r="125" spans="1:24" x14ac:dyDescent="0.25">
      <c r="A125" s="94">
        <f t="shared" si="158"/>
        <v>30</v>
      </c>
      <c r="B125" s="117"/>
      <c r="C125" s="93" t="str">
        <f t="shared" ref="C125:D125" si="161">IF($B122&lt;&gt;"",C121,"")</f>
        <v/>
      </c>
      <c r="D125" s="93" t="str">
        <f t="shared" si="161"/>
        <v/>
      </c>
      <c r="E125" s="28"/>
      <c r="F125" s="28"/>
      <c r="G125" s="28"/>
      <c r="H125" s="28"/>
      <c r="I125" s="28"/>
      <c r="J125" s="28"/>
      <c r="K125" s="28"/>
      <c r="L125" s="28"/>
      <c r="M125" s="28"/>
      <c r="N125" s="28"/>
      <c r="O125" s="28"/>
      <c r="P125" s="28"/>
      <c r="Q125" s="28"/>
      <c r="R125" s="28"/>
      <c r="S125" s="28"/>
      <c r="T125" s="28"/>
      <c r="U125" s="28"/>
      <c r="V125" s="26"/>
      <c r="W125" s="31" t="e">
        <f>INDEX(TBL_PIPED_IMPORTERS_CONNECTIONS[PipedImporterConnectionID],$A125)</f>
        <v>#REF!</v>
      </c>
      <c r="X125" s="31" t="e">
        <f>"PipedImporterTariffVar_"&amp;RIGHT($W125,11)</f>
        <v>#REF!</v>
      </c>
    </row>
    <row r="126" spans="1:24" x14ac:dyDescent="0.25">
      <c r="A126" s="94">
        <f t="shared" ref="A126" si="162">$A122+1</f>
        <v>31</v>
      </c>
      <c r="B126" s="115" t="str">
        <f>IFERROR(INDEX(TBL_PIPED_IMPORTERS_CONNECTIONS[Name],$A126),"")</f>
        <v/>
      </c>
      <c r="C126" s="93" t="str">
        <f t="shared" ref="C126:D126" si="163">IF($B126&lt;&gt;"",C122,"")</f>
        <v/>
      </c>
      <c r="D126" s="93" t="str">
        <f t="shared" si="163"/>
        <v/>
      </c>
      <c r="E126" s="27"/>
      <c r="F126" s="27"/>
      <c r="G126" s="27"/>
      <c r="H126" s="27"/>
      <c r="I126" s="27"/>
      <c r="J126" s="27"/>
      <c r="K126" s="27"/>
      <c r="L126" s="27"/>
      <c r="M126" s="27"/>
      <c r="N126" s="27"/>
      <c r="O126" s="27"/>
      <c r="P126" s="27"/>
      <c r="Q126" s="27"/>
      <c r="R126" s="27"/>
      <c r="S126" s="27"/>
      <c r="T126" s="27"/>
      <c r="U126" s="27"/>
      <c r="V126" s="25"/>
      <c r="W126" s="31" t="e">
        <f>INDEX(TBL_PIPED_IMPORTERS_CONNECTIONS[PipedImporterConnectionID],$A126)</f>
        <v>#REF!</v>
      </c>
      <c r="X126" s="31" t="e">
        <f>"PipedImporterCapMin_"&amp;RIGHT($W126,11)</f>
        <v>#REF!</v>
      </c>
    </row>
    <row r="127" spans="1:24" x14ac:dyDescent="0.25">
      <c r="A127" s="94">
        <f t="shared" si="158"/>
        <v>31</v>
      </c>
      <c r="B127" s="116"/>
      <c r="C127" s="93" t="str">
        <f t="shared" ref="C127:D127" si="164">IF($B126&lt;&gt;"",C123,"")</f>
        <v/>
      </c>
      <c r="D127" s="93" t="str">
        <f t="shared" si="164"/>
        <v/>
      </c>
      <c r="E127" s="28"/>
      <c r="F127" s="28"/>
      <c r="G127" s="28"/>
      <c r="H127" s="28"/>
      <c r="I127" s="28"/>
      <c r="J127" s="28"/>
      <c r="K127" s="28"/>
      <c r="L127" s="28"/>
      <c r="M127" s="28"/>
      <c r="N127" s="28"/>
      <c r="O127" s="28"/>
      <c r="P127" s="28"/>
      <c r="Q127" s="28"/>
      <c r="R127" s="28"/>
      <c r="S127" s="28"/>
      <c r="T127" s="28"/>
      <c r="U127" s="28"/>
      <c r="V127" s="26"/>
      <c r="W127" s="31" t="e">
        <f>INDEX(TBL_PIPED_IMPORTERS_CONNECTIONS[PipedImporterConnectionID],$A127)</f>
        <v>#REF!</v>
      </c>
      <c r="X127" s="31" t="e">
        <f>"PipedImporterCapMax_"&amp;RIGHT($W127,11)</f>
        <v>#REF!</v>
      </c>
    </row>
    <row r="128" spans="1:24" x14ac:dyDescent="0.25">
      <c r="A128" s="94">
        <f t="shared" si="158"/>
        <v>31</v>
      </c>
      <c r="B128" s="116"/>
      <c r="C128" s="93" t="str">
        <f t="shared" ref="C128:D128" si="165">IF($B126&lt;&gt;"",C124,"")</f>
        <v/>
      </c>
      <c r="D128" s="93" t="str">
        <f t="shared" si="165"/>
        <v/>
      </c>
      <c r="E128" s="27"/>
      <c r="F128" s="27"/>
      <c r="G128" s="27"/>
      <c r="H128" s="27"/>
      <c r="I128" s="27"/>
      <c r="J128" s="27"/>
      <c r="K128" s="27"/>
      <c r="L128" s="27"/>
      <c r="M128" s="27"/>
      <c r="N128" s="27"/>
      <c r="O128" s="27"/>
      <c r="P128" s="27"/>
      <c r="Q128" s="27"/>
      <c r="R128" s="27"/>
      <c r="S128" s="27"/>
      <c r="T128" s="27"/>
      <c r="U128" s="27"/>
      <c r="V128" s="25"/>
      <c r="W128" s="31" t="e">
        <f>INDEX(TBL_PIPED_IMPORTERS_CONNECTIONS[PipedImporterConnectionID],$A128)</f>
        <v>#REF!</v>
      </c>
      <c r="X128" s="31" t="e">
        <f>"PipedImporterTariffFixed_"&amp;RIGHT($W128,11)</f>
        <v>#REF!</v>
      </c>
    </row>
    <row r="129" spans="1:24" x14ac:dyDescent="0.25">
      <c r="A129" s="94">
        <f t="shared" si="158"/>
        <v>31</v>
      </c>
      <c r="B129" s="117"/>
      <c r="C129" s="93" t="str">
        <f t="shared" ref="C129:D129" si="166">IF($B126&lt;&gt;"",C125,"")</f>
        <v/>
      </c>
      <c r="D129" s="93" t="str">
        <f t="shared" si="166"/>
        <v/>
      </c>
      <c r="E129" s="28"/>
      <c r="F129" s="28"/>
      <c r="G129" s="28"/>
      <c r="H129" s="28"/>
      <c r="I129" s="28"/>
      <c r="J129" s="28"/>
      <c r="K129" s="28"/>
      <c r="L129" s="28"/>
      <c r="M129" s="28"/>
      <c r="N129" s="28"/>
      <c r="O129" s="28"/>
      <c r="P129" s="28"/>
      <c r="Q129" s="28"/>
      <c r="R129" s="28"/>
      <c r="S129" s="28"/>
      <c r="T129" s="28"/>
      <c r="U129" s="28"/>
      <c r="V129" s="26"/>
      <c r="W129" s="31" t="e">
        <f>INDEX(TBL_PIPED_IMPORTERS_CONNECTIONS[PipedImporterConnectionID],$A129)</f>
        <v>#REF!</v>
      </c>
      <c r="X129" s="31" t="e">
        <f>"PipedImporterTariffVar_"&amp;RIGHT($W129,11)</f>
        <v>#REF!</v>
      </c>
    </row>
    <row r="130" spans="1:24" x14ac:dyDescent="0.25">
      <c r="A130" s="94">
        <f t="shared" ref="A130" si="167">$A126+1</f>
        <v>32</v>
      </c>
      <c r="B130" s="115" t="str">
        <f>IFERROR(INDEX(TBL_PIPED_IMPORTERS_CONNECTIONS[Name],$A130),"")</f>
        <v/>
      </c>
      <c r="C130" s="93" t="str">
        <f t="shared" ref="C130:D130" si="168">IF($B130&lt;&gt;"",C126,"")</f>
        <v/>
      </c>
      <c r="D130" s="93" t="str">
        <f t="shared" si="168"/>
        <v/>
      </c>
      <c r="E130" s="27"/>
      <c r="F130" s="27"/>
      <c r="G130" s="27"/>
      <c r="H130" s="27"/>
      <c r="I130" s="27"/>
      <c r="J130" s="27"/>
      <c r="K130" s="27"/>
      <c r="L130" s="27"/>
      <c r="M130" s="27"/>
      <c r="N130" s="27"/>
      <c r="O130" s="27"/>
      <c r="P130" s="27"/>
      <c r="Q130" s="27"/>
      <c r="R130" s="27"/>
      <c r="S130" s="27"/>
      <c r="T130" s="27"/>
      <c r="U130" s="27"/>
      <c r="V130" s="25"/>
      <c r="W130" s="31" t="e">
        <f>INDEX(TBL_PIPED_IMPORTERS_CONNECTIONS[PipedImporterConnectionID],$A130)</f>
        <v>#REF!</v>
      </c>
      <c r="X130" s="31" t="e">
        <f>"PipedImporterCapMin_"&amp;RIGHT($W130,11)</f>
        <v>#REF!</v>
      </c>
    </row>
    <row r="131" spans="1:24" x14ac:dyDescent="0.25">
      <c r="A131" s="94">
        <f t="shared" si="158"/>
        <v>32</v>
      </c>
      <c r="B131" s="116"/>
      <c r="C131" s="93" t="str">
        <f t="shared" ref="C131:D131" si="169">IF($B130&lt;&gt;"",C127,"")</f>
        <v/>
      </c>
      <c r="D131" s="93" t="str">
        <f t="shared" si="169"/>
        <v/>
      </c>
      <c r="E131" s="28"/>
      <c r="F131" s="28"/>
      <c r="G131" s="28"/>
      <c r="H131" s="28"/>
      <c r="I131" s="28"/>
      <c r="J131" s="28"/>
      <c r="K131" s="28"/>
      <c r="L131" s="28"/>
      <c r="M131" s="28"/>
      <c r="N131" s="28"/>
      <c r="O131" s="28"/>
      <c r="P131" s="28"/>
      <c r="Q131" s="28"/>
      <c r="R131" s="28"/>
      <c r="S131" s="28"/>
      <c r="T131" s="28"/>
      <c r="U131" s="28"/>
      <c r="V131" s="26"/>
      <c r="W131" s="31" t="e">
        <f>INDEX(TBL_PIPED_IMPORTERS_CONNECTIONS[PipedImporterConnectionID],$A131)</f>
        <v>#REF!</v>
      </c>
      <c r="X131" s="31" t="e">
        <f>"PipedImporterCapMax_"&amp;RIGHT($W131,11)</f>
        <v>#REF!</v>
      </c>
    </row>
    <row r="132" spans="1:24" x14ac:dyDescent="0.25">
      <c r="A132" s="94">
        <f t="shared" si="158"/>
        <v>32</v>
      </c>
      <c r="B132" s="116"/>
      <c r="C132" s="93" t="str">
        <f t="shared" ref="C132:D132" si="170">IF($B130&lt;&gt;"",C128,"")</f>
        <v/>
      </c>
      <c r="D132" s="93" t="str">
        <f t="shared" si="170"/>
        <v/>
      </c>
      <c r="E132" s="27"/>
      <c r="F132" s="27"/>
      <c r="G132" s="27"/>
      <c r="H132" s="27"/>
      <c r="I132" s="27"/>
      <c r="J132" s="27"/>
      <c r="K132" s="27"/>
      <c r="L132" s="27"/>
      <c r="M132" s="27"/>
      <c r="N132" s="27"/>
      <c r="O132" s="27"/>
      <c r="P132" s="27"/>
      <c r="Q132" s="27"/>
      <c r="R132" s="27"/>
      <c r="S132" s="27"/>
      <c r="T132" s="27"/>
      <c r="U132" s="27"/>
      <c r="V132" s="25"/>
      <c r="W132" s="31" t="e">
        <f>INDEX(TBL_PIPED_IMPORTERS_CONNECTIONS[PipedImporterConnectionID],$A132)</f>
        <v>#REF!</v>
      </c>
      <c r="X132" s="31" t="e">
        <f>"PipedImporterTariffFixed_"&amp;RIGHT($W132,11)</f>
        <v>#REF!</v>
      </c>
    </row>
    <row r="133" spans="1:24" x14ac:dyDescent="0.25">
      <c r="A133" s="94">
        <f t="shared" si="158"/>
        <v>32</v>
      </c>
      <c r="B133" s="117"/>
      <c r="C133" s="93" t="str">
        <f t="shared" ref="C133:D133" si="171">IF($B130&lt;&gt;"",C129,"")</f>
        <v/>
      </c>
      <c r="D133" s="93" t="str">
        <f t="shared" si="171"/>
        <v/>
      </c>
      <c r="E133" s="28"/>
      <c r="F133" s="28"/>
      <c r="G133" s="28"/>
      <c r="H133" s="28"/>
      <c r="I133" s="28"/>
      <c r="J133" s="28"/>
      <c r="K133" s="28"/>
      <c r="L133" s="28"/>
      <c r="M133" s="28"/>
      <c r="N133" s="28"/>
      <c r="O133" s="28"/>
      <c r="P133" s="28"/>
      <c r="Q133" s="28"/>
      <c r="R133" s="28"/>
      <c r="S133" s="28"/>
      <c r="T133" s="28"/>
      <c r="U133" s="28"/>
      <c r="V133" s="26"/>
      <c r="W133" s="31" t="e">
        <f>INDEX(TBL_PIPED_IMPORTERS_CONNECTIONS[PipedImporterConnectionID],$A133)</f>
        <v>#REF!</v>
      </c>
      <c r="X133" s="31" t="e">
        <f>"PipedImporterTariffVar_"&amp;RIGHT($W133,11)</f>
        <v>#REF!</v>
      </c>
    </row>
    <row r="134" spans="1:24" x14ac:dyDescent="0.25">
      <c r="A134" s="94">
        <f t="shared" ref="A134" si="172">$A130+1</f>
        <v>33</v>
      </c>
      <c r="B134" s="115" t="str">
        <f>IFERROR(INDEX(TBL_PIPED_IMPORTERS_CONNECTIONS[Name],$A134),"")</f>
        <v/>
      </c>
      <c r="C134" s="93" t="str">
        <f t="shared" ref="C134:D134" si="173">IF($B134&lt;&gt;"",C130,"")</f>
        <v/>
      </c>
      <c r="D134" s="93" t="str">
        <f t="shared" si="173"/>
        <v/>
      </c>
      <c r="E134" s="27"/>
      <c r="F134" s="27"/>
      <c r="G134" s="27"/>
      <c r="H134" s="27"/>
      <c r="I134" s="27"/>
      <c r="J134" s="27"/>
      <c r="K134" s="27"/>
      <c r="L134" s="27"/>
      <c r="M134" s="27"/>
      <c r="N134" s="27"/>
      <c r="O134" s="27"/>
      <c r="P134" s="27"/>
      <c r="Q134" s="27"/>
      <c r="R134" s="27"/>
      <c r="S134" s="27"/>
      <c r="T134" s="27"/>
      <c r="U134" s="27"/>
      <c r="V134" s="25"/>
      <c r="W134" s="31" t="e">
        <f>INDEX(TBL_PIPED_IMPORTERS_CONNECTIONS[PipedImporterConnectionID],$A134)</f>
        <v>#REF!</v>
      </c>
      <c r="X134" s="31" t="e">
        <f>"PipedImporterCapMin_"&amp;RIGHT($W134,11)</f>
        <v>#REF!</v>
      </c>
    </row>
    <row r="135" spans="1:24" x14ac:dyDescent="0.25">
      <c r="A135" s="94">
        <f t="shared" si="158"/>
        <v>33</v>
      </c>
      <c r="B135" s="116"/>
      <c r="C135" s="93" t="str">
        <f t="shared" ref="C135:D135" si="174">IF($B134&lt;&gt;"",C131,"")</f>
        <v/>
      </c>
      <c r="D135" s="93" t="str">
        <f t="shared" si="174"/>
        <v/>
      </c>
      <c r="E135" s="28"/>
      <c r="F135" s="28"/>
      <c r="G135" s="28"/>
      <c r="H135" s="28"/>
      <c r="I135" s="28"/>
      <c r="J135" s="28"/>
      <c r="K135" s="28"/>
      <c r="L135" s="28"/>
      <c r="M135" s="28"/>
      <c r="N135" s="28"/>
      <c r="O135" s="28"/>
      <c r="P135" s="28"/>
      <c r="Q135" s="28"/>
      <c r="R135" s="28"/>
      <c r="S135" s="28"/>
      <c r="T135" s="28"/>
      <c r="U135" s="28"/>
      <c r="V135" s="26"/>
      <c r="W135" s="31" t="e">
        <f>INDEX(TBL_PIPED_IMPORTERS_CONNECTIONS[PipedImporterConnectionID],$A135)</f>
        <v>#REF!</v>
      </c>
      <c r="X135" s="31" t="e">
        <f>"PipedImporterCapMax_"&amp;RIGHT($W135,11)</f>
        <v>#REF!</v>
      </c>
    </row>
    <row r="136" spans="1:24" x14ac:dyDescent="0.25">
      <c r="A136" s="94">
        <f t="shared" si="158"/>
        <v>33</v>
      </c>
      <c r="B136" s="116"/>
      <c r="C136" s="93" t="str">
        <f t="shared" ref="C136:D136" si="175">IF($B134&lt;&gt;"",C132,"")</f>
        <v/>
      </c>
      <c r="D136" s="93" t="str">
        <f t="shared" si="175"/>
        <v/>
      </c>
      <c r="E136" s="27"/>
      <c r="F136" s="27"/>
      <c r="G136" s="27"/>
      <c r="H136" s="27"/>
      <c r="I136" s="27"/>
      <c r="J136" s="27"/>
      <c r="K136" s="27"/>
      <c r="L136" s="27"/>
      <c r="M136" s="27"/>
      <c r="N136" s="27"/>
      <c r="O136" s="27"/>
      <c r="P136" s="27"/>
      <c r="Q136" s="27"/>
      <c r="R136" s="27"/>
      <c r="S136" s="27"/>
      <c r="T136" s="27"/>
      <c r="U136" s="27"/>
      <c r="V136" s="25"/>
      <c r="W136" s="31" t="e">
        <f>INDEX(TBL_PIPED_IMPORTERS_CONNECTIONS[PipedImporterConnectionID],$A136)</f>
        <v>#REF!</v>
      </c>
      <c r="X136" s="31" t="e">
        <f>"PipedImporterTariffFixed_"&amp;RIGHT($W136,11)</f>
        <v>#REF!</v>
      </c>
    </row>
    <row r="137" spans="1:24" x14ac:dyDescent="0.25">
      <c r="A137" s="94">
        <f t="shared" si="158"/>
        <v>33</v>
      </c>
      <c r="B137" s="117"/>
      <c r="C137" s="93" t="str">
        <f t="shared" ref="C137:D137" si="176">IF($B134&lt;&gt;"",C133,"")</f>
        <v/>
      </c>
      <c r="D137" s="93" t="str">
        <f t="shared" si="176"/>
        <v/>
      </c>
      <c r="E137" s="28"/>
      <c r="F137" s="28"/>
      <c r="G137" s="28"/>
      <c r="H137" s="28"/>
      <c r="I137" s="28"/>
      <c r="J137" s="28"/>
      <c r="K137" s="28"/>
      <c r="L137" s="28"/>
      <c r="M137" s="28"/>
      <c r="N137" s="28"/>
      <c r="O137" s="28"/>
      <c r="P137" s="28"/>
      <c r="Q137" s="28"/>
      <c r="R137" s="28"/>
      <c r="S137" s="28"/>
      <c r="T137" s="28"/>
      <c r="U137" s="28"/>
      <c r="V137" s="26"/>
      <c r="W137" s="31" t="e">
        <f>INDEX(TBL_PIPED_IMPORTERS_CONNECTIONS[PipedImporterConnectionID],$A137)</f>
        <v>#REF!</v>
      </c>
      <c r="X137" s="31" t="e">
        <f>"PipedImporterTariffVar_"&amp;RIGHT($W137,11)</f>
        <v>#REF!</v>
      </c>
    </row>
    <row r="138" spans="1:24" x14ac:dyDescent="0.25">
      <c r="A138" s="94">
        <f t="shared" ref="A138" si="177">$A134+1</f>
        <v>34</v>
      </c>
      <c r="B138" s="115" t="str">
        <f>IFERROR(INDEX(TBL_PIPED_IMPORTERS_CONNECTIONS[Name],$A138),"")</f>
        <v/>
      </c>
      <c r="C138" s="93" t="str">
        <f t="shared" ref="C138:D138" si="178">IF($B138&lt;&gt;"",C134,"")</f>
        <v/>
      </c>
      <c r="D138" s="93" t="str">
        <f t="shared" si="178"/>
        <v/>
      </c>
      <c r="E138" s="27"/>
      <c r="F138" s="27"/>
      <c r="G138" s="27"/>
      <c r="H138" s="27"/>
      <c r="I138" s="27"/>
      <c r="J138" s="27"/>
      <c r="K138" s="27"/>
      <c r="L138" s="27"/>
      <c r="M138" s="27"/>
      <c r="N138" s="27"/>
      <c r="O138" s="27"/>
      <c r="P138" s="27"/>
      <c r="Q138" s="27"/>
      <c r="R138" s="27"/>
      <c r="S138" s="27"/>
      <c r="T138" s="27"/>
      <c r="U138" s="27"/>
      <c r="V138" s="25"/>
      <c r="W138" s="31" t="e">
        <f>INDEX(TBL_PIPED_IMPORTERS_CONNECTIONS[PipedImporterConnectionID],$A138)</f>
        <v>#REF!</v>
      </c>
      <c r="X138" s="31" t="e">
        <f>"PipedImporterCapMin_"&amp;RIGHT($W138,11)</f>
        <v>#REF!</v>
      </c>
    </row>
    <row r="139" spans="1:24" x14ac:dyDescent="0.25">
      <c r="A139" s="94">
        <f t="shared" si="158"/>
        <v>34</v>
      </c>
      <c r="B139" s="116"/>
      <c r="C139" s="93" t="str">
        <f t="shared" ref="C139:D139" si="179">IF($B138&lt;&gt;"",C135,"")</f>
        <v/>
      </c>
      <c r="D139" s="93" t="str">
        <f t="shared" si="179"/>
        <v/>
      </c>
      <c r="E139" s="28"/>
      <c r="F139" s="28"/>
      <c r="G139" s="28"/>
      <c r="H139" s="28"/>
      <c r="I139" s="28"/>
      <c r="J139" s="28"/>
      <c r="K139" s="28"/>
      <c r="L139" s="28"/>
      <c r="M139" s="28"/>
      <c r="N139" s="28"/>
      <c r="O139" s="28"/>
      <c r="P139" s="28"/>
      <c r="Q139" s="28"/>
      <c r="R139" s="28"/>
      <c r="S139" s="28"/>
      <c r="T139" s="28"/>
      <c r="U139" s="28"/>
      <c r="V139" s="26"/>
      <c r="W139" s="31" t="e">
        <f>INDEX(TBL_PIPED_IMPORTERS_CONNECTIONS[PipedImporterConnectionID],$A139)</f>
        <v>#REF!</v>
      </c>
      <c r="X139" s="31" t="e">
        <f>"PipedImporterCapMax_"&amp;RIGHT($W139,11)</f>
        <v>#REF!</v>
      </c>
    </row>
    <row r="140" spans="1:24" x14ac:dyDescent="0.25">
      <c r="A140" s="94">
        <f t="shared" si="158"/>
        <v>34</v>
      </c>
      <c r="B140" s="116"/>
      <c r="C140" s="93" t="str">
        <f t="shared" ref="C140:D140" si="180">IF($B138&lt;&gt;"",C136,"")</f>
        <v/>
      </c>
      <c r="D140" s="93" t="str">
        <f t="shared" si="180"/>
        <v/>
      </c>
      <c r="E140" s="27"/>
      <c r="F140" s="27"/>
      <c r="G140" s="27"/>
      <c r="H140" s="27"/>
      <c r="I140" s="27"/>
      <c r="J140" s="27"/>
      <c r="K140" s="27"/>
      <c r="L140" s="27"/>
      <c r="M140" s="27"/>
      <c r="N140" s="27"/>
      <c r="O140" s="27"/>
      <c r="P140" s="27"/>
      <c r="Q140" s="27"/>
      <c r="R140" s="27"/>
      <c r="S140" s="27"/>
      <c r="T140" s="27"/>
      <c r="U140" s="27"/>
      <c r="V140" s="25"/>
      <c r="W140" s="31" t="e">
        <f>INDEX(TBL_PIPED_IMPORTERS_CONNECTIONS[PipedImporterConnectionID],$A140)</f>
        <v>#REF!</v>
      </c>
      <c r="X140" s="31" t="e">
        <f>"PipedImporterTariffFixed_"&amp;RIGHT($W140,11)</f>
        <v>#REF!</v>
      </c>
    </row>
    <row r="141" spans="1:24" x14ac:dyDescent="0.25">
      <c r="A141" s="94">
        <f t="shared" si="158"/>
        <v>34</v>
      </c>
      <c r="B141" s="117"/>
      <c r="C141" s="93" t="str">
        <f t="shared" ref="C141:D141" si="181">IF($B138&lt;&gt;"",C137,"")</f>
        <v/>
      </c>
      <c r="D141" s="93" t="str">
        <f t="shared" si="181"/>
        <v/>
      </c>
      <c r="E141" s="28"/>
      <c r="F141" s="28"/>
      <c r="G141" s="28"/>
      <c r="H141" s="28"/>
      <c r="I141" s="28"/>
      <c r="J141" s="28"/>
      <c r="K141" s="28"/>
      <c r="L141" s="28"/>
      <c r="M141" s="28"/>
      <c r="N141" s="28"/>
      <c r="O141" s="28"/>
      <c r="P141" s="28"/>
      <c r="Q141" s="28"/>
      <c r="R141" s="28"/>
      <c r="S141" s="28"/>
      <c r="T141" s="28"/>
      <c r="U141" s="28"/>
      <c r="V141" s="26"/>
      <c r="W141" s="31" t="e">
        <f>INDEX(TBL_PIPED_IMPORTERS_CONNECTIONS[PipedImporterConnectionID],$A141)</f>
        <v>#REF!</v>
      </c>
      <c r="X141" s="31" t="e">
        <f>"PipedImporterTariffVar_"&amp;RIGHT($W141,11)</f>
        <v>#REF!</v>
      </c>
    </row>
    <row r="142" spans="1:24" x14ac:dyDescent="0.25">
      <c r="A142" s="94">
        <f t="shared" ref="A142" si="182">$A138+1</f>
        <v>35</v>
      </c>
      <c r="B142" s="115" t="str">
        <f>IFERROR(INDEX(TBL_PIPED_IMPORTERS_CONNECTIONS[Name],$A142),"")</f>
        <v/>
      </c>
      <c r="C142" s="93" t="str">
        <f t="shared" ref="C142:D142" si="183">IF($B142&lt;&gt;"",C138,"")</f>
        <v/>
      </c>
      <c r="D142" s="93" t="str">
        <f t="shared" si="183"/>
        <v/>
      </c>
      <c r="E142" s="27"/>
      <c r="F142" s="27"/>
      <c r="G142" s="27"/>
      <c r="H142" s="27"/>
      <c r="I142" s="27"/>
      <c r="J142" s="27"/>
      <c r="K142" s="27"/>
      <c r="L142" s="27"/>
      <c r="M142" s="27"/>
      <c r="N142" s="27"/>
      <c r="O142" s="27"/>
      <c r="P142" s="27"/>
      <c r="Q142" s="27"/>
      <c r="R142" s="27"/>
      <c r="S142" s="27"/>
      <c r="T142" s="27"/>
      <c r="U142" s="27"/>
      <c r="V142" s="25"/>
      <c r="W142" s="31" t="e">
        <f>INDEX(TBL_PIPED_IMPORTERS_CONNECTIONS[PipedImporterConnectionID],$A142)</f>
        <v>#REF!</v>
      </c>
      <c r="X142" s="31" t="e">
        <f>"PipedImporterCapMin_"&amp;RIGHT($W142,11)</f>
        <v>#REF!</v>
      </c>
    </row>
    <row r="143" spans="1:24" x14ac:dyDescent="0.25">
      <c r="A143" s="94">
        <f t="shared" ref="A143:A145" si="184">$A142</f>
        <v>35</v>
      </c>
      <c r="B143" s="116"/>
      <c r="C143" s="93" t="str">
        <f t="shared" ref="C143:D143" si="185">IF($B142&lt;&gt;"",C139,"")</f>
        <v/>
      </c>
      <c r="D143" s="93" t="str">
        <f t="shared" si="185"/>
        <v/>
      </c>
      <c r="E143" s="28"/>
      <c r="F143" s="28"/>
      <c r="G143" s="28"/>
      <c r="H143" s="28"/>
      <c r="I143" s="28"/>
      <c r="J143" s="28"/>
      <c r="K143" s="28"/>
      <c r="L143" s="28"/>
      <c r="M143" s="28"/>
      <c r="N143" s="28"/>
      <c r="O143" s="28"/>
      <c r="P143" s="28"/>
      <c r="Q143" s="28"/>
      <c r="R143" s="28"/>
      <c r="S143" s="28"/>
      <c r="T143" s="28"/>
      <c r="U143" s="28"/>
      <c r="V143" s="26"/>
      <c r="W143" s="31" t="e">
        <f>INDEX(TBL_PIPED_IMPORTERS_CONNECTIONS[PipedImporterConnectionID],$A143)</f>
        <v>#REF!</v>
      </c>
      <c r="X143" s="31" t="e">
        <f>"PipedImporterCapMax_"&amp;RIGHT($W143,11)</f>
        <v>#REF!</v>
      </c>
    </row>
    <row r="144" spans="1:24" x14ac:dyDescent="0.25">
      <c r="A144" s="94">
        <f t="shared" si="184"/>
        <v>35</v>
      </c>
      <c r="B144" s="116"/>
      <c r="C144" s="93" t="str">
        <f t="shared" ref="C144:D144" si="186">IF($B142&lt;&gt;"",C140,"")</f>
        <v/>
      </c>
      <c r="D144" s="93" t="str">
        <f t="shared" si="186"/>
        <v/>
      </c>
      <c r="E144" s="27"/>
      <c r="F144" s="27"/>
      <c r="G144" s="27"/>
      <c r="H144" s="27"/>
      <c r="I144" s="27"/>
      <c r="J144" s="27"/>
      <c r="K144" s="27"/>
      <c r="L144" s="27"/>
      <c r="M144" s="27"/>
      <c r="N144" s="27"/>
      <c r="O144" s="27"/>
      <c r="P144" s="27"/>
      <c r="Q144" s="27"/>
      <c r="R144" s="27"/>
      <c r="S144" s="27"/>
      <c r="T144" s="27"/>
      <c r="U144" s="27"/>
      <c r="V144" s="25"/>
      <c r="W144" s="31" t="e">
        <f>INDEX(TBL_PIPED_IMPORTERS_CONNECTIONS[PipedImporterConnectionID],$A144)</f>
        <v>#REF!</v>
      </c>
      <c r="X144" s="31" t="e">
        <f>"PipedImporterTariffFixed_"&amp;RIGHT($W144,11)</f>
        <v>#REF!</v>
      </c>
    </row>
    <row r="145" spans="1:24" x14ac:dyDescent="0.25">
      <c r="A145" s="94">
        <f t="shared" si="184"/>
        <v>35</v>
      </c>
      <c r="B145" s="117"/>
      <c r="C145" s="93" t="str">
        <f t="shared" ref="C145:D145" si="187">IF($B142&lt;&gt;"",C141,"")</f>
        <v/>
      </c>
      <c r="D145" s="93" t="str">
        <f t="shared" si="187"/>
        <v/>
      </c>
      <c r="E145" s="28"/>
      <c r="F145" s="28"/>
      <c r="G145" s="28"/>
      <c r="H145" s="28"/>
      <c r="I145" s="28"/>
      <c r="J145" s="28"/>
      <c r="K145" s="28"/>
      <c r="L145" s="28"/>
      <c r="M145" s="28"/>
      <c r="N145" s="28"/>
      <c r="O145" s="28"/>
      <c r="P145" s="28"/>
      <c r="Q145" s="28"/>
      <c r="R145" s="28"/>
      <c r="S145" s="28"/>
      <c r="T145" s="28"/>
      <c r="U145" s="28"/>
      <c r="V145" s="26"/>
      <c r="W145" s="31" t="e">
        <f>INDEX(TBL_PIPED_IMPORTERS_CONNECTIONS[PipedImporterConnectionID],$A145)</f>
        <v>#REF!</v>
      </c>
      <c r="X145" s="31" t="e">
        <f>"PipedImporterTariffVar_"&amp;RIGHT($W145,11)</f>
        <v>#REF!</v>
      </c>
    </row>
    <row r="146" spans="1:24" x14ac:dyDescent="0.25">
      <c r="A146" s="94">
        <f t="shared" ref="A146" si="188">$A142+1</f>
        <v>36</v>
      </c>
      <c r="B146" s="115" t="str">
        <f>IFERROR(INDEX(TBL_PIPED_IMPORTERS_CONNECTIONS[Name],$A146),"")</f>
        <v/>
      </c>
      <c r="C146" s="93" t="str">
        <f t="shared" ref="C146:D146" si="189">IF($B146&lt;&gt;"",C142,"")</f>
        <v/>
      </c>
      <c r="D146" s="93" t="str">
        <f t="shared" si="189"/>
        <v/>
      </c>
      <c r="E146" s="27"/>
      <c r="F146" s="27"/>
      <c r="G146" s="27"/>
      <c r="H146" s="27"/>
      <c r="I146" s="27"/>
      <c r="J146" s="27"/>
      <c r="K146" s="27"/>
      <c r="L146" s="27"/>
      <c r="M146" s="27"/>
      <c r="N146" s="27"/>
      <c r="O146" s="27"/>
      <c r="P146" s="27"/>
      <c r="Q146" s="27"/>
      <c r="R146" s="27"/>
      <c r="S146" s="27"/>
      <c r="T146" s="27"/>
      <c r="U146" s="27"/>
      <c r="V146" s="25"/>
      <c r="W146" s="31" t="e">
        <f>INDEX(TBL_PIPED_IMPORTERS_CONNECTIONS[PipedImporterConnectionID],$A146)</f>
        <v>#REF!</v>
      </c>
      <c r="X146" s="31" t="e">
        <f>"PipedImporterCapMin_"&amp;RIGHT($W146,11)</f>
        <v>#REF!</v>
      </c>
    </row>
    <row r="147" spans="1:24" x14ac:dyDescent="0.25">
      <c r="A147" s="94">
        <f t="shared" ref="A147:A149" si="190">$A146</f>
        <v>36</v>
      </c>
      <c r="B147" s="116"/>
      <c r="C147" s="93" t="str">
        <f t="shared" ref="C147:D147" si="191">IF($B146&lt;&gt;"",C143,"")</f>
        <v/>
      </c>
      <c r="D147" s="93" t="str">
        <f t="shared" si="191"/>
        <v/>
      </c>
      <c r="E147" s="28"/>
      <c r="F147" s="28"/>
      <c r="G147" s="28"/>
      <c r="H147" s="28"/>
      <c r="I147" s="28"/>
      <c r="J147" s="28"/>
      <c r="K147" s="28"/>
      <c r="L147" s="28"/>
      <c r="M147" s="28"/>
      <c r="N147" s="28"/>
      <c r="O147" s="28"/>
      <c r="P147" s="28"/>
      <c r="Q147" s="28"/>
      <c r="R147" s="28"/>
      <c r="S147" s="28"/>
      <c r="T147" s="28"/>
      <c r="U147" s="28"/>
      <c r="V147" s="26"/>
      <c r="W147" s="31" t="e">
        <f>INDEX(TBL_PIPED_IMPORTERS_CONNECTIONS[PipedImporterConnectionID],$A147)</f>
        <v>#REF!</v>
      </c>
      <c r="X147" s="31" t="e">
        <f>"PipedImporterCapMax_"&amp;RIGHT($W147,11)</f>
        <v>#REF!</v>
      </c>
    </row>
    <row r="148" spans="1:24" x14ac:dyDescent="0.25">
      <c r="A148" s="94">
        <f t="shared" si="190"/>
        <v>36</v>
      </c>
      <c r="B148" s="116"/>
      <c r="C148" s="93" t="str">
        <f t="shared" ref="C148:D148" si="192">IF($B146&lt;&gt;"",C144,"")</f>
        <v/>
      </c>
      <c r="D148" s="93" t="str">
        <f t="shared" si="192"/>
        <v/>
      </c>
      <c r="E148" s="27"/>
      <c r="F148" s="27"/>
      <c r="G148" s="27"/>
      <c r="H148" s="27"/>
      <c r="I148" s="27"/>
      <c r="J148" s="27"/>
      <c r="K148" s="27"/>
      <c r="L148" s="27"/>
      <c r="M148" s="27"/>
      <c r="N148" s="27"/>
      <c r="O148" s="27"/>
      <c r="P148" s="27"/>
      <c r="Q148" s="27"/>
      <c r="R148" s="27"/>
      <c r="S148" s="27"/>
      <c r="T148" s="27"/>
      <c r="U148" s="27"/>
      <c r="V148" s="25"/>
      <c r="W148" s="31" t="e">
        <f>INDEX(TBL_PIPED_IMPORTERS_CONNECTIONS[PipedImporterConnectionID],$A148)</f>
        <v>#REF!</v>
      </c>
      <c r="X148" s="31" t="e">
        <f>"PipedImporterTariffFixed_"&amp;RIGHT($W148,11)</f>
        <v>#REF!</v>
      </c>
    </row>
    <row r="149" spans="1:24" x14ac:dyDescent="0.25">
      <c r="A149" s="94">
        <f t="shared" si="190"/>
        <v>36</v>
      </c>
      <c r="B149" s="117"/>
      <c r="C149" s="93" t="str">
        <f t="shared" ref="C149:D149" si="193">IF($B146&lt;&gt;"",C145,"")</f>
        <v/>
      </c>
      <c r="D149" s="93" t="str">
        <f t="shared" si="193"/>
        <v/>
      </c>
      <c r="E149" s="28"/>
      <c r="F149" s="28"/>
      <c r="G149" s="28"/>
      <c r="H149" s="28"/>
      <c r="I149" s="28"/>
      <c r="J149" s="28"/>
      <c r="K149" s="28"/>
      <c r="L149" s="28"/>
      <c r="M149" s="28"/>
      <c r="N149" s="28"/>
      <c r="O149" s="28"/>
      <c r="P149" s="28"/>
      <c r="Q149" s="28"/>
      <c r="R149" s="28"/>
      <c r="S149" s="28"/>
      <c r="T149" s="28"/>
      <c r="U149" s="28"/>
      <c r="V149" s="26"/>
      <c r="W149" s="31" t="e">
        <f>INDEX(TBL_PIPED_IMPORTERS_CONNECTIONS[PipedImporterConnectionID],$A149)</f>
        <v>#REF!</v>
      </c>
      <c r="X149" s="31" t="e">
        <f>"PipedImporterTariffVar_"&amp;RIGHT($W149,11)</f>
        <v>#REF!</v>
      </c>
    </row>
    <row r="150" spans="1:24" x14ac:dyDescent="0.25">
      <c r="A150" s="94">
        <f t="shared" ref="A150" si="194">$A146+1</f>
        <v>37</v>
      </c>
      <c r="B150" s="115" t="str">
        <f>IFERROR(INDEX(TBL_PIPED_IMPORTERS_CONNECTIONS[Name],$A150),"")</f>
        <v/>
      </c>
      <c r="C150" s="93" t="str">
        <f t="shared" ref="C150:D150" si="195">IF($B150&lt;&gt;"",C146,"")</f>
        <v/>
      </c>
      <c r="D150" s="93" t="str">
        <f t="shared" si="195"/>
        <v/>
      </c>
      <c r="E150" s="27"/>
      <c r="F150" s="27"/>
      <c r="G150" s="27"/>
      <c r="H150" s="27"/>
      <c r="I150" s="27"/>
      <c r="J150" s="27"/>
      <c r="K150" s="27"/>
      <c r="L150" s="27"/>
      <c r="M150" s="27"/>
      <c r="N150" s="27"/>
      <c r="O150" s="27"/>
      <c r="P150" s="27"/>
      <c r="Q150" s="27"/>
      <c r="R150" s="27"/>
      <c r="S150" s="27"/>
      <c r="T150" s="27"/>
      <c r="U150" s="27"/>
      <c r="V150" s="25"/>
      <c r="W150" s="31" t="e">
        <f>INDEX(TBL_PIPED_IMPORTERS_CONNECTIONS[PipedImporterConnectionID],$A150)</f>
        <v>#REF!</v>
      </c>
      <c r="X150" s="31" t="e">
        <f>"PipedImporterCapMin_"&amp;RIGHT($W150,11)</f>
        <v>#REF!</v>
      </c>
    </row>
    <row r="151" spans="1:24" x14ac:dyDescent="0.25">
      <c r="A151" s="94">
        <f t="shared" ref="A151:A169" si="196">$A150</f>
        <v>37</v>
      </c>
      <c r="B151" s="116"/>
      <c r="C151" s="93" t="str">
        <f t="shared" ref="C151:D151" si="197">IF($B150&lt;&gt;"",C147,"")</f>
        <v/>
      </c>
      <c r="D151" s="93" t="str">
        <f t="shared" si="197"/>
        <v/>
      </c>
      <c r="E151" s="28"/>
      <c r="F151" s="28"/>
      <c r="G151" s="28"/>
      <c r="H151" s="28"/>
      <c r="I151" s="28"/>
      <c r="J151" s="28"/>
      <c r="K151" s="28"/>
      <c r="L151" s="28"/>
      <c r="M151" s="28"/>
      <c r="N151" s="28"/>
      <c r="O151" s="28"/>
      <c r="P151" s="28"/>
      <c r="Q151" s="28"/>
      <c r="R151" s="28"/>
      <c r="S151" s="28"/>
      <c r="T151" s="28"/>
      <c r="U151" s="28"/>
      <c r="V151" s="26"/>
      <c r="W151" s="31" t="e">
        <f>INDEX(TBL_PIPED_IMPORTERS_CONNECTIONS[PipedImporterConnectionID],$A151)</f>
        <v>#REF!</v>
      </c>
      <c r="X151" s="31" t="e">
        <f>"PipedImporterCapMax_"&amp;RIGHT($W151,11)</f>
        <v>#REF!</v>
      </c>
    </row>
    <row r="152" spans="1:24" x14ac:dyDescent="0.25">
      <c r="A152" s="94">
        <f t="shared" si="196"/>
        <v>37</v>
      </c>
      <c r="B152" s="116"/>
      <c r="C152" s="93" t="str">
        <f t="shared" ref="C152:D152" si="198">IF($B150&lt;&gt;"",C148,"")</f>
        <v/>
      </c>
      <c r="D152" s="93" t="str">
        <f t="shared" si="198"/>
        <v/>
      </c>
      <c r="E152" s="27"/>
      <c r="F152" s="27"/>
      <c r="G152" s="27"/>
      <c r="H152" s="27"/>
      <c r="I152" s="27"/>
      <c r="J152" s="27"/>
      <c r="K152" s="27"/>
      <c r="L152" s="27"/>
      <c r="M152" s="27"/>
      <c r="N152" s="27"/>
      <c r="O152" s="27"/>
      <c r="P152" s="27"/>
      <c r="Q152" s="27"/>
      <c r="R152" s="27"/>
      <c r="S152" s="27"/>
      <c r="T152" s="27"/>
      <c r="U152" s="27"/>
      <c r="V152" s="25"/>
      <c r="W152" s="31" t="e">
        <f>INDEX(TBL_PIPED_IMPORTERS_CONNECTIONS[PipedImporterConnectionID],$A152)</f>
        <v>#REF!</v>
      </c>
      <c r="X152" s="31" t="e">
        <f>"PipedImporterTariffFixed_"&amp;RIGHT($W152,11)</f>
        <v>#REF!</v>
      </c>
    </row>
    <row r="153" spans="1:24" x14ac:dyDescent="0.25">
      <c r="A153" s="94">
        <f t="shared" si="196"/>
        <v>37</v>
      </c>
      <c r="B153" s="117"/>
      <c r="C153" s="93" t="str">
        <f t="shared" ref="C153:D153" si="199">IF($B150&lt;&gt;"",C149,"")</f>
        <v/>
      </c>
      <c r="D153" s="93" t="str">
        <f t="shared" si="199"/>
        <v/>
      </c>
      <c r="E153" s="28"/>
      <c r="F153" s="28"/>
      <c r="G153" s="28"/>
      <c r="H153" s="28"/>
      <c r="I153" s="28"/>
      <c r="J153" s="28"/>
      <c r="K153" s="28"/>
      <c r="L153" s="28"/>
      <c r="M153" s="28"/>
      <c r="N153" s="28"/>
      <c r="O153" s="28"/>
      <c r="P153" s="28"/>
      <c r="Q153" s="28"/>
      <c r="R153" s="28"/>
      <c r="S153" s="28"/>
      <c r="T153" s="28"/>
      <c r="U153" s="28"/>
      <c r="V153" s="26"/>
      <c r="W153" s="31" t="e">
        <f>INDEX(TBL_PIPED_IMPORTERS_CONNECTIONS[PipedImporterConnectionID],$A153)</f>
        <v>#REF!</v>
      </c>
      <c r="X153" s="31" t="e">
        <f>"PipedImporterTariffVar_"&amp;RIGHT($W153,11)</f>
        <v>#REF!</v>
      </c>
    </row>
    <row r="154" spans="1:24" x14ac:dyDescent="0.25">
      <c r="A154" s="94">
        <f t="shared" ref="A154" si="200">$A150+1</f>
        <v>38</v>
      </c>
      <c r="B154" s="115" t="str">
        <f>IFERROR(INDEX(TBL_PIPED_IMPORTERS_CONNECTIONS[Name],$A154),"")</f>
        <v/>
      </c>
      <c r="C154" s="93" t="str">
        <f t="shared" ref="C154:D154" si="201">IF($B154&lt;&gt;"",C150,"")</f>
        <v/>
      </c>
      <c r="D154" s="93" t="str">
        <f t="shared" si="201"/>
        <v/>
      </c>
      <c r="E154" s="27"/>
      <c r="F154" s="27"/>
      <c r="G154" s="27"/>
      <c r="H154" s="27"/>
      <c r="I154" s="27"/>
      <c r="J154" s="27"/>
      <c r="K154" s="27"/>
      <c r="L154" s="27"/>
      <c r="M154" s="27"/>
      <c r="N154" s="27"/>
      <c r="O154" s="27"/>
      <c r="P154" s="27"/>
      <c r="Q154" s="27"/>
      <c r="R154" s="27"/>
      <c r="S154" s="27"/>
      <c r="T154" s="27"/>
      <c r="U154" s="27"/>
      <c r="V154" s="25"/>
      <c r="W154" s="31" t="e">
        <f>INDEX(TBL_PIPED_IMPORTERS_CONNECTIONS[PipedImporterConnectionID],$A154)</f>
        <v>#REF!</v>
      </c>
      <c r="X154" s="31" t="e">
        <f>"PipedImporterCapMin_"&amp;RIGHT($W154,11)</f>
        <v>#REF!</v>
      </c>
    </row>
    <row r="155" spans="1:24" x14ac:dyDescent="0.25">
      <c r="A155" s="94">
        <f t="shared" si="196"/>
        <v>38</v>
      </c>
      <c r="B155" s="116"/>
      <c r="C155" s="93" t="str">
        <f t="shared" ref="C155:D155" si="202">IF($B154&lt;&gt;"",C151,"")</f>
        <v/>
      </c>
      <c r="D155" s="93" t="str">
        <f t="shared" si="202"/>
        <v/>
      </c>
      <c r="E155" s="28"/>
      <c r="F155" s="28"/>
      <c r="G155" s="28"/>
      <c r="H155" s="28"/>
      <c r="I155" s="28"/>
      <c r="J155" s="28"/>
      <c r="K155" s="28"/>
      <c r="L155" s="28"/>
      <c r="M155" s="28"/>
      <c r="N155" s="28"/>
      <c r="O155" s="28"/>
      <c r="P155" s="28"/>
      <c r="Q155" s="28"/>
      <c r="R155" s="28"/>
      <c r="S155" s="28"/>
      <c r="T155" s="28"/>
      <c r="U155" s="28"/>
      <c r="V155" s="26"/>
      <c r="W155" s="31" t="e">
        <f>INDEX(TBL_PIPED_IMPORTERS_CONNECTIONS[PipedImporterConnectionID],$A155)</f>
        <v>#REF!</v>
      </c>
      <c r="X155" s="31" t="e">
        <f>"PipedImporterCapMax_"&amp;RIGHT($W155,11)</f>
        <v>#REF!</v>
      </c>
    </row>
    <row r="156" spans="1:24" x14ac:dyDescent="0.25">
      <c r="A156" s="94">
        <f t="shared" si="196"/>
        <v>38</v>
      </c>
      <c r="B156" s="116"/>
      <c r="C156" s="93" t="str">
        <f t="shared" ref="C156:D156" si="203">IF($B154&lt;&gt;"",C152,"")</f>
        <v/>
      </c>
      <c r="D156" s="93" t="str">
        <f t="shared" si="203"/>
        <v/>
      </c>
      <c r="E156" s="27"/>
      <c r="F156" s="27"/>
      <c r="G156" s="27"/>
      <c r="H156" s="27"/>
      <c r="I156" s="27"/>
      <c r="J156" s="27"/>
      <c r="K156" s="27"/>
      <c r="L156" s="27"/>
      <c r="M156" s="27"/>
      <c r="N156" s="27"/>
      <c r="O156" s="27"/>
      <c r="P156" s="27"/>
      <c r="Q156" s="27"/>
      <c r="R156" s="27"/>
      <c r="S156" s="27"/>
      <c r="T156" s="27"/>
      <c r="U156" s="27"/>
      <c r="V156" s="25"/>
      <c r="W156" s="31" t="e">
        <f>INDEX(TBL_PIPED_IMPORTERS_CONNECTIONS[PipedImporterConnectionID],$A156)</f>
        <v>#REF!</v>
      </c>
      <c r="X156" s="31" t="e">
        <f>"PipedImporterTariffFixed_"&amp;RIGHT($W156,11)</f>
        <v>#REF!</v>
      </c>
    </row>
    <row r="157" spans="1:24" x14ac:dyDescent="0.25">
      <c r="A157" s="94">
        <f t="shared" si="196"/>
        <v>38</v>
      </c>
      <c r="B157" s="117"/>
      <c r="C157" s="93" t="str">
        <f t="shared" ref="C157:D157" si="204">IF($B154&lt;&gt;"",C153,"")</f>
        <v/>
      </c>
      <c r="D157" s="93" t="str">
        <f t="shared" si="204"/>
        <v/>
      </c>
      <c r="E157" s="28"/>
      <c r="F157" s="28"/>
      <c r="G157" s="28"/>
      <c r="H157" s="28"/>
      <c r="I157" s="28"/>
      <c r="J157" s="28"/>
      <c r="K157" s="28"/>
      <c r="L157" s="28"/>
      <c r="M157" s="28"/>
      <c r="N157" s="28"/>
      <c r="O157" s="28"/>
      <c r="P157" s="28"/>
      <c r="Q157" s="28"/>
      <c r="R157" s="28"/>
      <c r="S157" s="28"/>
      <c r="T157" s="28"/>
      <c r="U157" s="28"/>
      <c r="V157" s="26"/>
      <c r="W157" s="31" t="e">
        <f>INDEX(TBL_PIPED_IMPORTERS_CONNECTIONS[PipedImporterConnectionID],$A157)</f>
        <v>#REF!</v>
      </c>
      <c r="X157" s="31" t="e">
        <f>"PipedImporterTariffVar_"&amp;RIGHT($W157,11)</f>
        <v>#REF!</v>
      </c>
    </row>
    <row r="158" spans="1:24" x14ac:dyDescent="0.25">
      <c r="A158" s="94">
        <f t="shared" ref="A158" si="205">$A154+1</f>
        <v>39</v>
      </c>
      <c r="B158" s="115" t="str">
        <f>IFERROR(INDEX(TBL_PIPED_IMPORTERS_CONNECTIONS[Name],$A158),"")</f>
        <v/>
      </c>
      <c r="C158" s="93" t="str">
        <f t="shared" ref="C158:D158" si="206">IF($B158&lt;&gt;"",C154,"")</f>
        <v/>
      </c>
      <c r="D158" s="93" t="str">
        <f t="shared" si="206"/>
        <v/>
      </c>
      <c r="E158" s="27"/>
      <c r="F158" s="27"/>
      <c r="G158" s="27"/>
      <c r="H158" s="27"/>
      <c r="I158" s="27"/>
      <c r="J158" s="27"/>
      <c r="K158" s="27"/>
      <c r="L158" s="27"/>
      <c r="M158" s="27"/>
      <c r="N158" s="27"/>
      <c r="O158" s="27"/>
      <c r="P158" s="27"/>
      <c r="Q158" s="27"/>
      <c r="R158" s="27"/>
      <c r="S158" s="27"/>
      <c r="T158" s="27"/>
      <c r="U158" s="27"/>
      <c r="V158" s="25"/>
      <c r="W158" s="31" t="e">
        <f>INDEX(TBL_PIPED_IMPORTERS_CONNECTIONS[PipedImporterConnectionID],$A158)</f>
        <v>#REF!</v>
      </c>
      <c r="X158" s="31" t="e">
        <f>"PipedImporterCapMin_"&amp;RIGHT($W158,11)</f>
        <v>#REF!</v>
      </c>
    </row>
    <row r="159" spans="1:24" x14ac:dyDescent="0.25">
      <c r="A159" s="94">
        <f t="shared" si="196"/>
        <v>39</v>
      </c>
      <c r="B159" s="116"/>
      <c r="C159" s="93" t="str">
        <f t="shared" ref="C159:D159" si="207">IF($B158&lt;&gt;"",C155,"")</f>
        <v/>
      </c>
      <c r="D159" s="93" t="str">
        <f t="shared" si="207"/>
        <v/>
      </c>
      <c r="E159" s="28"/>
      <c r="F159" s="28"/>
      <c r="G159" s="28"/>
      <c r="H159" s="28"/>
      <c r="I159" s="28"/>
      <c r="J159" s="28"/>
      <c r="K159" s="28"/>
      <c r="L159" s="28"/>
      <c r="M159" s="28"/>
      <c r="N159" s="28"/>
      <c r="O159" s="28"/>
      <c r="P159" s="28"/>
      <c r="Q159" s="28"/>
      <c r="R159" s="28"/>
      <c r="S159" s="28"/>
      <c r="T159" s="28"/>
      <c r="U159" s="28"/>
      <c r="V159" s="26"/>
      <c r="W159" s="31" t="e">
        <f>INDEX(TBL_PIPED_IMPORTERS_CONNECTIONS[PipedImporterConnectionID],$A159)</f>
        <v>#REF!</v>
      </c>
      <c r="X159" s="31" t="e">
        <f>"PipedImporterCapMax_"&amp;RIGHT($W159,11)</f>
        <v>#REF!</v>
      </c>
    </row>
    <row r="160" spans="1:24" x14ac:dyDescent="0.25">
      <c r="A160" s="94">
        <f t="shared" si="196"/>
        <v>39</v>
      </c>
      <c r="B160" s="116"/>
      <c r="C160" s="93" t="str">
        <f t="shared" ref="C160:D160" si="208">IF($B158&lt;&gt;"",C156,"")</f>
        <v/>
      </c>
      <c r="D160" s="93" t="str">
        <f t="shared" si="208"/>
        <v/>
      </c>
      <c r="E160" s="27"/>
      <c r="F160" s="27"/>
      <c r="G160" s="27"/>
      <c r="H160" s="27"/>
      <c r="I160" s="27"/>
      <c r="J160" s="27"/>
      <c r="K160" s="27"/>
      <c r="L160" s="27"/>
      <c r="M160" s="27"/>
      <c r="N160" s="27"/>
      <c r="O160" s="27"/>
      <c r="P160" s="27"/>
      <c r="Q160" s="27"/>
      <c r="R160" s="27"/>
      <c r="S160" s="27"/>
      <c r="T160" s="27"/>
      <c r="U160" s="27"/>
      <c r="V160" s="25"/>
      <c r="W160" s="31" t="e">
        <f>INDEX(TBL_PIPED_IMPORTERS_CONNECTIONS[PipedImporterConnectionID],$A160)</f>
        <v>#REF!</v>
      </c>
      <c r="X160" s="31" t="e">
        <f>"PipedImporterTariffFixed_"&amp;RIGHT($W160,11)</f>
        <v>#REF!</v>
      </c>
    </row>
    <row r="161" spans="1:24" x14ac:dyDescent="0.25">
      <c r="A161" s="94">
        <f t="shared" si="196"/>
        <v>39</v>
      </c>
      <c r="B161" s="117"/>
      <c r="C161" s="93" t="str">
        <f t="shared" ref="C161:D161" si="209">IF($B158&lt;&gt;"",C157,"")</f>
        <v/>
      </c>
      <c r="D161" s="93" t="str">
        <f t="shared" si="209"/>
        <v/>
      </c>
      <c r="E161" s="28"/>
      <c r="F161" s="28"/>
      <c r="G161" s="28"/>
      <c r="H161" s="28"/>
      <c r="I161" s="28"/>
      <c r="J161" s="28"/>
      <c r="K161" s="28"/>
      <c r="L161" s="28"/>
      <c r="M161" s="28"/>
      <c r="N161" s="28"/>
      <c r="O161" s="28"/>
      <c r="P161" s="28"/>
      <c r="Q161" s="28"/>
      <c r="R161" s="28"/>
      <c r="S161" s="28"/>
      <c r="T161" s="28"/>
      <c r="U161" s="28"/>
      <c r="V161" s="26"/>
      <c r="W161" s="31" t="e">
        <f>INDEX(TBL_PIPED_IMPORTERS_CONNECTIONS[PipedImporterConnectionID],$A161)</f>
        <v>#REF!</v>
      </c>
      <c r="X161" s="31" t="e">
        <f>"PipedImporterTariffVar_"&amp;RIGHT($W161,11)</f>
        <v>#REF!</v>
      </c>
    </row>
    <row r="162" spans="1:24" x14ac:dyDescent="0.25">
      <c r="A162" s="94">
        <f t="shared" ref="A162" si="210">$A158+1</f>
        <v>40</v>
      </c>
      <c r="B162" s="115" t="str">
        <f>IFERROR(INDEX(TBL_PIPED_IMPORTERS_CONNECTIONS[Name],$A162),"")</f>
        <v/>
      </c>
      <c r="C162" s="93" t="str">
        <f t="shared" ref="C162:D162" si="211">IF($B162&lt;&gt;"",C158,"")</f>
        <v/>
      </c>
      <c r="D162" s="93" t="str">
        <f t="shared" si="211"/>
        <v/>
      </c>
      <c r="E162" s="27"/>
      <c r="F162" s="27"/>
      <c r="G162" s="27"/>
      <c r="H162" s="27"/>
      <c r="I162" s="27"/>
      <c r="J162" s="27"/>
      <c r="K162" s="27"/>
      <c r="L162" s="27"/>
      <c r="M162" s="27"/>
      <c r="N162" s="27"/>
      <c r="O162" s="27"/>
      <c r="P162" s="27"/>
      <c r="Q162" s="27"/>
      <c r="R162" s="27"/>
      <c r="S162" s="27"/>
      <c r="T162" s="27"/>
      <c r="U162" s="27"/>
      <c r="V162" s="25"/>
      <c r="W162" s="31" t="e">
        <f>INDEX(TBL_PIPED_IMPORTERS_CONNECTIONS[PipedImporterConnectionID],$A162)</f>
        <v>#REF!</v>
      </c>
      <c r="X162" s="31" t="e">
        <f>"PipedImporterCapMin_"&amp;RIGHT($W162,11)</f>
        <v>#REF!</v>
      </c>
    </row>
    <row r="163" spans="1:24" x14ac:dyDescent="0.25">
      <c r="A163" s="94">
        <f t="shared" si="196"/>
        <v>40</v>
      </c>
      <c r="B163" s="116"/>
      <c r="C163" s="93" t="str">
        <f t="shared" ref="C163:D163" si="212">IF($B162&lt;&gt;"",C159,"")</f>
        <v/>
      </c>
      <c r="D163" s="93" t="str">
        <f t="shared" si="212"/>
        <v/>
      </c>
      <c r="E163" s="28"/>
      <c r="F163" s="28"/>
      <c r="G163" s="28"/>
      <c r="H163" s="28"/>
      <c r="I163" s="28"/>
      <c r="J163" s="28"/>
      <c r="K163" s="28"/>
      <c r="L163" s="28"/>
      <c r="M163" s="28"/>
      <c r="N163" s="28"/>
      <c r="O163" s="28"/>
      <c r="P163" s="28"/>
      <c r="Q163" s="28"/>
      <c r="R163" s="28"/>
      <c r="S163" s="28"/>
      <c r="T163" s="28"/>
      <c r="U163" s="28"/>
      <c r="V163" s="26"/>
      <c r="W163" s="31" t="e">
        <f>INDEX(TBL_PIPED_IMPORTERS_CONNECTIONS[PipedImporterConnectionID],$A163)</f>
        <v>#REF!</v>
      </c>
      <c r="X163" s="31" t="e">
        <f>"PipedImporterCapMax_"&amp;RIGHT($W163,11)</f>
        <v>#REF!</v>
      </c>
    </row>
    <row r="164" spans="1:24" x14ac:dyDescent="0.25">
      <c r="A164" s="94">
        <f t="shared" si="196"/>
        <v>40</v>
      </c>
      <c r="B164" s="116"/>
      <c r="C164" s="93" t="str">
        <f t="shared" ref="C164:D164" si="213">IF($B162&lt;&gt;"",C160,"")</f>
        <v/>
      </c>
      <c r="D164" s="93" t="str">
        <f t="shared" si="213"/>
        <v/>
      </c>
      <c r="E164" s="27"/>
      <c r="F164" s="27"/>
      <c r="G164" s="27"/>
      <c r="H164" s="27"/>
      <c r="I164" s="27"/>
      <c r="J164" s="27"/>
      <c r="K164" s="27"/>
      <c r="L164" s="27"/>
      <c r="M164" s="27"/>
      <c r="N164" s="27"/>
      <c r="O164" s="27"/>
      <c r="P164" s="27"/>
      <c r="Q164" s="27"/>
      <c r="R164" s="27"/>
      <c r="S164" s="27"/>
      <c r="T164" s="27"/>
      <c r="U164" s="27"/>
      <c r="V164" s="25"/>
      <c r="W164" s="31" t="e">
        <f>INDEX(TBL_PIPED_IMPORTERS_CONNECTIONS[PipedImporterConnectionID],$A164)</f>
        <v>#REF!</v>
      </c>
      <c r="X164" s="31" t="e">
        <f>"PipedImporterTariffFixed_"&amp;RIGHT($W164,11)</f>
        <v>#REF!</v>
      </c>
    </row>
    <row r="165" spans="1:24" x14ac:dyDescent="0.25">
      <c r="A165" s="94">
        <f t="shared" si="196"/>
        <v>40</v>
      </c>
      <c r="B165" s="117"/>
      <c r="C165" s="93" t="str">
        <f t="shared" ref="C165:D165" si="214">IF($B162&lt;&gt;"",C161,"")</f>
        <v/>
      </c>
      <c r="D165" s="93" t="str">
        <f t="shared" si="214"/>
        <v/>
      </c>
      <c r="E165" s="28"/>
      <c r="F165" s="28"/>
      <c r="G165" s="28"/>
      <c r="H165" s="28"/>
      <c r="I165" s="28"/>
      <c r="J165" s="28"/>
      <c r="K165" s="28"/>
      <c r="L165" s="28"/>
      <c r="M165" s="28"/>
      <c r="N165" s="28"/>
      <c r="O165" s="28"/>
      <c r="P165" s="28"/>
      <c r="Q165" s="28"/>
      <c r="R165" s="28"/>
      <c r="S165" s="28"/>
      <c r="T165" s="28"/>
      <c r="U165" s="28"/>
      <c r="V165" s="26"/>
      <c r="W165" s="31" t="e">
        <f>INDEX(TBL_PIPED_IMPORTERS_CONNECTIONS[PipedImporterConnectionID],$A165)</f>
        <v>#REF!</v>
      </c>
      <c r="X165" s="31" t="e">
        <f>"PipedImporterTariffVar_"&amp;RIGHT($W165,11)</f>
        <v>#REF!</v>
      </c>
    </row>
    <row r="166" spans="1:24" x14ac:dyDescent="0.25">
      <c r="A166" s="94">
        <f t="shared" ref="A166" si="215">$A162+1</f>
        <v>41</v>
      </c>
      <c r="B166" s="115" t="str">
        <f>IFERROR(INDEX(TBL_PIPED_IMPORTERS_CONNECTIONS[Name],$A166),"")</f>
        <v/>
      </c>
      <c r="C166" s="93" t="str">
        <f t="shared" ref="C166:D166" si="216">IF($B166&lt;&gt;"",C162,"")</f>
        <v/>
      </c>
      <c r="D166" s="93" t="str">
        <f t="shared" si="216"/>
        <v/>
      </c>
      <c r="E166" s="27"/>
      <c r="F166" s="27"/>
      <c r="G166" s="27"/>
      <c r="H166" s="27"/>
      <c r="I166" s="27"/>
      <c r="J166" s="27"/>
      <c r="K166" s="27"/>
      <c r="L166" s="27"/>
      <c r="M166" s="27"/>
      <c r="N166" s="27"/>
      <c r="O166" s="27"/>
      <c r="P166" s="27"/>
      <c r="Q166" s="27"/>
      <c r="R166" s="27"/>
      <c r="S166" s="27"/>
      <c r="T166" s="27"/>
      <c r="U166" s="27"/>
      <c r="V166" s="25"/>
      <c r="W166" s="31" t="e">
        <f>INDEX(TBL_PIPED_IMPORTERS_CONNECTIONS[PipedImporterConnectionID],$A166)</f>
        <v>#REF!</v>
      </c>
      <c r="X166" s="31" t="e">
        <f>"PipedImporterCapMin_"&amp;RIGHT($W166,11)</f>
        <v>#REF!</v>
      </c>
    </row>
    <row r="167" spans="1:24" x14ac:dyDescent="0.25">
      <c r="A167" s="94">
        <f t="shared" si="196"/>
        <v>41</v>
      </c>
      <c r="B167" s="116"/>
      <c r="C167" s="93" t="str">
        <f t="shared" ref="C167:D167" si="217">IF($B166&lt;&gt;"",C163,"")</f>
        <v/>
      </c>
      <c r="D167" s="93" t="str">
        <f t="shared" si="217"/>
        <v/>
      </c>
      <c r="E167" s="28"/>
      <c r="F167" s="28"/>
      <c r="G167" s="28"/>
      <c r="H167" s="28"/>
      <c r="I167" s="28"/>
      <c r="J167" s="28"/>
      <c r="K167" s="28"/>
      <c r="L167" s="28"/>
      <c r="M167" s="28"/>
      <c r="N167" s="28"/>
      <c r="O167" s="28"/>
      <c r="P167" s="28"/>
      <c r="Q167" s="28"/>
      <c r="R167" s="28"/>
      <c r="S167" s="28"/>
      <c r="T167" s="28"/>
      <c r="U167" s="28"/>
      <c r="V167" s="26"/>
      <c r="W167" s="31" t="e">
        <f>INDEX(TBL_PIPED_IMPORTERS_CONNECTIONS[PipedImporterConnectionID],$A167)</f>
        <v>#REF!</v>
      </c>
      <c r="X167" s="31" t="e">
        <f>"PipedImporterCapMax_"&amp;RIGHT($W167,11)</f>
        <v>#REF!</v>
      </c>
    </row>
    <row r="168" spans="1:24" x14ac:dyDescent="0.25">
      <c r="A168" s="94">
        <f t="shared" si="196"/>
        <v>41</v>
      </c>
      <c r="B168" s="116"/>
      <c r="C168" s="93" t="str">
        <f t="shared" ref="C168:D168" si="218">IF($B166&lt;&gt;"",C164,"")</f>
        <v/>
      </c>
      <c r="D168" s="93" t="str">
        <f t="shared" si="218"/>
        <v/>
      </c>
      <c r="E168" s="27"/>
      <c r="F168" s="27"/>
      <c r="G168" s="27"/>
      <c r="H168" s="27"/>
      <c r="I168" s="27"/>
      <c r="J168" s="27"/>
      <c r="K168" s="27"/>
      <c r="L168" s="27"/>
      <c r="M168" s="27"/>
      <c r="N168" s="27"/>
      <c r="O168" s="27"/>
      <c r="P168" s="27"/>
      <c r="Q168" s="27"/>
      <c r="R168" s="27"/>
      <c r="S168" s="27"/>
      <c r="T168" s="27"/>
      <c r="U168" s="27"/>
      <c r="V168" s="25"/>
      <c r="W168" s="31" t="e">
        <f>INDEX(TBL_PIPED_IMPORTERS_CONNECTIONS[PipedImporterConnectionID],$A168)</f>
        <v>#REF!</v>
      </c>
      <c r="X168" s="31" t="e">
        <f>"PipedImporterTariffFixed_"&amp;RIGHT($W168,11)</f>
        <v>#REF!</v>
      </c>
    </row>
    <row r="169" spans="1:24" x14ac:dyDescent="0.25">
      <c r="A169" s="94">
        <f t="shared" si="196"/>
        <v>41</v>
      </c>
      <c r="B169" s="117"/>
      <c r="C169" s="93" t="str">
        <f t="shared" ref="C169:D169" si="219">IF($B166&lt;&gt;"",C165,"")</f>
        <v/>
      </c>
      <c r="D169" s="93" t="str">
        <f t="shared" si="219"/>
        <v/>
      </c>
      <c r="E169" s="28"/>
      <c r="F169" s="28"/>
      <c r="G169" s="28"/>
      <c r="H169" s="28"/>
      <c r="I169" s="28"/>
      <c r="J169" s="28"/>
      <c r="K169" s="28"/>
      <c r="L169" s="28"/>
      <c r="M169" s="28"/>
      <c r="N169" s="28"/>
      <c r="O169" s="28"/>
      <c r="P169" s="28"/>
      <c r="Q169" s="28"/>
      <c r="R169" s="28"/>
      <c r="S169" s="28"/>
      <c r="T169" s="28"/>
      <c r="U169" s="28"/>
      <c r="V169" s="26"/>
      <c r="W169" s="31" t="e">
        <f>INDEX(TBL_PIPED_IMPORTERS_CONNECTIONS[PipedImporterConnectionID],$A169)</f>
        <v>#REF!</v>
      </c>
      <c r="X169" s="31" t="e">
        <f>"PipedImporterTariffVar_"&amp;RIGHT($W169,11)</f>
        <v>#REF!</v>
      </c>
    </row>
    <row r="170" spans="1:24" x14ac:dyDescent="0.25">
      <c r="A170" s="94">
        <f t="shared" ref="A170" si="220">$A166+1</f>
        <v>42</v>
      </c>
      <c r="B170" s="115" t="str">
        <f>IFERROR(INDEX(TBL_PIPED_IMPORTERS_CONNECTIONS[Name],$A170),"")</f>
        <v/>
      </c>
      <c r="C170" s="93" t="str">
        <f t="shared" ref="C170:D170" si="221">IF($B170&lt;&gt;"",C166,"")</f>
        <v/>
      </c>
      <c r="D170" s="93" t="str">
        <f t="shared" si="221"/>
        <v/>
      </c>
      <c r="E170" s="27"/>
      <c r="F170" s="27"/>
      <c r="G170" s="27"/>
      <c r="H170" s="27"/>
      <c r="I170" s="27"/>
      <c r="J170" s="27"/>
      <c r="K170" s="27"/>
      <c r="L170" s="27"/>
      <c r="M170" s="27"/>
      <c r="N170" s="27"/>
      <c r="O170" s="27"/>
      <c r="P170" s="27"/>
      <c r="Q170" s="27"/>
      <c r="R170" s="27"/>
      <c r="S170" s="27"/>
      <c r="T170" s="27"/>
      <c r="U170" s="27"/>
      <c r="V170" s="25"/>
      <c r="W170" s="31" t="e">
        <f>INDEX(TBL_PIPED_IMPORTERS_CONNECTIONS[PipedImporterConnectionID],$A170)</f>
        <v>#REF!</v>
      </c>
      <c r="X170" s="31" t="e">
        <f>"PipedImporterCapMin_"&amp;RIGHT($W170,11)</f>
        <v>#REF!</v>
      </c>
    </row>
    <row r="171" spans="1:24" x14ac:dyDescent="0.25">
      <c r="A171" s="94">
        <f t="shared" ref="A171:A173" si="222">$A170</f>
        <v>42</v>
      </c>
      <c r="B171" s="116"/>
      <c r="C171" s="93" t="str">
        <f t="shared" ref="C171:D171" si="223">IF($B170&lt;&gt;"",C167,"")</f>
        <v/>
      </c>
      <c r="D171" s="93" t="str">
        <f t="shared" si="223"/>
        <v/>
      </c>
      <c r="E171" s="28"/>
      <c r="F171" s="28"/>
      <c r="G171" s="28"/>
      <c r="H171" s="28"/>
      <c r="I171" s="28"/>
      <c r="J171" s="28"/>
      <c r="K171" s="28"/>
      <c r="L171" s="28"/>
      <c r="M171" s="28"/>
      <c r="N171" s="28"/>
      <c r="O171" s="28"/>
      <c r="P171" s="28"/>
      <c r="Q171" s="28"/>
      <c r="R171" s="28"/>
      <c r="S171" s="28"/>
      <c r="T171" s="28"/>
      <c r="U171" s="28"/>
      <c r="V171" s="26"/>
      <c r="W171" s="31" t="e">
        <f>INDEX(TBL_PIPED_IMPORTERS_CONNECTIONS[PipedImporterConnectionID],$A171)</f>
        <v>#REF!</v>
      </c>
      <c r="X171" s="31" t="e">
        <f>"PipedImporterCapMax_"&amp;RIGHT($W171,11)</f>
        <v>#REF!</v>
      </c>
    </row>
    <row r="172" spans="1:24" x14ac:dyDescent="0.25">
      <c r="A172" s="94">
        <f t="shared" si="222"/>
        <v>42</v>
      </c>
      <c r="B172" s="116"/>
      <c r="C172" s="93" t="str">
        <f t="shared" ref="C172:D172" si="224">IF($B170&lt;&gt;"",C168,"")</f>
        <v/>
      </c>
      <c r="D172" s="93" t="str">
        <f t="shared" si="224"/>
        <v/>
      </c>
      <c r="E172" s="27"/>
      <c r="F172" s="27"/>
      <c r="G172" s="27"/>
      <c r="H172" s="27"/>
      <c r="I172" s="27"/>
      <c r="J172" s="27"/>
      <c r="K172" s="27"/>
      <c r="L172" s="27"/>
      <c r="M172" s="27"/>
      <c r="N172" s="27"/>
      <c r="O172" s="27"/>
      <c r="P172" s="27"/>
      <c r="Q172" s="27"/>
      <c r="R172" s="27"/>
      <c r="S172" s="27"/>
      <c r="T172" s="27"/>
      <c r="U172" s="27"/>
      <c r="V172" s="25"/>
      <c r="W172" s="31" t="e">
        <f>INDEX(TBL_PIPED_IMPORTERS_CONNECTIONS[PipedImporterConnectionID],$A172)</f>
        <v>#REF!</v>
      </c>
      <c r="X172" s="31" t="e">
        <f>"PipedImporterTariffFixed_"&amp;RIGHT($W172,11)</f>
        <v>#REF!</v>
      </c>
    </row>
    <row r="173" spans="1:24" x14ac:dyDescent="0.25">
      <c r="A173" s="94">
        <f t="shared" si="222"/>
        <v>42</v>
      </c>
      <c r="B173" s="117"/>
      <c r="C173" s="93" t="str">
        <f t="shared" ref="C173:D173" si="225">IF($B170&lt;&gt;"",C169,"")</f>
        <v/>
      </c>
      <c r="D173" s="93" t="str">
        <f t="shared" si="225"/>
        <v/>
      </c>
      <c r="E173" s="28"/>
      <c r="F173" s="28"/>
      <c r="G173" s="28"/>
      <c r="H173" s="28"/>
      <c r="I173" s="28"/>
      <c r="J173" s="28"/>
      <c r="K173" s="28"/>
      <c r="L173" s="28"/>
      <c r="M173" s="28"/>
      <c r="N173" s="28"/>
      <c r="O173" s="28"/>
      <c r="P173" s="28"/>
      <c r="Q173" s="28"/>
      <c r="R173" s="28"/>
      <c r="S173" s="28"/>
      <c r="T173" s="28"/>
      <c r="U173" s="28"/>
      <c r="V173" s="26"/>
      <c r="W173" s="31" t="e">
        <f>INDEX(TBL_PIPED_IMPORTERS_CONNECTIONS[PipedImporterConnectionID],$A173)</f>
        <v>#REF!</v>
      </c>
      <c r="X173" s="31" t="e">
        <f>"PipedImporterTariffVar_"&amp;RIGHT($W173,11)</f>
        <v>#REF!</v>
      </c>
    </row>
    <row r="174" spans="1:24" x14ac:dyDescent="0.25">
      <c r="A174" s="94">
        <f t="shared" ref="A174" si="226">$A170+1</f>
        <v>43</v>
      </c>
      <c r="B174" s="115" t="str">
        <f>IFERROR(INDEX(TBL_PIPED_IMPORTERS_CONNECTIONS[Name],$A174),"")</f>
        <v/>
      </c>
      <c r="C174" s="93" t="str">
        <f t="shared" ref="C174:D174" si="227">IF($B174&lt;&gt;"",C170,"")</f>
        <v/>
      </c>
      <c r="D174" s="93" t="str">
        <f t="shared" si="227"/>
        <v/>
      </c>
      <c r="E174" s="27"/>
      <c r="F174" s="27"/>
      <c r="G174" s="27"/>
      <c r="H174" s="27"/>
      <c r="I174" s="27"/>
      <c r="J174" s="27"/>
      <c r="K174" s="27"/>
      <c r="L174" s="27"/>
      <c r="M174" s="27"/>
      <c r="N174" s="27"/>
      <c r="O174" s="27"/>
      <c r="P174" s="27"/>
      <c r="Q174" s="27"/>
      <c r="R174" s="27"/>
      <c r="S174" s="27"/>
      <c r="T174" s="27"/>
      <c r="U174" s="27"/>
      <c r="V174" s="25"/>
      <c r="W174" s="31" t="e">
        <f>INDEX(TBL_PIPED_IMPORTERS_CONNECTIONS[PipedImporterConnectionID],$A174)</f>
        <v>#REF!</v>
      </c>
      <c r="X174" s="31" t="e">
        <f>"PipedImporterCapMin_"&amp;RIGHT($W174,11)</f>
        <v>#REF!</v>
      </c>
    </row>
    <row r="175" spans="1:24" x14ac:dyDescent="0.25">
      <c r="A175" s="94">
        <f t="shared" ref="A175:A177" si="228">$A174</f>
        <v>43</v>
      </c>
      <c r="B175" s="116"/>
      <c r="C175" s="93" t="str">
        <f t="shared" ref="C175:D175" si="229">IF($B174&lt;&gt;"",C171,"")</f>
        <v/>
      </c>
      <c r="D175" s="93" t="str">
        <f t="shared" si="229"/>
        <v/>
      </c>
      <c r="E175" s="28"/>
      <c r="F175" s="28"/>
      <c r="G175" s="28"/>
      <c r="H175" s="28"/>
      <c r="I175" s="28"/>
      <c r="J175" s="28"/>
      <c r="K175" s="28"/>
      <c r="L175" s="28"/>
      <c r="M175" s="28"/>
      <c r="N175" s="28"/>
      <c r="O175" s="28"/>
      <c r="P175" s="28"/>
      <c r="Q175" s="28"/>
      <c r="R175" s="28"/>
      <c r="S175" s="28"/>
      <c r="T175" s="28"/>
      <c r="U175" s="28"/>
      <c r="V175" s="26"/>
      <c r="W175" s="31" t="e">
        <f>INDEX(TBL_PIPED_IMPORTERS_CONNECTIONS[PipedImporterConnectionID],$A175)</f>
        <v>#REF!</v>
      </c>
      <c r="X175" s="31" t="e">
        <f>"PipedImporterCapMax_"&amp;RIGHT($W175,11)</f>
        <v>#REF!</v>
      </c>
    </row>
    <row r="176" spans="1:24" x14ac:dyDescent="0.25">
      <c r="A176" s="94">
        <f t="shared" si="228"/>
        <v>43</v>
      </c>
      <c r="B176" s="116"/>
      <c r="C176" s="93" t="str">
        <f t="shared" ref="C176:D176" si="230">IF($B174&lt;&gt;"",C172,"")</f>
        <v/>
      </c>
      <c r="D176" s="93" t="str">
        <f t="shared" si="230"/>
        <v/>
      </c>
      <c r="E176" s="27"/>
      <c r="F176" s="27"/>
      <c r="G176" s="27"/>
      <c r="H176" s="27"/>
      <c r="I176" s="27"/>
      <c r="J176" s="27"/>
      <c r="K176" s="27"/>
      <c r="L176" s="27"/>
      <c r="M176" s="27"/>
      <c r="N176" s="27"/>
      <c r="O176" s="27"/>
      <c r="P176" s="27"/>
      <c r="Q176" s="27"/>
      <c r="R176" s="27"/>
      <c r="S176" s="27"/>
      <c r="T176" s="27"/>
      <c r="U176" s="27"/>
      <c r="V176" s="25"/>
      <c r="W176" s="31" t="e">
        <f>INDEX(TBL_PIPED_IMPORTERS_CONNECTIONS[PipedImporterConnectionID],$A176)</f>
        <v>#REF!</v>
      </c>
      <c r="X176" s="31" t="e">
        <f>"PipedImporterTariffFixed_"&amp;RIGHT($W176,11)</f>
        <v>#REF!</v>
      </c>
    </row>
    <row r="177" spans="1:24" x14ac:dyDescent="0.25">
      <c r="A177" s="94">
        <f t="shared" si="228"/>
        <v>43</v>
      </c>
      <c r="B177" s="117"/>
      <c r="C177" s="93" t="str">
        <f t="shared" ref="C177:D177" si="231">IF($B174&lt;&gt;"",C173,"")</f>
        <v/>
      </c>
      <c r="D177" s="93" t="str">
        <f t="shared" si="231"/>
        <v/>
      </c>
      <c r="E177" s="28"/>
      <c r="F177" s="28"/>
      <c r="G177" s="28"/>
      <c r="H177" s="28"/>
      <c r="I177" s="28"/>
      <c r="J177" s="28"/>
      <c r="K177" s="28"/>
      <c r="L177" s="28"/>
      <c r="M177" s="28"/>
      <c r="N177" s="28"/>
      <c r="O177" s="28"/>
      <c r="P177" s="28"/>
      <c r="Q177" s="28"/>
      <c r="R177" s="28"/>
      <c r="S177" s="28"/>
      <c r="T177" s="28"/>
      <c r="U177" s="28"/>
      <c r="V177" s="26"/>
      <c r="W177" s="31" t="e">
        <f>INDEX(TBL_PIPED_IMPORTERS_CONNECTIONS[PipedImporterConnectionID],$A177)</f>
        <v>#REF!</v>
      </c>
      <c r="X177" s="31" t="e">
        <f>"PipedImporterTariffVar_"&amp;RIGHT($W177,11)</f>
        <v>#REF!</v>
      </c>
    </row>
    <row r="178" spans="1:24" x14ac:dyDescent="0.25">
      <c r="A178" s="94">
        <f t="shared" ref="A178" si="232">$A174+1</f>
        <v>44</v>
      </c>
      <c r="B178" s="115" t="str">
        <f>IFERROR(INDEX(TBL_PIPED_IMPORTERS_CONNECTIONS[Name],$A178),"")</f>
        <v/>
      </c>
      <c r="C178" s="93" t="str">
        <f t="shared" ref="C178:D178" si="233">IF($B178&lt;&gt;"",C174,"")</f>
        <v/>
      </c>
      <c r="D178" s="93" t="str">
        <f t="shared" si="233"/>
        <v/>
      </c>
      <c r="E178" s="27"/>
      <c r="F178" s="27"/>
      <c r="G178" s="27"/>
      <c r="H178" s="27"/>
      <c r="I178" s="27"/>
      <c r="J178" s="27"/>
      <c r="K178" s="27"/>
      <c r="L178" s="27"/>
      <c r="M178" s="27"/>
      <c r="N178" s="27"/>
      <c r="O178" s="27"/>
      <c r="P178" s="27"/>
      <c r="Q178" s="27"/>
      <c r="R178" s="27"/>
      <c r="S178" s="27"/>
      <c r="T178" s="27"/>
      <c r="U178" s="27"/>
      <c r="V178" s="25"/>
      <c r="W178" s="31" t="e">
        <f>INDEX(TBL_PIPED_IMPORTERS_CONNECTIONS[PipedImporterConnectionID],$A178)</f>
        <v>#REF!</v>
      </c>
      <c r="X178" s="31" t="e">
        <f>"PipedImporterCapMin_"&amp;RIGHT($W178,11)</f>
        <v>#REF!</v>
      </c>
    </row>
    <row r="179" spans="1:24" x14ac:dyDescent="0.25">
      <c r="A179" s="94">
        <f t="shared" ref="A179:A197" si="234">$A178</f>
        <v>44</v>
      </c>
      <c r="B179" s="116"/>
      <c r="C179" s="93" t="str">
        <f t="shared" ref="C179:D179" si="235">IF($B178&lt;&gt;"",C175,"")</f>
        <v/>
      </c>
      <c r="D179" s="93" t="str">
        <f t="shared" si="235"/>
        <v/>
      </c>
      <c r="E179" s="28"/>
      <c r="F179" s="28"/>
      <c r="G179" s="28"/>
      <c r="H179" s="28"/>
      <c r="I179" s="28"/>
      <c r="J179" s="28"/>
      <c r="K179" s="28"/>
      <c r="L179" s="28"/>
      <c r="M179" s="28"/>
      <c r="N179" s="28"/>
      <c r="O179" s="28"/>
      <c r="P179" s="28"/>
      <c r="Q179" s="28"/>
      <c r="R179" s="28"/>
      <c r="S179" s="28"/>
      <c r="T179" s="28"/>
      <c r="U179" s="28"/>
      <c r="V179" s="26"/>
      <c r="W179" s="31" t="e">
        <f>INDEX(TBL_PIPED_IMPORTERS_CONNECTIONS[PipedImporterConnectionID],$A179)</f>
        <v>#REF!</v>
      </c>
      <c r="X179" s="31" t="e">
        <f>"PipedImporterCapMax_"&amp;RIGHT($W179,11)</f>
        <v>#REF!</v>
      </c>
    </row>
    <row r="180" spans="1:24" x14ac:dyDescent="0.25">
      <c r="A180" s="94">
        <f t="shared" si="234"/>
        <v>44</v>
      </c>
      <c r="B180" s="116"/>
      <c r="C180" s="93" t="str">
        <f t="shared" ref="C180:D180" si="236">IF($B178&lt;&gt;"",C176,"")</f>
        <v/>
      </c>
      <c r="D180" s="93" t="str">
        <f t="shared" si="236"/>
        <v/>
      </c>
      <c r="E180" s="27"/>
      <c r="F180" s="27"/>
      <c r="G180" s="27"/>
      <c r="H180" s="27"/>
      <c r="I180" s="27"/>
      <c r="J180" s="27"/>
      <c r="K180" s="27"/>
      <c r="L180" s="27"/>
      <c r="M180" s="27"/>
      <c r="N180" s="27"/>
      <c r="O180" s="27"/>
      <c r="P180" s="27"/>
      <c r="Q180" s="27"/>
      <c r="R180" s="27"/>
      <c r="S180" s="27"/>
      <c r="T180" s="27"/>
      <c r="U180" s="27"/>
      <c r="V180" s="25"/>
      <c r="W180" s="31" t="e">
        <f>INDEX(TBL_PIPED_IMPORTERS_CONNECTIONS[PipedImporterConnectionID],$A180)</f>
        <v>#REF!</v>
      </c>
      <c r="X180" s="31" t="e">
        <f>"PipedImporterTariffFixed_"&amp;RIGHT($W180,11)</f>
        <v>#REF!</v>
      </c>
    </row>
    <row r="181" spans="1:24" x14ac:dyDescent="0.25">
      <c r="A181" s="94">
        <f t="shared" si="234"/>
        <v>44</v>
      </c>
      <c r="B181" s="117"/>
      <c r="C181" s="93" t="str">
        <f t="shared" ref="C181:D181" si="237">IF($B178&lt;&gt;"",C177,"")</f>
        <v/>
      </c>
      <c r="D181" s="93" t="str">
        <f t="shared" si="237"/>
        <v/>
      </c>
      <c r="E181" s="28"/>
      <c r="F181" s="28"/>
      <c r="G181" s="28"/>
      <c r="H181" s="28"/>
      <c r="I181" s="28"/>
      <c r="J181" s="28"/>
      <c r="K181" s="28"/>
      <c r="L181" s="28"/>
      <c r="M181" s="28"/>
      <c r="N181" s="28"/>
      <c r="O181" s="28"/>
      <c r="P181" s="28"/>
      <c r="Q181" s="28"/>
      <c r="R181" s="28"/>
      <c r="S181" s="28"/>
      <c r="T181" s="28"/>
      <c r="U181" s="28"/>
      <c r="V181" s="26"/>
      <c r="W181" s="31" t="e">
        <f>INDEX(TBL_PIPED_IMPORTERS_CONNECTIONS[PipedImporterConnectionID],$A181)</f>
        <v>#REF!</v>
      </c>
      <c r="X181" s="31" t="e">
        <f>"PipedImporterTariffVar_"&amp;RIGHT($W181,11)</f>
        <v>#REF!</v>
      </c>
    </row>
    <row r="182" spans="1:24" x14ac:dyDescent="0.25">
      <c r="A182" s="94">
        <f t="shared" ref="A182" si="238">$A178+1</f>
        <v>45</v>
      </c>
      <c r="B182" s="115" t="str">
        <f>IFERROR(INDEX(TBL_PIPED_IMPORTERS_CONNECTIONS[Name],$A182),"")</f>
        <v/>
      </c>
      <c r="C182" s="93" t="str">
        <f t="shared" ref="C182:D182" si="239">IF($B182&lt;&gt;"",C178,"")</f>
        <v/>
      </c>
      <c r="D182" s="93" t="str">
        <f t="shared" si="239"/>
        <v/>
      </c>
      <c r="E182" s="27"/>
      <c r="F182" s="27"/>
      <c r="G182" s="27"/>
      <c r="H182" s="27"/>
      <c r="I182" s="27"/>
      <c r="J182" s="27"/>
      <c r="K182" s="27"/>
      <c r="L182" s="27"/>
      <c r="M182" s="27"/>
      <c r="N182" s="27"/>
      <c r="O182" s="27"/>
      <c r="P182" s="27"/>
      <c r="Q182" s="27"/>
      <c r="R182" s="27"/>
      <c r="S182" s="27"/>
      <c r="T182" s="27"/>
      <c r="U182" s="27"/>
      <c r="V182" s="25"/>
      <c r="W182" s="31" t="e">
        <f>INDEX(TBL_PIPED_IMPORTERS_CONNECTIONS[PipedImporterConnectionID],$A182)</f>
        <v>#REF!</v>
      </c>
      <c r="X182" s="31" t="e">
        <f>"PipedImporterCapMin_"&amp;RIGHT($W182,11)</f>
        <v>#REF!</v>
      </c>
    </row>
    <row r="183" spans="1:24" x14ac:dyDescent="0.25">
      <c r="A183" s="94">
        <f t="shared" si="234"/>
        <v>45</v>
      </c>
      <c r="B183" s="116"/>
      <c r="C183" s="93" t="str">
        <f t="shared" ref="C183:D183" si="240">IF($B182&lt;&gt;"",C179,"")</f>
        <v/>
      </c>
      <c r="D183" s="93" t="str">
        <f t="shared" si="240"/>
        <v/>
      </c>
      <c r="E183" s="28"/>
      <c r="F183" s="28"/>
      <c r="G183" s="28"/>
      <c r="H183" s="28"/>
      <c r="I183" s="28"/>
      <c r="J183" s="28"/>
      <c r="K183" s="28"/>
      <c r="L183" s="28"/>
      <c r="M183" s="28"/>
      <c r="N183" s="28"/>
      <c r="O183" s="28"/>
      <c r="P183" s="28"/>
      <c r="Q183" s="28"/>
      <c r="R183" s="28"/>
      <c r="S183" s="28"/>
      <c r="T183" s="28"/>
      <c r="U183" s="28"/>
      <c r="V183" s="26"/>
      <c r="W183" s="31" t="e">
        <f>INDEX(TBL_PIPED_IMPORTERS_CONNECTIONS[PipedImporterConnectionID],$A183)</f>
        <v>#REF!</v>
      </c>
      <c r="X183" s="31" t="e">
        <f>"PipedImporterCapMax_"&amp;RIGHT($W183,11)</f>
        <v>#REF!</v>
      </c>
    </row>
    <row r="184" spans="1:24" x14ac:dyDescent="0.25">
      <c r="A184" s="94">
        <f t="shared" si="234"/>
        <v>45</v>
      </c>
      <c r="B184" s="116"/>
      <c r="C184" s="93" t="str">
        <f t="shared" ref="C184:D184" si="241">IF($B182&lt;&gt;"",C180,"")</f>
        <v/>
      </c>
      <c r="D184" s="93" t="str">
        <f t="shared" si="241"/>
        <v/>
      </c>
      <c r="E184" s="27"/>
      <c r="F184" s="27"/>
      <c r="G184" s="27"/>
      <c r="H184" s="27"/>
      <c r="I184" s="27"/>
      <c r="J184" s="27"/>
      <c r="K184" s="27"/>
      <c r="L184" s="27"/>
      <c r="M184" s="27"/>
      <c r="N184" s="27"/>
      <c r="O184" s="27"/>
      <c r="P184" s="27"/>
      <c r="Q184" s="27"/>
      <c r="R184" s="27"/>
      <c r="S184" s="27"/>
      <c r="T184" s="27"/>
      <c r="U184" s="27"/>
      <c r="V184" s="25"/>
      <c r="W184" s="31" t="e">
        <f>INDEX(TBL_PIPED_IMPORTERS_CONNECTIONS[PipedImporterConnectionID],$A184)</f>
        <v>#REF!</v>
      </c>
      <c r="X184" s="31" t="e">
        <f>"PipedImporterTariffFixed_"&amp;RIGHT($W184,11)</f>
        <v>#REF!</v>
      </c>
    </row>
    <row r="185" spans="1:24" x14ac:dyDescent="0.25">
      <c r="A185" s="94">
        <f t="shared" si="234"/>
        <v>45</v>
      </c>
      <c r="B185" s="117"/>
      <c r="C185" s="93" t="str">
        <f t="shared" ref="C185:D185" si="242">IF($B182&lt;&gt;"",C181,"")</f>
        <v/>
      </c>
      <c r="D185" s="93" t="str">
        <f t="shared" si="242"/>
        <v/>
      </c>
      <c r="E185" s="28"/>
      <c r="F185" s="28"/>
      <c r="G185" s="28"/>
      <c r="H185" s="28"/>
      <c r="I185" s="28"/>
      <c r="J185" s="28"/>
      <c r="K185" s="28"/>
      <c r="L185" s="28"/>
      <c r="M185" s="28"/>
      <c r="N185" s="28"/>
      <c r="O185" s="28"/>
      <c r="P185" s="28"/>
      <c r="Q185" s="28"/>
      <c r="R185" s="28"/>
      <c r="S185" s="28"/>
      <c r="T185" s="28"/>
      <c r="U185" s="28"/>
      <c r="V185" s="26"/>
      <c r="W185" s="31" t="e">
        <f>INDEX(TBL_PIPED_IMPORTERS_CONNECTIONS[PipedImporterConnectionID],$A185)</f>
        <v>#REF!</v>
      </c>
      <c r="X185" s="31" t="e">
        <f>"PipedImporterTariffVar_"&amp;RIGHT($W185,11)</f>
        <v>#REF!</v>
      </c>
    </row>
    <row r="186" spans="1:24" x14ac:dyDescent="0.25">
      <c r="A186" s="94">
        <f t="shared" ref="A186" si="243">$A182+1</f>
        <v>46</v>
      </c>
      <c r="B186" s="115" t="str">
        <f>IFERROR(INDEX(TBL_PIPED_IMPORTERS_CONNECTIONS[Name],$A186),"")</f>
        <v/>
      </c>
      <c r="C186" s="93" t="str">
        <f t="shared" ref="C186:D186" si="244">IF($B186&lt;&gt;"",C182,"")</f>
        <v/>
      </c>
      <c r="D186" s="93" t="str">
        <f t="shared" si="244"/>
        <v/>
      </c>
      <c r="E186" s="27"/>
      <c r="F186" s="27"/>
      <c r="G186" s="27"/>
      <c r="H186" s="27"/>
      <c r="I186" s="27"/>
      <c r="J186" s="27"/>
      <c r="K186" s="27"/>
      <c r="L186" s="27"/>
      <c r="M186" s="27"/>
      <c r="N186" s="27"/>
      <c r="O186" s="27"/>
      <c r="P186" s="27"/>
      <c r="Q186" s="27"/>
      <c r="R186" s="27"/>
      <c r="S186" s="27"/>
      <c r="T186" s="27"/>
      <c r="U186" s="27"/>
      <c r="V186" s="25"/>
      <c r="W186" s="31" t="e">
        <f>INDEX(TBL_PIPED_IMPORTERS_CONNECTIONS[PipedImporterConnectionID],$A186)</f>
        <v>#REF!</v>
      </c>
      <c r="X186" s="31" t="e">
        <f>"PipedImporterCapMin_"&amp;RIGHT($W186,11)</f>
        <v>#REF!</v>
      </c>
    </row>
    <row r="187" spans="1:24" x14ac:dyDescent="0.25">
      <c r="A187" s="94">
        <f t="shared" si="234"/>
        <v>46</v>
      </c>
      <c r="B187" s="116"/>
      <c r="C187" s="93" t="str">
        <f t="shared" ref="C187:D187" si="245">IF($B186&lt;&gt;"",C183,"")</f>
        <v/>
      </c>
      <c r="D187" s="93" t="str">
        <f t="shared" si="245"/>
        <v/>
      </c>
      <c r="E187" s="28"/>
      <c r="F187" s="28"/>
      <c r="G187" s="28"/>
      <c r="H187" s="28"/>
      <c r="I187" s="28"/>
      <c r="J187" s="28"/>
      <c r="K187" s="28"/>
      <c r="L187" s="28"/>
      <c r="M187" s="28"/>
      <c r="N187" s="28"/>
      <c r="O187" s="28"/>
      <c r="P187" s="28"/>
      <c r="Q187" s="28"/>
      <c r="R187" s="28"/>
      <c r="S187" s="28"/>
      <c r="T187" s="28"/>
      <c r="U187" s="28"/>
      <c r="V187" s="26"/>
      <c r="W187" s="31" t="e">
        <f>INDEX(TBL_PIPED_IMPORTERS_CONNECTIONS[PipedImporterConnectionID],$A187)</f>
        <v>#REF!</v>
      </c>
      <c r="X187" s="31" t="e">
        <f>"PipedImporterCapMax_"&amp;RIGHT($W187,11)</f>
        <v>#REF!</v>
      </c>
    </row>
    <row r="188" spans="1:24" x14ac:dyDescent="0.25">
      <c r="A188" s="94">
        <f t="shared" si="234"/>
        <v>46</v>
      </c>
      <c r="B188" s="116"/>
      <c r="C188" s="93" t="str">
        <f t="shared" ref="C188:D188" si="246">IF($B186&lt;&gt;"",C184,"")</f>
        <v/>
      </c>
      <c r="D188" s="93" t="str">
        <f t="shared" si="246"/>
        <v/>
      </c>
      <c r="E188" s="27"/>
      <c r="F188" s="27"/>
      <c r="G188" s="27"/>
      <c r="H188" s="27"/>
      <c r="I188" s="27"/>
      <c r="J188" s="27"/>
      <c r="K188" s="27"/>
      <c r="L188" s="27"/>
      <c r="M188" s="27"/>
      <c r="N188" s="27"/>
      <c r="O188" s="27"/>
      <c r="P188" s="27"/>
      <c r="Q188" s="27"/>
      <c r="R188" s="27"/>
      <c r="S188" s="27"/>
      <c r="T188" s="27"/>
      <c r="U188" s="27"/>
      <c r="V188" s="25"/>
      <c r="W188" s="31" t="e">
        <f>INDEX(TBL_PIPED_IMPORTERS_CONNECTIONS[PipedImporterConnectionID],$A188)</f>
        <v>#REF!</v>
      </c>
      <c r="X188" s="31" t="e">
        <f>"PipedImporterTariffFixed_"&amp;RIGHT($W188,11)</f>
        <v>#REF!</v>
      </c>
    </row>
    <row r="189" spans="1:24" x14ac:dyDescent="0.25">
      <c r="A189" s="94">
        <f t="shared" si="234"/>
        <v>46</v>
      </c>
      <c r="B189" s="117"/>
      <c r="C189" s="93" t="str">
        <f t="shared" ref="C189:D189" si="247">IF($B186&lt;&gt;"",C185,"")</f>
        <v/>
      </c>
      <c r="D189" s="93" t="str">
        <f t="shared" si="247"/>
        <v/>
      </c>
      <c r="E189" s="28"/>
      <c r="F189" s="28"/>
      <c r="G189" s="28"/>
      <c r="H189" s="28"/>
      <c r="I189" s="28"/>
      <c r="J189" s="28"/>
      <c r="K189" s="28"/>
      <c r="L189" s="28"/>
      <c r="M189" s="28"/>
      <c r="N189" s="28"/>
      <c r="O189" s="28"/>
      <c r="P189" s="28"/>
      <c r="Q189" s="28"/>
      <c r="R189" s="28"/>
      <c r="S189" s="28"/>
      <c r="T189" s="28"/>
      <c r="U189" s="28"/>
      <c r="V189" s="26"/>
      <c r="W189" s="31" t="e">
        <f>INDEX(TBL_PIPED_IMPORTERS_CONNECTIONS[PipedImporterConnectionID],$A189)</f>
        <v>#REF!</v>
      </c>
      <c r="X189" s="31" t="e">
        <f>"PipedImporterTariffVar_"&amp;RIGHT($W189,11)</f>
        <v>#REF!</v>
      </c>
    </row>
    <row r="190" spans="1:24" x14ac:dyDescent="0.25">
      <c r="A190" s="94">
        <f t="shared" ref="A190" si="248">$A186+1</f>
        <v>47</v>
      </c>
      <c r="B190" s="115" t="str">
        <f>IFERROR(INDEX(TBL_PIPED_IMPORTERS_CONNECTIONS[Name],$A190),"")</f>
        <v/>
      </c>
      <c r="C190" s="93" t="str">
        <f t="shared" ref="C190:D190" si="249">IF($B190&lt;&gt;"",C186,"")</f>
        <v/>
      </c>
      <c r="D190" s="93" t="str">
        <f t="shared" si="249"/>
        <v/>
      </c>
      <c r="E190" s="27"/>
      <c r="F190" s="27"/>
      <c r="G190" s="27"/>
      <c r="H190" s="27"/>
      <c r="I190" s="27"/>
      <c r="J190" s="27"/>
      <c r="K190" s="27"/>
      <c r="L190" s="27"/>
      <c r="M190" s="27"/>
      <c r="N190" s="27"/>
      <c r="O190" s="27"/>
      <c r="P190" s="27"/>
      <c r="Q190" s="27"/>
      <c r="R190" s="27"/>
      <c r="S190" s="27"/>
      <c r="T190" s="27"/>
      <c r="U190" s="27"/>
      <c r="V190" s="25"/>
      <c r="W190" s="31" t="e">
        <f>INDEX(TBL_PIPED_IMPORTERS_CONNECTIONS[PipedImporterConnectionID],$A190)</f>
        <v>#REF!</v>
      </c>
      <c r="X190" s="31" t="e">
        <f>"PipedImporterCapMin_"&amp;RIGHT($W190,11)</f>
        <v>#REF!</v>
      </c>
    </row>
    <row r="191" spans="1:24" x14ac:dyDescent="0.25">
      <c r="A191" s="94">
        <f t="shared" si="234"/>
        <v>47</v>
      </c>
      <c r="B191" s="116"/>
      <c r="C191" s="93" t="str">
        <f t="shared" ref="C191:D191" si="250">IF($B190&lt;&gt;"",C187,"")</f>
        <v/>
      </c>
      <c r="D191" s="93" t="str">
        <f t="shared" si="250"/>
        <v/>
      </c>
      <c r="E191" s="28"/>
      <c r="F191" s="28"/>
      <c r="G191" s="28"/>
      <c r="H191" s="28"/>
      <c r="I191" s="28"/>
      <c r="J191" s="28"/>
      <c r="K191" s="28"/>
      <c r="L191" s="28"/>
      <c r="M191" s="28"/>
      <c r="N191" s="28"/>
      <c r="O191" s="28"/>
      <c r="P191" s="28"/>
      <c r="Q191" s="28"/>
      <c r="R191" s="28"/>
      <c r="S191" s="28"/>
      <c r="T191" s="28"/>
      <c r="U191" s="28"/>
      <c r="V191" s="26"/>
      <c r="W191" s="31" t="e">
        <f>INDEX(TBL_PIPED_IMPORTERS_CONNECTIONS[PipedImporterConnectionID],$A191)</f>
        <v>#REF!</v>
      </c>
      <c r="X191" s="31" t="e">
        <f>"PipedImporterCapMax_"&amp;RIGHT($W191,11)</f>
        <v>#REF!</v>
      </c>
    </row>
    <row r="192" spans="1:24" x14ac:dyDescent="0.25">
      <c r="A192" s="94">
        <f t="shared" si="234"/>
        <v>47</v>
      </c>
      <c r="B192" s="116"/>
      <c r="C192" s="93" t="str">
        <f t="shared" ref="C192:D192" si="251">IF($B190&lt;&gt;"",C188,"")</f>
        <v/>
      </c>
      <c r="D192" s="93" t="str">
        <f t="shared" si="251"/>
        <v/>
      </c>
      <c r="E192" s="27"/>
      <c r="F192" s="27"/>
      <c r="G192" s="27"/>
      <c r="H192" s="27"/>
      <c r="I192" s="27"/>
      <c r="J192" s="27"/>
      <c r="K192" s="27"/>
      <c r="L192" s="27"/>
      <c r="M192" s="27"/>
      <c r="N192" s="27"/>
      <c r="O192" s="27"/>
      <c r="P192" s="27"/>
      <c r="Q192" s="27"/>
      <c r="R192" s="27"/>
      <c r="S192" s="27"/>
      <c r="T192" s="27"/>
      <c r="U192" s="27"/>
      <c r="V192" s="25"/>
      <c r="W192" s="31" t="e">
        <f>INDEX(TBL_PIPED_IMPORTERS_CONNECTIONS[PipedImporterConnectionID],$A192)</f>
        <v>#REF!</v>
      </c>
      <c r="X192" s="31" t="e">
        <f>"PipedImporterTariffFixed_"&amp;RIGHT($W192,11)</f>
        <v>#REF!</v>
      </c>
    </row>
    <row r="193" spans="1:24" x14ac:dyDescent="0.25">
      <c r="A193" s="94">
        <f t="shared" si="234"/>
        <v>47</v>
      </c>
      <c r="B193" s="117"/>
      <c r="C193" s="93" t="str">
        <f t="shared" ref="C193:D193" si="252">IF($B190&lt;&gt;"",C189,"")</f>
        <v/>
      </c>
      <c r="D193" s="93" t="str">
        <f t="shared" si="252"/>
        <v/>
      </c>
      <c r="E193" s="28"/>
      <c r="F193" s="28"/>
      <c r="G193" s="28"/>
      <c r="H193" s="28"/>
      <c r="I193" s="28"/>
      <c r="J193" s="28"/>
      <c r="K193" s="28"/>
      <c r="L193" s="28"/>
      <c r="M193" s="28"/>
      <c r="N193" s="28"/>
      <c r="O193" s="28"/>
      <c r="P193" s="28"/>
      <c r="Q193" s="28"/>
      <c r="R193" s="28"/>
      <c r="S193" s="28"/>
      <c r="T193" s="28"/>
      <c r="U193" s="28"/>
      <c r="V193" s="26"/>
      <c r="W193" s="31" t="e">
        <f>INDEX(TBL_PIPED_IMPORTERS_CONNECTIONS[PipedImporterConnectionID],$A193)</f>
        <v>#REF!</v>
      </c>
      <c r="X193" s="31" t="e">
        <f>"PipedImporterTariffVar_"&amp;RIGHT($W193,11)</f>
        <v>#REF!</v>
      </c>
    </row>
    <row r="194" spans="1:24" x14ac:dyDescent="0.25">
      <c r="A194" s="94">
        <f t="shared" ref="A194" si="253">$A190+1</f>
        <v>48</v>
      </c>
      <c r="B194" s="115" t="str">
        <f>IFERROR(INDEX(TBL_PIPED_IMPORTERS_CONNECTIONS[Name],$A194),"")</f>
        <v/>
      </c>
      <c r="C194" s="93" t="str">
        <f t="shared" ref="C194:D194" si="254">IF($B194&lt;&gt;"",C190,"")</f>
        <v/>
      </c>
      <c r="D194" s="93" t="str">
        <f t="shared" si="254"/>
        <v/>
      </c>
      <c r="E194" s="27"/>
      <c r="F194" s="27"/>
      <c r="G194" s="27"/>
      <c r="H194" s="27"/>
      <c r="I194" s="27"/>
      <c r="J194" s="27"/>
      <c r="K194" s="27"/>
      <c r="L194" s="27"/>
      <c r="M194" s="27"/>
      <c r="N194" s="27"/>
      <c r="O194" s="27"/>
      <c r="P194" s="27"/>
      <c r="Q194" s="27"/>
      <c r="R194" s="27"/>
      <c r="S194" s="27"/>
      <c r="T194" s="27"/>
      <c r="U194" s="27"/>
      <c r="V194" s="25"/>
      <c r="W194" s="31" t="e">
        <f>INDEX(TBL_PIPED_IMPORTERS_CONNECTIONS[PipedImporterConnectionID],$A194)</f>
        <v>#REF!</v>
      </c>
      <c r="X194" s="31" t="e">
        <f>"PipedImporterCapMin_"&amp;RIGHT($W194,11)</f>
        <v>#REF!</v>
      </c>
    </row>
    <row r="195" spans="1:24" x14ac:dyDescent="0.25">
      <c r="A195" s="94">
        <f t="shared" si="234"/>
        <v>48</v>
      </c>
      <c r="B195" s="116"/>
      <c r="C195" s="93" t="str">
        <f t="shared" ref="C195:D195" si="255">IF($B194&lt;&gt;"",C191,"")</f>
        <v/>
      </c>
      <c r="D195" s="93" t="str">
        <f t="shared" si="255"/>
        <v/>
      </c>
      <c r="E195" s="28"/>
      <c r="F195" s="28"/>
      <c r="G195" s="28"/>
      <c r="H195" s="28"/>
      <c r="I195" s="28"/>
      <c r="J195" s="28"/>
      <c r="K195" s="28"/>
      <c r="L195" s="28"/>
      <c r="M195" s="28"/>
      <c r="N195" s="28"/>
      <c r="O195" s="28"/>
      <c r="P195" s="28"/>
      <c r="Q195" s="28"/>
      <c r="R195" s="28"/>
      <c r="S195" s="28"/>
      <c r="T195" s="28"/>
      <c r="U195" s="28"/>
      <c r="V195" s="26"/>
      <c r="W195" s="31" t="e">
        <f>INDEX(TBL_PIPED_IMPORTERS_CONNECTIONS[PipedImporterConnectionID],$A195)</f>
        <v>#REF!</v>
      </c>
      <c r="X195" s="31" t="e">
        <f>"PipedImporterCapMax_"&amp;RIGHT($W195,11)</f>
        <v>#REF!</v>
      </c>
    </row>
    <row r="196" spans="1:24" x14ac:dyDescent="0.25">
      <c r="A196" s="94">
        <f t="shared" si="234"/>
        <v>48</v>
      </c>
      <c r="B196" s="116"/>
      <c r="C196" s="93" t="str">
        <f t="shared" ref="C196:D196" si="256">IF($B194&lt;&gt;"",C192,"")</f>
        <v/>
      </c>
      <c r="D196" s="93" t="str">
        <f t="shared" si="256"/>
        <v/>
      </c>
      <c r="E196" s="27"/>
      <c r="F196" s="27"/>
      <c r="G196" s="27"/>
      <c r="H196" s="27"/>
      <c r="I196" s="27"/>
      <c r="J196" s="27"/>
      <c r="K196" s="27"/>
      <c r="L196" s="27"/>
      <c r="M196" s="27"/>
      <c r="N196" s="27"/>
      <c r="O196" s="27"/>
      <c r="P196" s="27"/>
      <c r="Q196" s="27"/>
      <c r="R196" s="27"/>
      <c r="S196" s="27"/>
      <c r="T196" s="27"/>
      <c r="U196" s="27"/>
      <c r="V196" s="25"/>
      <c r="W196" s="31" t="e">
        <f>INDEX(TBL_PIPED_IMPORTERS_CONNECTIONS[PipedImporterConnectionID],$A196)</f>
        <v>#REF!</v>
      </c>
      <c r="X196" s="31" t="e">
        <f>"PipedImporterTariffFixed_"&amp;RIGHT($W196,11)</f>
        <v>#REF!</v>
      </c>
    </row>
    <row r="197" spans="1:24" x14ac:dyDescent="0.25">
      <c r="A197" s="94">
        <f t="shared" si="234"/>
        <v>48</v>
      </c>
      <c r="B197" s="117"/>
      <c r="C197" s="93" t="str">
        <f t="shared" ref="C197:D197" si="257">IF($B194&lt;&gt;"",C193,"")</f>
        <v/>
      </c>
      <c r="D197" s="93" t="str">
        <f t="shared" si="257"/>
        <v/>
      </c>
      <c r="E197" s="28"/>
      <c r="F197" s="28"/>
      <c r="G197" s="28"/>
      <c r="H197" s="28"/>
      <c r="I197" s="28"/>
      <c r="J197" s="28"/>
      <c r="K197" s="28"/>
      <c r="L197" s="28"/>
      <c r="M197" s="28"/>
      <c r="N197" s="28"/>
      <c r="O197" s="28"/>
      <c r="P197" s="28"/>
      <c r="Q197" s="28"/>
      <c r="R197" s="28"/>
      <c r="S197" s="28"/>
      <c r="T197" s="28"/>
      <c r="U197" s="28"/>
      <c r="V197" s="26"/>
      <c r="W197" s="31" t="e">
        <f>INDEX(TBL_PIPED_IMPORTERS_CONNECTIONS[PipedImporterConnectionID],$A197)</f>
        <v>#REF!</v>
      </c>
      <c r="X197" s="31" t="e">
        <f>"PipedImporterTariffVar_"&amp;RIGHT($W197,11)</f>
        <v>#REF!</v>
      </c>
    </row>
    <row r="198" spans="1:24" x14ac:dyDescent="0.25">
      <c r="A198" s="94">
        <f t="shared" ref="A198" si="258">$A194+1</f>
        <v>49</v>
      </c>
      <c r="B198" s="115" t="str">
        <f>IFERROR(INDEX(TBL_PIPED_IMPORTERS_CONNECTIONS[Name],$A198),"")</f>
        <v/>
      </c>
      <c r="C198" s="93" t="str">
        <f t="shared" ref="C198:D198" si="259">IF($B198&lt;&gt;"",C194,"")</f>
        <v/>
      </c>
      <c r="D198" s="93" t="str">
        <f t="shared" si="259"/>
        <v/>
      </c>
      <c r="E198" s="27"/>
      <c r="F198" s="27"/>
      <c r="G198" s="27"/>
      <c r="H198" s="27"/>
      <c r="I198" s="27"/>
      <c r="J198" s="27"/>
      <c r="K198" s="27"/>
      <c r="L198" s="27"/>
      <c r="M198" s="27"/>
      <c r="N198" s="27"/>
      <c r="O198" s="27"/>
      <c r="P198" s="27"/>
      <c r="Q198" s="27"/>
      <c r="R198" s="27"/>
      <c r="S198" s="27"/>
      <c r="T198" s="27"/>
      <c r="U198" s="27"/>
      <c r="V198" s="25"/>
      <c r="W198" s="31" t="e">
        <f>INDEX(TBL_PIPED_IMPORTERS_CONNECTIONS[PipedImporterConnectionID],$A198)</f>
        <v>#REF!</v>
      </c>
      <c r="X198" s="31" t="e">
        <f>"PipedImporterCapMin_"&amp;RIGHT($W198,11)</f>
        <v>#REF!</v>
      </c>
    </row>
    <row r="199" spans="1:24" x14ac:dyDescent="0.25">
      <c r="A199" s="94">
        <f t="shared" ref="A199:A201" si="260">$A198</f>
        <v>49</v>
      </c>
      <c r="B199" s="116"/>
      <c r="C199" s="93" t="str">
        <f t="shared" ref="C199:D199" si="261">IF($B198&lt;&gt;"",C195,"")</f>
        <v/>
      </c>
      <c r="D199" s="93" t="str">
        <f t="shared" si="261"/>
        <v/>
      </c>
      <c r="E199" s="28"/>
      <c r="F199" s="28"/>
      <c r="G199" s="28"/>
      <c r="H199" s="28"/>
      <c r="I199" s="28"/>
      <c r="J199" s="28"/>
      <c r="K199" s="28"/>
      <c r="L199" s="28"/>
      <c r="M199" s="28"/>
      <c r="N199" s="28"/>
      <c r="O199" s="28"/>
      <c r="P199" s="28"/>
      <c r="Q199" s="28"/>
      <c r="R199" s="28"/>
      <c r="S199" s="28"/>
      <c r="T199" s="28"/>
      <c r="U199" s="28"/>
      <c r="V199" s="26"/>
      <c r="W199" s="31" t="e">
        <f>INDEX(TBL_PIPED_IMPORTERS_CONNECTIONS[PipedImporterConnectionID],$A199)</f>
        <v>#REF!</v>
      </c>
      <c r="X199" s="31" t="e">
        <f>"PipedImporterCapMax_"&amp;RIGHT($W199,11)</f>
        <v>#REF!</v>
      </c>
    </row>
    <row r="200" spans="1:24" x14ac:dyDescent="0.25">
      <c r="A200" s="94">
        <f t="shared" si="260"/>
        <v>49</v>
      </c>
      <c r="B200" s="116"/>
      <c r="C200" s="93" t="str">
        <f t="shared" ref="C200:D200" si="262">IF($B198&lt;&gt;"",C196,"")</f>
        <v/>
      </c>
      <c r="D200" s="93" t="str">
        <f t="shared" si="262"/>
        <v/>
      </c>
      <c r="E200" s="27"/>
      <c r="F200" s="27"/>
      <c r="G200" s="27"/>
      <c r="H200" s="27"/>
      <c r="I200" s="27"/>
      <c r="J200" s="27"/>
      <c r="K200" s="27"/>
      <c r="L200" s="27"/>
      <c r="M200" s="27"/>
      <c r="N200" s="27"/>
      <c r="O200" s="27"/>
      <c r="P200" s="27"/>
      <c r="Q200" s="27"/>
      <c r="R200" s="27"/>
      <c r="S200" s="27"/>
      <c r="T200" s="27"/>
      <c r="U200" s="27"/>
      <c r="V200" s="25"/>
      <c r="W200" s="31" t="e">
        <f>INDEX(TBL_PIPED_IMPORTERS_CONNECTIONS[PipedImporterConnectionID],$A200)</f>
        <v>#REF!</v>
      </c>
      <c r="X200" s="31" t="e">
        <f>"PipedImporterTariffFixed_"&amp;RIGHT($W200,11)</f>
        <v>#REF!</v>
      </c>
    </row>
    <row r="201" spans="1:24" x14ac:dyDescent="0.25">
      <c r="A201" s="94">
        <f t="shared" si="260"/>
        <v>49</v>
      </c>
      <c r="B201" s="117"/>
      <c r="C201" s="93" t="str">
        <f t="shared" ref="C201:D201" si="263">IF($B198&lt;&gt;"",C197,"")</f>
        <v/>
      </c>
      <c r="D201" s="93" t="str">
        <f t="shared" si="263"/>
        <v/>
      </c>
      <c r="E201" s="28"/>
      <c r="F201" s="28"/>
      <c r="G201" s="28"/>
      <c r="H201" s="28"/>
      <c r="I201" s="28"/>
      <c r="J201" s="28"/>
      <c r="K201" s="28"/>
      <c r="L201" s="28"/>
      <c r="M201" s="28"/>
      <c r="N201" s="28"/>
      <c r="O201" s="28"/>
      <c r="P201" s="28"/>
      <c r="Q201" s="28"/>
      <c r="R201" s="28"/>
      <c r="S201" s="28"/>
      <c r="T201" s="28"/>
      <c r="U201" s="28"/>
      <c r="V201" s="26"/>
      <c r="W201" s="31" t="e">
        <f>INDEX(TBL_PIPED_IMPORTERS_CONNECTIONS[PipedImporterConnectionID],$A201)</f>
        <v>#REF!</v>
      </c>
      <c r="X201" s="31" t="e">
        <f>"PipedImporterTariffVar_"&amp;RIGHT($W201,11)</f>
        <v>#REF!</v>
      </c>
    </row>
    <row r="202" spans="1:24" x14ac:dyDescent="0.25">
      <c r="A202" s="94">
        <f t="shared" ref="A202" si="264">$A198+1</f>
        <v>50</v>
      </c>
      <c r="B202" s="115" t="str">
        <f>IFERROR(INDEX(TBL_PIPED_IMPORTERS_CONNECTIONS[Name],$A202),"")</f>
        <v/>
      </c>
      <c r="C202" s="93" t="str">
        <f t="shared" ref="C202:D202" si="265">IF($B202&lt;&gt;"",C198,"")</f>
        <v/>
      </c>
      <c r="D202" s="93" t="str">
        <f t="shared" si="265"/>
        <v/>
      </c>
      <c r="E202" s="27"/>
      <c r="F202" s="27"/>
      <c r="G202" s="27"/>
      <c r="H202" s="27"/>
      <c r="I202" s="27"/>
      <c r="J202" s="27"/>
      <c r="K202" s="27"/>
      <c r="L202" s="27"/>
      <c r="M202" s="27"/>
      <c r="N202" s="27"/>
      <c r="O202" s="27"/>
      <c r="P202" s="27"/>
      <c r="Q202" s="27"/>
      <c r="R202" s="27"/>
      <c r="S202" s="27"/>
      <c r="T202" s="27"/>
      <c r="U202" s="27"/>
      <c r="V202" s="25"/>
      <c r="W202" s="31" t="e">
        <f>INDEX(TBL_PIPED_IMPORTERS_CONNECTIONS[PipedImporterConnectionID],$A202)</f>
        <v>#REF!</v>
      </c>
      <c r="X202" s="31" t="e">
        <f>"PipedImporterCapMin_"&amp;RIGHT($W202,11)</f>
        <v>#REF!</v>
      </c>
    </row>
    <row r="203" spans="1:24" x14ac:dyDescent="0.25">
      <c r="A203" s="94">
        <f t="shared" ref="A203:A205" si="266">$A202</f>
        <v>50</v>
      </c>
      <c r="B203" s="116"/>
      <c r="C203" s="93" t="str">
        <f t="shared" ref="C203:D203" si="267">IF($B202&lt;&gt;"",C199,"")</f>
        <v/>
      </c>
      <c r="D203" s="93" t="str">
        <f t="shared" si="267"/>
        <v/>
      </c>
      <c r="E203" s="28"/>
      <c r="F203" s="28"/>
      <c r="G203" s="28"/>
      <c r="H203" s="28"/>
      <c r="I203" s="28"/>
      <c r="J203" s="28"/>
      <c r="K203" s="28"/>
      <c r="L203" s="28"/>
      <c r="M203" s="28"/>
      <c r="N203" s="28"/>
      <c r="O203" s="28"/>
      <c r="P203" s="28"/>
      <c r="Q203" s="28"/>
      <c r="R203" s="28"/>
      <c r="S203" s="28"/>
      <c r="T203" s="28"/>
      <c r="U203" s="28"/>
      <c r="V203" s="26"/>
      <c r="W203" s="31" t="e">
        <f>INDEX(TBL_PIPED_IMPORTERS_CONNECTIONS[PipedImporterConnectionID],$A203)</f>
        <v>#REF!</v>
      </c>
      <c r="X203" s="31" t="e">
        <f>"PipedImporterCapMax_"&amp;RIGHT($W203,11)</f>
        <v>#REF!</v>
      </c>
    </row>
    <row r="204" spans="1:24" x14ac:dyDescent="0.25">
      <c r="A204" s="94">
        <f t="shared" si="266"/>
        <v>50</v>
      </c>
      <c r="B204" s="116"/>
      <c r="C204" s="93" t="str">
        <f t="shared" ref="C204:D204" si="268">IF($B202&lt;&gt;"",C200,"")</f>
        <v/>
      </c>
      <c r="D204" s="93" t="str">
        <f t="shared" si="268"/>
        <v/>
      </c>
      <c r="E204" s="27"/>
      <c r="F204" s="27"/>
      <c r="G204" s="27"/>
      <c r="H204" s="27"/>
      <c r="I204" s="27"/>
      <c r="J204" s="27"/>
      <c r="K204" s="27"/>
      <c r="L204" s="27"/>
      <c r="M204" s="27"/>
      <c r="N204" s="27"/>
      <c r="O204" s="27"/>
      <c r="P204" s="27"/>
      <c r="Q204" s="27"/>
      <c r="R204" s="27"/>
      <c r="S204" s="27"/>
      <c r="T204" s="27"/>
      <c r="U204" s="27"/>
      <c r="V204" s="25"/>
      <c r="W204" s="31" t="e">
        <f>INDEX(TBL_PIPED_IMPORTERS_CONNECTIONS[PipedImporterConnectionID],$A204)</f>
        <v>#REF!</v>
      </c>
      <c r="X204" s="31" t="e">
        <f>"PipedImporterTariffFixed_"&amp;RIGHT($W204,11)</f>
        <v>#REF!</v>
      </c>
    </row>
    <row r="205" spans="1:24" x14ac:dyDescent="0.25">
      <c r="A205" s="94">
        <f t="shared" si="266"/>
        <v>50</v>
      </c>
      <c r="B205" s="117"/>
      <c r="C205" s="93" t="str">
        <f t="shared" ref="C205:D205" si="269">IF($B202&lt;&gt;"",C201,"")</f>
        <v/>
      </c>
      <c r="D205" s="93" t="str">
        <f t="shared" si="269"/>
        <v/>
      </c>
      <c r="E205" s="28"/>
      <c r="F205" s="28"/>
      <c r="G205" s="28"/>
      <c r="H205" s="28"/>
      <c r="I205" s="28"/>
      <c r="J205" s="28"/>
      <c r="K205" s="28"/>
      <c r="L205" s="28"/>
      <c r="M205" s="28"/>
      <c r="N205" s="28"/>
      <c r="O205" s="28"/>
      <c r="P205" s="28"/>
      <c r="Q205" s="28"/>
      <c r="R205" s="28"/>
      <c r="S205" s="28"/>
      <c r="T205" s="28"/>
      <c r="U205" s="28"/>
      <c r="V205" s="26"/>
      <c r="W205" s="31" t="e">
        <f>INDEX(TBL_PIPED_IMPORTERS_CONNECTIONS[PipedImporterConnectionID],$A205)</f>
        <v>#REF!</v>
      </c>
      <c r="X205" s="31" t="e">
        <f>"PipedImporterTariffVar_"&amp;RIGHT($W205,11)</f>
        <v>#REF!</v>
      </c>
    </row>
    <row r="206" spans="1:24" x14ac:dyDescent="0.25">
      <c r="A206" s="94">
        <f t="shared" ref="A206" si="270">$A202+1</f>
        <v>51</v>
      </c>
      <c r="B206" s="115" t="str">
        <f>IFERROR(INDEX(TBL_PIPED_IMPORTERS_CONNECTIONS[Name],$A206),"")</f>
        <v/>
      </c>
      <c r="C206" s="93" t="str">
        <f t="shared" ref="C206:D206" si="271">IF($B206&lt;&gt;"",C202,"")</f>
        <v/>
      </c>
      <c r="D206" s="93" t="str">
        <f t="shared" si="271"/>
        <v/>
      </c>
      <c r="E206" s="27"/>
      <c r="F206" s="27"/>
      <c r="G206" s="27"/>
      <c r="H206" s="27"/>
      <c r="I206" s="27"/>
      <c r="J206" s="27"/>
      <c r="K206" s="27"/>
      <c r="L206" s="27"/>
      <c r="M206" s="27"/>
      <c r="N206" s="27"/>
      <c r="O206" s="27"/>
      <c r="P206" s="27"/>
      <c r="Q206" s="27"/>
      <c r="R206" s="27"/>
      <c r="S206" s="27"/>
      <c r="T206" s="27"/>
      <c r="U206" s="27"/>
      <c r="V206" s="25"/>
      <c r="W206" s="31" t="e">
        <f>INDEX(TBL_PIPED_IMPORTERS_CONNECTIONS[PipedImporterConnectionID],$A206)</f>
        <v>#REF!</v>
      </c>
      <c r="X206" s="31" t="e">
        <f>"PipedImporterCapMin_"&amp;RIGHT($W206,11)</f>
        <v>#REF!</v>
      </c>
    </row>
    <row r="207" spans="1:24" x14ac:dyDescent="0.25">
      <c r="A207" s="94">
        <f t="shared" ref="A207:A225" si="272">$A206</f>
        <v>51</v>
      </c>
      <c r="B207" s="116"/>
      <c r="C207" s="93" t="str">
        <f t="shared" ref="C207:D207" si="273">IF($B206&lt;&gt;"",C203,"")</f>
        <v/>
      </c>
      <c r="D207" s="93" t="str">
        <f t="shared" si="273"/>
        <v/>
      </c>
      <c r="E207" s="28"/>
      <c r="F207" s="28"/>
      <c r="G207" s="28"/>
      <c r="H207" s="28"/>
      <c r="I207" s="28"/>
      <c r="J207" s="28"/>
      <c r="K207" s="28"/>
      <c r="L207" s="28"/>
      <c r="M207" s="28"/>
      <c r="N207" s="28"/>
      <c r="O207" s="28"/>
      <c r="P207" s="28"/>
      <c r="Q207" s="28"/>
      <c r="R207" s="28"/>
      <c r="S207" s="28"/>
      <c r="T207" s="28"/>
      <c r="U207" s="28"/>
      <c r="V207" s="26"/>
      <c r="W207" s="31" t="e">
        <f>INDEX(TBL_PIPED_IMPORTERS_CONNECTIONS[PipedImporterConnectionID],$A207)</f>
        <v>#REF!</v>
      </c>
      <c r="X207" s="31" t="e">
        <f>"PipedImporterCapMax_"&amp;RIGHT($W207,11)</f>
        <v>#REF!</v>
      </c>
    </row>
    <row r="208" spans="1:24" x14ac:dyDescent="0.25">
      <c r="A208" s="94">
        <f t="shared" si="272"/>
        <v>51</v>
      </c>
      <c r="B208" s="116"/>
      <c r="C208" s="93" t="str">
        <f t="shared" ref="C208:D208" si="274">IF($B206&lt;&gt;"",C204,"")</f>
        <v/>
      </c>
      <c r="D208" s="93" t="str">
        <f t="shared" si="274"/>
        <v/>
      </c>
      <c r="E208" s="27"/>
      <c r="F208" s="27"/>
      <c r="G208" s="27"/>
      <c r="H208" s="27"/>
      <c r="I208" s="27"/>
      <c r="J208" s="27"/>
      <c r="K208" s="27"/>
      <c r="L208" s="27"/>
      <c r="M208" s="27"/>
      <c r="N208" s="27"/>
      <c r="O208" s="27"/>
      <c r="P208" s="27"/>
      <c r="Q208" s="27"/>
      <c r="R208" s="27"/>
      <c r="S208" s="27"/>
      <c r="T208" s="27"/>
      <c r="U208" s="27"/>
      <c r="V208" s="25"/>
      <c r="W208" s="31" t="e">
        <f>INDEX(TBL_PIPED_IMPORTERS_CONNECTIONS[PipedImporterConnectionID],$A208)</f>
        <v>#REF!</v>
      </c>
      <c r="X208" s="31" t="e">
        <f>"PipedImporterTariffFixed_"&amp;RIGHT($W208,11)</f>
        <v>#REF!</v>
      </c>
    </row>
    <row r="209" spans="1:24" x14ac:dyDescent="0.25">
      <c r="A209" s="94">
        <f t="shared" si="272"/>
        <v>51</v>
      </c>
      <c r="B209" s="117"/>
      <c r="C209" s="93" t="str">
        <f t="shared" ref="C209:D209" si="275">IF($B206&lt;&gt;"",C205,"")</f>
        <v/>
      </c>
      <c r="D209" s="93" t="str">
        <f t="shared" si="275"/>
        <v/>
      </c>
      <c r="E209" s="28"/>
      <c r="F209" s="28"/>
      <c r="G209" s="28"/>
      <c r="H209" s="28"/>
      <c r="I209" s="28"/>
      <c r="J209" s="28"/>
      <c r="K209" s="28"/>
      <c r="L209" s="28"/>
      <c r="M209" s="28"/>
      <c r="N209" s="28"/>
      <c r="O209" s="28"/>
      <c r="P209" s="28"/>
      <c r="Q209" s="28"/>
      <c r="R209" s="28"/>
      <c r="S209" s="28"/>
      <c r="T209" s="28"/>
      <c r="U209" s="28"/>
      <c r="V209" s="26"/>
      <c r="W209" s="31" t="e">
        <f>INDEX(TBL_PIPED_IMPORTERS_CONNECTIONS[PipedImporterConnectionID],$A209)</f>
        <v>#REF!</v>
      </c>
      <c r="X209" s="31" t="e">
        <f>"PipedImporterTariffVar_"&amp;RIGHT($W209,11)</f>
        <v>#REF!</v>
      </c>
    </row>
    <row r="210" spans="1:24" x14ac:dyDescent="0.25">
      <c r="A210" s="94">
        <f t="shared" ref="A210" si="276">$A206+1</f>
        <v>52</v>
      </c>
      <c r="B210" s="115" t="str">
        <f>IFERROR(INDEX(TBL_PIPED_IMPORTERS_CONNECTIONS[Name],$A210),"")</f>
        <v/>
      </c>
      <c r="C210" s="93" t="str">
        <f t="shared" ref="C210:D210" si="277">IF($B210&lt;&gt;"",C206,"")</f>
        <v/>
      </c>
      <c r="D210" s="93" t="str">
        <f t="shared" si="277"/>
        <v/>
      </c>
      <c r="E210" s="27"/>
      <c r="F210" s="27"/>
      <c r="G210" s="27"/>
      <c r="H210" s="27"/>
      <c r="I210" s="27"/>
      <c r="J210" s="27"/>
      <c r="K210" s="27"/>
      <c r="L210" s="27"/>
      <c r="M210" s="27"/>
      <c r="N210" s="27"/>
      <c r="O210" s="27"/>
      <c r="P210" s="27"/>
      <c r="Q210" s="27"/>
      <c r="R210" s="27"/>
      <c r="S210" s="27"/>
      <c r="T210" s="27"/>
      <c r="U210" s="27"/>
      <c r="V210" s="25"/>
      <c r="W210" s="31" t="e">
        <f>INDEX(TBL_PIPED_IMPORTERS_CONNECTIONS[PipedImporterConnectionID],$A210)</f>
        <v>#REF!</v>
      </c>
      <c r="X210" s="31" t="e">
        <f>"PipedImporterCapMin_"&amp;RIGHT($W210,11)</f>
        <v>#REF!</v>
      </c>
    </row>
    <row r="211" spans="1:24" x14ac:dyDescent="0.25">
      <c r="A211" s="94">
        <f t="shared" si="272"/>
        <v>52</v>
      </c>
      <c r="B211" s="116"/>
      <c r="C211" s="93" t="str">
        <f t="shared" ref="C211:D211" si="278">IF($B210&lt;&gt;"",C207,"")</f>
        <v/>
      </c>
      <c r="D211" s="93" t="str">
        <f t="shared" si="278"/>
        <v/>
      </c>
      <c r="E211" s="28"/>
      <c r="F211" s="28"/>
      <c r="G211" s="28"/>
      <c r="H211" s="28"/>
      <c r="I211" s="28"/>
      <c r="J211" s="28"/>
      <c r="K211" s="28"/>
      <c r="L211" s="28"/>
      <c r="M211" s="28"/>
      <c r="N211" s="28"/>
      <c r="O211" s="28"/>
      <c r="P211" s="28"/>
      <c r="Q211" s="28"/>
      <c r="R211" s="28"/>
      <c r="S211" s="28"/>
      <c r="T211" s="28"/>
      <c r="U211" s="28"/>
      <c r="V211" s="26"/>
      <c r="W211" s="31" t="e">
        <f>INDEX(TBL_PIPED_IMPORTERS_CONNECTIONS[PipedImporterConnectionID],$A211)</f>
        <v>#REF!</v>
      </c>
      <c r="X211" s="31" t="e">
        <f>"PipedImporterCapMax_"&amp;RIGHT($W211,11)</f>
        <v>#REF!</v>
      </c>
    </row>
    <row r="212" spans="1:24" x14ac:dyDescent="0.25">
      <c r="A212" s="94">
        <f t="shared" si="272"/>
        <v>52</v>
      </c>
      <c r="B212" s="116"/>
      <c r="C212" s="93" t="str">
        <f t="shared" ref="C212:D212" si="279">IF($B210&lt;&gt;"",C208,"")</f>
        <v/>
      </c>
      <c r="D212" s="93" t="str">
        <f t="shared" si="279"/>
        <v/>
      </c>
      <c r="E212" s="27"/>
      <c r="F212" s="27"/>
      <c r="G212" s="27"/>
      <c r="H212" s="27"/>
      <c r="I212" s="27"/>
      <c r="J212" s="27"/>
      <c r="K212" s="27"/>
      <c r="L212" s="27"/>
      <c r="M212" s="27"/>
      <c r="N212" s="27"/>
      <c r="O212" s="27"/>
      <c r="P212" s="27"/>
      <c r="Q212" s="27"/>
      <c r="R212" s="27"/>
      <c r="S212" s="27"/>
      <c r="T212" s="27"/>
      <c r="U212" s="27"/>
      <c r="V212" s="25"/>
      <c r="W212" s="31" t="e">
        <f>INDEX(TBL_PIPED_IMPORTERS_CONNECTIONS[PipedImporterConnectionID],$A212)</f>
        <v>#REF!</v>
      </c>
      <c r="X212" s="31" t="e">
        <f>"PipedImporterTariffFixed_"&amp;RIGHT($W212,11)</f>
        <v>#REF!</v>
      </c>
    </row>
    <row r="213" spans="1:24" x14ac:dyDescent="0.25">
      <c r="A213" s="94">
        <f t="shared" si="272"/>
        <v>52</v>
      </c>
      <c r="B213" s="117"/>
      <c r="C213" s="93" t="str">
        <f t="shared" ref="C213:D213" si="280">IF($B210&lt;&gt;"",C209,"")</f>
        <v/>
      </c>
      <c r="D213" s="93" t="str">
        <f t="shared" si="280"/>
        <v/>
      </c>
      <c r="E213" s="28"/>
      <c r="F213" s="28"/>
      <c r="G213" s="28"/>
      <c r="H213" s="28"/>
      <c r="I213" s="28"/>
      <c r="J213" s="28"/>
      <c r="K213" s="28"/>
      <c r="L213" s="28"/>
      <c r="M213" s="28"/>
      <c r="N213" s="28"/>
      <c r="O213" s="28"/>
      <c r="P213" s="28"/>
      <c r="Q213" s="28"/>
      <c r="R213" s="28"/>
      <c r="S213" s="28"/>
      <c r="T213" s="28"/>
      <c r="U213" s="28"/>
      <c r="V213" s="26"/>
      <c r="W213" s="31" t="e">
        <f>INDEX(TBL_PIPED_IMPORTERS_CONNECTIONS[PipedImporterConnectionID],$A213)</f>
        <v>#REF!</v>
      </c>
      <c r="X213" s="31" t="e">
        <f>"PipedImporterTariffVar_"&amp;RIGHT($W213,11)</f>
        <v>#REF!</v>
      </c>
    </row>
    <row r="214" spans="1:24" x14ac:dyDescent="0.25">
      <c r="A214" s="94">
        <f t="shared" ref="A214" si="281">$A210+1</f>
        <v>53</v>
      </c>
      <c r="B214" s="115" t="str">
        <f>IFERROR(INDEX(TBL_PIPED_IMPORTERS_CONNECTIONS[Name],$A214),"")</f>
        <v/>
      </c>
      <c r="C214" s="93" t="str">
        <f t="shared" ref="C214:D214" si="282">IF($B214&lt;&gt;"",C210,"")</f>
        <v/>
      </c>
      <c r="D214" s="93" t="str">
        <f t="shared" si="282"/>
        <v/>
      </c>
      <c r="E214" s="27"/>
      <c r="F214" s="27"/>
      <c r="G214" s="27"/>
      <c r="H214" s="27"/>
      <c r="I214" s="27"/>
      <c r="J214" s="27"/>
      <c r="K214" s="27"/>
      <c r="L214" s="27"/>
      <c r="M214" s="27"/>
      <c r="N214" s="27"/>
      <c r="O214" s="27"/>
      <c r="P214" s="27"/>
      <c r="Q214" s="27"/>
      <c r="R214" s="27"/>
      <c r="S214" s="27"/>
      <c r="T214" s="27"/>
      <c r="U214" s="27"/>
      <c r="V214" s="25"/>
      <c r="W214" s="31" t="e">
        <f>INDEX(TBL_PIPED_IMPORTERS_CONNECTIONS[PipedImporterConnectionID],$A214)</f>
        <v>#REF!</v>
      </c>
      <c r="X214" s="31" t="e">
        <f>"PipedImporterCapMin_"&amp;RIGHT($W214,11)</f>
        <v>#REF!</v>
      </c>
    </row>
    <row r="215" spans="1:24" x14ac:dyDescent="0.25">
      <c r="A215" s="94">
        <f t="shared" si="272"/>
        <v>53</v>
      </c>
      <c r="B215" s="116"/>
      <c r="C215" s="93" t="str">
        <f t="shared" ref="C215:D215" si="283">IF($B214&lt;&gt;"",C211,"")</f>
        <v/>
      </c>
      <c r="D215" s="93" t="str">
        <f t="shared" si="283"/>
        <v/>
      </c>
      <c r="E215" s="28"/>
      <c r="F215" s="28"/>
      <c r="G215" s="28"/>
      <c r="H215" s="28"/>
      <c r="I215" s="28"/>
      <c r="J215" s="28"/>
      <c r="K215" s="28"/>
      <c r="L215" s="28"/>
      <c r="M215" s="28"/>
      <c r="N215" s="28"/>
      <c r="O215" s="28"/>
      <c r="P215" s="28"/>
      <c r="Q215" s="28"/>
      <c r="R215" s="28"/>
      <c r="S215" s="28"/>
      <c r="T215" s="28"/>
      <c r="U215" s="28"/>
      <c r="V215" s="26"/>
      <c r="W215" s="31" t="e">
        <f>INDEX(TBL_PIPED_IMPORTERS_CONNECTIONS[PipedImporterConnectionID],$A215)</f>
        <v>#REF!</v>
      </c>
      <c r="X215" s="31" t="e">
        <f>"PipedImporterCapMax_"&amp;RIGHT($W215,11)</f>
        <v>#REF!</v>
      </c>
    </row>
    <row r="216" spans="1:24" x14ac:dyDescent="0.25">
      <c r="A216" s="94">
        <f t="shared" si="272"/>
        <v>53</v>
      </c>
      <c r="B216" s="116"/>
      <c r="C216" s="93" t="str">
        <f t="shared" ref="C216:D216" si="284">IF($B214&lt;&gt;"",C212,"")</f>
        <v/>
      </c>
      <c r="D216" s="93" t="str">
        <f t="shared" si="284"/>
        <v/>
      </c>
      <c r="E216" s="27"/>
      <c r="F216" s="27"/>
      <c r="G216" s="27"/>
      <c r="H216" s="27"/>
      <c r="I216" s="27"/>
      <c r="J216" s="27"/>
      <c r="K216" s="27"/>
      <c r="L216" s="27"/>
      <c r="M216" s="27"/>
      <c r="N216" s="27"/>
      <c r="O216" s="27"/>
      <c r="P216" s="27"/>
      <c r="Q216" s="27"/>
      <c r="R216" s="27"/>
      <c r="S216" s="27"/>
      <c r="T216" s="27"/>
      <c r="U216" s="27"/>
      <c r="V216" s="25"/>
      <c r="W216" s="31" t="e">
        <f>INDEX(TBL_PIPED_IMPORTERS_CONNECTIONS[PipedImporterConnectionID],$A216)</f>
        <v>#REF!</v>
      </c>
      <c r="X216" s="31" t="e">
        <f>"PipedImporterTariffFixed_"&amp;RIGHT($W216,11)</f>
        <v>#REF!</v>
      </c>
    </row>
    <row r="217" spans="1:24" x14ac:dyDescent="0.25">
      <c r="A217" s="94">
        <f t="shared" si="272"/>
        <v>53</v>
      </c>
      <c r="B217" s="117"/>
      <c r="C217" s="93" t="str">
        <f t="shared" ref="C217:D217" si="285">IF($B214&lt;&gt;"",C213,"")</f>
        <v/>
      </c>
      <c r="D217" s="93" t="str">
        <f t="shared" si="285"/>
        <v/>
      </c>
      <c r="E217" s="28"/>
      <c r="F217" s="28"/>
      <c r="G217" s="28"/>
      <c r="H217" s="28"/>
      <c r="I217" s="28"/>
      <c r="J217" s="28"/>
      <c r="K217" s="28"/>
      <c r="L217" s="28"/>
      <c r="M217" s="28"/>
      <c r="N217" s="28"/>
      <c r="O217" s="28"/>
      <c r="P217" s="28"/>
      <c r="Q217" s="28"/>
      <c r="R217" s="28"/>
      <c r="S217" s="28"/>
      <c r="T217" s="28"/>
      <c r="U217" s="28"/>
      <c r="V217" s="26"/>
      <c r="W217" s="31" t="e">
        <f>INDEX(TBL_PIPED_IMPORTERS_CONNECTIONS[PipedImporterConnectionID],$A217)</f>
        <v>#REF!</v>
      </c>
      <c r="X217" s="31" t="e">
        <f>"PipedImporterTariffVar_"&amp;RIGHT($W217,11)</f>
        <v>#REF!</v>
      </c>
    </row>
    <row r="218" spans="1:24" x14ac:dyDescent="0.25">
      <c r="A218" s="94">
        <f t="shared" ref="A218" si="286">$A214+1</f>
        <v>54</v>
      </c>
      <c r="B218" s="115" t="str">
        <f>IFERROR(INDEX(TBL_PIPED_IMPORTERS_CONNECTIONS[Name],$A218),"")</f>
        <v/>
      </c>
      <c r="C218" s="93" t="str">
        <f t="shared" ref="C218:D218" si="287">IF($B218&lt;&gt;"",C214,"")</f>
        <v/>
      </c>
      <c r="D218" s="93" t="str">
        <f t="shared" si="287"/>
        <v/>
      </c>
      <c r="E218" s="27"/>
      <c r="F218" s="27"/>
      <c r="G218" s="27"/>
      <c r="H218" s="27"/>
      <c r="I218" s="27"/>
      <c r="J218" s="27"/>
      <c r="K218" s="27"/>
      <c r="L218" s="27"/>
      <c r="M218" s="27"/>
      <c r="N218" s="27"/>
      <c r="O218" s="27"/>
      <c r="P218" s="27"/>
      <c r="Q218" s="27"/>
      <c r="R218" s="27"/>
      <c r="S218" s="27"/>
      <c r="T218" s="27"/>
      <c r="U218" s="27"/>
      <c r="V218" s="25"/>
      <c r="W218" s="31" t="e">
        <f>INDEX(TBL_PIPED_IMPORTERS_CONNECTIONS[PipedImporterConnectionID],$A218)</f>
        <v>#REF!</v>
      </c>
      <c r="X218" s="31" t="e">
        <f>"PipedImporterCapMin_"&amp;RIGHT($W218,11)</f>
        <v>#REF!</v>
      </c>
    </row>
    <row r="219" spans="1:24" x14ac:dyDescent="0.25">
      <c r="A219" s="94">
        <f t="shared" si="272"/>
        <v>54</v>
      </c>
      <c r="B219" s="116"/>
      <c r="C219" s="93" t="str">
        <f t="shared" ref="C219:D219" si="288">IF($B218&lt;&gt;"",C215,"")</f>
        <v/>
      </c>
      <c r="D219" s="93" t="str">
        <f t="shared" si="288"/>
        <v/>
      </c>
      <c r="E219" s="28"/>
      <c r="F219" s="28"/>
      <c r="G219" s="28"/>
      <c r="H219" s="28"/>
      <c r="I219" s="28"/>
      <c r="J219" s="28"/>
      <c r="K219" s="28"/>
      <c r="L219" s="28"/>
      <c r="M219" s="28"/>
      <c r="N219" s="28"/>
      <c r="O219" s="28"/>
      <c r="P219" s="28"/>
      <c r="Q219" s="28"/>
      <c r="R219" s="28"/>
      <c r="S219" s="28"/>
      <c r="T219" s="28"/>
      <c r="U219" s="28"/>
      <c r="V219" s="26"/>
      <c r="W219" s="31" t="e">
        <f>INDEX(TBL_PIPED_IMPORTERS_CONNECTIONS[PipedImporterConnectionID],$A219)</f>
        <v>#REF!</v>
      </c>
      <c r="X219" s="31" t="e">
        <f>"PipedImporterCapMax_"&amp;RIGHT($W219,11)</f>
        <v>#REF!</v>
      </c>
    </row>
    <row r="220" spans="1:24" x14ac:dyDescent="0.25">
      <c r="A220" s="94">
        <f t="shared" si="272"/>
        <v>54</v>
      </c>
      <c r="B220" s="116"/>
      <c r="C220" s="93" t="str">
        <f t="shared" ref="C220:D220" si="289">IF($B218&lt;&gt;"",C216,"")</f>
        <v/>
      </c>
      <c r="D220" s="93" t="str">
        <f t="shared" si="289"/>
        <v/>
      </c>
      <c r="E220" s="27"/>
      <c r="F220" s="27"/>
      <c r="G220" s="27"/>
      <c r="H220" s="27"/>
      <c r="I220" s="27"/>
      <c r="J220" s="27"/>
      <c r="K220" s="27"/>
      <c r="L220" s="27"/>
      <c r="M220" s="27"/>
      <c r="N220" s="27"/>
      <c r="O220" s="27"/>
      <c r="P220" s="27"/>
      <c r="Q220" s="27"/>
      <c r="R220" s="27"/>
      <c r="S220" s="27"/>
      <c r="T220" s="27"/>
      <c r="U220" s="27"/>
      <c r="V220" s="25"/>
      <c r="W220" s="31" t="e">
        <f>INDEX(TBL_PIPED_IMPORTERS_CONNECTIONS[PipedImporterConnectionID],$A220)</f>
        <v>#REF!</v>
      </c>
      <c r="X220" s="31" t="e">
        <f>"PipedImporterTariffFixed_"&amp;RIGHT($W220,11)</f>
        <v>#REF!</v>
      </c>
    </row>
    <row r="221" spans="1:24" x14ac:dyDescent="0.25">
      <c r="A221" s="94">
        <f t="shared" si="272"/>
        <v>54</v>
      </c>
      <c r="B221" s="117"/>
      <c r="C221" s="93" t="str">
        <f t="shared" ref="C221:D221" si="290">IF($B218&lt;&gt;"",C217,"")</f>
        <v/>
      </c>
      <c r="D221" s="93" t="str">
        <f t="shared" si="290"/>
        <v/>
      </c>
      <c r="E221" s="28"/>
      <c r="F221" s="28"/>
      <c r="G221" s="28"/>
      <c r="H221" s="28"/>
      <c r="I221" s="28"/>
      <c r="J221" s="28"/>
      <c r="K221" s="28"/>
      <c r="L221" s="28"/>
      <c r="M221" s="28"/>
      <c r="N221" s="28"/>
      <c r="O221" s="28"/>
      <c r="P221" s="28"/>
      <c r="Q221" s="28"/>
      <c r="R221" s="28"/>
      <c r="S221" s="28"/>
      <c r="T221" s="28"/>
      <c r="U221" s="28"/>
      <c r="V221" s="26"/>
      <c r="W221" s="31" t="e">
        <f>INDEX(TBL_PIPED_IMPORTERS_CONNECTIONS[PipedImporterConnectionID],$A221)</f>
        <v>#REF!</v>
      </c>
      <c r="X221" s="31" t="e">
        <f>"PipedImporterTariffVar_"&amp;RIGHT($W221,11)</f>
        <v>#REF!</v>
      </c>
    </row>
    <row r="222" spans="1:24" x14ac:dyDescent="0.25">
      <c r="A222" s="94">
        <f t="shared" ref="A222" si="291">$A218+1</f>
        <v>55</v>
      </c>
      <c r="B222" s="115" t="str">
        <f>IFERROR(INDEX(TBL_PIPED_IMPORTERS_CONNECTIONS[Name],$A222),"")</f>
        <v/>
      </c>
      <c r="C222" s="93" t="str">
        <f t="shared" ref="C222:D222" si="292">IF($B222&lt;&gt;"",C218,"")</f>
        <v/>
      </c>
      <c r="D222" s="93" t="str">
        <f t="shared" si="292"/>
        <v/>
      </c>
      <c r="E222" s="27"/>
      <c r="F222" s="27"/>
      <c r="G222" s="27"/>
      <c r="H222" s="27"/>
      <c r="I222" s="27"/>
      <c r="J222" s="27"/>
      <c r="K222" s="27"/>
      <c r="L222" s="27"/>
      <c r="M222" s="27"/>
      <c r="N222" s="27"/>
      <c r="O222" s="27"/>
      <c r="P222" s="27"/>
      <c r="Q222" s="27"/>
      <c r="R222" s="27"/>
      <c r="S222" s="27"/>
      <c r="T222" s="27"/>
      <c r="U222" s="27"/>
      <c r="V222" s="25"/>
      <c r="W222" s="31" t="e">
        <f>INDEX(TBL_PIPED_IMPORTERS_CONNECTIONS[PipedImporterConnectionID],$A222)</f>
        <v>#REF!</v>
      </c>
      <c r="X222" s="31" t="e">
        <f>"PipedImporterCapMin_"&amp;RIGHT($W222,11)</f>
        <v>#REF!</v>
      </c>
    </row>
    <row r="223" spans="1:24" x14ac:dyDescent="0.25">
      <c r="A223" s="94">
        <f t="shared" si="272"/>
        <v>55</v>
      </c>
      <c r="B223" s="116"/>
      <c r="C223" s="93" t="str">
        <f t="shared" ref="C223:D223" si="293">IF($B222&lt;&gt;"",C219,"")</f>
        <v/>
      </c>
      <c r="D223" s="93" t="str">
        <f t="shared" si="293"/>
        <v/>
      </c>
      <c r="E223" s="28"/>
      <c r="F223" s="28"/>
      <c r="G223" s="28"/>
      <c r="H223" s="28"/>
      <c r="I223" s="28"/>
      <c r="J223" s="28"/>
      <c r="K223" s="28"/>
      <c r="L223" s="28"/>
      <c r="M223" s="28"/>
      <c r="N223" s="28"/>
      <c r="O223" s="28"/>
      <c r="P223" s="28"/>
      <c r="Q223" s="28"/>
      <c r="R223" s="28"/>
      <c r="S223" s="28"/>
      <c r="T223" s="28"/>
      <c r="U223" s="28"/>
      <c r="V223" s="26"/>
      <c r="W223" s="31" t="e">
        <f>INDEX(TBL_PIPED_IMPORTERS_CONNECTIONS[PipedImporterConnectionID],$A223)</f>
        <v>#REF!</v>
      </c>
      <c r="X223" s="31" t="e">
        <f>"PipedImporterCapMax_"&amp;RIGHT($W223,11)</f>
        <v>#REF!</v>
      </c>
    </row>
    <row r="224" spans="1:24" x14ac:dyDescent="0.25">
      <c r="A224" s="94">
        <f t="shared" si="272"/>
        <v>55</v>
      </c>
      <c r="B224" s="116"/>
      <c r="C224" s="93" t="str">
        <f t="shared" ref="C224:D224" si="294">IF($B222&lt;&gt;"",C220,"")</f>
        <v/>
      </c>
      <c r="D224" s="93" t="str">
        <f t="shared" si="294"/>
        <v/>
      </c>
      <c r="E224" s="27"/>
      <c r="F224" s="27"/>
      <c r="G224" s="27"/>
      <c r="H224" s="27"/>
      <c r="I224" s="27"/>
      <c r="J224" s="27"/>
      <c r="K224" s="27"/>
      <c r="L224" s="27"/>
      <c r="M224" s="27"/>
      <c r="N224" s="27"/>
      <c r="O224" s="27"/>
      <c r="P224" s="27"/>
      <c r="Q224" s="27"/>
      <c r="R224" s="27"/>
      <c r="S224" s="27"/>
      <c r="T224" s="27"/>
      <c r="U224" s="27"/>
      <c r="V224" s="25"/>
      <c r="W224" s="31" t="e">
        <f>INDEX(TBL_PIPED_IMPORTERS_CONNECTIONS[PipedImporterConnectionID],$A224)</f>
        <v>#REF!</v>
      </c>
      <c r="X224" s="31" t="e">
        <f>"PipedImporterTariffFixed_"&amp;RIGHT($W224,11)</f>
        <v>#REF!</v>
      </c>
    </row>
    <row r="225" spans="1:24" x14ac:dyDescent="0.25">
      <c r="A225" s="94">
        <f t="shared" si="272"/>
        <v>55</v>
      </c>
      <c r="B225" s="117"/>
      <c r="C225" s="93" t="str">
        <f t="shared" ref="C225:D225" si="295">IF($B222&lt;&gt;"",C221,"")</f>
        <v/>
      </c>
      <c r="D225" s="93" t="str">
        <f t="shared" si="295"/>
        <v/>
      </c>
      <c r="E225" s="28"/>
      <c r="F225" s="28"/>
      <c r="G225" s="28"/>
      <c r="H225" s="28"/>
      <c r="I225" s="28"/>
      <c r="J225" s="28"/>
      <c r="K225" s="28"/>
      <c r="L225" s="28"/>
      <c r="M225" s="28"/>
      <c r="N225" s="28"/>
      <c r="O225" s="28"/>
      <c r="P225" s="28"/>
      <c r="Q225" s="28"/>
      <c r="R225" s="28"/>
      <c r="S225" s="28"/>
      <c r="T225" s="28"/>
      <c r="U225" s="28"/>
      <c r="V225" s="26"/>
      <c r="W225" s="31" t="e">
        <f>INDEX(TBL_PIPED_IMPORTERS_CONNECTIONS[PipedImporterConnectionID],$A225)</f>
        <v>#REF!</v>
      </c>
      <c r="X225" s="31" t="e">
        <f>"PipedImporterTariffVar_"&amp;RIGHT($W225,11)</f>
        <v>#REF!</v>
      </c>
    </row>
    <row r="226" spans="1:24" x14ac:dyDescent="0.25">
      <c r="A226" s="94">
        <f t="shared" ref="A226" si="296">$A222+1</f>
        <v>56</v>
      </c>
      <c r="B226" s="115" t="str">
        <f>IFERROR(INDEX(TBL_PIPED_IMPORTERS_CONNECTIONS[Name],$A226),"")</f>
        <v/>
      </c>
      <c r="C226" s="93" t="str">
        <f t="shared" ref="C226:D226" si="297">IF($B226&lt;&gt;"",C222,"")</f>
        <v/>
      </c>
      <c r="D226" s="93" t="str">
        <f t="shared" si="297"/>
        <v/>
      </c>
      <c r="E226" s="27"/>
      <c r="F226" s="27"/>
      <c r="G226" s="27"/>
      <c r="H226" s="27"/>
      <c r="I226" s="27"/>
      <c r="J226" s="27"/>
      <c r="K226" s="27"/>
      <c r="L226" s="27"/>
      <c r="M226" s="27"/>
      <c r="N226" s="27"/>
      <c r="O226" s="27"/>
      <c r="P226" s="27"/>
      <c r="Q226" s="27"/>
      <c r="R226" s="27"/>
      <c r="S226" s="27"/>
      <c r="T226" s="27"/>
      <c r="U226" s="27"/>
      <c r="V226" s="25"/>
      <c r="W226" s="31" t="e">
        <f>INDEX(TBL_PIPED_IMPORTERS_CONNECTIONS[PipedImporterConnectionID],$A226)</f>
        <v>#REF!</v>
      </c>
      <c r="X226" s="31" t="e">
        <f>"PipedImporterCapMin_"&amp;RIGHT($W226,11)</f>
        <v>#REF!</v>
      </c>
    </row>
    <row r="227" spans="1:24" x14ac:dyDescent="0.25">
      <c r="A227" s="94">
        <f t="shared" ref="A227:A229" si="298">$A226</f>
        <v>56</v>
      </c>
      <c r="B227" s="116"/>
      <c r="C227" s="93" t="str">
        <f t="shared" ref="C227:D227" si="299">IF($B226&lt;&gt;"",C223,"")</f>
        <v/>
      </c>
      <c r="D227" s="93" t="str">
        <f t="shared" si="299"/>
        <v/>
      </c>
      <c r="E227" s="28"/>
      <c r="F227" s="28"/>
      <c r="G227" s="28"/>
      <c r="H227" s="28"/>
      <c r="I227" s="28"/>
      <c r="J227" s="28"/>
      <c r="K227" s="28"/>
      <c r="L227" s="28"/>
      <c r="M227" s="28"/>
      <c r="N227" s="28"/>
      <c r="O227" s="28"/>
      <c r="P227" s="28"/>
      <c r="Q227" s="28"/>
      <c r="R227" s="28"/>
      <c r="S227" s="28"/>
      <c r="T227" s="28"/>
      <c r="U227" s="28"/>
      <c r="V227" s="26"/>
      <c r="W227" s="31" t="e">
        <f>INDEX(TBL_PIPED_IMPORTERS_CONNECTIONS[PipedImporterConnectionID],$A227)</f>
        <v>#REF!</v>
      </c>
      <c r="X227" s="31" t="e">
        <f>"PipedImporterCapMax_"&amp;RIGHT($W227,11)</f>
        <v>#REF!</v>
      </c>
    </row>
    <row r="228" spans="1:24" x14ac:dyDescent="0.25">
      <c r="A228" s="94">
        <f t="shared" si="298"/>
        <v>56</v>
      </c>
      <c r="B228" s="116"/>
      <c r="C228" s="93" t="str">
        <f t="shared" ref="C228:D228" si="300">IF($B226&lt;&gt;"",C224,"")</f>
        <v/>
      </c>
      <c r="D228" s="93" t="str">
        <f t="shared" si="300"/>
        <v/>
      </c>
      <c r="E228" s="27"/>
      <c r="F228" s="27"/>
      <c r="G228" s="27"/>
      <c r="H228" s="27"/>
      <c r="I228" s="27"/>
      <c r="J228" s="27"/>
      <c r="K228" s="27"/>
      <c r="L228" s="27"/>
      <c r="M228" s="27"/>
      <c r="N228" s="27"/>
      <c r="O228" s="27"/>
      <c r="P228" s="27"/>
      <c r="Q228" s="27"/>
      <c r="R228" s="27"/>
      <c r="S228" s="27"/>
      <c r="T228" s="27"/>
      <c r="U228" s="27"/>
      <c r="V228" s="25"/>
      <c r="W228" s="31" t="e">
        <f>INDEX(TBL_PIPED_IMPORTERS_CONNECTIONS[PipedImporterConnectionID],$A228)</f>
        <v>#REF!</v>
      </c>
      <c r="X228" s="31" t="e">
        <f>"PipedImporterTariffFixed_"&amp;RIGHT($W228,11)</f>
        <v>#REF!</v>
      </c>
    </row>
    <row r="229" spans="1:24" x14ac:dyDescent="0.25">
      <c r="A229" s="94">
        <f t="shared" si="298"/>
        <v>56</v>
      </c>
      <c r="B229" s="117"/>
      <c r="C229" s="93" t="str">
        <f t="shared" ref="C229:D229" si="301">IF($B226&lt;&gt;"",C225,"")</f>
        <v/>
      </c>
      <c r="D229" s="93" t="str">
        <f t="shared" si="301"/>
        <v/>
      </c>
      <c r="E229" s="28"/>
      <c r="F229" s="28"/>
      <c r="G229" s="28"/>
      <c r="H229" s="28"/>
      <c r="I229" s="28"/>
      <c r="J229" s="28"/>
      <c r="K229" s="28"/>
      <c r="L229" s="28"/>
      <c r="M229" s="28"/>
      <c r="N229" s="28"/>
      <c r="O229" s="28"/>
      <c r="P229" s="28"/>
      <c r="Q229" s="28"/>
      <c r="R229" s="28"/>
      <c r="S229" s="28"/>
      <c r="T229" s="28"/>
      <c r="U229" s="28"/>
      <c r="V229" s="26"/>
      <c r="W229" s="31" t="e">
        <f>INDEX(TBL_PIPED_IMPORTERS_CONNECTIONS[PipedImporterConnectionID],$A229)</f>
        <v>#REF!</v>
      </c>
      <c r="X229" s="31" t="e">
        <f>"PipedImporterTariffVar_"&amp;RIGHT($W229,11)</f>
        <v>#REF!</v>
      </c>
    </row>
    <row r="230" spans="1:24" x14ac:dyDescent="0.25">
      <c r="A230" s="94">
        <f t="shared" ref="A230" si="302">$A226+1</f>
        <v>57</v>
      </c>
      <c r="B230" s="115" t="str">
        <f>IFERROR(INDEX(TBL_PIPED_IMPORTERS_CONNECTIONS[Name],$A230),"")</f>
        <v/>
      </c>
      <c r="C230" s="93" t="str">
        <f t="shared" ref="C230:D230" si="303">IF($B230&lt;&gt;"",C226,"")</f>
        <v/>
      </c>
      <c r="D230" s="93" t="str">
        <f t="shared" si="303"/>
        <v/>
      </c>
      <c r="E230" s="27"/>
      <c r="F230" s="27"/>
      <c r="G230" s="27"/>
      <c r="H230" s="27"/>
      <c r="I230" s="27"/>
      <c r="J230" s="27"/>
      <c r="K230" s="27"/>
      <c r="L230" s="27"/>
      <c r="M230" s="27"/>
      <c r="N230" s="27"/>
      <c r="O230" s="27"/>
      <c r="P230" s="27"/>
      <c r="Q230" s="27"/>
      <c r="R230" s="27"/>
      <c r="S230" s="27"/>
      <c r="T230" s="27"/>
      <c r="U230" s="27"/>
      <c r="V230" s="25"/>
      <c r="W230" s="31" t="e">
        <f>INDEX(TBL_PIPED_IMPORTERS_CONNECTIONS[PipedImporterConnectionID],$A230)</f>
        <v>#REF!</v>
      </c>
      <c r="X230" s="31" t="e">
        <f>"PipedImporterCapMin_"&amp;RIGHT($W230,11)</f>
        <v>#REF!</v>
      </c>
    </row>
    <row r="231" spans="1:24" x14ac:dyDescent="0.25">
      <c r="A231" s="94">
        <f t="shared" ref="A231:A233" si="304">$A230</f>
        <v>57</v>
      </c>
      <c r="B231" s="116"/>
      <c r="C231" s="93" t="str">
        <f t="shared" ref="C231:D231" si="305">IF($B230&lt;&gt;"",C227,"")</f>
        <v/>
      </c>
      <c r="D231" s="93" t="str">
        <f t="shared" si="305"/>
        <v/>
      </c>
      <c r="E231" s="28"/>
      <c r="F231" s="28"/>
      <c r="G231" s="28"/>
      <c r="H231" s="28"/>
      <c r="I231" s="28"/>
      <c r="J231" s="28"/>
      <c r="K231" s="28"/>
      <c r="L231" s="28"/>
      <c r="M231" s="28"/>
      <c r="N231" s="28"/>
      <c r="O231" s="28"/>
      <c r="P231" s="28"/>
      <c r="Q231" s="28"/>
      <c r="R231" s="28"/>
      <c r="S231" s="28"/>
      <c r="T231" s="28"/>
      <c r="U231" s="28"/>
      <c r="V231" s="26"/>
      <c r="W231" s="31" t="e">
        <f>INDEX(TBL_PIPED_IMPORTERS_CONNECTIONS[PipedImporterConnectionID],$A231)</f>
        <v>#REF!</v>
      </c>
      <c r="X231" s="31" t="e">
        <f>"PipedImporterCapMax_"&amp;RIGHT($W231,11)</f>
        <v>#REF!</v>
      </c>
    </row>
    <row r="232" spans="1:24" x14ac:dyDescent="0.25">
      <c r="A232" s="94">
        <f t="shared" si="304"/>
        <v>57</v>
      </c>
      <c r="B232" s="116"/>
      <c r="C232" s="93" t="str">
        <f t="shared" ref="C232:D232" si="306">IF($B230&lt;&gt;"",C228,"")</f>
        <v/>
      </c>
      <c r="D232" s="93" t="str">
        <f t="shared" si="306"/>
        <v/>
      </c>
      <c r="E232" s="27"/>
      <c r="F232" s="27"/>
      <c r="G232" s="27"/>
      <c r="H232" s="27"/>
      <c r="I232" s="27"/>
      <c r="J232" s="27"/>
      <c r="K232" s="27"/>
      <c r="L232" s="27"/>
      <c r="M232" s="27"/>
      <c r="N232" s="27"/>
      <c r="O232" s="27"/>
      <c r="P232" s="27"/>
      <c r="Q232" s="27"/>
      <c r="R232" s="27"/>
      <c r="S232" s="27"/>
      <c r="T232" s="27"/>
      <c r="U232" s="27"/>
      <c r="V232" s="25"/>
      <c r="W232" s="31" t="e">
        <f>INDEX(TBL_PIPED_IMPORTERS_CONNECTIONS[PipedImporterConnectionID],$A232)</f>
        <v>#REF!</v>
      </c>
      <c r="X232" s="31" t="e">
        <f>"PipedImporterTariffFixed_"&amp;RIGHT($W232,11)</f>
        <v>#REF!</v>
      </c>
    </row>
    <row r="233" spans="1:24" x14ac:dyDescent="0.25">
      <c r="A233" s="94">
        <f t="shared" si="304"/>
        <v>57</v>
      </c>
      <c r="B233" s="117"/>
      <c r="C233" s="93" t="str">
        <f t="shared" ref="C233:D233" si="307">IF($B230&lt;&gt;"",C229,"")</f>
        <v/>
      </c>
      <c r="D233" s="93" t="str">
        <f t="shared" si="307"/>
        <v/>
      </c>
      <c r="E233" s="28"/>
      <c r="F233" s="28"/>
      <c r="G233" s="28"/>
      <c r="H233" s="28"/>
      <c r="I233" s="28"/>
      <c r="J233" s="28"/>
      <c r="K233" s="28"/>
      <c r="L233" s="28"/>
      <c r="M233" s="28"/>
      <c r="N233" s="28"/>
      <c r="O233" s="28"/>
      <c r="P233" s="28"/>
      <c r="Q233" s="28"/>
      <c r="R233" s="28"/>
      <c r="S233" s="28"/>
      <c r="T233" s="28"/>
      <c r="U233" s="28"/>
      <c r="V233" s="26"/>
      <c r="W233" s="31" t="e">
        <f>INDEX(TBL_PIPED_IMPORTERS_CONNECTIONS[PipedImporterConnectionID],$A233)</f>
        <v>#REF!</v>
      </c>
      <c r="X233" s="31" t="e">
        <f>"PipedImporterTariffVar_"&amp;RIGHT($W233,11)</f>
        <v>#REF!</v>
      </c>
    </row>
    <row r="234" spans="1:24" x14ac:dyDescent="0.25">
      <c r="A234" s="94">
        <f t="shared" ref="A234" si="308">$A230+1</f>
        <v>58</v>
      </c>
      <c r="B234" s="115" t="str">
        <f>IFERROR(INDEX(TBL_PIPED_IMPORTERS_CONNECTIONS[Name],$A234),"")</f>
        <v/>
      </c>
      <c r="C234" s="93" t="str">
        <f t="shared" ref="C234:D234" si="309">IF($B234&lt;&gt;"",C230,"")</f>
        <v/>
      </c>
      <c r="D234" s="93" t="str">
        <f t="shared" si="309"/>
        <v/>
      </c>
      <c r="E234" s="27"/>
      <c r="F234" s="27"/>
      <c r="G234" s="27"/>
      <c r="H234" s="27"/>
      <c r="I234" s="27"/>
      <c r="J234" s="27"/>
      <c r="K234" s="27"/>
      <c r="L234" s="27"/>
      <c r="M234" s="27"/>
      <c r="N234" s="27"/>
      <c r="O234" s="27"/>
      <c r="P234" s="27"/>
      <c r="Q234" s="27"/>
      <c r="R234" s="27"/>
      <c r="S234" s="27"/>
      <c r="T234" s="27"/>
      <c r="U234" s="27"/>
      <c r="V234" s="25"/>
      <c r="W234" s="31" t="e">
        <f>INDEX(TBL_PIPED_IMPORTERS_CONNECTIONS[PipedImporterConnectionID],$A234)</f>
        <v>#REF!</v>
      </c>
      <c r="X234" s="31" t="e">
        <f>"PipedImporterCapMin_"&amp;RIGHT($W234,11)</f>
        <v>#REF!</v>
      </c>
    </row>
    <row r="235" spans="1:24" x14ac:dyDescent="0.25">
      <c r="A235" s="94">
        <f t="shared" ref="A235:A253" si="310">$A234</f>
        <v>58</v>
      </c>
      <c r="B235" s="116"/>
      <c r="C235" s="93" t="str">
        <f t="shared" ref="C235:D235" si="311">IF($B234&lt;&gt;"",C231,"")</f>
        <v/>
      </c>
      <c r="D235" s="93" t="str">
        <f t="shared" si="311"/>
        <v/>
      </c>
      <c r="E235" s="28"/>
      <c r="F235" s="28"/>
      <c r="G235" s="28"/>
      <c r="H235" s="28"/>
      <c r="I235" s="28"/>
      <c r="J235" s="28"/>
      <c r="K235" s="28"/>
      <c r="L235" s="28"/>
      <c r="M235" s="28"/>
      <c r="N235" s="28"/>
      <c r="O235" s="28"/>
      <c r="P235" s="28"/>
      <c r="Q235" s="28"/>
      <c r="R235" s="28"/>
      <c r="S235" s="28"/>
      <c r="T235" s="28"/>
      <c r="U235" s="28"/>
      <c r="V235" s="26"/>
      <c r="W235" s="31" t="e">
        <f>INDEX(TBL_PIPED_IMPORTERS_CONNECTIONS[PipedImporterConnectionID],$A235)</f>
        <v>#REF!</v>
      </c>
      <c r="X235" s="31" t="e">
        <f>"PipedImporterCapMax_"&amp;RIGHT($W235,11)</f>
        <v>#REF!</v>
      </c>
    </row>
    <row r="236" spans="1:24" x14ac:dyDescent="0.25">
      <c r="A236" s="94">
        <f t="shared" si="310"/>
        <v>58</v>
      </c>
      <c r="B236" s="116"/>
      <c r="C236" s="93" t="str">
        <f t="shared" ref="C236:D236" si="312">IF($B234&lt;&gt;"",C232,"")</f>
        <v/>
      </c>
      <c r="D236" s="93" t="str">
        <f t="shared" si="312"/>
        <v/>
      </c>
      <c r="E236" s="27"/>
      <c r="F236" s="27"/>
      <c r="G236" s="27"/>
      <c r="H236" s="27"/>
      <c r="I236" s="27"/>
      <c r="J236" s="27"/>
      <c r="K236" s="27"/>
      <c r="L236" s="27"/>
      <c r="M236" s="27"/>
      <c r="N236" s="27"/>
      <c r="O236" s="27"/>
      <c r="P236" s="27"/>
      <c r="Q236" s="27"/>
      <c r="R236" s="27"/>
      <c r="S236" s="27"/>
      <c r="T236" s="27"/>
      <c r="U236" s="27"/>
      <c r="V236" s="25"/>
      <c r="W236" s="31" t="e">
        <f>INDEX(TBL_PIPED_IMPORTERS_CONNECTIONS[PipedImporterConnectionID],$A236)</f>
        <v>#REF!</v>
      </c>
      <c r="X236" s="31" t="e">
        <f>"PipedImporterTariffFixed_"&amp;RIGHT($W236,11)</f>
        <v>#REF!</v>
      </c>
    </row>
    <row r="237" spans="1:24" x14ac:dyDescent="0.25">
      <c r="A237" s="94">
        <f t="shared" si="310"/>
        <v>58</v>
      </c>
      <c r="B237" s="117"/>
      <c r="C237" s="93" t="str">
        <f t="shared" ref="C237:D237" si="313">IF($B234&lt;&gt;"",C233,"")</f>
        <v/>
      </c>
      <c r="D237" s="93" t="str">
        <f t="shared" si="313"/>
        <v/>
      </c>
      <c r="E237" s="28"/>
      <c r="F237" s="28"/>
      <c r="G237" s="28"/>
      <c r="H237" s="28"/>
      <c r="I237" s="28"/>
      <c r="J237" s="28"/>
      <c r="K237" s="28"/>
      <c r="L237" s="28"/>
      <c r="M237" s="28"/>
      <c r="N237" s="28"/>
      <c r="O237" s="28"/>
      <c r="P237" s="28"/>
      <c r="Q237" s="28"/>
      <c r="R237" s="28"/>
      <c r="S237" s="28"/>
      <c r="T237" s="28"/>
      <c r="U237" s="28"/>
      <c r="V237" s="26"/>
      <c r="W237" s="31" t="e">
        <f>INDEX(TBL_PIPED_IMPORTERS_CONNECTIONS[PipedImporterConnectionID],$A237)</f>
        <v>#REF!</v>
      </c>
      <c r="X237" s="31" t="e">
        <f>"PipedImporterTariffVar_"&amp;RIGHT($W237,11)</f>
        <v>#REF!</v>
      </c>
    </row>
    <row r="238" spans="1:24" x14ac:dyDescent="0.25">
      <c r="A238" s="94">
        <f t="shared" ref="A238" si="314">$A234+1</f>
        <v>59</v>
      </c>
      <c r="B238" s="115" t="str">
        <f>IFERROR(INDEX(TBL_PIPED_IMPORTERS_CONNECTIONS[Name],$A238),"")</f>
        <v/>
      </c>
      <c r="C238" s="93" t="str">
        <f t="shared" ref="C238:D238" si="315">IF($B238&lt;&gt;"",C234,"")</f>
        <v/>
      </c>
      <c r="D238" s="93" t="str">
        <f t="shared" si="315"/>
        <v/>
      </c>
      <c r="E238" s="27"/>
      <c r="F238" s="27"/>
      <c r="G238" s="27"/>
      <c r="H238" s="27"/>
      <c r="I238" s="27"/>
      <c r="J238" s="27"/>
      <c r="K238" s="27"/>
      <c r="L238" s="27"/>
      <c r="M238" s="27"/>
      <c r="N238" s="27"/>
      <c r="O238" s="27"/>
      <c r="P238" s="27"/>
      <c r="Q238" s="27"/>
      <c r="R238" s="27"/>
      <c r="S238" s="27"/>
      <c r="T238" s="27"/>
      <c r="U238" s="27"/>
      <c r="V238" s="25"/>
      <c r="W238" s="31" t="e">
        <f>INDEX(TBL_PIPED_IMPORTERS_CONNECTIONS[PipedImporterConnectionID],$A238)</f>
        <v>#REF!</v>
      </c>
      <c r="X238" s="31" t="e">
        <f>"PipedImporterCapMin_"&amp;RIGHT($W238,11)</f>
        <v>#REF!</v>
      </c>
    </row>
    <row r="239" spans="1:24" x14ac:dyDescent="0.25">
      <c r="A239" s="94">
        <f t="shared" si="310"/>
        <v>59</v>
      </c>
      <c r="B239" s="116"/>
      <c r="C239" s="93" t="str">
        <f t="shared" ref="C239:D239" si="316">IF($B238&lt;&gt;"",C235,"")</f>
        <v/>
      </c>
      <c r="D239" s="93" t="str">
        <f t="shared" si="316"/>
        <v/>
      </c>
      <c r="E239" s="28"/>
      <c r="F239" s="28"/>
      <c r="G239" s="28"/>
      <c r="H239" s="28"/>
      <c r="I239" s="28"/>
      <c r="J239" s="28"/>
      <c r="K239" s="28"/>
      <c r="L239" s="28"/>
      <c r="M239" s="28"/>
      <c r="N239" s="28"/>
      <c r="O239" s="28"/>
      <c r="P239" s="28"/>
      <c r="Q239" s="28"/>
      <c r="R239" s="28"/>
      <c r="S239" s="28"/>
      <c r="T239" s="28"/>
      <c r="U239" s="28"/>
      <c r="V239" s="26"/>
      <c r="W239" s="31" t="e">
        <f>INDEX(TBL_PIPED_IMPORTERS_CONNECTIONS[PipedImporterConnectionID],$A239)</f>
        <v>#REF!</v>
      </c>
      <c r="X239" s="31" t="e">
        <f>"PipedImporterCapMax_"&amp;RIGHT($W239,11)</f>
        <v>#REF!</v>
      </c>
    </row>
    <row r="240" spans="1:24" x14ac:dyDescent="0.25">
      <c r="A240" s="94">
        <f t="shared" si="310"/>
        <v>59</v>
      </c>
      <c r="B240" s="116"/>
      <c r="C240" s="93" t="str">
        <f t="shared" ref="C240:D240" si="317">IF($B238&lt;&gt;"",C236,"")</f>
        <v/>
      </c>
      <c r="D240" s="93" t="str">
        <f t="shared" si="317"/>
        <v/>
      </c>
      <c r="E240" s="27"/>
      <c r="F240" s="27"/>
      <c r="G240" s="27"/>
      <c r="H240" s="27"/>
      <c r="I240" s="27"/>
      <c r="J240" s="27"/>
      <c r="K240" s="27"/>
      <c r="L240" s="27"/>
      <c r="M240" s="27"/>
      <c r="N240" s="27"/>
      <c r="O240" s="27"/>
      <c r="P240" s="27"/>
      <c r="Q240" s="27"/>
      <c r="R240" s="27"/>
      <c r="S240" s="27"/>
      <c r="T240" s="27"/>
      <c r="U240" s="27"/>
      <c r="V240" s="25"/>
      <c r="W240" s="31" t="e">
        <f>INDEX(TBL_PIPED_IMPORTERS_CONNECTIONS[PipedImporterConnectionID],$A240)</f>
        <v>#REF!</v>
      </c>
      <c r="X240" s="31" t="e">
        <f>"PipedImporterTariffFixed_"&amp;RIGHT($W240,11)</f>
        <v>#REF!</v>
      </c>
    </row>
    <row r="241" spans="1:24" x14ac:dyDescent="0.25">
      <c r="A241" s="94">
        <f t="shared" si="310"/>
        <v>59</v>
      </c>
      <c r="B241" s="117"/>
      <c r="C241" s="93" t="str">
        <f t="shared" ref="C241:D241" si="318">IF($B238&lt;&gt;"",C237,"")</f>
        <v/>
      </c>
      <c r="D241" s="93" t="str">
        <f t="shared" si="318"/>
        <v/>
      </c>
      <c r="E241" s="28"/>
      <c r="F241" s="28"/>
      <c r="G241" s="28"/>
      <c r="H241" s="28"/>
      <c r="I241" s="28"/>
      <c r="J241" s="28"/>
      <c r="K241" s="28"/>
      <c r="L241" s="28"/>
      <c r="M241" s="28"/>
      <c r="N241" s="28"/>
      <c r="O241" s="28"/>
      <c r="P241" s="28"/>
      <c r="Q241" s="28"/>
      <c r="R241" s="28"/>
      <c r="S241" s="28"/>
      <c r="T241" s="28"/>
      <c r="U241" s="28"/>
      <c r="V241" s="26"/>
      <c r="W241" s="31" t="e">
        <f>INDEX(TBL_PIPED_IMPORTERS_CONNECTIONS[PipedImporterConnectionID],$A241)</f>
        <v>#REF!</v>
      </c>
      <c r="X241" s="31" t="e">
        <f>"PipedImporterTariffVar_"&amp;RIGHT($W241,11)</f>
        <v>#REF!</v>
      </c>
    </row>
    <row r="242" spans="1:24" x14ac:dyDescent="0.25">
      <c r="A242" s="94">
        <f t="shared" ref="A242" si="319">$A238+1</f>
        <v>60</v>
      </c>
      <c r="B242" s="115" t="str">
        <f>IFERROR(INDEX(TBL_PIPED_IMPORTERS_CONNECTIONS[Name],$A242),"")</f>
        <v/>
      </c>
      <c r="C242" s="93" t="str">
        <f t="shared" ref="C242:D242" si="320">IF($B242&lt;&gt;"",C238,"")</f>
        <v/>
      </c>
      <c r="D242" s="93" t="str">
        <f t="shared" si="320"/>
        <v/>
      </c>
      <c r="E242" s="27"/>
      <c r="F242" s="27"/>
      <c r="G242" s="27"/>
      <c r="H242" s="27"/>
      <c r="I242" s="27"/>
      <c r="J242" s="27"/>
      <c r="K242" s="27"/>
      <c r="L242" s="27"/>
      <c r="M242" s="27"/>
      <c r="N242" s="27"/>
      <c r="O242" s="27"/>
      <c r="P242" s="27"/>
      <c r="Q242" s="27"/>
      <c r="R242" s="27"/>
      <c r="S242" s="27"/>
      <c r="T242" s="27"/>
      <c r="U242" s="27"/>
      <c r="V242" s="25"/>
      <c r="W242" s="31" t="e">
        <f>INDEX(TBL_PIPED_IMPORTERS_CONNECTIONS[PipedImporterConnectionID],$A242)</f>
        <v>#REF!</v>
      </c>
      <c r="X242" s="31" t="e">
        <f>"PipedImporterCapMin_"&amp;RIGHT($W242,11)</f>
        <v>#REF!</v>
      </c>
    </row>
    <row r="243" spans="1:24" x14ac:dyDescent="0.25">
      <c r="A243" s="94">
        <f t="shared" si="310"/>
        <v>60</v>
      </c>
      <c r="B243" s="116"/>
      <c r="C243" s="93" t="str">
        <f t="shared" ref="C243:D243" si="321">IF($B242&lt;&gt;"",C239,"")</f>
        <v/>
      </c>
      <c r="D243" s="93" t="str">
        <f t="shared" si="321"/>
        <v/>
      </c>
      <c r="E243" s="28"/>
      <c r="F243" s="28"/>
      <c r="G243" s="28"/>
      <c r="H243" s="28"/>
      <c r="I243" s="28"/>
      <c r="J243" s="28"/>
      <c r="K243" s="28"/>
      <c r="L243" s="28"/>
      <c r="M243" s="28"/>
      <c r="N243" s="28"/>
      <c r="O243" s="28"/>
      <c r="P243" s="28"/>
      <c r="Q243" s="28"/>
      <c r="R243" s="28"/>
      <c r="S243" s="28"/>
      <c r="T243" s="28"/>
      <c r="U243" s="28"/>
      <c r="V243" s="26"/>
      <c r="W243" s="31" t="e">
        <f>INDEX(TBL_PIPED_IMPORTERS_CONNECTIONS[PipedImporterConnectionID],$A243)</f>
        <v>#REF!</v>
      </c>
      <c r="X243" s="31" t="e">
        <f>"PipedImporterCapMax_"&amp;RIGHT($W243,11)</f>
        <v>#REF!</v>
      </c>
    </row>
    <row r="244" spans="1:24" x14ac:dyDescent="0.25">
      <c r="A244" s="94">
        <f t="shared" si="310"/>
        <v>60</v>
      </c>
      <c r="B244" s="116"/>
      <c r="C244" s="93" t="str">
        <f t="shared" ref="C244:D244" si="322">IF($B242&lt;&gt;"",C240,"")</f>
        <v/>
      </c>
      <c r="D244" s="93" t="str">
        <f t="shared" si="322"/>
        <v/>
      </c>
      <c r="E244" s="27"/>
      <c r="F244" s="27"/>
      <c r="G244" s="27"/>
      <c r="H244" s="27"/>
      <c r="I244" s="27"/>
      <c r="J244" s="27"/>
      <c r="K244" s="27"/>
      <c r="L244" s="27"/>
      <c r="M244" s="27"/>
      <c r="N244" s="27"/>
      <c r="O244" s="27"/>
      <c r="P244" s="27"/>
      <c r="Q244" s="27"/>
      <c r="R244" s="27"/>
      <c r="S244" s="27"/>
      <c r="T244" s="27"/>
      <c r="U244" s="27"/>
      <c r="V244" s="25"/>
      <c r="W244" s="31" t="e">
        <f>INDEX(TBL_PIPED_IMPORTERS_CONNECTIONS[PipedImporterConnectionID],$A244)</f>
        <v>#REF!</v>
      </c>
      <c r="X244" s="31" t="e">
        <f>"PipedImporterTariffFixed_"&amp;RIGHT($W244,11)</f>
        <v>#REF!</v>
      </c>
    </row>
    <row r="245" spans="1:24" x14ac:dyDescent="0.25">
      <c r="A245" s="94">
        <f t="shared" si="310"/>
        <v>60</v>
      </c>
      <c r="B245" s="117"/>
      <c r="C245" s="93" t="str">
        <f t="shared" ref="C245:D245" si="323">IF($B242&lt;&gt;"",C241,"")</f>
        <v/>
      </c>
      <c r="D245" s="93" t="str">
        <f t="shared" si="323"/>
        <v/>
      </c>
      <c r="E245" s="28"/>
      <c r="F245" s="28"/>
      <c r="G245" s="28"/>
      <c r="H245" s="28"/>
      <c r="I245" s="28"/>
      <c r="J245" s="28"/>
      <c r="K245" s="28"/>
      <c r="L245" s="28"/>
      <c r="M245" s="28"/>
      <c r="N245" s="28"/>
      <c r="O245" s="28"/>
      <c r="P245" s="28"/>
      <c r="Q245" s="28"/>
      <c r="R245" s="28"/>
      <c r="S245" s="28"/>
      <c r="T245" s="28"/>
      <c r="U245" s="28"/>
      <c r="V245" s="26"/>
      <c r="W245" s="31" t="e">
        <f>INDEX(TBL_PIPED_IMPORTERS_CONNECTIONS[PipedImporterConnectionID],$A245)</f>
        <v>#REF!</v>
      </c>
      <c r="X245" s="31" t="e">
        <f>"PipedImporterTariffVar_"&amp;RIGHT($W245,11)</f>
        <v>#REF!</v>
      </c>
    </row>
    <row r="246" spans="1:24" x14ac:dyDescent="0.25">
      <c r="A246" s="94">
        <f t="shared" ref="A246" si="324">$A242+1</f>
        <v>61</v>
      </c>
      <c r="B246" s="115" t="str">
        <f>IFERROR(INDEX(TBL_PIPED_IMPORTERS_CONNECTIONS[Name],$A246),"")</f>
        <v/>
      </c>
      <c r="C246" s="93" t="str">
        <f t="shared" ref="C246:D246" si="325">IF($B246&lt;&gt;"",C242,"")</f>
        <v/>
      </c>
      <c r="D246" s="93" t="str">
        <f t="shared" si="325"/>
        <v/>
      </c>
      <c r="E246" s="27"/>
      <c r="F246" s="27"/>
      <c r="G246" s="27"/>
      <c r="H246" s="27"/>
      <c r="I246" s="27"/>
      <c r="J246" s="27"/>
      <c r="K246" s="27"/>
      <c r="L246" s="27"/>
      <c r="M246" s="27"/>
      <c r="N246" s="27"/>
      <c r="O246" s="27"/>
      <c r="P246" s="27"/>
      <c r="Q246" s="27"/>
      <c r="R246" s="27"/>
      <c r="S246" s="27"/>
      <c r="T246" s="27"/>
      <c r="U246" s="27"/>
      <c r="V246" s="25"/>
      <c r="W246" s="31" t="e">
        <f>INDEX(TBL_PIPED_IMPORTERS_CONNECTIONS[PipedImporterConnectionID],$A246)</f>
        <v>#REF!</v>
      </c>
      <c r="X246" s="31" t="e">
        <f>"PipedImporterCapMin_"&amp;RIGHT($W246,11)</f>
        <v>#REF!</v>
      </c>
    </row>
    <row r="247" spans="1:24" x14ac:dyDescent="0.25">
      <c r="A247" s="94">
        <f t="shared" si="310"/>
        <v>61</v>
      </c>
      <c r="B247" s="116"/>
      <c r="C247" s="93" t="str">
        <f t="shared" ref="C247:D247" si="326">IF($B246&lt;&gt;"",C243,"")</f>
        <v/>
      </c>
      <c r="D247" s="93" t="str">
        <f t="shared" si="326"/>
        <v/>
      </c>
      <c r="E247" s="28"/>
      <c r="F247" s="28"/>
      <c r="G247" s="28"/>
      <c r="H247" s="28"/>
      <c r="I247" s="28"/>
      <c r="J247" s="28"/>
      <c r="K247" s="28"/>
      <c r="L247" s="28"/>
      <c r="M247" s="28"/>
      <c r="N247" s="28"/>
      <c r="O247" s="28"/>
      <c r="P247" s="28"/>
      <c r="Q247" s="28"/>
      <c r="R247" s="28"/>
      <c r="S247" s="28"/>
      <c r="T247" s="28"/>
      <c r="U247" s="28"/>
      <c r="V247" s="26"/>
      <c r="W247" s="31" t="e">
        <f>INDEX(TBL_PIPED_IMPORTERS_CONNECTIONS[PipedImporterConnectionID],$A247)</f>
        <v>#REF!</v>
      </c>
      <c r="X247" s="31" t="e">
        <f>"PipedImporterCapMax_"&amp;RIGHT($W247,11)</f>
        <v>#REF!</v>
      </c>
    </row>
    <row r="248" spans="1:24" x14ac:dyDescent="0.25">
      <c r="A248" s="94">
        <f t="shared" si="310"/>
        <v>61</v>
      </c>
      <c r="B248" s="116"/>
      <c r="C248" s="93" t="str">
        <f t="shared" ref="C248:D248" si="327">IF($B246&lt;&gt;"",C244,"")</f>
        <v/>
      </c>
      <c r="D248" s="93" t="str">
        <f t="shared" si="327"/>
        <v/>
      </c>
      <c r="E248" s="27"/>
      <c r="F248" s="27"/>
      <c r="G248" s="27"/>
      <c r="H248" s="27"/>
      <c r="I248" s="27"/>
      <c r="J248" s="27"/>
      <c r="K248" s="27"/>
      <c r="L248" s="27"/>
      <c r="M248" s="27"/>
      <c r="N248" s="27"/>
      <c r="O248" s="27"/>
      <c r="P248" s="27"/>
      <c r="Q248" s="27"/>
      <c r="R248" s="27"/>
      <c r="S248" s="27"/>
      <c r="T248" s="27"/>
      <c r="U248" s="27"/>
      <c r="V248" s="25"/>
      <c r="W248" s="31" t="e">
        <f>INDEX(TBL_PIPED_IMPORTERS_CONNECTIONS[PipedImporterConnectionID],$A248)</f>
        <v>#REF!</v>
      </c>
      <c r="X248" s="31" t="e">
        <f>"PipedImporterTariffFixed_"&amp;RIGHT($W248,11)</f>
        <v>#REF!</v>
      </c>
    </row>
    <row r="249" spans="1:24" x14ac:dyDescent="0.25">
      <c r="A249" s="94">
        <f t="shared" si="310"/>
        <v>61</v>
      </c>
      <c r="B249" s="117"/>
      <c r="C249" s="93" t="str">
        <f t="shared" ref="C249:D249" si="328">IF($B246&lt;&gt;"",C245,"")</f>
        <v/>
      </c>
      <c r="D249" s="93" t="str">
        <f t="shared" si="328"/>
        <v/>
      </c>
      <c r="E249" s="28"/>
      <c r="F249" s="28"/>
      <c r="G249" s="28"/>
      <c r="H249" s="28"/>
      <c r="I249" s="28"/>
      <c r="J249" s="28"/>
      <c r="K249" s="28"/>
      <c r="L249" s="28"/>
      <c r="M249" s="28"/>
      <c r="N249" s="28"/>
      <c r="O249" s="28"/>
      <c r="P249" s="28"/>
      <c r="Q249" s="28"/>
      <c r="R249" s="28"/>
      <c r="S249" s="28"/>
      <c r="T249" s="28"/>
      <c r="U249" s="28"/>
      <c r="V249" s="26"/>
      <c r="W249" s="31" t="e">
        <f>INDEX(TBL_PIPED_IMPORTERS_CONNECTIONS[PipedImporterConnectionID],$A249)</f>
        <v>#REF!</v>
      </c>
      <c r="X249" s="31" t="e">
        <f>"PipedImporterTariffVar_"&amp;RIGHT($W249,11)</f>
        <v>#REF!</v>
      </c>
    </row>
    <row r="250" spans="1:24" x14ac:dyDescent="0.25">
      <c r="A250" s="94">
        <f t="shared" ref="A250" si="329">$A246+1</f>
        <v>62</v>
      </c>
      <c r="B250" s="115" t="str">
        <f>IFERROR(INDEX(TBL_PIPED_IMPORTERS_CONNECTIONS[Name],$A250),"")</f>
        <v/>
      </c>
      <c r="C250" s="93" t="str">
        <f t="shared" ref="C250:D250" si="330">IF($B250&lt;&gt;"",C246,"")</f>
        <v/>
      </c>
      <c r="D250" s="93" t="str">
        <f t="shared" si="330"/>
        <v/>
      </c>
      <c r="E250" s="27"/>
      <c r="F250" s="27"/>
      <c r="G250" s="27"/>
      <c r="H250" s="27"/>
      <c r="I250" s="27"/>
      <c r="J250" s="27"/>
      <c r="K250" s="27"/>
      <c r="L250" s="27"/>
      <c r="M250" s="27"/>
      <c r="N250" s="27"/>
      <c r="O250" s="27"/>
      <c r="P250" s="27"/>
      <c r="Q250" s="27"/>
      <c r="R250" s="27"/>
      <c r="S250" s="27"/>
      <c r="T250" s="27"/>
      <c r="U250" s="27"/>
      <c r="V250" s="25"/>
      <c r="W250" s="31" t="e">
        <f>INDEX(TBL_PIPED_IMPORTERS_CONNECTIONS[PipedImporterConnectionID],$A250)</f>
        <v>#REF!</v>
      </c>
      <c r="X250" s="31" t="e">
        <f>"PipedImporterCapMin_"&amp;RIGHT($W250,11)</f>
        <v>#REF!</v>
      </c>
    </row>
    <row r="251" spans="1:24" x14ac:dyDescent="0.25">
      <c r="A251" s="94">
        <f t="shared" si="310"/>
        <v>62</v>
      </c>
      <c r="B251" s="116"/>
      <c r="C251" s="93" t="str">
        <f t="shared" ref="C251:D251" si="331">IF($B250&lt;&gt;"",C247,"")</f>
        <v/>
      </c>
      <c r="D251" s="93" t="str">
        <f t="shared" si="331"/>
        <v/>
      </c>
      <c r="E251" s="28"/>
      <c r="F251" s="28"/>
      <c r="G251" s="28"/>
      <c r="H251" s="28"/>
      <c r="I251" s="28"/>
      <c r="J251" s="28"/>
      <c r="K251" s="28"/>
      <c r="L251" s="28"/>
      <c r="M251" s="28"/>
      <c r="N251" s="28"/>
      <c r="O251" s="28"/>
      <c r="P251" s="28"/>
      <c r="Q251" s="28"/>
      <c r="R251" s="28"/>
      <c r="S251" s="28"/>
      <c r="T251" s="28"/>
      <c r="U251" s="28"/>
      <c r="V251" s="26"/>
      <c r="W251" s="31" t="e">
        <f>INDEX(TBL_PIPED_IMPORTERS_CONNECTIONS[PipedImporterConnectionID],$A251)</f>
        <v>#REF!</v>
      </c>
      <c r="X251" s="31" t="e">
        <f>"PipedImporterCapMax_"&amp;RIGHT($W251,11)</f>
        <v>#REF!</v>
      </c>
    </row>
    <row r="252" spans="1:24" x14ac:dyDescent="0.25">
      <c r="A252" s="94">
        <f t="shared" si="310"/>
        <v>62</v>
      </c>
      <c r="B252" s="116"/>
      <c r="C252" s="93" t="str">
        <f t="shared" ref="C252:D252" si="332">IF($B250&lt;&gt;"",C248,"")</f>
        <v/>
      </c>
      <c r="D252" s="93" t="str">
        <f t="shared" si="332"/>
        <v/>
      </c>
      <c r="E252" s="27"/>
      <c r="F252" s="27"/>
      <c r="G252" s="27"/>
      <c r="H252" s="27"/>
      <c r="I252" s="27"/>
      <c r="J252" s="27"/>
      <c r="K252" s="27"/>
      <c r="L252" s="27"/>
      <c r="M252" s="27"/>
      <c r="N252" s="27"/>
      <c r="O252" s="27"/>
      <c r="P252" s="27"/>
      <c r="Q252" s="27"/>
      <c r="R252" s="27"/>
      <c r="S252" s="27"/>
      <c r="T252" s="27"/>
      <c r="U252" s="27"/>
      <c r="V252" s="25"/>
      <c r="W252" s="31" t="e">
        <f>INDEX(TBL_PIPED_IMPORTERS_CONNECTIONS[PipedImporterConnectionID],$A252)</f>
        <v>#REF!</v>
      </c>
      <c r="X252" s="31" t="e">
        <f>"PipedImporterTariffFixed_"&amp;RIGHT($W252,11)</f>
        <v>#REF!</v>
      </c>
    </row>
    <row r="253" spans="1:24" x14ac:dyDescent="0.25">
      <c r="A253" s="94">
        <f t="shared" si="310"/>
        <v>62</v>
      </c>
      <c r="B253" s="117"/>
      <c r="C253" s="93" t="str">
        <f t="shared" ref="C253:D253" si="333">IF($B250&lt;&gt;"",C249,"")</f>
        <v/>
      </c>
      <c r="D253" s="93" t="str">
        <f t="shared" si="333"/>
        <v/>
      </c>
      <c r="E253" s="28"/>
      <c r="F253" s="28"/>
      <c r="G253" s="28"/>
      <c r="H253" s="28"/>
      <c r="I253" s="28"/>
      <c r="J253" s="28"/>
      <c r="K253" s="28"/>
      <c r="L253" s="28"/>
      <c r="M253" s="28"/>
      <c r="N253" s="28"/>
      <c r="O253" s="28"/>
      <c r="P253" s="28"/>
      <c r="Q253" s="28"/>
      <c r="R253" s="28"/>
      <c r="S253" s="28"/>
      <c r="T253" s="28"/>
      <c r="U253" s="28"/>
      <c r="V253" s="26"/>
      <c r="W253" s="31" t="e">
        <f>INDEX(TBL_PIPED_IMPORTERS_CONNECTIONS[PipedImporterConnectionID],$A253)</f>
        <v>#REF!</v>
      </c>
      <c r="X253" s="31" t="e">
        <f>"PipedImporterTariffVar_"&amp;RIGHT($W253,11)</f>
        <v>#REF!</v>
      </c>
    </row>
    <row r="254" spans="1:24" x14ac:dyDescent="0.25">
      <c r="A254" s="94">
        <f t="shared" ref="A254" si="334">$A250+1</f>
        <v>63</v>
      </c>
      <c r="B254" s="115" t="str">
        <f>IFERROR(INDEX(TBL_PIPED_IMPORTERS_CONNECTIONS[Name],$A254),"")</f>
        <v/>
      </c>
      <c r="C254" s="93" t="str">
        <f t="shared" ref="C254:D254" si="335">IF($B254&lt;&gt;"",C250,"")</f>
        <v/>
      </c>
      <c r="D254" s="93" t="str">
        <f t="shared" si="335"/>
        <v/>
      </c>
      <c r="E254" s="27"/>
      <c r="F254" s="27"/>
      <c r="G254" s="27"/>
      <c r="H254" s="27"/>
      <c r="I254" s="27"/>
      <c r="J254" s="27"/>
      <c r="K254" s="27"/>
      <c r="L254" s="27"/>
      <c r="M254" s="27"/>
      <c r="N254" s="27"/>
      <c r="O254" s="27"/>
      <c r="P254" s="27"/>
      <c r="Q254" s="27"/>
      <c r="R254" s="27"/>
      <c r="S254" s="27"/>
      <c r="T254" s="27"/>
      <c r="U254" s="27"/>
      <c r="V254" s="25"/>
      <c r="W254" s="31" t="e">
        <f>INDEX(TBL_PIPED_IMPORTERS_CONNECTIONS[PipedImporterConnectionID],$A254)</f>
        <v>#REF!</v>
      </c>
      <c r="X254" s="31" t="e">
        <f>"PipedImporterCapMin_"&amp;RIGHT($W254,11)</f>
        <v>#REF!</v>
      </c>
    </row>
    <row r="255" spans="1:24" x14ac:dyDescent="0.25">
      <c r="A255" s="94">
        <f t="shared" ref="A255:A257" si="336">$A254</f>
        <v>63</v>
      </c>
      <c r="B255" s="116"/>
      <c r="C255" s="93" t="str">
        <f t="shared" ref="C255:D255" si="337">IF($B254&lt;&gt;"",C251,"")</f>
        <v/>
      </c>
      <c r="D255" s="93" t="str">
        <f t="shared" si="337"/>
        <v/>
      </c>
      <c r="E255" s="28"/>
      <c r="F255" s="28"/>
      <c r="G255" s="28"/>
      <c r="H255" s="28"/>
      <c r="I255" s="28"/>
      <c r="J255" s="28"/>
      <c r="K255" s="28"/>
      <c r="L255" s="28"/>
      <c r="M255" s="28"/>
      <c r="N255" s="28"/>
      <c r="O255" s="28"/>
      <c r="P255" s="28"/>
      <c r="Q255" s="28"/>
      <c r="R255" s="28"/>
      <c r="S255" s="28"/>
      <c r="T255" s="28"/>
      <c r="U255" s="28"/>
      <c r="V255" s="26"/>
      <c r="W255" s="31" t="e">
        <f>INDEX(TBL_PIPED_IMPORTERS_CONNECTIONS[PipedImporterConnectionID],$A255)</f>
        <v>#REF!</v>
      </c>
      <c r="X255" s="31" t="e">
        <f>"PipedImporterCapMax_"&amp;RIGHT($W255,11)</f>
        <v>#REF!</v>
      </c>
    </row>
    <row r="256" spans="1:24" x14ac:dyDescent="0.25">
      <c r="A256" s="94">
        <f t="shared" si="336"/>
        <v>63</v>
      </c>
      <c r="B256" s="116"/>
      <c r="C256" s="93" t="str">
        <f t="shared" ref="C256:D256" si="338">IF($B254&lt;&gt;"",C252,"")</f>
        <v/>
      </c>
      <c r="D256" s="93" t="str">
        <f t="shared" si="338"/>
        <v/>
      </c>
      <c r="E256" s="27"/>
      <c r="F256" s="27"/>
      <c r="G256" s="27"/>
      <c r="H256" s="27"/>
      <c r="I256" s="27"/>
      <c r="J256" s="27"/>
      <c r="K256" s="27"/>
      <c r="L256" s="27"/>
      <c r="M256" s="27"/>
      <c r="N256" s="27"/>
      <c r="O256" s="27"/>
      <c r="P256" s="27"/>
      <c r="Q256" s="27"/>
      <c r="R256" s="27"/>
      <c r="S256" s="27"/>
      <c r="T256" s="27"/>
      <c r="U256" s="27"/>
      <c r="V256" s="25"/>
      <c r="W256" s="31" t="e">
        <f>INDEX(TBL_PIPED_IMPORTERS_CONNECTIONS[PipedImporterConnectionID],$A256)</f>
        <v>#REF!</v>
      </c>
      <c r="X256" s="31" t="e">
        <f>"PipedImporterTariffFixed_"&amp;RIGHT($W256,11)</f>
        <v>#REF!</v>
      </c>
    </row>
    <row r="257" spans="1:24" x14ac:dyDescent="0.25">
      <c r="A257" s="94">
        <f t="shared" si="336"/>
        <v>63</v>
      </c>
      <c r="B257" s="117"/>
      <c r="C257" s="93" t="str">
        <f t="shared" ref="C257:D257" si="339">IF($B254&lt;&gt;"",C253,"")</f>
        <v/>
      </c>
      <c r="D257" s="93" t="str">
        <f t="shared" si="339"/>
        <v/>
      </c>
      <c r="E257" s="28"/>
      <c r="F257" s="28"/>
      <c r="G257" s="28"/>
      <c r="H257" s="28"/>
      <c r="I257" s="28"/>
      <c r="J257" s="28"/>
      <c r="K257" s="28"/>
      <c r="L257" s="28"/>
      <c r="M257" s="28"/>
      <c r="N257" s="28"/>
      <c r="O257" s="28"/>
      <c r="P257" s="28"/>
      <c r="Q257" s="28"/>
      <c r="R257" s="28"/>
      <c r="S257" s="28"/>
      <c r="T257" s="28"/>
      <c r="U257" s="28"/>
      <c r="V257" s="26"/>
      <c r="W257" s="31" t="e">
        <f>INDEX(TBL_PIPED_IMPORTERS_CONNECTIONS[PipedImporterConnectionID],$A257)</f>
        <v>#REF!</v>
      </c>
      <c r="X257" s="31" t="e">
        <f>"PipedImporterTariffVar_"&amp;RIGHT($W257,11)</f>
        <v>#REF!</v>
      </c>
    </row>
    <row r="258" spans="1:24" x14ac:dyDescent="0.25">
      <c r="A258" s="94">
        <f t="shared" ref="A258" si="340">$A254+1</f>
        <v>64</v>
      </c>
      <c r="B258" s="115" t="str">
        <f>IFERROR(INDEX(TBL_PIPED_IMPORTERS_CONNECTIONS[Name],$A258),"")</f>
        <v/>
      </c>
      <c r="C258" s="93" t="str">
        <f t="shared" ref="C258:D258" si="341">IF($B258&lt;&gt;"",C254,"")</f>
        <v/>
      </c>
      <c r="D258" s="93" t="str">
        <f t="shared" si="341"/>
        <v/>
      </c>
      <c r="E258" s="27"/>
      <c r="F258" s="27"/>
      <c r="G258" s="27"/>
      <c r="H258" s="27"/>
      <c r="I258" s="27"/>
      <c r="J258" s="27"/>
      <c r="K258" s="27"/>
      <c r="L258" s="27"/>
      <c r="M258" s="27"/>
      <c r="N258" s="27"/>
      <c r="O258" s="27"/>
      <c r="P258" s="27"/>
      <c r="Q258" s="27"/>
      <c r="R258" s="27"/>
      <c r="S258" s="27"/>
      <c r="T258" s="27"/>
      <c r="U258" s="27"/>
      <c r="V258" s="25"/>
      <c r="W258" s="31" t="e">
        <f>INDEX(TBL_PIPED_IMPORTERS_CONNECTIONS[PipedImporterConnectionID],$A258)</f>
        <v>#REF!</v>
      </c>
      <c r="X258" s="31" t="e">
        <f>"PipedImporterCapMin_"&amp;RIGHT($W258,11)</f>
        <v>#REF!</v>
      </c>
    </row>
    <row r="259" spans="1:24" x14ac:dyDescent="0.25">
      <c r="A259" s="94">
        <f t="shared" ref="A259:A261" si="342">$A258</f>
        <v>64</v>
      </c>
      <c r="B259" s="116"/>
      <c r="C259" s="93" t="str">
        <f t="shared" ref="C259:D259" si="343">IF($B258&lt;&gt;"",C255,"")</f>
        <v/>
      </c>
      <c r="D259" s="93" t="str">
        <f t="shared" si="343"/>
        <v/>
      </c>
      <c r="E259" s="28"/>
      <c r="F259" s="28"/>
      <c r="G259" s="28"/>
      <c r="H259" s="28"/>
      <c r="I259" s="28"/>
      <c r="J259" s="28"/>
      <c r="K259" s="28"/>
      <c r="L259" s="28"/>
      <c r="M259" s="28"/>
      <c r="N259" s="28"/>
      <c r="O259" s="28"/>
      <c r="P259" s="28"/>
      <c r="Q259" s="28"/>
      <c r="R259" s="28"/>
      <c r="S259" s="28"/>
      <c r="T259" s="28"/>
      <c r="U259" s="28"/>
      <c r="V259" s="26"/>
      <c r="W259" s="31" t="e">
        <f>INDEX(TBL_PIPED_IMPORTERS_CONNECTIONS[PipedImporterConnectionID],$A259)</f>
        <v>#REF!</v>
      </c>
      <c r="X259" s="31" t="e">
        <f>"PipedImporterCapMax_"&amp;RIGHT($W259,11)</f>
        <v>#REF!</v>
      </c>
    </row>
    <row r="260" spans="1:24" x14ac:dyDescent="0.25">
      <c r="A260" s="94">
        <f t="shared" si="342"/>
        <v>64</v>
      </c>
      <c r="B260" s="116"/>
      <c r="C260" s="93" t="str">
        <f t="shared" ref="C260:D260" si="344">IF($B258&lt;&gt;"",C256,"")</f>
        <v/>
      </c>
      <c r="D260" s="93" t="str">
        <f t="shared" si="344"/>
        <v/>
      </c>
      <c r="E260" s="27"/>
      <c r="F260" s="27"/>
      <c r="G260" s="27"/>
      <c r="H260" s="27"/>
      <c r="I260" s="27"/>
      <c r="J260" s="27"/>
      <c r="K260" s="27"/>
      <c r="L260" s="27"/>
      <c r="M260" s="27"/>
      <c r="N260" s="27"/>
      <c r="O260" s="27"/>
      <c r="P260" s="27"/>
      <c r="Q260" s="27"/>
      <c r="R260" s="27"/>
      <c r="S260" s="27"/>
      <c r="T260" s="27"/>
      <c r="U260" s="27"/>
      <c r="V260" s="25"/>
      <c r="W260" s="31" t="e">
        <f>INDEX(TBL_PIPED_IMPORTERS_CONNECTIONS[PipedImporterConnectionID],$A260)</f>
        <v>#REF!</v>
      </c>
      <c r="X260" s="31" t="e">
        <f>"PipedImporterTariffFixed_"&amp;RIGHT($W260,11)</f>
        <v>#REF!</v>
      </c>
    </row>
    <row r="261" spans="1:24" x14ac:dyDescent="0.25">
      <c r="A261" s="94">
        <f t="shared" si="342"/>
        <v>64</v>
      </c>
      <c r="B261" s="117"/>
      <c r="C261" s="93" t="str">
        <f t="shared" ref="C261:D261" si="345">IF($B258&lt;&gt;"",C257,"")</f>
        <v/>
      </c>
      <c r="D261" s="93" t="str">
        <f t="shared" si="345"/>
        <v/>
      </c>
      <c r="E261" s="28"/>
      <c r="F261" s="28"/>
      <c r="G261" s="28"/>
      <c r="H261" s="28"/>
      <c r="I261" s="28"/>
      <c r="J261" s="28"/>
      <c r="K261" s="28"/>
      <c r="L261" s="28"/>
      <c r="M261" s="28"/>
      <c r="N261" s="28"/>
      <c r="O261" s="28"/>
      <c r="P261" s="28"/>
      <c r="Q261" s="28"/>
      <c r="R261" s="28"/>
      <c r="S261" s="28"/>
      <c r="T261" s="28"/>
      <c r="U261" s="28"/>
      <c r="V261" s="26"/>
      <c r="W261" s="31" t="e">
        <f>INDEX(TBL_PIPED_IMPORTERS_CONNECTIONS[PipedImporterConnectionID],$A261)</f>
        <v>#REF!</v>
      </c>
      <c r="X261" s="31" t="e">
        <f>"PipedImporterTariffVar_"&amp;RIGHT($W261,11)</f>
        <v>#REF!</v>
      </c>
    </row>
    <row r="262" spans="1:24" x14ac:dyDescent="0.25">
      <c r="A262" s="94">
        <f t="shared" ref="A262" si="346">$A258+1</f>
        <v>65</v>
      </c>
      <c r="B262" s="115" t="str">
        <f>IFERROR(INDEX(TBL_PIPED_IMPORTERS_CONNECTIONS[Name],$A262),"")</f>
        <v/>
      </c>
      <c r="C262" s="93" t="str">
        <f t="shared" ref="C262:D262" si="347">IF($B262&lt;&gt;"",C258,"")</f>
        <v/>
      </c>
      <c r="D262" s="93" t="str">
        <f t="shared" si="347"/>
        <v/>
      </c>
      <c r="E262" s="27"/>
      <c r="F262" s="27"/>
      <c r="G262" s="27"/>
      <c r="H262" s="27"/>
      <c r="I262" s="27"/>
      <c r="J262" s="27"/>
      <c r="K262" s="27"/>
      <c r="L262" s="27"/>
      <c r="M262" s="27"/>
      <c r="N262" s="27"/>
      <c r="O262" s="27"/>
      <c r="P262" s="27"/>
      <c r="Q262" s="27"/>
      <c r="R262" s="27"/>
      <c r="S262" s="27"/>
      <c r="T262" s="27"/>
      <c r="U262" s="27"/>
      <c r="V262" s="25"/>
      <c r="W262" s="31" t="e">
        <f>INDEX(TBL_PIPED_IMPORTERS_CONNECTIONS[PipedImporterConnectionID],$A262)</f>
        <v>#REF!</v>
      </c>
      <c r="X262" s="31" t="e">
        <f>"PipedImporterCapMin_"&amp;RIGHT($W262,11)</f>
        <v>#REF!</v>
      </c>
    </row>
    <row r="263" spans="1:24" x14ac:dyDescent="0.25">
      <c r="A263" s="94">
        <f t="shared" ref="A263:A281" si="348">$A262</f>
        <v>65</v>
      </c>
      <c r="B263" s="116"/>
      <c r="C263" s="93" t="str">
        <f t="shared" ref="C263:D263" si="349">IF($B262&lt;&gt;"",C259,"")</f>
        <v/>
      </c>
      <c r="D263" s="93" t="str">
        <f t="shared" si="349"/>
        <v/>
      </c>
      <c r="E263" s="28"/>
      <c r="F263" s="28"/>
      <c r="G263" s="28"/>
      <c r="H263" s="28"/>
      <c r="I263" s="28"/>
      <c r="J263" s="28"/>
      <c r="K263" s="28"/>
      <c r="L263" s="28"/>
      <c r="M263" s="28"/>
      <c r="N263" s="28"/>
      <c r="O263" s="28"/>
      <c r="P263" s="28"/>
      <c r="Q263" s="28"/>
      <c r="R263" s="28"/>
      <c r="S263" s="28"/>
      <c r="T263" s="28"/>
      <c r="U263" s="28"/>
      <c r="V263" s="26"/>
      <c r="W263" s="31" t="e">
        <f>INDEX(TBL_PIPED_IMPORTERS_CONNECTIONS[PipedImporterConnectionID],$A263)</f>
        <v>#REF!</v>
      </c>
      <c r="X263" s="31" t="e">
        <f>"PipedImporterCapMax_"&amp;RIGHT($W263,11)</f>
        <v>#REF!</v>
      </c>
    </row>
    <row r="264" spans="1:24" x14ac:dyDescent="0.25">
      <c r="A264" s="94">
        <f t="shared" si="348"/>
        <v>65</v>
      </c>
      <c r="B264" s="116"/>
      <c r="C264" s="93" t="str">
        <f t="shared" ref="C264:D264" si="350">IF($B262&lt;&gt;"",C260,"")</f>
        <v/>
      </c>
      <c r="D264" s="93" t="str">
        <f t="shared" si="350"/>
        <v/>
      </c>
      <c r="E264" s="27"/>
      <c r="F264" s="27"/>
      <c r="G264" s="27"/>
      <c r="H264" s="27"/>
      <c r="I264" s="27"/>
      <c r="J264" s="27"/>
      <c r="K264" s="27"/>
      <c r="L264" s="27"/>
      <c r="M264" s="27"/>
      <c r="N264" s="27"/>
      <c r="O264" s="27"/>
      <c r="P264" s="27"/>
      <c r="Q264" s="27"/>
      <c r="R264" s="27"/>
      <c r="S264" s="27"/>
      <c r="T264" s="27"/>
      <c r="U264" s="27"/>
      <c r="V264" s="25"/>
      <c r="W264" s="31" t="e">
        <f>INDEX(TBL_PIPED_IMPORTERS_CONNECTIONS[PipedImporterConnectionID],$A264)</f>
        <v>#REF!</v>
      </c>
      <c r="X264" s="31" t="e">
        <f>"PipedImporterTariffFixed_"&amp;RIGHT($W264,11)</f>
        <v>#REF!</v>
      </c>
    </row>
    <row r="265" spans="1:24" x14ac:dyDescent="0.25">
      <c r="A265" s="94">
        <f t="shared" si="348"/>
        <v>65</v>
      </c>
      <c r="B265" s="117"/>
      <c r="C265" s="93" t="str">
        <f t="shared" ref="C265:D265" si="351">IF($B262&lt;&gt;"",C261,"")</f>
        <v/>
      </c>
      <c r="D265" s="93" t="str">
        <f t="shared" si="351"/>
        <v/>
      </c>
      <c r="E265" s="28"/>
      <c r="F265" s="28"/>
      <c r="G265" s="28"/>
      <c r="H265" s="28"/>
      <c r="I265" s="28"/>
      <c r="J265" s="28"/>
      <c r="K265" s="28"/>
      <c r="L265" s="28"/>
      <c r="M265" s="28"/>
      <c r="N265" s="28"/>
      <c r="O265" s="28"/>
      <c r="P265" s="28"/>
      <c r="Q265" s="28"/>
      <c r="R265" s="28"/>
      <c r="S265" s="28"/>
      <c r="T265" s="28"/>
      <c r="U265" s="28"/>
      <c r="V265" s="26"/>
      <c r="W265" s="31" t="e">
        <f>INDEX(TBL_PIPED_IMPORTERS_CONNECTIONS[PipedImporterConnectionID],$A265)</f>
        <v>#REF!</v>
      </c>
      <c r="X265" s="31" t="e">
        <f>"PipedImporterTariffVar_"&amp;RIGHT($W265,11)</f>
        <v>#REF!</v>
      </c>
    </row>
    <row r="266" spans="1:24" x14ac:dyDescent="0.25">
      <c r="A266" s="94">
        <f t="shared" ref="A266" si="352">$A262+1</f>
        <v>66</v>
      </c>
      <c r="B266" s="115" t="str">
        <f>IFERROR(INDEX(TBL_PIPED_IMPORTERS_CONNECTIONS[Name],$A266),"")</f>
        <v/>
      </c>
      <c r="C266" s="93" t="str">
        <f t="shared" ref="C266:D266" si="353">IF($B266&lt;&gt;"",C262,"")</f>
        <v/>
      </c>
      <c r="D266" s="93" t="str">
        <f t="shared" si="353"/>
        <v/>
      </c>
      <c r="E266" s="27"/>
      <c r="F266" s="27"/>
      <c r="G266" s="27"/>
      <c r="H266" s="27"/>
      <c r="I266" s="27"/>
      <c r="J266" s="27"/>
      <c r="K266" s="27"/>
      <c r="L266" s="27"/>
      <c r="M266" s="27"/>
      <c r="N266" s="27"/>
      <c r="O266" s="27"/>
      <c r="P266" s="27"/>
      <c r="Q266" s="27"/>
      <c r="R266" s="27"/>
      <c r="S266" s="27"/>
      <c r="T266" s="27"/>
      <c r="U266" s="27"/>
      <c r="V266" s="25"/>
      <c r="W266" s="31" t="e">
        <f>INDEX(TBL_PIPED_IMPORTERS_CONNECTIONS[PipedImporterConnectionID],$A266)</f>
        <v>#REF!</v>
      </c>
      <c r="X266" s="31" t="e">
        <f>"PipedImporterCapMin_"&amp;RIGHT($W266,11)</f>
        <v>#REF!</v>
      </c>
    </row>
    <row r="267" spans="1:24" x14ac:dyDescent="0.25">
      <c r="A267" s="94">
        <f t="shared" si="348"/>
        <v>66</v>
      </c>
      <c r="B267" s="116"/>
      <c r="C267" s="93" t="str">
        <f t="shared" ref="C267:D267" si="354">IF($B266&lt;&gt;"",C263,"")</f>
        <v/>
      </c>
      <c r="D267" s="93" t="str">
        <f t="shared" si="354"/>
        <v/>
      </c>
      <c r="E267" s="28"/>
      <c r="F267" s="28"/>
      <c r="G267" s="28"/>
      <c r="H267" s="28"/>
      <c r="I267" s="28"/>
      <c r="J267" s="28"/>
      <c r="K267" s="28"/>
      <c r="L267" s="28"/>
      <c r="M267" s="28"/>
      <c r="N267" s="28"/>
      <c r="O267" s="28"/>
      <c r="P267" s="28"/>
      <c r="Q267" s="28"/>
      <c r="R267" s="28"/>
      <c r="S267" s="28"/>
      <c r="T267" s="28"/>
      <c r="U267" s="28"/>
      <c r="V267" s="26"/>
      <c r="W267" s="31" t="e">
        <f>INDEX(TBL_PIPED_IMPORTERS_CONNECTIONS[PipedImporterConnectionID],$A267)</f>
        <v>#REF!</v>
      </c>
      <c r="X267" s="31" t="e">
        <f>"PipedImporterCapMax_"&amp;RIGHT($W267,11)</f>
        <v>#REF!</v>
      </c>
    </row>
    <row r="268" spans="1:24" x14ac:dyDescent="0.25">
      <c r="A268" s="94">
        <f t="shared" si="348"/>
        <v>66</v>
      </c>
      <c r="B268" s="116"/>
      <c r="C268" s="93" t="str">
        <f t="shared" ref="C268:D268" si="355">IF($B266&lt;&gt;"",C264,"")</f>
        <v/>
      </c>
      <c r="D268" s="93" t="str">
        <f t="shared" si="355"/>
        <v/>
      </c>
      <c r="E268" s="27"/>
      <c r="F268" s="27"/>
      <c r="G268" s="27"/>
      <c r="H268" s="27"/>
      <c r="I268" s="27"/>
      <c r="J268" s="27"/>
      <c r="K268" s="27"/>
      <c r="L268" s="27"/>
      <c r="M268" s="27"/>
      <c r="N268" s="27"/>
      <c r="O268" s="27"/>
      <c r="P268" s="27"/>
      <c r="Q268" s="27"/>
      <c r="R268" s="27"/>
      <c r="S268" s="27"/>
      <c r="T268" s="27"/>
      <c r="U268" s="27"/>
      <c r="V268" s="25"/>
      <c r="W268" s="31" t="e">
        <f>INDEX(TBL_PIPED_IMPORTERS_CONNECTIONS[PipedImporterConnectionID],$A268)</f>
        <v>#REF!</v>
      </c>
      <c r="X268" s="31" t="e">
        <f>"PipedImporterTariffFixed_"&amp;RIGHT($W268,11)</f>
        <v>#REF!</v>
      </c>
    </row>
    <row r="269" spans="1:24" x14ac:dyDescent="0.25">
      <c r="A269" s="94">
        <f t="shared" si="348"/>
        <v>66</v>
      </c>
      <c r="B269" s="117"/>
      <c r="C269" s="93" t="str">
        <f t="shared" ref="C269:D269" si="356">IF($B266&lt;&gt;"",C265,"")</f>
        <v/>
      </c>
      <c r="D269" s="93" t="str">
        <f t="shared" si="356"/>
        <v/>
      </c>
      <c r="E269" s="28"/>
      <c r="F269" s="28"/>
      <c r="G269" s="28"/>
      <c r="H269" s="28"/>
      <c r="I269" s="28"/>
      <c r="J269" s="28"/>
      <c r="K269" s="28"/>
      <c r="L269" s="28"/>
      <c r="M269" s="28"/>
      <c r="N269" s="28"/>
      <c r="O269" s="28"/>
      <c r="P269" s="28"/>
      <c r="Q269" s="28"/>
      <c r="R269" s="28"/>
      <c r="S269" s="28"/>
      <c r="T269" s="28"/>
      <c r="U269" s="28"/>
      <c r="V269" s="26"/>
      <c r="W269" s="31" t="e">
        <f>INDEX(TBL_PIPED_IMPORTERS_CONNECTIONS[PipedImporterConnectionID],$A269)</f>
        <v>#REF!</v>
      </c>
      <c r="X269" s="31" t="e">
        <f>"PipedImporterTariffVar_"&amp;RIGHT($W269,11)</f>
        <v>#REF!</v>
      </c>
    </row>
    <row r="270" spans="1:24" x14ac:dyDescent="0.25">
      <c r="A270" s="94">
        <f t="shared" ref="A270" si="357">$A266+1</f>
        <v>67</v>
      </c>
      <c r="B270" s="115" t="str">
        <f>IFERROR(INDEX(TBL_PIPED_IMPORTERS_CONNECTIONS[Name],$A270),"")</f>
        <v/>
      </c>
      <c r="C270" s="93" t="str">
        <f t="shared" ref="C270:D270" si="358">IF($B270&lt;&gt;"",C266,"")</f>
        <v/>
      </c>
      <c r="D270" s="93" t="str">
        <f t="shared" si="358"/>
        <v/>
      </c>
      <c r="E270" s="27"/>
      <c r="F270" s="27"/>
      <c r="G270" s="27"/>
      <c r="H270" s="27"/>
      <c r="I270" s="27"/>
      <c r="J270" s="27"/>
      <c r="K270" s="27"/>
      <c r="L270" s="27"/>
      <c r="M270" s="27"/>
      <c r="N270" s="27"/>
      <c r="O270" s="27"/>
      <c r="P270" s="27"/>
      <c r="Q270" s="27"/>
      <c r="R270" s="27"/>
      <c r="S270" s="27"/>
      <c r="T270" s="27"/>
      <c r="U270" s="27"/>
      <c r="V270" s="25"/>
      <c r="W270" s="31" t="e">
        <f>INDEX(TBL_PIPED_IMPORTERS_CONNECTIONS[PipedImporterConnectionID],$A270)</f>
        <v>#REF!</v>
      </c>
      <c r="X270" s="31" t="e">
        <f>"PipedImporterCapMin_"&amp;RIGHT($W270,11)</f>
        <v>#REF!</v>
      </c>
    </row>
    <row r="271" spans="1:24" x14ac:dyDescent="0.25">
      <c r="A271" s="94">
        <f t="shared" si="348"/>
        <v>67</v>
      </c>
      <c r="B271" s="116"/>
      <c r="C271" s="93" t="str">
        <f t="shared" ref="C271:D271" si="359">IF($B270&lt;&gt;"",C267,"")</f>
        <v/>
      </c>
      <c r="D271" s="93" t="str">
        <f t="shared" si="359"/>
        <v/>
      </c>
      <c r="E271" s="28"/>
      <c r="F271" s="28"/>
      <c r="G271" s="28"/>
      <c r="H271" s="28"/>
      <c r="I271" s="28"/>
      <c r="J271" s="28"/>
      <c r="K271" s="28"/>
      <c r="L271" s="28"/>
      <c r="M271" s="28"/>
      <c r="N271" s="28"/>
      <c r="O271" s="28"/>
      <c r="P271" s="28"/>
      <c r="Q271" s="28"/>
      <c r="R271" s="28"/>
      <c r="S271" s="28"/>
      <c r="T271" s="28"/>
      <c r="U271" s="28"/>
      <c r="V271" s="26"/>
      <c r="W271" s="31" t="e">
        <f>INDEX(TBL_PIPED_IMPORTERS_CONNECTIONS[PipedImporterConnectionID],$A271)</f>
        <v>#REF!</v>
      </c>
      <c r="X271" s="31" t="e">
        <f>"PipedImporterCapMax_"&amp;RIGHT($W271,11)</f>
        <v>#REF!</v>
      </c>
    </row>
    <row r="272" spans="1:24" x14ac:dyDescent="0.25">
      <c r="A272" s="94">
        <f t="shared" si="348"/>
        <v>67</v>
      </c>
      <c r="B272" s="116"/>
      <c r="C272" s="93" t="str">
        <f t="shared" ref="C272:D272" si="360">IF($B270&lt;&gt;"",C268,"")</f>
        <v/>
      </c>
      <c r="D272" s="93" t="str">
        <f t="shared" si="360"/>
        <v/>
      </c>
      <c r="E272" s="27"/>
      <c r="F272" s="27"/>
      <c r="G272" s="27"/>
      <c r="H272" s="27"/>
      <c r="I272" s="27"/>
      <c r="J272" s="27"/>
      <c r="K272" s="27"/>
      <c r="L272" s="27"/>
      <c r="M272" s="27"/>
      <c r="N272" s="27"/>
      <c r="O272" s="27"/>
      <c r="P272" s="27"/>
      <c r="Q272" s="27"/>
      <c r="R272" s="27"/>
      <c r="S272" s="27"/>
      <c r="T272" s="27"/>
      <c r="U272" s="27"/>
      <c r="V272" s="25"/>
      <c r="W272" s="31" t="e">
        <f>INDEX(TBL_PIPED_IMPORTERS_CONNECTIONS[PipedImporterConnectionID],$A272)</f>
        <v>#REF!</v>
      </c>
      <c r="X272" s="31" t="e">
        <f>"PipedImporterTariffFixed_"&amp;RIGHT($W272,11)</f>
        <v>#REF!</v>
      </c>
    </row>
    <row r="273" spans="1:24" x14ac:dyDescent="0.25">
      <c r="A273" s="94">
        <f t="shared" si="348"/>
        <v>67</v>
      </c>
      <c r="B273" s="117"/>
      <c r="C273" s="93" t="str">
        <f t="shared" ref="C273:D273" si="361">IF($B270&lt;&gt;"",C269,"")</f>
        <v/>
      </c>
      <c r="D273" s="93" t="str">
        <f t="shared" si="361"/>
        <v/>
      </c>
      <c r="E273" s="28"/>
      <c r="F273" s="28"/>
      <c r="G273" s="28"/>
      <c r="H273" s="28"/>
      <c r="I273" s="28"/>
      <c r="J273" s="28"/>
      <c r="K273" s="28"/>
      <c r="L273" s="28"/>
      <c r="M273" s="28"/>
      <c r="N273" s="28"/>
      <c r="O273" s="28"/>
      <c r="P273" s="28"/>
      <c r="Q273" s="28"/>
      <c r="R273" s="28"/>
      <c r="S273" s="28"/>
      <c r="T273" s="28"/>
      <c r="U273" s="28"/>
      <c r="V273" s="26"/>
      <c r="W273" s="31" t="e">
        <f>INDEX(TBL_PIPED_IMPORTERS_CONNECTIONS[PipedImporterConnectionID],$A273)</f>
        <v>#REF!</v>
      </c>
      <c r="X273" s="31" t="e">
        <f>"PipedImporterTariffVar_"&amp;RIGHT($W273,11)</f>
        <v>#REF!</v>
      </c>
    </row>
    <row r="274" spans="1:24" x14ac:dyDescent="0.25">
      <c r="A274" s="94">
        <f t="shared" ref="A274" si="362">$A270+1</f>
        <v>68</v>
      </c>
      <c r="B274" s="115" t="str">
        <f>IFERROR(INDEX(TBL_PIPED_IMPORTERS_CONNECTIONS[Name],$A274),"")</f>
        <v/>
      </c>
      <c r="C274" s="93" t="str">
        <f t="shared" ref="C274:D274" si="363">IF($B274&lt;&gt;"",C270,"")</f>
        <v/>
      </c>
      <c r="D274" s="93" t="str">
        <f t="shared" si="363"/>
        <v/>
      </c>
      <c r="E274" s="27"/>
      <c r="F274" s="27"/>
      <c r="G274" s="27"/>
      <c r="H274" s="27"/>
      <c r="I274" s="27"/>
      <c r="J274" s="27"/>
      <c r="K274" s="27"/>
      <c r="L274" s="27"/>
      <c r="M274" s="27"/>
      <c r="N274" s="27"/>
      <c r="O274" s="27"/>
      <c r="P274" s="27"/>
      <c r="Q274" s="27"/>
      <c r="R274" s="27"/>
      <c r="S274" s="27"/>
      <c r="T274" s="27"/>
      <c r="U274" s="27"/>
      <c r="V274" s="25"/>
      <c r="W274" s="31" t="e">
        <f>INDEX(TBL_PIPED_IMPORTERS_CONNECTIONS[PipedImporterConnectionID],$A274)</f>
        <v>#REF!</v>
      </c>
      <c r="X274" s="31" t="e">
        <f>"PipedImporterCapMin_"&amp;RIGHT($W274,11)</f>
        <v>#REF!</v>
      </c>
    </row>
    <row r="275" spans="1:24" x14ac:dyDescent="0.25">
      <c r="A275" s="94">
        <f t="shared" si="348"/>
        <v>68</v>
      </c>
      <c r="B275" s="116"/>
      <c r="C275" s="93" t="str">
        <f t="shared" ref="C275:D275" si="364">IF($B274&lt;&gt;"",C271,"")</f>
        <v/>
      </c>
      <c r="D275" s="93" t="str">
        <f t="shared" si="364"/>
        <v/>
      </c>
      <c r="E275" s="28"/>
      <c r="F275" s="28"/>
      <c r="G275" s="28"/>
      <c r="H275" s="28"/>
      <c r="I275" s="28"/>
      <c r="J275" s="28"/>
      <c r="K275" s="28"/>
      <c r="L275" s="28"/>
      <c r="M275" s="28"/>
      <c r="N275" s="28"/>
      <c r="O275" s="28"/>
      <c r="P275" s="28"/>
      <c r="Q275" s="28"/>
      <c r="R275" s="28"/>
      <c r="S275" s="28"/>
      <c r="T275" s="28"/>
      <c r="U275" s="28"/>
      <c r="V275" s="26"/>
      <c r="W275" s="31" t="e">
        <f>INDEX(TBL_PIPED_IMPORTERS_CONNECTIONS[PipedImporterConnectionID],$A275)</f>
        <v>#REF!</v>
      </c>
      <c r="X275" s="31" t="e">
        <f>"PipedImporterCapMax_"&amp;RIGHT($W275,11)</f>
        <v>#REF!</v>
      </c>
    </row>
    <row r="276" spans="1:24" x14ac:dyDescent="0.25">
      <c r="A276" s="94">
        <f t="shared" si="348"/>
        <v>68</v>
      </c>
      <c r="B276" s="116"/>
      <c r="C276" s="93" t="str">
        <f t="shared" ref="C276:D276" si="365">IF($B274&lt;&gt;"",C272,"")</f>
        <v/>
      </c>
      <c r="D276" s="93" t="str">
        <f t="shared" si="365"/>
        <v/>
      </c>
      <c r="E276" s="27"/>
      <c r="F276" s="27"/>
      <c r="G276" s="27"/>
      <c r="H276" s="27"/>
      <c r="I276" s="27"/>
      <c r="J276" s="27"/>
      <c r="K276" s="27"/>
      <c r="L276" s="27"/>
      <c r="M276" s="27"/>
      <c r="N276" s="27"/>
      <c r="O276" s="27"/>
      <c r="P276" s="27"/>
      <c r="Q276" s="27"/>
      <c r="R276" s="27"/>
      <c r="S276" s="27"/>
      <c r="T276" s="27"/>
      <c r="U276" s="27"/>
      <c r="V276" s="25"/>
      <c r="W276" s="31" t="e">
        <f>INDEX(TBL_PIPED_IMPORTERS_CONNECTIONS[PipedImporterConnectionID],$A276)</f>
        <v>#REF!</v>
      </c>
      <c r="X276" s="31" t="e">
        <f>"PipedImporterTariffFixed_"&amp;RIGHT($W276,11)</f>
        <v>#REF!</v>
      </c>
    </row>
    <row r="277" spans="1:24" x14ac:dyDescent="0.25">
      <c r="A277" s="94">
        <f t="shared" si="348"/>
        <v>68</v>
      </c>
      <c r="B277" s="117"/>
      <c r="C277" s="93" t="str">
        <f t="shared" ref="C277:D277" si="366">IF($B274&lt;&gt;"",C273,"")</f>
        <v/>
      </c>
      <c r="D277" s="93" t="str">
        <f t="shared" si="366"/>
        <v/>
      </c>
      <c r="E277" s="28"/>
      <c r="F277" s="28"/>
      <c r="G277" s="28"/>
      <c r="H277" s="28"/>
      <c r="I277" s="28"/>
      <c r="J277" s="28"/>
      <c r="K277" s="28"/>
      <c r="L277" s="28"/>
      <c r="M277" s="28"/>
      <c r="N277" s="28"/>
      <c r="O277" s="28"/>
      <c r="P277" s="28"/>
      <c r="Q277" s="28"/>
      <c r="R277" s="28"/>
      <c r="S277" s="28"/>
      <c r="T277" s="28"/>
      <c r="U277" s="28"/>
      <c r="V277" s="26"/>
      <c r="W277" s="31" t="e">
        <f>INDEX(TBL_PIPED_IMPORTERS_CONNECTIONS[PipedImporterConnectionID],$A277)</f>
        <v>#REF!</v>
      </c>
      <c r="X277" s="31" t="e">
        <f>"PipedImporterTariffVar_"&amp;RIGHT($W277,11)</f>
        <v>#REF!</v>
      </c>
    </row>
    <row r="278" spans="1:24" x14ac:dyDescent="0.25">
      <c r="A278" s="94">
        <f t="shared" ref="A278" si="367">$A274+1</f>
        <v>69</v>
      </c>
      <c r="B278" s="115" t="str">
        <f>IFERROR(INDEX(TBL_PIPED_IMPORTERS_CONNECTIONS[Name],$A278),"")</f>
        <v/>
      </c>
      <c r="C278" s="93" t="str">
        <f t="shared" ref="C278:D278" si="368">IF($B278&lt;&gt;"",C274,"")</f>
        <v/>
      </c>
      <c r="D278" s="93" t="str">
        <f t="shared" si="368"/>
        <v/>
      </c>
      <c r="E278" s="27"/>
      <c r="F278" s="27"/>
      <c r="G278" s="27"/>
      <c r="H278" s="27"/>
      <c r="I278" s="27"/>
      <c r="J278" s="27"/>
      <c r="K278" s="27"/>
      <c r="L278" s="27"/>
      <c r="M278" s="27"/>
      <c r="N278" s="27"/>
      <c r="O278" s="27"/>
      <c r="P278" s="27"/>
      <c r="Q278" s="27"/>
      <c r="R278" s="27"/>
      <c r="S278" s="27"/>
      <c r="T278" s="27"/>
      <c r="U278" s="27"/>
      <c r="V278" s="25"/>
      <c r="W278" s="31" t="e">
        <f>INDEX(TBL_PIPED_IMPORTERS_CONNECTIONS[PipedImporterConnectionID],$A278)</f>
        <v>#REF!</v>
      </c>
      <c r="X278" s="31" t="e">
        <f>"PipedImporterCapMin_"&amp;RIGHT($W278,11)</f>
        <v>#REF!</v>
      </c>
    </row>
    <row r="279" spans="1:24" x14ac:dyDescent="0.25">
      <c r="A279" s="94">
        <f t="shared" si="348"/>
        <v>69</v>
      </c>
      <c r="B279" s="116"/>
      <c r="C279" s="93" t="str">
        <f t="shared" ref="C279:D279" si="369">IF($B278&lt;&gt;"",C275,"")</f>
        <v/>
      </c>
      <c r="D279" s="93" t="str">
        <f t="shared" si="369"/>
        <v/>
      </c>
      <c r="E279" s="28"/>
      <c r="F279" s="28"/>
      <c r="G279" s="28"/>
      <c r="H279" s="28"/>
      <c r="I279" s="28"/>
      <c r="J279" s="28"/>
      <c r="K279" s="28"/>
      <c r="L279" s="28"/>
      <c r="M279" s="28"/>
      <c r="N279" s="28"/>
      <c r="O279" s="28"/>
      <c r="P279" s="28"/>
      <c r="Q279" s="28"/>
      <c r="R279" s="28"/>
      <c r="S279" s="28"/>
      <c r="T279" s="28"/>
      <c r="U279" s="28"/>
      <c r="V279" s="26"/>
      <c r="W279" s="31" t="e">
        <f>INDEX(TBL_PIPED_IMPORTERS_CONNECTIONS[PipedImporterConnectionID],$A279)</f>
        <v>#REF!</v>
      </c>
      <c r="X279" s="31" t="e">
        <f>"PipedImporterCapMax_"&amp;RIGHT($W279,11)</f>
        <v>#REF!</v>
      </c>
    </row>
    <row r="280" spans="1:24" x14ac:dyDescent="0.25">
      <c r="A280" s="94">
        <f t="shared" si="348"/>
        <v>69</v>
      </c>
      <c r="B280" s="116"/>
      <c r="C280" s="93" t="str">
        <f t="shared" ref="C280:D280" si="370">IF($B278&lt;&gt;"",C276,"")</f>
        <v/>
      </c>
      <c r="D280" s="93" t="str">
        <f t="shared" si="370"/>
        <v/>
      </c>
      <c r="E280" s="27"/>
      <c r="F280" s="27"/>
      <c r="G280" s="27"/>
      <c r="H280" s="27"/>
      <c r="I280" s="27"/>
      <c r="J280" s="27"/>
      <c r="K280" s="27"/>
      <c r="L280" s="27"/>
      <c r="M280" s="27"/>
      <c r="N280" s="27"/>
      <c r="O280" s="27"/>
      <c r="P280" s="27"/>
      <c r="Q280" s="27"/>
      <c r="R280" s="27"/>
      <c r="S280" s="27"/>
      <c r="T280" s="27"/>
      <c r="U280" s="27"/>
      <c r="V280" s="25"/>
      <c r="W280" s="31" t="e">
        <f>INDEX(TBL_PIPED_IMPORTERS_CONNECTIONS[PipedImporterConnectionID],$A280)</f>
        <v>#REF!</v>
      </c>
      <c r="X280" s="31" t="e">
        <f>"PipedImporterTariffFixed_"&amp;RIGHT($W280,11)</f>
        <v>#REF!</v>
      </c>
    </row>
    <row r="281" spans="1:24" x14ac:dyDescent="0.25">
      <c r="A281" s="94">
        <f t="shared" si="348"/>
        <v>69</v>
      </c>
      <c r="B281" s="117"/>
      <c r="C281" s="93" t="str">
        <f t="shared" ref="C281:D281" si="371">IF($B278&lt;&gt;"",C277,"")</f>
        <v/>
      </c>
      <c r="D281" s="93" t="str">
        <f t="shared" si="371"/>
        <v/>
      </c>
      <c r="E281" s="28"/>
      <c r="F281" s="28"/>
      <c r="G281" s="28"/>
      <c r="H281" s="28"/>
      <c r="I281" s="28"/>
      <c r="J281" s="28"/>
      <c r="K281" s="28"/>
      <c r="L281" s="28"/>
      <c r="M281" s="28"/>
      <c r="N281" s="28"/>
      <c r="O281" s="28"/>
      <c r="P281" s="28"/>
      <c r="Q281" s="28"/>
      <c r="R281" s="28"/>
      <c r="S281" s="28"/>
      <c r="T281" s="28"/>
      <c r="U281" s="28"/>
      <c r="V281" s="26"/>
      <c r="W281" s="31" t="e">
        <f>INDEX(TBL_PIPED_IMPORTERS_CONNECTIONS[PipedImporterConnectionID],$A281)</f>
        <v>#REF!</v>
      </c>
      <c r="X281" s="31" t="e">
        <f>"PipedImporterTariffVar_"&amp;RIGHT($W281,11)</f>
        <v>#REF!</v>
      </c>
    </row>
    <row r="282" spans="1:24" x14ac:dyDescent="0.25">
      <c r="A282" s="94">
        <f t="shared" ref="A282" si="372">$A278+1</f>
        <v>70</v>
      </c>
      <c r="B282" s="115" t="str">
        <f>IFERROR(INDEX(TBL_PIPED_IMPORTERS_CONNECTIONS[Name],$A282),"")</f>
        <v/>
      </c>
      <c r="C282" s="93" t="str">
        <f t="shared" ref="C282:D282" si="373">IF($B282&lt;&gt;"",C278,"")</f>
        <v/>
      </c>
      <c r="D282" s="93" t="str">
        <f t="shared" si="373"/>
        <v/>
      </c>
      <c r="E282" s="27"/>
      <c r="F282" s="27"/>
      <c r="G282" s="27"/>
      <c r="H282" s="27"/>
      <c r="I282" s="27"/>
      <c r="J282" s="27"/>
      <c r="K282" s="27"/>
      <c r="L282" s="27"/>
      <c r="M282" s="27"/>
      <c r="N282" s="27"/>
      <c r="O282" s="27"/>
      <c r="P282" s="27"/>
      <c r="Q282" s="27"/>
      <c r="R282" s="27"/>
      <c r="S282" s="27"/>
      <c r="T282" s="27"/>
      <c r="U282" s="27"/>
      <c r="V282" s="25"/>
      <c r="W282" s="31" t="e">
        <f>INDEX(TBL_PIPED_IMPORTERS_CONNECTIONS[PipedImporterConnectionID],$A282)</f>
        <v>#REF!</v>
      </c>
      <c r="X282" s="31" t="e">
        <f>"PipedImporterCapMin_"&amp;RIGHT($W282,11)</f>
        <v>#REF!</v>
      </c>
    </row>
    <row r="283" spans="1:24" x14ac:dyDescent="0.25">
      <c r="A283" s="94">
        <f t="shared" ref="A283:A285" si="374">$A282</f>
        <v>70</v>
      </c>
      <c r="B283" s="116"/>
      <c r="C283" s="93" t="str">
        <f t="shared" ref="C283:D283" si="375">IF($B282&lt;&gt;"",C279,"")</f>
        <v/>
      </c>
      <c r="D283" s="93" t="str">
        <f t="shared" si="375"/>
        <v/>
      </c>
      <c r="E283" s="28"/>
      <c r="F283" s="28"/>
      <c r="G283" s="28"/>
      <c r="H283" s="28"/>
      <c r="I283" s="28"/>
      <c r="J283" s="28"/>
      <c r="K283" s="28"/>
      <c r="L283" s="28"/>
      <c r="M283" s="28"/>
      <c r="N283" s="28"/>
      <c r="O283" s="28"/>
      <c r="P283" s="28"/>
      <c r="Q283" s="28"/>
      <c r="R283" s="28"/>
      <c r="S283" s="28"/>
      <c r="T283" s="28"/>
      <c r="U283" s="28"/>
      <c r="V283" s="26"/>
      <c r="W283" s="31" t="e">
        <f>INDEX(TBL_PIPED_IMPORTERS_CONNECTIONS[PipedImporterConnectionID],$A283)</f>
        <v>#REF!</v>
      </c>
      <c r="X283" s="31" t="e">
        <f>"PipedImporterCapMax_"&amp;RIGHT($W283,11)</f>
        <v>#REF!</v>
      </c>
    </row>
    <row r="284" spans="1:24" x14ac:dyDescent="0.25">
      <c r="A284" s="94">
        <f t="shared" si="374"/>
        <v>70</v>
      </c>
      <c r="B284" s="116"/>
      <c r="C284" s="93" t="str">
        <f t="shared" ref="C284:D284" si="376">IF($B282&lt;&gt;"",C280,"")</f>
        <v/>
      </c>
      <c r="D284" s="93" t="str">
        <f t="shared" si="376"/>
        <v/>
      </c>
      <c r="E284" s="27"/>
      <c r="F284" s="27"/>
      <c r="G284" s="27"/>
      <c r="H284" s="27"/>
      <c r="I284" s="27"/>
      <c r="J284" s="27"/>
      <c r="K284" s="27"/>
      <c r="L284" s="27"/>
      <c r="M284" s="27"/>
      <c r="N284" s="27"/>
      <c r="O284" s="27"/>
      <c r="P284" s="27"/>
      <c r="Q284" s="27"/>
      <c r="R284" s="27"/>
      <c r="S284" s="27"/>
      <c r="T284" s="27"/>
      <c r="U284" s="27"/>
      <c r="V284" s="25"/>
      <c r="W284" s="31" t="e">
        <f>INDEX(TBL_PIPED_IMPORTERS_CONNECTIONS[PipedImporterConnectionID],$A284)</f>
        <v>#REF!</v>
      </c>
      <c r="X284" s="31" t="e">
        <f>"PipedImporterTariffFixed_"&amp;RIGHT($W284,11)</f>
        <v>#REF!</v>
      </c>
    </row>
    <row r="285" spans="1:24" x14ac:dyDescent="0.25">
      <c r="A285" s="94">
        <f t="shared" si="374"/>
        <v>70</v>
      </c>
      <c r="B285" s="117"/>
      <c r="C285" s="93" t="str">
        <f t="shared" ref="C285:D285" si="377">IF($B282&lt;&gt;"",C281,"")</f>
        <v/>
      </c>
      <c r="D285" s="93" t="str">
        <f t="shared" si="377"/>
        <v/>
      </c>
      <c r="E285" s="28"/>
      <c r="F285" s="28"/>
      <c r="G285" s="28"/>
      <c r="H285" s="28"/>
      <c r="I285" s="28"/>
      <c r="J285" s="28"/>
      <c r="K285" s="28"/>
      <c r="L285" s="28"/>
      <c r="M285" s="28"/>
      <c r="N285" s="28"/>
      <c r="O285" s="28"/>
      <c r="P285" s="28"/>
      <c r="Q285" s="28"/>
      <c r="R285" s="28"/>
      <c r="S285" s="28"/>
      <c r="T285" s="28"/>
      <c r="U285" s="28"/>
      <c r="V285" s="26"/>
      <c r="W285" s="31" t="e">
        <f>INDEX(TBL_PIPED_IMPORTERS_CONNECTIONS[PipedImporterConnectionID],$A285)</f>
        <v>#REF!</v>
      </c>
      <c r="X285" s="31" t="e">
        <f>"PipedImporterTariffVar_"&amp;RIGHT($W285,11)</f>
        <v>#REF!</v>
      </c>
    </row>
    <row r="286" spans="1:24" x14ac:dyDescent="0.25">
      <c r="A286" s="94">
        <f t="shared" ref="A286" si="378">$A282+1</f>
        <v>71</v>
      </c>
      <c r="B286" s="115" t="str">
        <f>IFERROR(INDEX(TBL_PIPED_IMPORTERS_CONNECTIONS[Name],$A286),"")</f>
        <v/>
      </c>
      <c r="C286" s="93" t="str">
        <f t="shared" ref="C286:D286" si="379">IF($B286&lt;&gt;"",C282,"")</f>
        <v/>
      </c>
      <c r="D286" s="93" t="str">
        <f t="shared" si="379"/>
        <v/>
      </c>
      <c r="E286" s="27"/>
      <c r="F286" s="27"/>
      <c r="G286" s="27"/>
      <c r="H286" s="27"/>
      <c r="I286" s="27"/>
      <c r="J286" s="27"/>
      <c r="K286" s="27"/>
      <c r="L286" s="27"/>
      <c r="M286" s="27"/>
      <c r="N286" s="27"/>
      <c r="O286" s="27"/>
      <c r="P286" s="27"/>
      <c r="Q286" s="27"/>
      <c r="R286" s="27"/>
      <c r="S286" s="27"/>
      <c r="T286" s="27"/>
      <c r="U286" s="27"/>
      <c r="V286" s="25"/>
      <c r="W286" s="31" t="e">
        <f>INDEX(TBL_PIPED_IMPORTERS_CONNECTIONS[PipedImporterConnectionID],$A286)</f>
        <v>#REF!</v>
      </c>
      <c r="X286" s="31" t="e">
        <f>"PipedImporterCapMin_"&amp;RIGHT($W286,11)</f>
        <v>#REF!</v>
      </c>
    </row>
    <row r="287" spans="1:24" x14ac:dyDescent="0.25">
      <c r="A287" s="94">
        <f t="shared" ref="A287:A289" si="380">$A286</f>
        <v>71</v>
      </c>
      <c r="B287" s="116"/>
      <c r="C287" s="93" t="str">
        <f t="shared" ref="C287:D287" si="381">IF($B286&lt;&gt;"",C283,"")</f>
        <v/>
      </c>
      <c r="D287" s="93" t="str">
        <f t="shared" si="381"/>
        <v/>
      </c>
      <c r="E287" s="28"/>
      <c r="F287" s="28"/>
      <c r="G287" s="28"/>
      <c r="H287" s="28"/>
      <c r="I287" s="28"/>
      <c r="J287" s="28"/>
      <c r="K287" s="28"/>
      <c r="L287" s="28"/>
      <c r="M287" s="28"/>
      <c r="N287" s="28"/>
      <c r="O287" s="28"/>
      <c r="P287" s="28"/>
      <c r="Q287" s="28"/>
      <c r="R287" s="28"/>
      <c r="S287" s="28"/>
      <c r="T287" s="28"/>
      <c r="U287" s="28"/>
      <c r="V287" s="26"/>
      <c r="W287" s="31" t="e">
        <f>INDEX(TBL_PIPED_IMPORTERS_CONNECTIONS[PipedImporterConnectionID],$A287)</f>
        <v>#REF!</v>
      </c>
      <c r="X287" s="31" t="e">
        <f>"PipedImporterCapMax_"&amp;RIGHT($W287,11)</f>
        <v>#REF!</v>
      </c>
    </row>
    <row r="288" spans="1:24" x14ac:dyDescent="0.25">
      <c r="A288" s="94">
        <f t="shared" si="380"/>
        <v>71</v>
      </c>
      <c r="B288" s="116"/>
      <c r="C288" s="93" t="str">
        <f t="shared" ref="C288:D288" si="382">IF($B286&lt;&gt;"",C284,"")</f>
        <v/>
      </c>
      <c r="D288" s="93" t="str">
        <f t="shared" si="382"/>
        <v/>
      </c>
      <c r="E288" s="27"/>
      <c r="F288" s="27"/>
      <c r="G288" s="27"/>
      <c r="H288" s="27"/>
      <c r="I288" s="27"/>
      <c r="J288" s="27"/>
      <c r="K288" s="27"/>
      <c r="L288" s="27"/>
      <c r="M288" s="27"/>
      <c r="N288" s="27"/>
      <c r="O288" s="27"/>
      <c r="P288" s="27"/>
      <c r="Q288" s="27"/>
      <c r="R288" s="27"/>
      <c r="S288" s="27"/>
      <c r="T288" s="27"/>
      <c r="U288" s="27"/>
      <c r="V288" s="25"/>
      <c r="W288" s="31" t="e">
        <f>INDEX(TBL_PIPED_IMPORTERS_CONNECTIONS[PipedImporterConnectionID],$A288)</f>
        <v>#REF!</v>
      </c>
      <c r="X288" s="31" t="e">
        <f>"PipedImporterTariffFixed_"&amp;RIGHT($W288,11)</f>
        <v>#REF!</v>
      </c>
    </row>
    <row r="289" spans="1:24" x14ac:dyDescent="0.25">
      <c r="A289" s="94">
        <f t="shared" si="380"/>
        <v>71</v>
      </c>
      <c r="B289" s="117"/>
      <c r="C289" s="93" t="str">
        <f t="shared" ref="C289:D289" si="383">IF($B286&lt;&gt;"",C285,"")</f>
        <v/>
      </c>
      <c r="D289" s="93" t="str">
        <f t="shared" si="383"/>
        <v/>
      </c>
      <c r="E289" s="28"/>
      <c r="F289" s="28"/>
      <c r="G289" s="28"/>
      <c r="H289" s="28"/>
      <c r="I289" s="28"/>
      <c r="J289" s="28"/>
      <c r="K289" s="28"/>
      <c r="L289" s="28"/>
      <c r="M289" s="28"/>
      <c r="N289" s="28"/>
      <c r="O289" s="28"/>
      <c r="P289" s="28"/>
      <c r="Q289" s="28"/>
      <c r="R289" s="28"/>
      <c r="S289" s="28"/>
      <c r="T289" s="28"/>
      <c r="U289" s="28"/>
      <c r="V289" s="26"/>
      <c r="W289" s="31" t="e">
        <f>INDEX(TBL_PIPED_IMPORTERS_CONNECTIONS[PipedImporterConnectionID],$A289)</f>
        <v>#REF!</v>
      </c>
      <c r="X289" s="31" t="e">
        <f>"PipedImporterTariffVar_"&amp;RIGHT($W289,11)</f>
        <v>#REF!</v>
      </c>
    </row>
    <row r="290" spans="1:24" x14ac:dyDescent="0.25">
      <c r="A290" s="94">
        <f t="shared" ref="A290" si="384">$A286+1</f>
        <v>72</v>
      </c>
      <c r="B290" s="115" t="str">
        <f>IFERROR(INDEX(TBL_PIPED_IMPORTERS_CONNECTIONS[Name],$A290),"")</f>
        <v/>
      </c>
      <c r="C290" s="93" t="str">
        <f t="shared" ref="C290:D290" si="385">IF($B290&lt;&gt;"",C286,"")</f>
        <v/>
      </c>
      <c r="D290" s="93" t="str">
        <f t="shared" si="385"/>
        <v/>
      </c>
      <c r="E290" s="27"/>
      <c r="F290" s="27"/>
      <c r="G290" s="27"/>
      <c r="H290" s="27"/>
      <c r="I290" s="27"/>
      <c r="J290" s="27"/>
      <c r="K290" s="27"/>
      <c r="L290" s="27"/>
      <c r="M290" s="27"/>
      <c r="N290" s="27"/>
      <c r="O290" s="27"/>
      <c r="P290" s="27"/>
      <c r="Q290" s="27"/>
      <c r="R290" s="27"/>
      <c r="S290" s="27"/>
      <c r="T290" s="27"/>
      <c r="U290" s="27"/>
      <c r="V290" s="25"/>
      <c r="W290" s="31" t="e">
        <f>INDEX(TBL_PIPED_IMPORTERS_CONNECTIONS[PipedImporterConnectionID],$A290)</f>
        <v>#REF!</v>
      </c>
      <c r="X290" s="31" t="e">
        <f>"PipedImporterCapMin_"&amp;RIGHT($W290,11)</f>
        <v>#REF!</v>
      </c>
    </row>
    <row r="291" spans="1:24" x14ac:dyDescent="0.25">
      <c r="A291" s="94">
        <f t="shared" ref="A291:A309" si="386">$A290</f>
        <v>72</v>
      </c>
      <c r="B291" s="116"/>
      <c r="C291" s="93" t="str">
        <f t="shared" ref="C291:D291" si="387">IF($B290&lt;&gt;"",C287,"")</f>
        <v/>
      </c>
      <c r="D291" s="93" t="str">
        <f t="shared" si="387"/>
        <v/>
      </c>
      <c r="E291" s="28"/>
      <c r="F291" s="28"/>
      <c r="G291" s="28"/>
      <c r="H291" s="28"/>
      <c r="I291" s="28"/>
      <c r="J291" s="28"/>
      <c r="K291" s="28"/>
      <c r="L291" s="28"/>
      <c r="M291" s="28"/>
      <c r="N291" s="28"/>
      <c r="O291" s="28"/>
      <c r="P291" s="28"/>
      <c r="Q291" s="28"/>
      <c r="R291" s="28"/>
      <c r="S291" s="28"/>
      <c r="T291" s="28"/>
      <c r="U291" s="28"/>
      <c r="V291" s="26"/>
      <c r="W291" s="31" t="e">
        <f>INDEX(TBL_PIPED_IMPORTERS_CONNECTIONS[PipedImporterConnectionID],$A291)</f>
        <v>#REF!</v>
      </c>
      <c r="X291" s="31" t="e">
        <f>"PipedImporterCapMax_"&amp;RIGHT($W291,11)</f>
        <v>#REF!</v>
      </c>
    </row>
    <row r="292" spans="1:24" x14ac:dyDescent="0.25">
      <c r="A292" s="94">
        <f t="shared" si="386"/>
        <v>72</v>
      </c>
      <c r="B292" s="116"/>
      <c r="C292" s="93" t="str">
        <f t="shared" ref="C292:D292" si="388">IF($B290&lt;&gt;"",C288,"")</f>
        <v/>
      </c>
      <c r="D292" s="93" t="str">
        <f t="shared" si="388"/>
        <v/>
      </c>
      <c r="E292" s="27"/>
      <c r="F292" s="27"/>
      <c r="G292" s="27"/>
      <c r="H292" s="27"/>
      <c r="I292" s="27"/>
      <c r="J292" s="27"/>
      <c r="K292" s="27"/>
      <c r="L292" s="27"/>
      <c r="M292" s="27"/>
      <c r="N292" s="27"/>
      <c r="O292" s="27"/>
      <c r="P292" s="27"/>
      <c r="Q292" s="27"/>
      <c r="R292" s="27"/>
      <c r="S292" s="27"/>
      <c r="T292" s="27"/>
      <c r="U292" s="27"/>
      <c r="V292" s="25"/>
      <c r="W292" s="31" t="e">
        <f>INDEX(TBL_PIPED_IMPORTERS_CONNECTIONS[PipedImporterConnectionID],$A292)</f>
        <v>#REF!</v>
      </c>
      <c r="X292" s="31" t="e">
        <f>"PipedImporterTariffFixed_"&amp;RIGHT($W292,11)</f>
        <v>#REF!</v>
      </c>
    </row>
    <row r="293" spans="1:24" x14ac:dyDescent="0.25">
      <c r="A293" s="94">
        <f t="shared" si="386"/>
        <v>72</v>
      </c>
      <c r="B293" s="117"/>
      <c r="C293" s="93" t="str">
        <f t="shared" ref="C293:D293" si="389">IF($B290&lt;&gt;"",C289,"")</f>
        <v/>
      </c>
      <c r="D293" s="93" t="str">
        <f t="shared" si="389"/>
        <v/>
      </c>
      <c r="E293" s="28"/>
      <c r="F293" s="28"/>
      <c r="G293" s="28"/>
      <c r="H293" s="28"/>
      <c r="I293" s="28"/>
      <c r="J293" s="28"/>
      <c r="K293" s="28"/>
      <c r="L293" s="28"/>
      <c r="M293" s="28"/>
      <c r="N293" s="28"/>
      <c r="O293" s="28"/>
      <c r="P293" s="28"/>
      <c r="Q293" s="28"/>
      <c r="R293" s="28"/>
      <c r="S293" s="28"/>
      <c r="T293" s="28"/>
      <c r="U293" s="28"/>
      <c r="V293" s="26"/>
      <c r="W293" s="31" t="e">
        <f>INDEX(TBL_PIPED_IMPORTERS_CONNECTIONS[PipedImporterConnectionID],$A293)</f>
        <v>#REF!</v>
      </c>
      <c r="X293" s="31" t="e">
        <f>"PipedImporterTariffVar_"&amp;RIGHT($W293,11)</f>
        <v>#REF!</v>
      </c>
    </row>
    <row r="294" spans="1:24" x14ac:dyDescent="0.25">
      <c r="A294" s="94">
        <f t="shared" ref="A294" si="390">$A290+1</f>
        <v>73</v>
      </c>
      <c r="B294" s="115" t="str">
        <f>IFERROR(INDEX(TBL_PIPED_IMPORTERS_CONNECTIONS[Name],$A294),"")</f>
        <v/>
      </c>
      <c r="C294" s="93" t="str">
        <f t="shared" ref="C294:D294" si="391">IF($B294&lt;&gt;"",C290,"")</f>
        <v/>
      </c>
      <c r="D294" s="93" t="str">
        <f t="shared" si="391"/>
        <v/>
      </c>
      <c r="E294" s="27"/>
      <c r="F294" s="27"/>
      <c r="G294" s="27"/>
      <c r="H294" s="27"/>
      <c r="I294" s="27"/>
      <c r="J294" s="27"/>
      <c r="K294" s="27"/>
      <c r="L294" s="27"/>
      <c r="M294" s="27"/>
      <c r="N294" s="27"/>
      <c r="O294" s="27"/>
      <c r="P294" s="27"/>
      <c r="Q294" s="27"/>
      <c r="R294" s="27"/>
      <c r="S294" s="27"/>
      <c r="T294" s="27"/>
      <c r="U294" s="27"/>
      <c r="V294" s="25"/>
      <c r="W294" s="31" t="e">
        <f>INDEX(TBL_PIPED_IMPORTERS_CONNECTIONS[PipedImporterConnectionID],$A294)</f>
        <v>#REF!</v>
      </c>
      <c r="X294" s="31" t="e">
        <f>"PipedImporterCapMin_"&amp;RIGHT($W294,11)</f>
        <v>#REF!</v>
      </c>
    </row>
    <row r="295" spans="1:24" x14ac:dyDescent="0.25">
      <c r="A295" s="94">
        <f t="shared" si="386"/>
        <v>73</v>
      </c>
      <c r="B295" s="116"/>
      <c r="C295" s="93" t="str">
        <f t="shared" ref="C295:D295" si="392">IF($B294&lt;&gt;"",C291,"")</f>
        <v/>
      </c>
      <c r="D295" s="93" t="str">
        <f t="shared" si="392"/>
        <v/>
      </c>
      <c r="E295" s="28"/>
      <c r="F295" s="28"/>
      <c r="G295" s="28"/>
      <c r="H295" s="28"/>
      <c r="I295" s="28"/>
      <c r="J295" s="28"/>
      <c r="K295" s="28"/>
      <c r="L295" s="28"/>
      <c r="M295" s="28"/>
      <c r="N295" s="28"/>
      <c r="O295" s="28"/>
      <c r="P295" s="28"/>
      <c r="Q295" s="28"/>
      <c r="R295" s="28"/>
      <c r="S295" s="28"/>
      <c r="T295" s="28"/>
      <c r="U295" s="28"/>
      <c r="V295" s="26"/>
      <c r="W295" s="31" t="e">
        <f>INDEX(TBL_PIPED_IMPORTERS_CONNECTIONS[PipedImporterConnectionID],$A295)</f>
        <v>#REF!</v>
      </c>
      <c r="X295" s="31" t="e">
        <f>"PipedImporterCapMax_"&amp;RIGHT($W295,11)</f>
        <v>#REF!</v>
      </c>
    </row>
    <row r="296" spans="1:24" x14ac:dyDescent="0.25">
      <c r="A296" s="94">
        <f t="shared" si="386"/>
        <v>73</v>
      </c>
      <c r="B296" s="116"/>
      <c r="C296" s="93" t="str">
        <f t="shared" ref="C296:D296" si="393">IF($B294&lt;&gt;"",C292,"")</f>
        <v/>
      </c>
      <c r="D296" s="93" t="str">
        <f t="shared" si="393"/>
        <v/>
      </c>
      <c r="E296" s="27"/>
      <c r="F296" s="27"/>
      <c r="G296" s="27"/>
      <c r="H296" s="27"/>
      <c r="I296" s="27"/>
      <c r="J296" s="27"/>
      <c r="K296" s="27"/>
      <c r="L296" s="27"/>
      <c r="M296" s="27"/>
      <c r="N296" s="27"/>
      <c r="O296" s="27"/>
      <c r="P296" s="27"/>
      <c r="Q296" s="27"/>
      <c r="R296" s="27"/>
      <c r="S296" s="27"/>
      <c r="T296" s="27"/>
      <c r="U296" s="27"/>
      <c r="V296" s="25"/>
      <c r="W296" s="31" t="e">
        <f>INDEX(TBL_PIPED_IMPORTERS_CONNECTIONS[PipedImporterConnectionID],$A296)</f>
        <v>#REF!</v>
      </c>
      <c r="X296" s="31" t="e">
        <f>"PipedImporterTariffFixed_"&amp;RIGHT($W296,11)</f>
        <v>#REF!</v>
      </c>
    </row>
    <row r="297" spans="1:24" x14ac:dyDescent="0.25">
      <c r="A297" s="94">
        <f t="shared" si="386"/>
        <v>73</v>
      </c>
      <c r="B297" s="117"/>
      <c r="C297" s="93" t="str">
        <f t="shared" ref="C297:D297" si="394">IF($B294&lt;&gt;"",C293,"")</f>
        <v/>
      </c>
      <c r="D297" s="93" t="str">
        <f t="shared" si="394"/>
        <v/>
      </c>
      <c r="E297" s="28"/>
      <c r="F297" s="28"/>
      <c r="G297" s="28"/>
      <c r="H297" s="28"/>
      <c r="I297" s="28"/>
      <c r="J297" s="28"/>
      <c r="K297" s="28"/>
      <c r="L297" s="28"/>
      <c r="M297" s="28"/>
      <c r="N297" s="28"/>
      <c r="O297" s="28"/>
      <c r="P297" s="28"/>
      <c r="Q297" s="28"/>
      <c r="R297" s="28"/>
      <c r="S297" s="28"/>
      <c r="T297" s="28"/>
      <c r="U297" s="28"/>
      <c r="V297" s="26"/>
      <c r="W297" s="31" t="e">
        <f>INDEX(TBL_PIPED_IMPORTERS_CONNECTIONS[PipedImporterConnectionID],$A297)</f>
        <v>#REF!</v>
      </c>
      <c r="X297" s="31" t="e">
        <f>"PipedImporterTariffVar_"&amp;RIGHT($W297,11)</f>
        <v>#REF!</v>
      </c>
    </row>
    <row r="298" spans="1:24" x14ac:dyDescent="0.25">
      <c r="A298" s="94">
        <f t="shared" ref="A298" si="395">$A294+1</f>
        <v>74</v>
      </c>
      <c r="B298" s="115" t="str">
        <f>IFERROR(INDEX(TBL_PIPED_IMPORTERS_CONNECTIONS[Name],$A298),"")</f>
        <v/>
      </c>
      <c r="C298" s="93" t="str">
        <f t="shared" ref="C298:D298" si="396">IF($B298&lt;&gt;"",C294,"")</f>
        <v/>
      </c>
      <c r="D298" s="93" t="str">
        <f t="shared" si="396"/>
        <v/>
      </c>
      <c r="E298" s="27"/>
      <c r="F298" s="27"/>
      <c r="G298" s="27"/>
      <c r="H298" s="27"/>
      <c r="I298" s="27"/>
      <c r="J298" s="27"/>
      <c r="K298" s="27"/>
      <c r="L298" s="27"/>
      <c r="M298" s="27"/>
      <c r="N298" s="27"/>
      <c r="O298" s="27"/>
      <c r="P298" s="27"/>
      <c r="Q298" s="27"/>
      <c r="R298" s="27"/>
      <c r="S298" s="27"/>
      <c r="T298" s="27"/>
      <c r="U298" s="27"/>
      <c r="V298" s="25"/>
      <c r="W298" s="31" t="e">
        <f>INDEX(TBL_PIPED_IMPORTERS_CONNECTIONS[PipedImporterConnectionID],$A298)</f>
        <v>#REF!</v>
      </c>
      <c r="X298" s="31" t="e">
        <f>"PipedImporterCapMin_"&amp;RIGHT($W298,11)</f>
        <v>#REF!</v>
      </c>
    </row>
    <row r="299" spans="1:24" x14ac:dyDescent="0.25">
      <c r="A299" s="94">
        <f t="shared" si="386"/>
        <v>74</v>
      </c>
      <c r="B299" s="116"/>
      <c r="C299" s="93" t="str">
        <f t="shared" ref="C299:D299" si="397">IF($B298&lt;&gt;"",C295,"")</f>
        <v/>
      </c>
      <c r="D299" s="93" t="str">
        <f t="shared" si="397"/>
        <v/>
      </c>
      <c r="E299" s="28"/>
      <c r="F299" s="28"/>
      <c r="G299" s="28"/>
      <c r="H299" s="28"/>
      <c r="I299" s="28"/>
      <c r="J299" s="28"/>
      <c r="K299" s="28"/>
      <c r="L299" s="28"/>
      <c r="M299" s="28"/>
      <c r="N299" s="28"/>
      <c r="O299" s="28"/>
      <c r="P299" s="28"/>
      <c r="Q299" s="28"/>
      <c r="R299" s="28"/>
      <c r="S299" s="28"/>
      <c r="T299" s="28"/>
      <c r="U299" s="28"/>
      <c r="V299" s="26"/>
      <c r="W299" s="31" t="e">
        <f>INDEX(TBL_PIPED_IMPORTERS_CONNECTIONS[PipedImporterConnectionID],$A299)</f>
        <v>#REF!</v>
      </c>
      <c r="X299" s="31" t="e">
        <f>"PipedImporterCapMax_"&amp;RIGHT($W299,11)</f>
        <v>#REF!</v>
      </c>
    </row>
    <row r="300" spans="1:24" x14ac:dyDescent="0.25">
      <c r="A300" s="94">
        <f t="shared" si="386"/>
        <v>74</v>
      </c>
      <c r="B300" s="116"/>
      <c r="C300" s="93" t="str">
        <f t="shared" ref="C300:D300" si="398">IF($B298&lt;&gt;"",C296,"")</f>
        <v/>
      </c>
      <c r="D300" s="93" t="str">
        <f t="shared" si="398"/>
        <v/>
      </c>
      <c r="E300" s="27"/>
      <c r="F300" s="27"/>
      <c r="G300" s="27"/>
      <c r="H300" s="27"/>
      <c r="I300" s="27"/>
      <c r="J300" s="27"/>
      <c r="K300" s="27"/>
      <c r="L300" s="27"/>
      <c r="M300" s="27"/>
      <c r="N300" s="27"/>
      <c r="O300" s="27"/>
      <c r="P300" s="27"/>
      <c r="Q300" s="27"/>
      <c r="R300" s="27"/>
      <c r="S300" s="27"/>
      <c r="T300" s="27"/>
      <c r="U300" s="27"/>
      <c r="V300" s="25"/>
      <c r="W300" s="31" t="e">
        <f>INDEX(TBL_PIPED_IMPORTERS_CONNECTIONS[PipedImporterConnectionID],$A300)</f>
        <v>#REF!</v>
      </c>
      <c r="X300" s="31" t="e">
        <f>"PipedImporterTariffFixed_"&amp;RIGHT($W300,11)</f>
        <v>#REF!</v>
      </c>
    </row>
    <row r="301" spans="1:24" x14ac:dyDescent="0.25">
      <c r="A301" s="94">
        <f t="shared" si="386"/>
        <v>74</v>
      </c>
      <c r="B301" s="117"/>
      <c r="C301" s="93" t="str">
        <f t="shared" ref="C301:D301" si="399">IF($B298&lt;&gt;"",C297,"")</f>
        <v/>
      </c>
      <c r="D301" s="93" t="str">
        <f t="shared" si="399"/>
        <v/>
      </c>
      <c r="E301" s="28"/>
      <c r="F301" s="28"/>
      <c r="G301" s="28"/>
      <c r="H301" s="28"/>
      <c r="I301" s="28"/>
      <c r="J301" s="28"/>
      <c r="K301" s="28"/>
      <c r="L301" s="28"/>
      <c r="M301" s="28"/>
      <c r="N301" s="28"/>
      <c r="O301" s="28"/>
      <c r="P301" s="28"/>
      <c r="Q301" s="28"/>
      <c r="R301" s="28"/>
      <c r="S301" s="28"/>
      <c r="T301" s="28"/>
      <c r="U301" s="28"/>
      <c r="V301" s="26"/>
      <c r="W301" s="31" t="e">
        <f>INDEX(TBL_PIPED_IMPORTERS_CONNECTIONS[PipedImporterConnectionID],$A301)</f>
        <v>#REF!</v>
      </c>
      <c r="X301" s="31" t="e">
        <f>"PipedImporterTariffVar_"&amp;RIGHT($W301,11)</f>
        <v>#REF!</v>
      </c>
    </row>
    <row r="302" spans="1:24" x14ac:dyDescent="0.25">
      <c r="A302" s="94">
        <f t="shared" ref="A302" si="400">$A298+1</f>
        <v>75</v>
      </c>
      <c r="B302" s="115" t="str">
        <f>IFERROR(INDEX(TBL_PIPED_IMPORTERS_CONNECTIONS[Name],$A302),"")</f>
        <v/>
      </c>
      <c r="C302" s="93" t="str">
        <f t="shared" ref="C302:D302" si="401">IF($B302&lt;&gt;"",C298,"")</f>
        <v/>
      </c>
      <c r="D302" s="93" t="str">
        <f t="shared" si="401"/>
        <v/>
      </c>
      <c r="E302" s="27"/>
      <c r="F302" s="27"/>
      <c r="G302" s="27"/>
      <c r="H302" s="27"/>
      <c r="I302" s="27"/>
      <c r="J302" s="27"/>
      <c r="K302" s="27"/>
      <c r="L302" s="27"/>
      <c r="M302" s="27"/>
      <c r="N302" s="27"/>
      <c r="O302" s="27"/>
      <c r="P302" s="27"/>
      <c r="Q302" s="27"/>
      <c r="R302" s="27"/>
      <c r="S302" s="27"/>
      <c r="T302" s="27"/>
      <c r="U302" s="27"/>
      <c r="V302" s="25"/>
      <c r="W302" s="31" t="e">
        <f>INDEX(TBL_PIPED_IMPORTERS_CONNECTIONS[PipedImporterConnectionID],$A302)</f>
        <v>#REF!</v>
      </c>
      <c r="X302" s="31" t="e">
        <f>"PipedImporterCapMin_"&amp;RIGHT($W302,11)</f>
        <v>#REF!</v>
      </c>
    </row>
    <row r="303" spans="1:24" x14ac:dyDescent="0.25">
      <c r="A303" s="94">
        <f t="shared" si="386"/>
        <v>75</v>
      </c>
      <c r="B303" s="116"/>
      <c r="C303" s="93" t="str">
        <f t="shared" ref="C303:D303" si="402">IF($B302&lt;&gt;"",C299,"")</f>
        <v/>
      </c>
      <c r="D303" s="93" t="str">
        <f t="shared" si="402"/>
        <v/>
      </c>
      <c r="E303" s="28"/>
      <c r="F303" s="28"/>
      <c r="G303" s="28"/>
      <c r="H303" s="28"/>
      <c r="I303" s="28"/>
      <c r="J303" s="28"/>
      <c r="K303" s="28"/>
      <c r="L303" s="28"/>
      <c r="M303" s="28"/>
      <c r="N303" s="28"/>
      <c r="O303" s="28"/>
      <c r="P303" s="28"/>
      <c r="Q303" s="28"/>
      <c r="R303" s="28"/>
      <c r="S303" s="28"/>
      <c r="T303" s="28"/>
      <c r="U303" s="28"/>
      <c r="V303" s="26"/>
      <c r="W303" s="31" t="e">
        <f>INDEX(TBL_PIPED_IMPORTERS_CONNECTIONS[PipedImporterConnectionID],$A303)</f>
        <v>#REF!</v>
      </c>
      <c r="X303" s="31" t="e">
        <f>"PipedImporterCapMax_"&amp;RIGHT($W303,11)</f>
        <v>#REF!</v>
      </c>
    </row>
    <row r="304" spans="1:24" x14ac:dyDescent="0.25">
      <c r="A304" s="94">
        <f t="shared" si="386"/>
        <v>75</v>
      </c>
      <c r="B304" s="116"/>
      <c r="C304" s="93" t="str">
        <f t="shared" ref="C304:D304" si="403">IF($B302&lt;&gt;"",C300,"")</f>
        <v/>
      </c>
      <c r="D304" s="93" t="str">
        <f t="shared" si="403"/>
        <v/>
      </c>
      <c r="E304" s="27"/>
      <c r="F304" s="27"/>
      <c r="G304" s="27"/>
      <c r="H304" s="27"/>
      <c r="I304" s="27"/>
      <c r="J304" s="27"/>
      <c r="K304" s="27"/>
      <c r="L304" s="27"/>
      <c r="M304" s="27"/>
      <c r="N304" s="27"/>
      <c r="O304" s="27"/>
      <c r="P304" s="27"/>
      <c r="Q304" s="27"/>
      <c r="R304" s="27"/>
      <c r="S304" s="27"/>
      <c r="T304" s="27"/>
      <c r="U304" s="27"/>
      <c r="V304" s="25"/>
      <c r="W304" s="31" t="e">
        <f>INDEX(TBL_PIPED_IMPORTERS_CONNECTIONS[PipedImporterConnectionID],$A304)</f>
        <v>#REF!</v>
      </c>
      <c r="X304" s="31" t="e">
        <f>"PipedImporterTariffFixed_"&amp;RIGHT($W304,11)</f>
        <v>#REF!</v>
      </c>
    </row>
    <row r="305" spans="1:24" x14ac:dyDescent="0.25">
      <c r="A305" s="94">
        <f t="shared" si="386"/>
        <v>75</v>
      </c>
      <c r="B305" s="117"/>
      <c r="C305" s="93" t="str">
        <f t="shared" ref="C305:D305" si="404">IF($B302&lt;&gt;"",C301,"")</f>
        <v/>
      </c>
      <c r="D305" s="93" t="str">
        <f t="shared" si="404"/>
        <v/>
      </c>
      <c r="E305" s="28"/>
      <c r="F305" s="28"/>
      <c r="G305" s="28"/>
      <c r="H305" s="28"/>
      <c r="I305" s="28"/>
      <c r="J305" s="28"/>
      <c r="K305" s="28"/>
      <c r="L305" s="28"/>
      <c r="M305" s="28"/>
      <c r="N305" s="28"/>
      <c r="O305" s="28"/>
      <c r="P305" s="28"/>
      <c r="Q305" s="28"/>
      <c r="R305" s="28"/>
      <c r="S305" s="28"/>
      <c r="T305" s="28"/>
      <c r="U305" s="28"/>
      <c r="V305" s="26"/>
      <c r="W305" s="31" t="e">
        <f>INDEX(TBL_PIPED_IMPORTERS_CONNECTIONS[PipedImporterConnectionID],$A305)</f>
        <v>#REF!</v>
      </c>
      <c r="X305" s="31" t="e">
        <f>"PipedImporterTariffVar_"&amp;RIGHT($W305,11)</f>
        <v>#REF!</v>
      </c>
    </row>
    <row r="306" spans="1:24" x14ac:dyDescent="0.25">
      <c r="A306" s="94">
        <f t="shared" ref="A306" si="405">$A302+1</f>
        <v>76</v>
      </c>
      <c r="B306" s="115" t="str">
        <f>IFERROR(INDEX(TBL_PIPED_IMPORTERS_CONNECTIONS[Name],$A306),"")</f>
        <v/>
      </c>
      <c r="C306" s="93" t="str">
        <f t="shared" ref="C306:D306" si="406">IF($B306&lt;&gt;"",C302,"")</f>
        <v/>
      </c>
      <c r="D306" s="93" t="str">
        <f t="shared" si="406"/>
        <v/>
      </c>
      <c r="E306" s="27"/>
      <c r="F306" s="27"/>
      <c r="G306" s="27"/>
      <c r="H306" s="27"/>
      <c r="I306" s="27"/>
      <c r="J306" s="27"/>
      <c r="K306" s="27"/>
      <c r="L306" s="27"/>
      <c r="M306" s="27"/>
      <c r="N306" s="27"/>
      <c r="O306" s="27"/>
      <c r="P306" s="27"/>
      <c r="Q306" s="27"/>
      <c r="R306" s="27"/>
      <c r="S306" s="27"/>
      <c r="T306" s="27"/>
      <c r="U306" s="27"/>
      <c r="V306" s="25"/>
      <c r="W306" s="31" t="e">
        <f>INDEX(TBL_PIPED_IMPORTERS_CONNECTIONS[PipedImporterConnectionID],$A306)</f>
        <v>#REF!</v>
      </c>
      <c r="X306" s="31" t="e">
        <f>"PipedImporterCapMin_"&amp;RIGHT($W306,11)</f>
        <v>#REF!</v>
      </c>
    </row>
    <row r="307" spans="1:24" x14ac:dyDescent="0.25">
      <c r="A307" s="94">
        <f t="shared" si="386"/>
        <v>76</v>
      </c>
      <c r="B307" s="116"/>
      <c r="C307" s="93" t="str">
        <f t="shared" ref="C307:D307" si="407">IF($B306&lt;&gt;"",C303,"")</f>
        <v/>
      </c>
      <c r="D307" s="93" t="str">
        <f t="shared" si="407"/>
        <v/>
      </c>
      <c r="E307" s="28"/>
      <c r="F307" s="28"/>
      <c r="G307" s="28"/>
      <c r="H307" s="28"/>
      <c r="I307" s="28"/>
      <c r="J307" s="28"/>
      <c r="K307" s="28"/>
      <c r="L307" s="28"/>
      <c r="M307" s="28"/>
      <c r="N307" s="28"/>
      <c r="O307" s="28"/>
      <c r="P307" s="28"/>
      <c r="Q307" s="28"/>
      <c r="R307" s="28"/>
      <c r="S307" s="28"/>
      <c r="T307" s="28"/>
      <c r="U307" s="28"/>
      <c r="V307" s="26"/>
      <c r="W307" s="31" t="e">
        <f>INDEX(TBL_PIPED_IMPORTERS_CONNECTIONS[PipedImporterConnectionID],$A307)</f>
        <v>#REF!</v>
      </c>
      <c r="X307" s="31" t="e">
        <f>"PipedImporterCapMax_"&amp;RIGHT($W307,11)</f>
        <v>#REF!</v>
      </c>
    </row>
    <row r="308" spans="1:24" x14ac:dyDescent="0.25">
      <c r="A308" s="94">
        <f t="shared" si="386"/>
        <v>76</v>
      </c>
      <c r="B308" s="116"/>
      <c r="C308" s="93" t="str">
        <f t="shared" ref="C308:D308" si="408">IF($B306&lt;&gt;"",C304,"")</f>
        <v/>
      </c>
      <c r="D308" s="93" t="str">
        <f t="shared" si="408"/>
        <v/>
      </c>
      <c r="E308" s="27"/>
      <c r="F308" s="27"/>
      <c r="G308" s="27"/>
      <c r="H308" s="27"/>
      <c r="I308" s="27"/>
      <c r="J308" s="27"/>
      <c r="K308" s="27"/>
      <c r="L308" s="27"/>
      <c r="M308" s="27"/>
      <c r="N308" s="27"/>
      <c r="O308" s="27"/>
      <c r="P308" s="27"/>
      <c r="Q308" s="27"/>
      <c r="R308" s="27"/>
      <c r="S308" s="27"/>
      <c r="T308" s="27"/>
      <c r="U308" s="27"/>
      <c r="V308" s="25"/>
      <c r="W308" s="31" t="e">
        <f>INDEX(TBL_PIPED_IMPORTERS_CONNECTIONS[PipedImporterConnectionID],$A308)</f>
        <v>#REF!</v>
      </c>
      <c r="X308" s="31" t="e">
        <f>"PipedImporterTariffFixed_"&amp;RIGHT($W308,11)</f>
        <v>#REF!</v>
      </c>
    </row>
    <row r="309" spans="1:24" x14ac:dyDescent="0.25">
      <c r="A309" s="94">
        <f t="shared" si="386"/>
        <v>76</v>
      </c>
      <c r="B309" s="117"/>
      <c r="C309" s="93" t="str">
        <f t="shared" ref="C309:D309" si="409">IF($B306&lt;&gt;"",C305,"")</f>
        <v/>
      </c>
      <c r="D309" s="93" t="str">
        <f t="shared" si="409"/>
        <v/>
      </c>
      <c r="E309" s="28"/>
      <c r="F309" s="28"/>
      <c r="G309" s="28"/>
      <c r="H309" s="28"/>
      <c r="I309" s="28"/>
      <c r="J309" s="28"/>
      <c r="K309" s="28"/>
      <c r="L309" s="28"/>
      <c r="M309" s="28"/>
      <c r="N309" s="28"/>
      <c r="O309" s="28"/>
      <c r="P309" s="28"/>
      <c r="Q309" s="28"/>
      <c r="R309" s="28"/>
      <c r="S309" s="28"/>
      <c r="T309" s="28"/>
      <c r="U309" s="28"/>
      <c r="V309" s="26"/>
      <c r="W309" s="31" t="e">
        <f>INDEX(TBL_PIPED_IMPORTERS_CONNECTIONS[PipedImporterConnectionID],$A309)</f>
        <v>#REF!</v>
      </c>
      <c r="X309" s="31" t="e">
        <f>"PipedImporterTariffVar_"&amp;RIGHT($W309,11)</f>
        <v>#REF!</v>
      </c>
    </row>
    <row r="310" spans="1:24" x14ac:dyDescent="0.25">
      <c r="A310" s="94">
        <f t="shared" ref="A310" si="410">$A306+1</f>
        <v>77</v>
      </c>
      <c r="B310" s="115" t="str">
        <f>IFERROR(INDEX(TBL_PIPED_IMPORTERS_CONNECTIONS[Name],$A310),"")</f>
        <v/>
      </c>
      <c r="C310" s="93" t="str">
        <f t="shared" ref="C310:D310" si="411">IF($B310&lt;&gt;"",C306,"")</f>
        <v/>
      </c>
      <c r="D310" s="93" t="str">
        <f t="shared" si="411"/>
        <v/>
      </c>
      <c r="E310" s="27"/>
      <c r="F310" s="27"/>
      <c r="G310" s="27"/>
      <c r="H310" s="27"/>
      <c r="I310" s="27"/>
      <c r="J310" s="27"/>
      <c r="K310" s="27"/>
      <c r="L310" s="27"/>
      <c r="M310" s="27"/>
      <c r="N310" s="27"/>
      <c r="O310" s="27"/>
      <c r="P310" s="27"/>
      <c r="Q310" s="27"/>
      <c r="R310" s="27"/>
      <c r="S310" s="27"/>
      <c r="T310" s="27"/>
      <c r="U310" s="27"/>
      <c r="V310" s="25"/>
      <c r="W310" s="31" t="e">
        <f>INDEX(TBL_PIPED_IMPORTERS_CONNECTIONS[PipedImporterConnectionID],$A310)</f>
        <v>#REF!</v>
      </c>
      <c r="X310" s="31" t="e">
        <f>"PipedImporterCapMin_"&amp;RIGHT($W310,11)</f>
        <v>#REF!</v>
      </c>
    </row>
    <row r="311" spans="1:24" x14ac:dyDescent="0.25">
      <c r="A311" s="94">
        <f t="shared" ref="A311:A313" si="412">$A310</f>
        <v>77</v>
      </c>
      <c r="B311" s="116"/>
      <c r="C311" s="93" t="str">
        <f t="shared" ref="C311:D311" si="413">IF($B310&lt;&gt;"",C307,"")</f>
        <v/>
      </c>
      <c r="D311" s="93" t="str">
        <f t="shared" si="413"/>
        <v/>
      </c>
      <c r="E311" s="28"/>
      <c r="F311" s="28"/>
      <c r="G311" s="28"/>
      <c r="H311" s="28"/>
      <c r="I311" s="28"/>
      <c r="J311" s="28"/>
      <c r="K311" s="28"/>
      <c r="L311" s="28"/>
      <c r="M311" s="28"/>
      <c r="N311" s="28"/>
      <c r="O311" s="28"/>
      <c r="P311" s="28"/>
      <c r="Q311" s="28"/>
      <c r="R311" s="28"/>
      <c r="S311" s="28"/>
      <c r="T311" s="28"/>
      <c r="U311" s="28"/>
      <c r="V311" s="26"/>
      <c r="W311" s="31" t="e">
        <f>INDEX(TBL_PIPED_IMPORTERS_CONNECTIONS[PipedImporterConnectionID],$A311)</f>
        <v>#REF!</v>
      </c>
      <c r="X311" s="31" t="e">
        <f>"PipedImporterCapMax_"&amp;RIGHT($W311,11)</f>
        <v>#REF!</v>
      </c>
    </row>
    <row r="312" spans="1:24" x14ac:dyDescent="0.25">
      <c r="A312" s="94">
        <f t="shared" si="412"/>
        <v>77</v>
      </c>
      <c r="B312" s="116"/>
      <c r="C312" s="93" t="str">
        <f t="shared" ref="C312:D312" si="414">IF($B310&lt;&gt;"",C308,"")</f>
        <v/>
      </c>
      <c r="D312" s="93" t="str">
        <f t="shared" si="414"/>
        <v/>
      </c>
      <c r="E312" s="27"/>
      <c r="F312" s="27"/>
      <c r="G312" s="27"/>
      <c r="H312" s="27"/>
      <c r="I312" s="27"/>
      <c r="J312" s="27"/>
      <c r="K312" s="27"/>
      <c r="L312" s="27"/>
      <c r="M312" s="27"/>
      <c r="N312" s="27"/>
      <c r="O312" s="27"/>
      <c r="P312" s="27"/>
      <c r="Q312" s="27"/>
      <c r="R312" s="27"/>
      <c r="S312" s="27"/>
      <c r="T312" s="27"/>
      <c r="U312" s="27"/>
      <c r="V312" s="25"/>
      <c r="W312" s="31" t="e">
        <f>INDEX(TBL_PIPED_IMPORTERS_CONNECTIONS[PipedImporterConnectionID],$A312)</f>
        <v>#REF!</v>
      </c>
      <c r="X312" s="31" t="e">
        <f>"PipedImporterTariffFixed_"&amp;RIGHT($W312,11)</f>
        <v>#REF!</v>
      </c>
    </row>
    <row r="313" spans="1:24" x14ac:dyDescent="0.25">
      <c r="A313" s="94">
        <f t="shared" si="412"/>
        <v>77</v>
      </c>
      <c r="B313" s="117"/>
      <c r="C313" s="93" t="str">
        <f t="shared" ref="C313:D313" si="415">IF($B310&lt;&gt;"",C309,"")</f>
        <v/>
      </c>
      <c r="D313" s="93" t="str">
        <f t="shared" si="415"/>
        <v/>
      </c>
      <c r="E313" s="28"/>
      <c r="F313" s="28"/>
      <c r="G313" s="28"/>
      <c r="H313" s="28"/>
      <c r="I313" s="28"/>
      <c r="J313" s="28"/>
      <c r="K313" s="28"/>
      <c r="L313" s="28"/>
      <c r="M313" s="28"/>
      <c r="N313" s="28"/>
      <c r="O313" s="28"/>
      <c r="P313" s="28"/>
      <c r="Q313" s="28"/>
      <c r="R313" s="28"/>
      <c r="S313" s="28"/>
      <c r="T313" s="28"/>
      <c r="U313" s="28"/>
      <c r="V313" s="26"/>
      <c r="W313" s="31" t="e">
        <f>INDEX(TBL_PIPED_IMPORTERS_CONNECTIONS[PipedImporterConnectionID],$A313)</f>
        <v>#REF!</v>
      </c>
      <c r="X313" s="31" t="e">
        <f>"PipedImporterTariffVar_"&amp;RIGHT($W313,11)</f>
        <v>#REF!</v>
      </c>
    </row>
    <row r="314" spans="1:24" x14ac:dyDescent="0.25">
      <c r="A314" s="94">
        <f t="shared" ref="A314" si="416">$A310+1</f>
        <v>78</v>
      </c>
      <c r="B314" s="115" t="str">
        <f>IFERROR(INDEX(TBL_PIPED_IMPORTERS_CONNECTIONS[Name],$A314),"")</f>
        <v/>
      </c>
      <c r="C314" s="93" t="str">
        <f t="shared" ref="C314:D314" si="417">IF($B314&lt;&gt;"",C310,"")</f>
        <v/>
      </c>
      <c r="D314" s="93" t="str">
        <f t="shared" si="417"/>
        <v/>
      </c>
      <c r="E314" s="27"/>
      <c r="F314" s="27"/>
      <c r="G314" s="27"/>
      <c r="H314" s="27"/>
      <c r="I314" s="27"/>
      <c r="J314" s="27"/>
      <c r="K314" s="27"/>
      <c r="L314" s="27"/>
      <c r="M314" s="27"/>
      <c r="N314" s="27"/>
      <c r="O314" s="27"/>
      <c r="P314" s="27"/>
      <c r="Q314" s="27"/>
      <c r="R314" s="27"/>
      <c r="S314" s="27"/>
      <c r="T314" s="27"/>
      <c r="U314" s="27"/>
      <c r="V314" s="25"/>
      <c r="W314" s="31" t="e">
        <f>INDEX(TBL_PIPED_IMPORTERS_CONNECTIONS[PipedImporterConnectionID],$A314)</f>
        <v>#REF!</v>
      </c>
      <c r="X314" s="31" t="e">
        <f>"PipedImporterCapMin_"&amp;RIGHT($W314,11)</f>
        <v>#REF!</v>
      </c>
    </row>
    <row r="315" spans="1:24" x14ac:dyDescent="0.25">
      <c r="A315" s="94">
        <f t="shared" ref="A315:A317" si="418">$A314</f>
        <v>78</v>
      </c>
      <c r="B315" s="116"/>
      <c r="C315" s="93" t="str">
        <f t="shared" ref="C315:D315" si="419">IF($B314&lt;&gt;"",C311,"")</f>
        <v/>
      </c>
      <c r="D315" s="93" t="str">
        <f t="shared" si="419"/>
        <v/>
      </c>
      <c r="E315" s="28"/>
      <c r="F315" s="28"/>
      <c r="G315" s="28"/>
      <c r="H315" s="28"/>
      <c r="I315" s="28"/>
      <c r="J315" s="28"/>
      <c r="K315" s="28"/>
      <c r="L315" s="28"/>
      <c r="M315" s="28"/>
      <c r="N315" s="28"/>
      <c r="O315" s="28"/>
      <c r="P315" s="28"/>
      <c r="Q315" s="28"/>
      <c r="R315" s="28"/>
      <c r="S315" s="28"/>
      <c r="T315" s="28"/>
      <c r="U315" s="28"/>
      <c r="V315" s="26"/>
      <c r="W315" s="31" t="e">
        <f>INDEX(TBL_PIPED_IMPORTERS_CONNECTIONS[PipedImporterConnectionID],$A315)</f>
        <v>#REF!</v>
      </c>
      <c r="X315" s="31" t="e">
        <f>"PipedImporterCapMax_"&amp;RIGHT($W315,11)</f>
        <v>#REF!</v>
      </c>
    </row>
    <row r="316" spans="1:24" x14ac:dyDescent="0.25">
      <c r="A316" s="94">
        <f t="shared" si="418"/>
        <v>78</v>
      </c>
      <c r="B316" s="116"/>
      <c r="C316" s="93" t="str">
        <f t="shared" ref="C316:D316" si="420">IF($B314&lt;&gt;"",C312,"")</f>
        <v/>
      </c>
      <c r="D316" s="93" t="str">
        <f t="shared" si="420"/>
        <v/>
      </c>
      <c r="E316" s="27"/>
      <c r="F316" s="27"/>
      <c r="G316" s="27"/>
      <c r="H316" s="27"/>
      <c r="I316" s="27"/>
      <c r="J316" s="27"/>
      <c r="K316" s="27"/>
      <c r="L316" s="27"/>
      <c r="M316" s="27"/>
      <c r="N316" s="27"/>
      <c r="O316" s="27"/>
      <c r="P316" s="27"/>
      <c r="Q316" s="27"/>
      <c r="R316" s="27"/>
      <c r="S316" s="27"/>
      <c r="T316" s="27"/>
      <c r="U316" s="27"/>
      <c r="V316" s="25"/>
      <c r="W316" s="31" t="e">
        <f>INDEX(TBL_PIPED_IMPORTERS_CONNECTIONS[PipedImporterConnectionID],$A316)</f>
        <v>#REF!</v>
      </c>
      <c r="X316" s="31" t="e">
        <f>"PipedImporterTariffFixed_"&amp;RIGHT($W316,11)</f>
        <v>#REF!</v>
      </c>
    </row>
    <row r="317" spans="1:24" x14ac:dyDescent="0.25">
      <c r="A317" s="94">
        <f t="shared" si="418"/>
        <v>78</v>
      </c>
      <c r="B317" s="117"/>
      <c r="C317" s="93" t="str">
        <f t="shared" ref="C317:D317" si="421">IF($B314&lt;&gt;"",C313,"")</f>
        <v/>
      </c>
      <c r="D317" s="93" t="str">
        <f t="shared" si="421"/>
        <v/>
      </c>
      <c r="E317" s="28"/>
      <c r="F317" s="28"/>
      <c r="G317" s="28"/>
      <c r="H317" s="28"/>
      <c r="I317" s="28"/>
      <c r="J317" s="28"/>
      <c r="K317" s="28"/>
      <c r="L317" s="28"/>
      <c r="M317" s="28"/>
      <c r="N317" s="28"/>
      <c r="O317" s="28"/>
      <c r="P317" s="28"/>
      <c r="Q317" s="28"/>
      <c r="R317" s="28"/>
      <c r="S317" s="28"/>
      <c r="T317" s="28"/>
      <c r="U317" s="28"/>
      <c r="V317" s="26"/>
      <c r="W317" s="31" t="e">
        <f>INDEX(TBL_PIPED_IMPORTERS_CONNECTIONS[PipedImporterConnectionID],$A317)</f>
        <v>#REF!</v>
      </c>
      <c r="X317" s="31" t="e">
        <f>"PipedImporterTariffVar_"&amp;RIGHT($W317,11)</f>
        <v>#REF!</v>
      </c>
    </row>
    <row r="318" spans="1:24" x14ac:dyDescent="0.25">
      <c r="A318" s="94">
        <f t="shared" ref="A318" si="422">$A314+1</f>
        <v>79</v>
      </c>
      <c r="B318" s="115" t="str">
        <f>IFERROR(INDEX(TBL_PIPED_IMPORTERS_CONNECTIONS[Name],$A318),"")</f>
        <v/>
      </c>
      <c r="C318" s="93" t="str">
        <f t="shared" ref="C318:D318" si="423">IF($B318&lt;&gt;"",C314,"")</f>
        <v/>
      </c>
      <c r="D318" s="93" t="str">
        <f t="shared" si="423"/>
        <v/>
      </c>
      <c r="E318" s="27"/>
      <c r="F318" s="27"/>
      <c r="G318" s="27"/>
      <c r="H318" s="27"/>
      <c r="I318" s="27"/>
      <c r="J318" s="27"/>
      <c r="K318" s="27"/>
      <c r="L318" s="27"/>
      <c r="M318" s="27"/>
      <c r="N318" s="27"/>
      <c r="O318" s="27"/>
      <c r="P318" s="27"/>
      <c r="Q318" s="27"/>
      <c r="R318" s="27"/>
      <c r="S318" s="27"/>
      <c r="T318" s="27"/>
      <c r="U318" s="27"/>
      <c r="V318" s="25"/>
      <c r="W318" s="31" t="e">
        <f>INDEX(TBL_PIPED_IMPORTERS_CONNECTIONS[PipedImporterConnectionID],$A318)</f>
        <v>#REF!</v>
      </c>
      <c r="X318" s="31" t="e">
        <f>"PipedImporterCapMin_"&amp;RIGHT($W318,11)</f>
        <v>#REF!</v>
      </c>
    </row>
    <row r="319" spans="1:24" x14ac:dyDescent="0.25">
      <c r="A319" s="94">
        <f t="shared" ref="A319:A337" si="424">$A318</f>
        <v>79</v>
      </c>
      <c r="B319" s="116"/>
      <c r="C319" s="93" t="str">
        <f t="shared" ref="C319:D319" si="425">IF($B318&lt;&gt;"",C315,"")</f>
        <v/>
      </c>
      <c r="D319" s="93" t="str">
        <f t="shared" si="425"/>
        <v/>
      </c>
      <c r="E319" s="28"/>
      <c r="F319" s="28"/>
      <c r="G319" s="28"/>
      <c r="H319" s="28"/>
      <c r="I319" s="28"/>
      <c r="J319" s="28"/>
      <c r="K319" s="28"/>
      <c r="L319" s="28"/>
      <c r="M319" s="28"/>
      <c r="N319" s="28"/>
      <c r="O319" s="28"/>
      <c r="P319" s="28"/>
      <c r="Q319" s="28"/>
      <c r="R319" s="28"/>
      <c r="S319" s="28"/>
      <c r="T319" s="28"/>
      <c r="U319" s="28"/>
      <c r="V319" s="26"/>
      <c r="W319" s="31" t="e">
        <f>INDEX(TBL_PIPED_IMPORTERS_CONNECTIONS[PipedImporterConnectionID],$A319)</f>
        <v>#REF!</v>
      </c>
      <c r="X319" s="31" t="e">
        <f>"PipedImporterCapMax_"&amp;RIGHT($W319,11)</f>
        <v>#REF!</v>
      </c>
    </row>
    <row r="320" spans="1:24" x14ac:dyDescent="0.25">
      <c r="A320" s="94">
        <f t="shared" si="424"/>
        <v>79</v>
      </c>
      <c r="B320" s="116"/>
      <c r="C320" s="93" t="str">
        <f t="shared" ref="C320:D320" si="426">IF($B318&lt;&gt;"",C316,"")</f>
        <v/>
      </c>
      <c r="D320" s="93" t="str">
        <f t="shared" si="426"/>
        <v/>
      </c>
      <c r="E320" s="27"/>
      <c r="F320" s="27"/>
      <c r="G320" s="27"/>
      <c r="H320" s="27"/>
      <c r="I320" s="27"/>
      <c r="J320" s="27"/>
      <c r="K320" s="27"/>
      <c r="L320" s="27"/>
      <c r="M320" s="27"/>
      <c r="N320" s="27"/>
      <c r="O320" s="27"/>
      <c r="P320" s="27"/>
      <c r="Q320" s="27"/>
      <c r="R320" s="27"/>
      <c r="S320" s="27"/>
      <c r="T320" s="27"/>
      <c r="U320" s="27"/>
      <c r="V320" s="25"/>
      <c r="W320" s="31" t="e">
        <f>INDEX(TBL_PIPED_IMPORTERS_CONNECTIONS[PipedImporterConnectionID],$A320)</f>
        <v>#REF!</v>
      </c>
      <c r="X320" s="31" t="e">
        <f>"PipedImporterTariffFixed_"&amp;RIGHT($W320,11)</f>
        <v>#REF!</v>
      </c>
    </row>
    <row r="321" spans="1:24" x14ac:dyDescent="0.25">
      <c r="A321" s="94">
        <f t="shared" si="424"/>
        <v>79</v>
      </c>
      <c r="B321" s="117"/>
      <c r="C321" s="93" t="str">
        <f t="shared" ref="C321:D321" si="427">IF($B318&lt;&gt;"",C317,"")</f>
        <v/>
      </c>
      <c r="D321" s="93" t="str">
        <f t="shared" si="427"/>
        <v/>
      </c>
      <c r="E321" s="28"/>
      <c r="F321" s="28"/>
      <c r="G321" s="28"/>
      <c r="H321" s="28"/>
      <c r="I321" s="28"/>
      <c r="J321" s="28"/>
      <c r="K321" s="28"/>
      <c r="L321" s="28"/>
      <c r="M321" s="28"/>
      <c r="N321" s="28"/>
      <c r="O321" s="28"/>
      <c r="P321" s="28"/>
      <c r="Q321" s="28"/>
      <c r="R321" s="28"/>
      <c r="S321" s="28"/>
      <c r="T321" s="28"/>
      <c r="U321" s="28"/>
      <c r="V321" s="26"/>
      <c r="W321" s="31" t="e">
        <f>INDEX(TBL_PIPED_IMPORTERS_CONNECTIONS[PipedImporterConnectionID],$A321)</f>
        <v>#REF!</v>
      </c>
      <c r="X321" s="31" t="e">
        <f>"PipedImporterTariffVar_"&amp;RIGHT($W321,11)</f>
        <v>#REF!</v>
      </c>
    </row>
    <row r="322" spans="1:24" x14ac:dyDescent="0.25">
      <c r="A322" s="94">
        <f t="shared" ref="A322" si="428">$A318+1</f>
        <v>80</v>
      </c>
      <c r="B322" s="115" t="str">
        <f>IFERROR(INDEX(TBL_PIPED_IMPORTERS_CONNECTIONS[Name],$A322),"")</f>
        <v/>
      </c>
      <c r="C322" s="93" t="str">
        <f t="shared" ref="C322:D322" si="429">IF($B322&lt;&gt;"",C318,"")</f>
        <v/>
      </c>
      <c r="D322" s="93" t="str">
        <f t="shared" si="429"/>
        <v/>
      </c>
      <c r="E322" s="27"/>
      <c r="F322" s="27"/>
      <c r="G322" s="27"/>
      <c r="H322" s="27"/>
      <c r="I322" s="27"/>
      <c r="J322" s="27"/>
      <c r="K322" s="27"/>
      <c r="L322" s="27"/>
      <c r="M322" s="27"/>
      <c r="N322" s="27"/>
      <c r="O322" s="27"/>
      <c r="P322" s="27"/>
      <c r="Q322" s="27"/>
      <c r="R322" s="27"/>
      <c r="S322" s="27"/>
      <c r="T322" s="27"/>
      <c r="U322" s="27"/>
      <c r="V322" s="25"/>
      <c r="W322" s="31" t="e">
        <f>INDEX(TBL_PIPED_IMPORTERS_CONNECTIONS[PipedImporterConnectionID],$A322)</f>
        <v>#REF!</v>
      </c>
      <c r="X322" s="31" t="e">
        <f>"PipedImporterCapMin_"&amp;RIGHT($W322,11)</f>
        <v>#REF!</v>
      </c>
    </row>
    <row r="323" spans="1:24" x14ac:dyDescent="0.25">
      <c r="A323" s="94">
        <f t="shared" si="424"/>
        <v>80</v>
      </c>
      <c r="B323" s="116"/>
      <c r="C323" s="93" t="str">
        <f t="shared" ref="C323:D323" si="430">IF($B322&lt;&gt;"",C319,"")</f>
        <v/>
      </c>
      <c r="D323" s="93" t="str">
        <f t="shared" si="430"/>
        <v/>
      </c>
      <c r="E323" s="28"/>
      <c r="F323" s="28"/>
      <c r="G323" s="28"/>
      <c r="H323" s="28"/>
      <c r="I323" s="28"/>
      <c r="J323" s="28"/>
      <c r="K323" s="28"/>
      <c r="L323" s="28"/>
      <c r="M323" s="28"/>
      <c r="N323" s="28"/>
      <c r="O323" s="28"/>
      <c r="P323" s="28"/>
      <c r="Q323" s="28"/>
      <c r="R323" s="28"/>
      <c r="S323" s="28"/>
      <c r="T323" s="28"/>
      <c r="U323" s="28"/>
      <c r="V323" s="26"/>
      <c r="W323" s="31" t="e">
        <f>INDEX(TBL_PIPED_IMPORTERS_CONNECTIONS[PipedImporterConnectionID],$A323)</f>
        <v>#REF!</v>
      </c>
      <c r="X323" s="31" t="e">
        <f>"PipedImporterCapMax_"&amp;RIGHT($W323,11)</f>
        <v>#REF!</v>
      </c>
    </row>
    <row r="324" spans="1:24" x14ac:dyDescent="0.25">
      <c r="A324" s="94">
        <f t="shared" si="424"/>
        <v>80</v>
      </c>
      <c r="B324" s="116"/>
      <c r="C324" s="93" t="str">
        <f t="shared" ref="C324:D324" si="431">IF($B322&lt;&gt;"",C320,"")</f>
        <v/>
      </c>
      <c r="D324" s="93" t="str">
        <f t="shared" si="431"/>
        <v/>
      </c>
      <c r="E324" s="27"/>
      <c r="F324" s="27"/>
      <c r="G324" s="27"/>
      <c r="H324" s="27"/>
      <c r="I324" s="27"/>
      <c r="J324" s="27"/>
      <c r="K324" s="27"/>
      <c r="L324" s="27"/>
      <c r="M324" s="27"/>
      <c r="N324" s="27"/>
      <c r="O324" s="27"/>
      <c r="P324" s="27"/>
      <c r="Q324" s="27"/>
      <c r="R324" s="27"/>
      <c r="S324" s="27"/>
      <c r="T324" s="27"/>
      <c r="U324" s="27"/>
      <c r="V324" s="25"/>
      <c r="W324" s="31" t="e">
        <f>INDEX(TBL_PIPED_IMPORTERS_CONNECTIONS[PipedImporterConnectionID],$A324)</f>
        <v>#REF!</v>
      </c>
      <c r="X324" s="31" t="e">
        <f>"PipedImporterTariffFixed_"&amp;RIGHT($W324,11)</f>
        <v>#REF!</v>
      </c>
    </row>
    <row r="325" spans="1:24" x14ac:dyDescent="0.25">
      <c r="A325" s="94">
        <f t="shared" si="424"/>
        <v>80</v>
      </c>
      <c r="B325" s="117"/>
      <c r="C325" s="93" t="str">
        <f t="shared" ref="C325:D325" si="432">IF($B322&lt;&gt;"",C321,"")</f>
        <v/>
      </c>
      <c r="D325" s="93" t="str">
        <f t="shared" si="432"/>
        <v/>
      </c>
      <c r="E325" s="28"/>
      <c r="F325" s="28"/>
      <c r="G325" s="28"/>
      <c r="H325" s="28"/>
      <c r="I325" s="28"/>
      <c r="J325" s="28"/>
      <c r="K325" s="28"/>
      <c r="L325" s="28"/>
      <c r="M325" s="28"/>
      <c r="N325" s="28"/>
      <c r="O325" s="28"/>
      <c r="P325" s="28"/>
      <c r="Q325" s="28"/>
      <c r="R325" s="28"/>
      <c r="S325" s="28"/>
      <c r="T325" s="28"/>
      <c r="U325" s="28"/>
      <c r="V325" s="26"/>
      <c r="W325" s="31" t="e">
        <f>INDEX(TBL_PIPED_IMPORTERS_CONNECTIONS[PipedImporterConnectionID],$A325)</f>
        <v>#REF!</v>
      </c>
      <c r="X325" s="31" t="e">
        <f>"PipedImporterTariffVar_"&amp;RIGHT($W325,11)</f>
        <v>#REF!</v>
      </c>
    </row>
    <row r="326" spans="1:24" x14ac:dyDescent="0.25">
      <c r="A326" s="94">
        <f t="shared" ref="A326" si="433">$A322+1</f>
        <v>81</v>
      </c>
      <c r="B326" s="115" t="str">
        <f>IFERROR(INDEX(TBL_PIPED_IMPORTERS_CONNECTIONS[Name],$A326),"")</f>
        <v/>
      </c>
      <c r="C326" s="93" t="str">
        <f t="shared" ref="C326:D326" si="434">IF($B326&lt;&gt;"",C322,"")</f>
        <v/>
      </c>
      <c r="D326" s="93" t="str">
        <f t="shared" si="434"/>
        <v/>
      </c>
      <c r="E326" s="27"/>
      <c r="F326" s="27"/>
      <c r="G326" s="27"/>
      <c r="H326" s="27"/>
      <c r="I326" s="27"/>
      <c r="J326" s="27"/>
      <c r="K326" s="27"/>
      <c r="L326" s="27"/>
      <c r="M326" s="27"/>
      <c r="N326" s="27"/>
      <c r="O326" s="27"/>
      <c r="P326" s="27"/>
      <c r="Q326" s="27"/>
      <c r="R326" s="27"/>
      <c r="S326" s="27"/>
      <c r="T326" s="27"/>
      <c r="U326" s="27"/>
      <c r="V326" s="25"/>
      <c r="W326" s="31" t="e">
        <f>INDEX(TBL_PIPED_IMPORTERS_CONNECTIONS[PipedImporterConnectionID],$A326)</f>
        <v>#REF!</v>
      </c>
      <c r="X326" s="31" t="e">
        <f>"PipedImporterCapMin_"&amp;RIGHT($W326,11)</f>
        <v>#REF!</v>
      </c>
    </row>
    <row r="327" spans="1:24" x14ac:dyDescent="0.25">
      <c r="A327" s="94">
        <f t="shared" si="424"/>
        <v>81</v>
      </c>
      <c r="B327" s="116"/>
      <c r="C327" s="93" t="str">
        <f t="shared" ref="C327:D327" si="435">IF($B326&lt;&gt;"",C323,"")</f>
        <v/>
      </c>
      <c r="D327" s="93" t="str">
        <f t="shared" si="435"/>
        <v/>
      </c>
      <c r="E327" s="28"/>
      <c r="F327" s="28"/>
      <c r="G327" s="28"/>
      <c r="H327" s="28"/>
      <c r="I327" s="28"/>
      <c r="J327" s="28"/>
      <c r="K327" s="28"/>
      <c r="L327" s="28"/>
      <c r="M327" s="28"/>
      <c r="N327" s="28"/>
      <c r="O327" s="28"/>
      <c r="P327" s="28"/>
      <c r="Q327" s="28"/>
      <c r="R327" s="28"/>
      <c r="S327" s="28"/>
      <c r="T327" s="28"/>
      <c r="U327" s="28"/>
      <c r="V327" s="26"/>
      <c r="W327" s="31" t="e">
        <f>INDEX(TBL_PIPED_IMPORTERS_CONNECTIONS[PipedImporterConnectionID],$A327)</f>
        <v>#REF!</v>
      </c>
      <c r="X327" s="31" t="e">
        <f>"PipedImporterCapMax_"&amp;RIGHT($W327,11)</f>
        <v>#REF!</v>
      </c>
    </row>
    <row r="328" spans="1:24" x14ac:dyDescent="0.25">
      <c r="A328" s="94">
        <f t="shared" si="424"/>
        <v>81</v>
      </c>
      <c r="B328" s="116"/>
      <c r="C328" s="93" t="str">
        <f t="shared" ref="C328:D328" si="436">IF($B326&lt;&gt;"",C324,"")</f>
        <v/>
      </c>
      <c r="D328" s="93" t="str">
        <f t="shared" si="436"/>
        <v/>
      </c>
      <c r="E328" s="27"/>
      <c r="F328" s="27"/>
      <c r="G328" s="27"/>
      <c r="H328" s="27"/>
      <c r="I328" s="27"/>
      <c r="J328" s="27"/>
      <c r="K328" s="27"/>
      <c r="L328" s="27"/>
      <c r="M328" s="27"/>
      <c r="N328" s="27"/>
      <c r="O328" s="27"/>
      <c r="P328" s="27"/>
      <c r="Q328" s="27"/>
      <c r="R328" s="27"/>
      <c r="S328" s="27"/>
      <c r="T328" s="27"/>
      <c r="U328" s="27"/>
      <c r="V328" s="25"/>
      <c r="W328" s="31" t="e">
        <f>INDEX(TBL_PIPED_IMPORTERS_CONNECTIONS[PipedImporterConnectionID],$A328)</f>
        <v>#REF!</v>
      </c>
      <c r="X328" s="31" t="e">
        <f>"PipedImporterTariffFixed_"&amp;RIGHT($W328,11)</f>
        <v>#REF!</v>
      </c>
    </row>
    <row r="329" spans="1:24" x14ac:dyDescent="0.25">
      <c r="A329" s="94">
        <f t="shared" si="424"/>
        <v>81</v>
      </c>
      <c r="B329" s="117"/>
      <c r="C329" s="93" t="str">
        <f t="shared" ref="C329:D329" si="437">IF($B326&lt;&gt;"",C325,"")</f>
        <v/>
      </c>
      <c r="D329" s="93" t="str">
        <f t="shared" si="437"/>
        <v/>
      </c>
      <c r="E329" s="28"/>
      <c r="F329" s="28"/>
      <c r="G329" s="28"/>
      <c r="H329" s="28"/>
      <c r="I329" s="28"/>
      <c r="J329" s="28"/>
      <c r="K329" s="28"/>
      <c r="L329" s="28"/>
      <c r="M329" s="28"/>
      <c r="N329" s="28"/>
      <c r="O329" s="28"/>
      <c r="P329" s="28"/>
      <c r="Q329" s="28"/>
      <c r="R329" s="28"/>
      <c r="S329" s="28"/>
      <c r="T329" s="28"/>
      <c r="U329" s="28"/>
      <c r="V329" s="26"/>
      <c r="W329" s="31" t="e">
        <f>INDEX(TBL_PIPED_IMPORTERS_CONNECTIONS[PipedImporterConnectionID],$A329)</f>
        <v>#REF!</v>
      </c>
      <c r="X329" s="31" t="e">
        <f>"PipedImporterTariffVar_"&amp;RIGHT($W329,11)</f>
        <v>#REF!</v>
      </c>
    </row>
    <row r="330" spans="1:24" x14ac:dyDescent="0.25">
      <c r="A330" s="94">
        <f t="shared" ref="A330" si="438">$A326+1</f>
        <v>82</v>
      </c>
      <c r="B330" s="115" t="str">
        <f>IFERROR(INDEX(TBL_PIPED_IMPORTERS_CONNECTIONS[Name],$A330),"")</f>
        <v/>
      </c>
      <c r="C330" s="93" t="str">
        <f t="shared" ref="C330:D330" si="439">IF($B330&lt;&gt;"",C326,"")</f>
        <v/>
      </c>
      <c r="D330" s="93" t="str">
        <f t="shared" si="439"/>
        <v/>
      </c>
      <c r="E330" s="27"/>
      <c r="F330" s="27"/>
      <c r="G330" s="27"/>
      <c r="H330" s="27"/>
      <c r="I330" s="27"/>
      <c r="J330" s="27"/>
      <c r="K330" s="27"/>
      <c r="L330" s="27"/>
      <c r="M330" s="27"/>
      <c r="N330" s="27"/>
      <c r="O330" s="27"/>
      <c r="P330" s="27"/>
      <c r="Q330" s="27"/>
      <c r="R330" s="27"/>
      <c r="S330" s="27"/>
      <c r="T330" s="27"/>
      <c r="U330" s="27"/>
      <c r="V330" s="25"/>
      <c r="W330" s="31" t="e">
        <f>INDEX(TBL_PIPED_IMPORTERS_CONNECTIONS[PipedImporterConnectionID],$A330)</f>
        <v>#REF!</v>
      </c>
      <c r="X330" s="31" t="e">
        <f>"PipedImporterCapMin_"&amp;RIGHT($W330,11)</f>
        <v>#REF!</v>
      </c>
    </row>
    <row r="331" spans="1:24" x14ac:dyDescent="0.25">
      <c r="A331" s="94">
        <f t="shared" si="424"/>
        <v>82</v>
      </c>
      <c r="B331" s="116"/>
      <c r="C331" s="93" t="str">
        <f t="shared" ref="C331:D331" si="440">IF($B330&lt;&gt;"",C327,"")</f>
        <v/>
      </c>
      <c r="D331" s="93" t="str">
        <f t="shared" si="440"/>
        <v/>
      </c>
      <c r="E331" s="28"/>
      <c r="F331" s="28"/>
      <c r="G331" s="28"/>
      <c r="H331" s="28"/>
      <c r="I331" s="28"/>
      <c r="J331" s="28"/>
      <c r="K331" s="28"/>
      <c r="L331" s="28"/>
      <c r="M331" s="28"/>
      <c r="N331" s="28"/>
      <c r="O331" s="28"/>
      <c r="P331" s="28"/>
      <c r="Q331" s="28"/>
      <c r="R331" s="28"/>
      <c r="S331" s="28"/>
      <c r="T331" s="28"/>
      <c r="U331" s="28"/>
      <c r="V331" s="26"/>
      <c r="W331" s="31" t="e">
        <f>INDEX(TBL_PIPED_IMPORTERS_CONNECTIONS[PipedImporterConnectionID],$A331)</f>
        <v>#REF!</v>
      </c>
      <c r="X331" s="31" t="e">
        <f>"PipedImporterCapMax_"&amp;RIGHT($W331,11)</f>
        <v>#REF!</v>
      </c>
    </row>
    <row r="332" spans="1:24" x14ac:dyDescent="0.25">
      <c r="A332" s="94">
        <f t="shared" si="424"/>
        <v>82</v>
      </c>
      <c r="B332" s="116"/>
      <c r="C332" s="93" t="str">
        <f t="shared" ref="C332:D332" si="441">IF($B330&lt;&gt;"",C328,"")</f>
        <v/>
      </c>
      <c r="D332" s="93" t="str">
        <f t="shared" si="441"/>
        <v/>
      </c>
      <c r="E332" s="27"/>
      <c r="F332" s="27"/>
      <c r="G332" s="27"/>
      <c r="H332" s="27"/>
      <c r="I332" s="27"/>
      <c r="J332" s="27"/>
      <c r="K332" s="27"/>
      <c r="L332" s="27"/>
      <c r="M332" s="27"/>
      <c r="N332" s="27"/>
      <c r="O332" s="27"/>
      <c r="P332" s="27"/>
      <c r="Q332" s="27"/>
      <c r="R332" s="27"/>
      <c r="S332" s="27"/>
      <c r="T332" s="27"/>
      <c r="U332" s="27"/>
      <c r="V332" s="25"/>
      <c r="W332" s="31" t="e">
        <f>INDEX(TBL_PIPED_IMPORTERS_CONNECTIONS[PipedImporterConnectionID],$A332)</f>
        <v>#REF!</v>
      </c>
      <c r="X332" s="31" t="e">
        <f>"PipedImporterTariffFixed_"&amp;RIGHT($W332,11)</f>
        <v>#REF!</v>
      </c>
    </row>
    <row r="333" spans="1:24" x14ac:dyDescent="0.25">
      <c r="A333" s="94">
        <f t="shared" si="424"/>
        <v>82</v>
      </c>
      <c r="B333" s="117"/>
      <c r="C333" s="93" t="str">
        <f t="shared" ref="C333:D333" si="442">IF($B330&lt;&gt;"",C329,"")</f>
        <v/>
      </c>
      <c r="D333" s="93" t="str">
        <f t="shared" si="442"/>
        <v/>
      </c>
      <c r="E333" s="28"/>
      <c r="F333" s="28"/>
      <c r="G333" s="28"/>
      <c r="H333" s="28"/>
      <c r="I333" s="28"/>
      <c r="J333" s="28"/>
      <c r="K333" s="28"/>
      <c r="L333" s="28"/>
      <c r="M333" s="28"/>
      <c r="N333" s="28"/>
      <c r="O333" s="28"/>
      <c r="P333" s="28"/>
      <c r="Q333" s="28"/>
      <c r="R333" s="28"/>
      <c r="S333" s="28"/>
      <c r="T333" s="28"/>
      <c r="U333" s="28"/>
      <c r="V333" s="26"/>
      <c r="W333" s="31" t="e">
        <f>INDEX(TBL_PIPED_IMPORTERS_CONNECTIONS[PipedImporterConnectionID],$A333)</f>
        <v>#REF!</v>
      </c>
      <c r="X333" s="31" t="e">
        <f>"PipedImporterTariffVar_"&amp;RIGHT($W333,11)</f>
        <v>#REF!</v>
      </c>
    </row>
    <row r="334" spans="1:24" x14ac:dyDescent="0.25">
      <c r="A334" s="94">
        <f t="shared" ref="A334" si="443">$A330+1</f>
        <v>83</v>
      </c>
      <c r="B334" s="115" t="str">
        <f>IFERROR(INDEX(TBL_PIPED_IMPORTERS_CONNECTIONS[Name],$A334),"")</f>
        <v/>
      </c>
      <c r="C334" s="93" t="str">
        <f t="shared" ref="C334:D334" si="444">IF($B334&lt;&gt;"",C330,"")</f>
        <v/>
      </c>
      <c r="D334" s="93" t="str">
        <f t="shared" si="444"/>
        <v/>
      </c>
      <c r="E334" s="27"/>
      <c r="F334" s="27"/>
      <c r="G334" s="27"/>
      <c r="H334" s="27"/>
      <c r="I334" s="27"/>
      <c r="J334" s="27"/>
      <c r="K334" s="27"/>
      <c r="L334" s="27"/>
      <c r="M334" s="27"/>
      <c r="N334" s="27"/>
      <c r="O334" s="27"/>
      <c r="P334" s="27"/>
      <c r="Q334" s="27"/>
      <c r="R334" s="27"/>
      <c r="S334" s="27"/>
      <c r="T334" s="27"/>
      <c r="U334" s="27"/>
      <c r="V334" s="25"/>
      <c r="W334" s="31" t="e">
        <f>INDEX(TBL_PIPED_IMPORTERS_CONNECTIONS[PipedImporterConnectionID],$A334)</f>
        <v>#REF!</v>
      </c>
      <c r="X334" s="31" t="e">
        <f>"PipedImporterCapMin_"&amp;RIGHT($W334,11)</f>
        <v>#REF!</v>
      </c>
    </row>
    <row r="335" spans="1:24" x14ac:dyDescent="0.25">
      <c r="A335" s="94">
        <f t="shared" si="424"/>
        <v>83</v>
      </c>
      <c r="B335" s="116"/>
      <c r="C335" s="93" t="str">
        <f t="shared" ref="C335:D335" si="445">IF($B334&lt;&gt;"",C331,"")</f>
        <v/>
      </c>
      <c r="D335" s="93" t="str">
        <f t="shared" si="445"/>
        <v/>
      </c>
      <c r="E335" s="28"/>
      <c r="F335" s="28"/>
      <c r="G335" s="28"/>
      <c r="H335" s="28"/>
      <c r="I335" s="28"/>
      <c r="J335" s="28"/>
      <c r="K335" s="28"/>
      <c r="L335" s="28"/>
      <c r="M335" s="28"/>
      <c r="N335" s="28"/>
      <c r="O335" s="28"/>
      <c r="P335" s="28"/>
      <c r="Q335" s="28"/>
      <c r="R335" s="28"/>
      <c r="S335" s="28"/>
      <c r="T335" s="28"/>
      <c r="U335" s="28"/>
      <c r="V335" s="26"/>
      <c r="W335" s="31" t="e">
        <f>INDEX(TBL_PIPED_IMPORTERS_CONNECTIONS[PipedImporterConnectionID],$A335)</f>
        <v>#REF!</v>
      </c>
      <c r="X335" s="31" t="e">
        <f>"PipedImporterCapMax_"&amp;RIGHT($W335,11)</f>
        <v>#REF!</v>
      </c>
    </row>
    <row r="336" spans="1:24" x14ac:dyDescent="0.25">
      <c r="A336" s="94">
        <f t="shared" si="424"/>
        <v>83</v>
      </c>
      <c r="B336" s="116"/>
      <c r="C336" s="93" t="str">
        <f t="shared" ref="C336:D336" si="446">IF($B334&lt;&gt;"",C332,"")</f>
        <v/>
      </c>
      <c r="D336" s="93" t="str">
        <f t="shared" si="446"/>
        <v/>
      </c>
      <c r="E336" s="27"/>
      <c r="F336" s="27"/>
      <c r="G336" s="27"/>
      <c r="H336" s="27"/>
      <c r="I336" s="27"/>
      <c r="J336" s="27"/>
      <c r="K336" s="27"/>
      <c r="L336" s="27"/>
      <c r="M336" s="27"/>
      <c r="N336" s="27"/>
      <c r="O336" s="27"/>
      <c r="P336" s="27"/>
      <c r="Q336" s="27"/>
      <c r="R336" s="27"/>
      <c r="S336" s="27"/>
      <c r="T336" s="27"/>
      <c r="U336" s="27"/>
      <c r="V336" s="25"/>
      <c r="W336" s="31" t="e">
        <f>INDEX(TBL_PIPED_IMPORTERS_CONNECTIONS[PipedImporterConnectionID],$A336)</f>
        <v>#REF!</v>
      </c>
      <c r="X336" s="31" t="e">
        <f>"PipedImporterTariffFixed_"&amp;RIGHT($W336,11)</f>
        <v>#REF!</v>
      </c>
    </row>
    <row r="337" spans="1:24" x14ac:dyDescent="0.25">
      <c r="A337" s="94">
        <f t="shared" si="424"/>
        <v>83</v>
      </c>
      <c r="B337" s="117"/>
      <c r="C337" s="93" t="str">
        <f t="shared" ref="C337:D337" si="447">IF($B334&lt;&gt;"",C333,"")</f>
        <v/>
      </c>
      <c r="D337" s="93" t="str">
        <f t="shared" si="447"/>
        <v/>
      </c>
      <c r="E337" s="28"/>
      <c r="F337" s="28"/>
      <c r="G337" s="28"/>
      <c r="H337" s="28"/>
      <c r="I337" s="28"/>
      <c r="J337" s="28"/>
      <c r="K337" s="28"/>
      <c r="L337" s="28"/>
      <c r="M337" s="28"/>
      <c r="N337" s="28"/>
      <c r="O337" s="28"/>
      <c r="P337" s="28"/>
      <c r="Q337" s="28"/>
      <c r="R337" s="28"/>
      <c r="S337" s="28"/>
      <c r="T337" s="28"/>
      <c r="U337" s="28"/>
      <c r="V337" s="26"/>
      <c r="W337" s="31" t="e">
        <f>INDEX(TBL_PIPED_IMPORTERS_CONNECTIONS[PipedImporterConnectionID],$A337)</f>
        <v>#REF!</v>
      </c>
      <c r="X337" s="31" t="e">
        <f>"PipedImporterTariffVar_"&amp;RIGHT($W337,11)</f>
        <v>#REF!</v>
      </c>
    </row>
    <row r="338" spans="1:24" x14ac:dyDescent="0.25">
      <c r="A338" s="94">
        <f t="shared" ref="A338" si="448">$A334+1</f>
        <v>84</v>
      </c>
      <c r="B338" s="115" t="str">
        <f>IFERROR(INDEX(TBL_PIPED_IMPORTERS_CONNECTIONS[Name],$A338),"")</f>
        <v/>
      </c>
      <c r="C338" s="93" t="str">
        <f t="shared" ref="C338:D338" si="449">IF($B338&lt;&gt;"",C334,"")</f>
        <v/>
      </c>
      <c r="D338" s="93" t="str">
        <f t="shared" si="449"/>
        <v/>
      </c>
      <c r="E338" s="27"/>
      <c r="F338" s="27"/>
      <c r="G338" s="27"/>
      <c r="H338" s="27"/>
      <c r="I338" s="27"/>
      <c r="J338" s="27"/>
      <c r="K338" s="27"/>
      <c r="L338" s="27"/>
      <c r="M338" s="27"/>
      <c r="N338" s="27"/>
      <c r="O338" s="27"/>
      <c r="P338" s="27"/>
      <c r="Q338" s="27"/>
      <c r="R338" s="27"/>
      <c r="S338" s="27"/>
      <c r="T338" s="27"/>
      <c r="U338" s="27"/>
      <c r="V338" s="25"/>
      <c r="W338" s="31" t="e">
        <f>INDEX(TBL_PIPED_IMPORTERS_CONNECTIONS[PipedImporterConnectionID],$A338)</f>
        <v>#REF!</v>
      </c>
      <c r="X338" s="31" t="e">
        <f>"PipedImporterCapMin_"&amp;RIGHT($W338,11)</f>
        <v>#REF!</v>
      </c>
    </row>
    <row r="339" spans="1:24" x14ac:dyDescent="0.25">
      <c r="A339" s="94">
        <f t="shared" ref="A339:A341" si="450">$A338</f>
        <v>84</v>
      </c>
      <c r="B339" s="116"/>
      <c r="C339" s="93" t="str">
        <f t="shared" ref="C339:D339" si="451">IF($B338&lt;&gt;"",C335,"")</f>
        <v/>
      </c>
      <c r="D339" s="93" t="str">
        <f t="shared" si="451"/>
        <v/>
      </c>
      <c r="E339" s="28"/>
      <c r="F339" s="28"/>
      <c r="G339" s="28"/>
      <c r="H339" s="28"/>
      <c r="I339" s="28"/>
      <c r="J339" s="28"/>
      <c r="K339" s="28"/>
      <c r="L339" s="28"/>
      <c r="M339" s="28"/>
      <c r="N339" s="28"/>
      <c r="O339" s="28"/>
      <c r="P339" s="28"/>
      <c r="Q339" s="28"/>
      <c r="R339" s="28"/>
      <c r="S339" s="28"/>
      <c r="T339" s="28"/>
      <c r="U339" s="28"/>
      <c r="V339" s="26"/>
      <c r="W339" s="31" t="e">
        <f>INDEX(TBL_PIPED_IMPORTERS_CONNECTIONS[PipedImporterConnectionID],$A339)</f>
        <v>#REF!</v>
      </c>
      <c r="X339" s="31" t="e">
        <f>"PipedImporterCapMax_"&amp;RIGHT($W339,11)</f>
        <v>#REF!</v>
      </c>
    </row>
    <row r="340" spans="1:24" x14ac:dyDescent="0.25">
      <c r="A340" s="94">
        <f t="shared" si="450"/>
        <v>84</v>
      </c>
      <c r="B340" s="116"/>
      <c r="C340" s="93" t="str">
        <f t="shared" ref="C340:D340" si="452">IF($B338&lt;&gt;"",C336,"")</f>
        <v/>
      </c>
      <c r="D340" s="93" t="str">
        <f t="shared" si="452"/>
        <v/>
      </c>
      <c r="E340" s="27"/>
      <c r="F340" s="27"/>
      <c r="G340" s="27"/>
      <c r="H340" s="27"/>
      <c r="I340" s="27"/>
      <c r="J340" s="27"/>
      <c r="K340" s="27"/>
      <c r="L340" s="27"/>
      <c r="M340" s="27"/>
      <c r="N340" s="27"/>
      <c r="O340" s="27"/>
      <c r="P340" s="27"/>
      <c r="Q340" s="27"/>
      <c r="R340" s="27"/>
      <c r="S340" s="27"/>
      <c r="T340" s="27"/>
      <c r="U340" s="27"/>
      <c r="V340" s="25"/>
      <c r="W340" s="31" t="e">
        <f>INDEX(TBL_PIPED_IMPORTERS_CONNECTIONS[PipedImporterConnectionID],$A340)</f>
        <v>#REF!</v>
      </c>
      <c r="X340" s="31" t="e">
        <f>"PipedImporterTariffFixed_"&amp;RIGHT($W340,11)</f>
        <v>#REF!</v>
      </c>
    </row>
    <row r="341" spans="1:24" x14ac:dyDescent="0.25">
      <c r="A341" s="94">
        <f t="shared" si="450"/>
        <v>84</v>
      </c>
      <c r="B341" s="117"/>
      <c r="C341" s="93" t="str">
        <f t="shared" ref="C341:D341" si="453">IF($B338&lt;&gt;"",C337,"")</f>
        <v/>
      </c>
      <c r="D341" s="93" t="str">
        <f t="shared" si="453"/>
        <v/>
      </c>
      <c r="E341" s="28"/>
      <c r="F341" s="28"/>
      <c r="G341" s="28"/>
      <c r="H341" s="28"/>
      <c r="I341" s="28"/>
      <c r="J341" s="28"/>
      <c r="K341" s="28"/>
      <c r="L341" s="28"/>
      <c r="M341" s="28"/>
      <c r="N341" s="28"/>
      <c r="O341" s="28"/>
      <c r="P341" s="28"/>
      <c r="Q341" s="28"/>
      <c r="R341" s="28"/>
      <c r="S341" s="28"/>
      <c r="T341" s="28"/>
      <c r="U341" s="28"/>
      <c r="V341" s="26"/>
      <c r="W341" s="31" t="e">
        <f>INDEX(TBL_PIPED_IMPORTERS_CONNECTIONS[PipedImporterConnectionID],$A341)</f>
        <v>#REF!</v>
      </c>
      <c r="X341" s="31" t="e">
        <f>"PipedImporterTariffVar_"&amp;RIGHT($W341,11)</f>
        <v>#REF!</v>
      </c>
    </row>
    <row r="342" spans="1:24" x14ac:dyDescent="0.25">
      <c r="A342" s="94">
        <f t="shared" ref="A342" si="454">$A338+1</f>
        <v>85</v>
      </c>
      <c r="B342" s="115" t="str">
        <f>IFERROR(INDEX(TBL_PIPED_IMPORTERS_CONNECTIONS[Name],$A342),"")</f>
        <v/>
      </c>
      <c r="C342" s="93" t="str">
        <f t="shared" ref="C342:D342" si="455">IF($B342&lt;&gt;"",C338,"")</f>
        <v/>
      </c>
      <c r="D342" s="93" t="str">
        <f t="shared" si="455"/>
        <v/>
      </c>
      <c r="E342" s="27"/>
      <c r="F342" s="27"/>
      <c r="G342" s="27"/>
      <c r="H342" s="27"/>
      <c r="I342" s="27"/>
      <c r="J342" s="27"/>
      <c r="K342" s="27"/>
      <c r="L342" s="27"/>
      <c r="M342" s="27"/>
      <c r="N342" s="27"/>
      <c r="O342" s="27"/>
      <c r="P342" s="27"/>
      <c r="Q342" s="27"/>
      <c r="R342" s="27"/>
      <c r="S342" s="27"/>
      <c r="T342" s="27"/>
      <c r="U342" s="27"/>
      <c r="V342" s="25"/>
      <c r="W342" s="31" t="e">
        <f>INDEX(TBL_PIPED_IMPORTERS_CONNECTIONS[PipedImporterConnectionID],$A342)</f>
        <v>#REF!</v>
      </c>
      <c r="X342" s="31" t="e">
        <f>"PipedImporterCapMin_"&amp;RIGHT($W342,11)</f>
        <v>#REF!</v>
      </c>
    </row>
    <row r="343" spans="1:24" x14ac:dyDescent="0.25">
      <c r="A343" s="94">
        <f t="shared" ref="A343:A345" si="456">$A342</f>
        <v>85</v>
      </c>
      <c r="B343" s="116"/>
      <c r="C343" s="93" t="str">
        <f t="shared" ref="C343:D343" si="457">IF($B342&lt;&gt;"",C339,"")</f>
        <v/>
      </c>
      <c r="D343" s="93" t="str">
        <f t="shared" si="457"/>
        <v/>
      </c>
      <c r="E343" s="28"/>
      <c r="F343" s="28"/>
      <c r="G343" s="28"/>
      <c r="H343" s="28"/>
      <c r="I343" s="28"/>
      <c r="J343" s="28"/>
      <c r="K343" s="28"/>
      <c r="L343" s="28"/>
      <c r="M343" s="28"/>
      <c r="N343" s="28"/>
      <c r="O343" s="28"/>
      <c r="P343" s="28"/>
      <c r="Q343" s="28"/>
      <c r="R343" s="28"/>
      <c r="S343" s="28"/>
      <c r="T343" s="28"/>
      <c r="U343" s="28"/>
      <c r="V343" s="26"/>
      <c r="W343" s="31" t="e">
        <f>INDEX(TBL_PIPED_IMPORTERS_CONNECTIONS[PipedImporterConnectionID],$A343)</f>
        <v>#REF!</v>
      </c>
      <c r="X343" s="31" t="e">
        <f>"PipedImporterCapMax_"&amp;RIGHT($W343,11)</f>
        <v>#REF!</v>
      </c>
    </row>
    <row r="344" spans="1:24" x14ac:dyDescent="0.25">
      <c r="A344" s="94">
        <f t="shared" si="456"/>
        <v>85</v>
      </c>
      <c r="B344" s="116"/>
      <c r="C344" s="93" t="str">
        <f t="shared" ref="C344:D344" si="458">IF($B342&lt;&gt;"",C340,"")</f>
        <v/>
      </c>
      <c r="D344" s="93" t="str">
        <f t="shared" si="458"/>
        <v/>
      </c>
      <c r="E344" s="27"/>
      <c r="F344" s="27"/>
      <c r="G344" s="27"/>
      <c r="H344" s="27"/>
      <c r="I344" s="27"/>
      <c r="J344" s="27"/>
      <c r="K344" s="27"/>
      <c r="L344" s="27"/>
      <c r="M344" s="27"/>
      <c r="N344" s="27"/>
      <c r="O344" s="27"/>
      <c r="P344" s="27"/>
      <c r="Q344" s="27"/>
      <c r="R344" s="27"/>
      <c r="S344" s="27"/>
      <c r="T344" s="27"/>
      <c r="U344" s="27"/>
      <c r="V344" s="25"/>
      <c r="W344" s="31" t="e">
        <f>INDEX(TBL_PIPED_IMPORTERS_CONNECTIONS[PipedImporterConnectionID],$A344)</f>
        <v>#REF!</v>
      </c>
      <c r="X344" s="31" t="e">
        <f>"PipedImporterTariffFixed_"&amp;RIGHT($W344,11)</f>
        <v>#REF!</v>
      </c>
    </row>
    <row r="345" spans="1:24" x14ac:dyDescent="0.25">
      <c r="A345" s="94">
        <f t="shared" si="456"/>
        <v>85</v>
      </c>
      <c r="B345" s="117"/>
      <c r="C345" s="93" t="str">
        <f t="shared" ref="C345:D345" si="459">IF($B342&lt;&gt;"",C341,"")</f>
        <v/>
      </c>
      <c r="D345" s="93" t="str">
        <f t="shared" si="459"/>
        <v/>
      </c>
      <c r="E345" s="28"/>
      <c r="F345" s="28"/>
      <c r="G345" s="28"/>
      <c r="H345" s="28"/>
      <c r="I345" s="28"/>
      <c r="J345" s="28"/>
      <c r="K345" s="28"/>
      <c r="L345" s="28"/>
      <c r="M345" s="28"/>
      <c r="N345" s="28"/>
      <c r="O345" s="28"/>
      <c r="P345" s="28"/>
      <c r="Q345" s="28"/>
      <c r="R345" s="28"/>
      <c r="S345" s="28"/>
      <c r="T345" s="28"/>
      <c r="U345" s="28"/>
      <c r="V345" s="26"/>
      <c r="W345" s="31" t="e">
        <f>INDEX(TBL_PIPED_IMPORTERS_CONNECTIONS[PipedImporterConnectionID],$A345)</f>
        <v>#REF!</v>
      </c>
      <c r="X345" s="31" t="e">
        <f>"PipedImporterTariffVar_"&amp;RIGHT($W345,11)</f>
        <v>#REF!</v>
      </c>
    </row>
    <row r="346" spans="1:24" x14ac:dyDescent="0.25">
      <c r="A346" s="94">
        <f t="shared" ref="A346" si="460">$A342+1</f>
        <v>86</v>
      </c>
      <c r="B346" s="115" t="str">
        <f>IFERROR(INDEX(TBL_PIPED_IMPORTERS_CONNECTIONS[Name],$A346),"")</f>
        <v/>
      </c>
      <c r="C346" s="93" t="str">
        <f t="shared" ref="C346:D346" si="461">IF($B346&lt;&gt;"",C342,"")</f>
        <v/>
      </c>
      <c r="D346" s="93" t="str">
        <f t="shared" si="461"/>
        <v/>
      </c>
      <c r="E346" s="27"/>
      <c r="F346" s="27"/>
      <c r="G346" s="27"/>
      <c r="H346" s="27"/>
      <c r="I346" s="27"/>
      <c r="J346" s="27"/>
      <c r="K346" s="27"/>
      <c r="L346" s="27"/>
      <c r="M346" s="27"/>
      <c r="N346" s="27"/>
      <c r="O346" s="27"/>
      <c r="P346" s="27"/>
      <c r="Q346" s="27"/>
      <c r="R346" s="27"/>
      <c r="S346" s="27"/>
      <c r="T346" s="27"/>
      <c r="U346" s="27"/>
      <c r="V346" s="25"/>
      <c r="W346" s="31" t="e">
        <f>INDEX(TBL_PIPED_IMPORTERS_CONNECTIONS[PipedImporterConnectionID],$A346)</f>
        <v>#REF!</v>
      </c>
      <c r="X346" s="31" t="e">
        <f>"PipedImporterCapMin_"&amp;RIGHT($W346,11)</f>
        <v>#REF!</v>
      </c>
    </row>
    <row r="347" spans="1:24" x14ac:dyDescent="0.25">
      <c r="A347" s="94">
        <f t="shared" ref="A347:A365" si="462">$A346</f>
        <v>86</v>
      </c>
      <c r="B347" s="116"/>
      <c r="C347" s="93" t="str">
        <f t="shared" ref="C347:D347" si="463">IF($B346&lt;&gt;"",C343,"")</f>
        <v/>
      </c>
      <c r="D347" s="93" t="str">
        <f t="shared" si="463"/>
        <v/>
      </c>
      <c r="E347" s="28"/>
      <c r="F347" s="28"/>
      <c r="G347" s="28"/>
      <c r="H347" s="28"/>
      <c r="I347" s="28"/>
      <c r="J347" s="28"/>
      <c r="K347" s="28"/>
      <c r="L347" s="28"/>
      <c r="M347" s="28"/>
      <c r="N347" s="28"/>
      <c r="O347" s="28"/>
      <c r="P347" s="28"/>
      <c r="Q347" s="28"/>
      <c r="R347" s="28"/>
      <c r="S347" s="28"/>
      <c r="T347" s="28"/>
      <c r="U347" s="28"/>
      <c r="V347" s="26"/>
      <c r="W347" s="31" t="e">
        <f>INDEX(TBL_PIPED_IMPORTERS_CONNECTIONS[PipedImporterConnectionID],$A347)</f>
        <v>#REF!</v>
      </c>
      <c r="X347" s="31" t="e">
        <f>"PipedImporterCapMax_"&amp;RIGHT($W347,11)</f>
        <v>#REF!</v>
      </c>
    </row>
    <row r="348" spans="1:24" x14ac:dyDescent="0.25">
      <c r="A348" s="94">
        <f t="shared" si="462"/>
        <v>86</v>
      </c>
      <c r="B348" s="116"/>
      <c r="C348" s="93" t="str">
        <f t="shared" ref="C348:D348" si="464">IF($B346&lt;&gt;"",C344,"")</f>
        <v/>
      </c>
      <c r="D348" s="93" t="str">
        <f t="shared" si="464"/>
        <v/>
      </c>
      <c r="E348" s="27"/>
      <c r="F348" s="27"/>
      <c r="G348" s="27"/>
      <c r="H348" s="27"/>
      <c r="I348" s="27"/>
      <c r="J348" s="27"/>
      <c r="K348" s="27"/>
      <c r="L348" s="27"/>
      <c r="M348" s="27"/>
      <c r="N348" s="27"/>
      <c r="O348" s="27"/>
      <c r="P348" s="27"/>
      <c r="Q348" s="27"/>
      <c r="R348" s="27"/>
      <c r="S348" s="27"/>
      <c r="T348" s="27"/>
      <c r="U348" s="27"/>
      <c r="V348" s="25"/>
      <c r="W348" s="31" t="e">
        <f>INDEX(TBL_PIPED_IMPORTERS_CONNECTIONS[PipedImporterConnectionID],$A348)</f>
        <v>#REF!</v>
      </c>
      <c r="X348" s="31" t="e">
        <f>"PipedImporterTariffFixed_"&amp;RIGHT($W348,11)</f>
        <v>#REF!</v>
      </c>
    </row>
    <row r="349" spans="1:24" x14ac:dyDescent="0.25">
      <c r="A349" s="94">
        <f t="shared" si="462"/>
        <v>86</v>
      </c>
      <c r="B349" s="117"/>
      <c r="C349" s="93" t="str">
        <f t="shared" ref="C349:D349" si="465">IF($B346&lt;&gt;"",C345,"")</f>
        <v/>
      </c>
      <c r="D349" s="93" t="str">
        <f t="shared" si="465"/>
        <v/>
      </c>
      <c r="E349" s="28"/>
      <c r="F349" s="28"/>
      <c r="G349" s="28"/>
      <c r="H349" s="28"/>
      <c r="I349" s="28"/>
      <c r="J349" s="28"/>
      <c r="K349" s="28"/>
      <c r="L349" s="28"/>
      <c r="M349" s="28"/>
      <c r="N349" s="28"/>
      <c r="O349" s="28"/>
      <c r="P349" s="28"/>
      <c r="Q349" s="28"/>
      <c r="R349" s="28"/>
      <c r="S349" s="28"/>
      <c r="T349" s="28"/>
      <c r="U349" s="28"/>
      <c r="V349" s="26"/>
      <c r="W349" s="31" t="e">
        <f>INDEX(TBL_PIPED_IMPORTERS_CONNECTIONS[PipedImporterConnectionID],$A349)</f>
        <v>#REF!</v>
      </c>
      <c r="X349" s="31" t="e">
        <f>"PipedImporterTariffVar_"&amp;RIGHT($W349,11)</f>
        <v>#REF!</v>
      </c>
    </row>
    <row r="350" spans="1:24" x14ac:dyDescent="0.25">
      <c r="A350" s="94">
        <f t="shared" ref="A350" si="466">$A346+1</f>
        <v>87</v>
      </c>
      <c r="B350" s="115" t="str">
        <f>IFERROR(INDEX(TBL_PIPED_IMPORTERS_CONNECTIONS[Name],$A350),"")</f>
        <v/>
      </c>
      <c r="C350" s="93" t="str">
        <f t="shared" ref="C350:D350" si="467">IF($B350&lt;&gt;"",C346,"")</f>
        <v/>
      </c>
      <c r="D350" s="93" t="str">
        <f t="shared" si="467"/>
        <v/>
      </c>
      <c r="E350" s="27"/>
      <c r="F350" s="27"/>
      <c r="G350" s="27"/>
      <c r="H350" s="27"/>
      <c r="I350" s="27"/>
      <c r="J350" s="27"/>
      <c r="K350" s="27"/>
      <c r="L350" s="27"/>
      <c r="M350" s="27"/>
      <c r="N350" s="27"/>
      <c r="O350" s="27"/>
      <c r="P350" s="27"/>
      <c r="Q350" s="27"/>
      <c r="R350" s="27"/>
      <c r="S350" s="27"/>
      <c r="T350" s="27"/>
      <c r="U350" s="27"/>
      <c r="V350" s="25"/>
      <c r="W350" s="31" t="e">
        <f>INDEX(TBL_PIPED_IMPORTERS_CONNECTIONS[PipedImporterConnectionID],$A350)</f>
        <v>#REF!</v>
      </c>
      <c r="X350" s="31" t="e">
        <f>"PipedImporterCapMin_"&amp;RIGHT($W350,11)</f>
        <v>#REF!</v>
      </c>
    </row>
    <row r="351" spans="1:24" x14ac:dyDescent="0.25">
      <c r="A351" s="94">
        <f t="shared" si="462"/>
        <v>87</v>
      </c>
      <c r="B351" s="116"/>
      <c r="C351" s="93" t="str">
        <f t="shared" ref="C351:D351" si="468">IF($B350&lt;&gt;"",C347,"")</f>
        <v/>
      </c>
      <c r="D351" s="93" t="str">
        <f t="shared" si="468"/>
        <v/>
      </c>
      <c r="E351" s="28"/>
      <c r="F351" s="28"/>
      <c r="G351" s="28"/>
      <c r="H351" s="28"/>
      <c r="I351" s="28"/>
      <c r="J351" s="28"/>
      <c r="K351" s="28"/>
      <c r="L351" s="28"/>
      <c r="M351" s="28"/>
      <c r="N351" s="28"/>
      <c r="O351" s="28"/>
      <c r="P351" s="28"/>
      <c r="Q351" s="28"/>
      <c r="R351" s="28"/>
      <c r="S351" s="28"/>
      <c r="T351" s="28"/>
      <c r="U351" s="28"/>
      <c r="V351" s="26"/>
      <c r="W351" s="31" t="e">
        <f>INDEX(TBL_PIPED_IMPORTERS_CONNECTIONS[PipedImporterConnectionID],$A351)</f>
        <v>#REF!</v>
      </c>
      <c r="X351" s="31" t="e">
        <f>"PipedImporterCapMax_"&amp;RIGHT($W351,11)</f>
        <v>#REF!</v>
      </c>
    </row>
    <row r="352" spans="1:24" x14ac:dyDescent="0.25">
      <c r="A352" s="94">
        <f t="shared" si="462"/>
        <v>87</v>
      </c>
      <c r="B352" s="116"/>
      <c r="C352" s="93" t="str">
        <f t="shared" ref="C352:D352" si="469">IF($B350&lt;&gt;"",C348,"")</f>
        <v/>
      </c>
      <c r="D352" s="93" t="str">
        <f t="shared" si="469"/>
        <v/>
      </c>
      <c r="E352" s="27"/>
      <c r="F352" s="27"/>
      <c r="G352" s="27"/>
      <c r="H352" s="27"/>
      <c r="I352" s="27"/>
      <c r="J352" s="27"/>
      <c r="K352" s="27"/>
      <c r="L352" s="27"/>
      <c r="M352" s="27"/>
      <c r="N352" s="27"/>
      <c r="O352" s="27"/>
      <c r="P352" s="27"/>
      <c r="Q352" s="27"/>
      <c r="R352" s="27"/>
      <c r="S352" s="27"/>
      <c r="T352" s="27"/>
      <c r="U352" s="27"/>
      <c r="V352" s="25"/>
      <c r="W352" s="31" t="e">
        <f>INDEX(TBL_PIPED_IMPORTERS_CONNECTIONS[PipedImporterConnectionID],$A352)</f>
        <v>#REF!</v>
      </c>
      <c r="X352" s="31" t="e">
        <f>"PipedImporterTariffFixed_"&amp;RIGHT($W352,11)</f>
        <v>#REF!</v>
      </c>
    </row>
    <row r="353" spans="1:24" x14ac:dyDescent="0.25">
      <c r="A353" s="94">
        <f t="shared" si="462"/>
        <v>87</v>
      </c>
      <c r="B353" s="117"/>
      <c r="C353" s="93" t="str">
        <f t="shared" ref="C353:D353" si="470">IF($B350&lt;&gt;"",C349,"")</f>
        <v/>
      </c>
      <c r="D353" s="93" t="str">
        <f t="shared" si="470"/>
        <v/>
      </c>
      <c r="E353" s="28"/>
      <c r="F353" s="28"/>
      <c r="G353" s="28"/>
      <c r="H353" s="28"/>
      <c r="I353" s="28"/>
      <c r="J353" s="28"/>
      <c r="K353" s="28"/>
      <c r="L353" s="28"/>
      <c r="M353" s="28"/>
      <c r="N353" s="28"/>
      <c r="O353" s="28"/>
      <c r="P353" s="28"/>
      <c r="Q353" s="28"/>
      <c r="R353" s="28"/>
      <c r="S353" s="28"/>
      <c r="T353" s="28"/>
      <c r="U353" s="28"/>
      <c r="V353" s="26"/>
      <c r="W353" s="31" t="e">
        <f>INDEX(TBL_PIPED_IMPORTERS_CONNECTIONS[PipedImporterConnectionID],$A353)</f>
        <v>#REF!</v>
      </c>
      <c r="X353" s="31" t="e">
        <f>"PipedImporterTariffVar_"&amp;RIGHT($W353,11)</f>
        <v>#REF!</v>
      </c>
    </row>
    <row r="354" spans="1:24" x14ac:dyDescent="0.25">
      <c r="A354" s="94">
        <f t="shared" ref="A354" si="471">$A350+1</f>
        <v>88</v>
      </c>
      <c r="B354" s="115" t="str">
        <f>IFERROR(INDEX(TBL_PIPED_IMPORTERS_CONNECTIONS[Name],$A354),"")</f>
        <v/>
      </c>
      <c r="C354" s="93" t="str">
        <f t="shared" ref="C354:D354" si="472">IF($B354&lt;&gt;"",C350,"")</f>
        <v/>
      </c>
      <c r="D354" s="93" t="str">
        <f t="shared" si="472"/>
        <v/>
      </c>
      <c r="E354" s="27"/>
      <c r="F354" s="27"/>
      <c r="G354" s="27"/>
      <c r="H354" s="27"/>
      <c r="I354" s="27"/>
      <c r="J354" s="27"/>
      <c r="K354" s="27"/>
      <c r="L354" s="27"/>
      <c r="M354" s="27"/>
      <c r="N354" s="27"/>
      <c r="O354" s="27"/>
      <c r="P354" s="27"/>
      <c r="Q354" s="27"/>
      <c r="R354" s="27"/>
      <c r="S354" s="27"/>
      <c r="T354" s="27"/>
      <c r="U354" s="27"/>
      <c r="V354" s="25"/>
      <c r="W354" s="31" t="e">
        <f>INDEX(TBL_PIPED_IMPORTERS_CONNECTIONS[PipedImporterConnectionID],$A354)</f>
        <v>#REF!</v>
      </c>
      <c r="X354" s="31" t="e">
        <f>"PipedImporterCapMin_"&amp;RIGHT($W354,11)</f>
        <v>#REF!</v>
      </c>
    </row>
    <row r="355" spans="1:24" x14ac:dyDescent="0.25">
      <c r="A355" s="94">
        <f t="shared" si="462"/>
        <v>88</v>
      </c>
      <c r="B355" s="116"/>
      <c r="C355" s="93" t="str">
        <f t="shared" ref="C355:D355" si="473">IF($B354&lt;&gt;"",C351,"")</f>
        <v/>
      </c>
      <c r="D355" s="93" t="str">
        <f t="shared" si="473"/>
        <v/>
      </c>
      <c r="E355" s="28"/>
      <c r="F355" s="28"/>
      <c r="G355" s="28"/>
      <c r="H355" s="28"/>
      <c r="I355" s="28"/>
      <c r="J355" s="28"/>
      <c r="K355" s="28"/>
      <c r="L355" s="28"/>
      <c r="M355" s="28"/>
      <c r="N355" s="28"/>
      <c r="O355" s="28"/>
      <c r="P355" s="28"/>
      <c r="Q355" s="28"/>
      <c r="R355" s="28"/>
      <c r="S355" s="28"/>
      <c r="T355" s="28"/>
      <c r="U355" s="28"/>
      <c r="V355" s="26"/>
      <c r="W355" s="31" t="e">
        <f>INDEX(TBL_PIPED_IMPORTERS_CONNECTIONS[PipedImporterConnectionID],$A355)</f>
        <v>#REF!</v>
      </c>
      <c r="X355" s="31" t="e">
        <f>"PipedImporterCapMax_"&amp;RIGHT($W355,11)</f>
        <v>#REF!</v>
      </c>
    </row>
    <row r="356" spans="1:24" x14ac:dyDescent="0.25">
      <c r="A356" s="94">
        <f t="shared" si="462"/>
        <v>88</v>
      </c>
      <c r="B356" s="116"/>
      <c r="C356" s="93" t="str">
        <f t="shared" ref="C356:D356" si="474">IF($B354&lt;&gt;"",C352,"")</f>
        <v/>
      </c>
      <c r="D356" s="93" t="str">
        <f t="shared" si="474"/>
        <v/>
      </c>
      <c r="E356" s="27"/>
      <c r="F356" s="27"/>
      <c r="G356" s="27"/>
      <c r="H356" s="27"/>
      <c r="I356" s="27"/>
      <c r="J356" s="27"/>
      <c r="K356" s="27"/>
      <c r="L356" s="27"/>
      <c r="M356" s="27"/>
      <c r="N356" s="27"/>
      <c r="O356" s="27"/>
      <c r="P356" s="27"/>
      <c r="Q356" s="27"/>
      <c r="R356" s="27"/>
      <c r="S356" s="27"/>
      <c r="T356" s="27"/>
      <c r="U356" s="27"/>
      <c r="V356" s="25"/>
      <c r="W356" s="31" t="e">
        <f>INDEX(TBL_PIPED_IMPORTERS_CONNECTIONS[PipedImporterConnectionID],$A356)</f>
        <v>#REF!</v>
      </c>
      <c r="X356" s="31" t="e">
        <f>"PipedImporterTariffFixed_"&amp;RIGHT($W356,11)</f>
        <v>#REF!</v>
      </c>
    </row>
    <row r="357" spans="1:24" x14ac:dyDescent="0.25">
      <c r="A357" s="94">
        <f t="shared" si="462"/>
        <v>88</v>
      </c>
      <c r="B357" s="117"/>
      <c r="C357" s="93" t="str">
        <f t="shared" ref="C357:D357" si="475">IF($B354&lt;&gt;"",C353,"")</f>
        <v/>
      </c>
      <c r="D357" s="93" t="str">
        <f t="shared" si="475"/>
        <v/>
      </c>
      <c r="E357" s="28"/>
      <c r="F357" s="28"/>
      <c r="G357" s="28"/>
      <c r="H357" s="28"/>
      <c r="I357" s="28"/>
      <c r="J357" s="28"/>
      <c r="K357" s="28"/>
      <c r="L357" s="28"/>
      <c r="M357" s="28"/>
      <c r="N357" s="28"/>
      <c r="O357" s="28"/>
      <c r="P357" s="28"/>
      <c r="Q357" s="28"/>
      <c r="R357" s="28"/>
      <c r="S357" s="28"/>
      <c r="T357" s="28"/>
      <c r="U357" s="28"/>
      <c r="V357" s="26"/>
      <c r="W357" s="31" t="e">
        <f>INDEX(TBL_PIPED_IMPORTERS_CONNECTIONS[PipedImporterConnectionID],$A357)</f>
        <v>#REF!</v>
      </c>
      <c r="X357" s="31" t="e">
        <f>"PipedImporterTariffVar_"&amp;RIGHT($W357,11)</f>
        <v>#REF!</v>
      </c>
    </row>
    <row r="358" spans="1:24" x14ac:dyDescent="0.25">
      <c r="A358" s="94">
        <f t="shared" ref="A358" si="476">$A354+1</f>
        <v>89</v>
      </c>
      <c r="B358" s="115" t="str">
        <f>IFERROR(INDEX(TBL_PIPED_IMPORTERS_CONNECTIONS[Name],$A358),"")</f>
        <v/>
      </c>
      <c r="C358" s="93" t="str">
        <f t="shared" ref="C358:D358" si="477">IF($B358&lt;&gt;"",C354,"")</f>
        <v/>
      </c>
      <c r="D358" s="93" t="str">
        <f t="shared" si="477"/>
        <v/>
      </c>
      <c r="E358" s="27"/>
      <c r="F358" s="27"/>
      <c r="G358" s="27"/>
      <c r="H358" s="27"/>
      <c r="I358" s="27"/>
      <c r="J358" s="27"/>
      <c r="K358" s="27"/>
      <c r="L358" s="27"/>
      <c r="M358" s="27"/>
      <c r="N358" s="27"/>
      <c r="O358" s="27"/>
      <c r="P358" s="27"/>
      <c r="Q358" s="27"/>
      <c r="R358" s="27"/>
      <c r="S358" s="27"/>
      <c r="T358" s="27"/>
      <c r="U358" s="27"/>
      <c r="V358" s="25"/>
      <c r="W358" s="31" t="e">
        <f>INDEX(TBL_PIPED_IMPORTERS_CONNECTIONS[PipedImporterConnectionID],$A358)</f>
        <v>#REF!</v>
      </c>
      <c r="X358" s="31" t="e">
        <f>"PipedImporterCapMin_"&amp;RIGHT($W358,11)</f>
        <v>#REF!</v>
      </c>
    </row>
    <row r="359" spans="1:24" x14ac:dyDescent="0.25">
      <c r="A359" s="94">
        <f t="shared" si="462"/>
        <v>89</v>
      </c>
      <c r="B359" s="116"/>
      <c r="C359" s="93" t="str">
        <f t="shared" ref="C359:D359" si="478">IF($B358&lt;&gt;"",C355,"")</f>
        <v/>
      </c>
      <c r="D359" s="93" t="str">
        <f t="shared" si="478"/>
        <v/>
      </c>
      <c r="E359" s="28"/>
      <c r="F359" s="28"/>
      <c r="G359" s="28"/>
      <c r="H359" s="28"/>
      <c r="I359" s="28"/>
      <c r="J359" s="28"/>
      <c r="K359" s="28"/>
      <c r="L359" s="28"/>
      <c r="M359" s="28"/>
      <c r="N359" s="28"/>
      <c r="O359" s="28"/>
      <c r="P359" s="28"/>
      <c r="Q359" s="28"/>
      <c r="R359" s="28"/>
      <c r="S359" s="28"/>
      <c r="T359" s="28"/>
      <c r="U359" s="28"/>
      <c r="V359" s="26"/>
      <c r="W359" s="31" t="e">
        <f>INDEX(TBL_PIPED_IMPORTERS_CONNECTIONS[PipedImporterConnectionID],$A359)</f>
        <v>#REF!</v>
      </c>
      <c r="X359" s="31" t="e">
        <f>"PipedImporterCapMax_"&amp;RIGHT($W359,11)</f>
        <v>#REF!</v>
      </c>
    </row>
    <row r="360" spans="1:24" x14ac:dyDescent="0.25">
      <c r="A360" s="94">
        <f t="shared" si="462"/>
        <v>89</v>
      </c>
      <c r="B360" s="116"/>
      <c r="C360" s="93" t="str">
        <f t="shared" ref="C360:D360" si="479">IF($B358&lt;&gt;"",C356,"")</f>
        <v/>
      </c>
      <c r="D360" s="93" t="str">
        <f t="shared" si="479"/>
        <v/>
      </c>
      <c r="E360" s="27"/>
      <c r="F360" s="27"/>
      <c r="G360" s="27"/>
      <c r="H360" s="27"/>
      <c r="I360" s="27"/>
      <c r="J360" s="27"/>
      <c r="K360" s="27"/>
      <c r="L360" s="27"/>
      <c r="M360" s="27"/>
      <c r="N360" s="27"/>
      <c r="O360" s="27"/>
      <c r="P360" s="27"/>
      <c r="Q360" s="27"/>
      <c r="R360" s="27"/>
      <c r="S360" s="27"/>
      <c r="T360" s="27"/>
      <c r="U360" s="27"/>
      <c r="V360" s="25"/>
      <c r="W360" s="31" t="e">
        <f>INDEX(TBL_PIPED_IMPORTERS_CONNECTIONS[PipedImporterConnectionID],$A360)</f>
        <v>#REF!</v>
      </c>
      <c r="X360" s="31" t="e">
        <f>"PipedImporterTariffFixed_"&amp;RIGHT($W360,11)</f>
        <v>#REF!</v>
      </c>
    </row>
    <row r="361" spans="1:24" x14ac:dyDescent="0.25">
      <c r="A361" s="94">
        <f t="shared" si="462"/>
        <v>89</v>
      </c>
      <c r="B361" s="117"/>
      <c r="C361" s="93" t="str">
        <f t="shared" ref="C361:D361" si="480">IF($B358&lt;&gt;"",C357,"")</f>
        <v/>
      </c>
      <c r="D361" s="93" t="str">
        <f t="shared" si="480"/>
        <v/>
      </c>
      <c r="E361" s="28"/>
      <c r="F361" s="28"/>
      <c r="G361" s="28"/>
      <c r="H361" s="28"/>
      <c r="I361" s="28"/>
      <c r="J361" s="28"/>
      <c r="K361" s="28"/>
      <c r="L361" s="28"/>
      <c r="M361" s="28"/>
      <c r="N361" s="28"/>
      <c r="O361" s="28"/>
      <c r="P361" s="28"/>
      <c r="Q361" s="28"/>
      <c r="R361" s="28"/>
      <c r="S361" s="28"/>
      <c r="T361" s="28"/>
      <c r="U361" s="28"/>
      <c r="V361" s="26"/>
      <c r="W361" s="31" t="e">
        <f>INDEX(TBL_PIPED_IMPORTERS_CONNECTIONS[PipedImporterConnectionID],$A361)</f>
        <v>#REF!</v>
      </c>
      <c r="X361" s="31" t="e">
        <f>"PipedImporterTariffVar_"&amp;RIGHT($W361,11)</f>
        <v>#REF!</v>
      </c>
    </row>
    <row r="362" spans="1:24" x14ac:dyDescent="0.25">
      <c r="A362" s="94">
        <f t="shared" ref="A362" si="481">$A358+1</f>
        <v>90</v>
      </c>
      <c r="B362" s="115" t="str">
        <f>IFERROR(INDEX(TBL_PIPED_IMPORTERS_CONNECTIONS[Name],$A362),"")</f>
        <v/>
      </c>
      <c r="C362" s="93" t="str">
        <f t="shared" ref="C362:D362" si="482">IF($B362&lt;&gt;"",C358,"")</f>
        <v/>
      </c>
      <c r="D362" s="93" t="str">
        <f t="shared" si="482"/>
        <v/>
      </c>
      <c r="E362" s="27"/>
      <c r="F362" s="27"/>
      <c r="G362" s="27"/>
      <c r="H362" s="27"/>
      <c r="I362" s="27"/>
      <c r="J362" s="27"/>
      <c r="K362" s="27"/>
      <c r="L362" s="27"/>
      <c r="M362" s="27"/>
      <c r="N362" s="27"/>
      <c r="O362" s="27"/>
      <c r="P362" s="27"/>
      <c r="Q362" s="27"/>
      <c r="R362" s="27"/>
      <c r="S362" s="27"/>
      <c r="T362" s="27"/>
      <c r="U362" s="27"/>
      <c r="V362" s="25"/>
      <c r="W362" s="31" t="e">
        <f>INDEX(TBL_PIPED_IMPORTERS_CONNECTIONS[PipedImporterConnectionID],$A362)</f>
        <v>#REF!</v>
      </c>
      <c r="X362" s="31" t="e">
        <f>"PipedImporterCapMin_"&amp;RIGHT($W362,11)</f>
        <v>#REF!</v>
      </c>
    </row>
    <row r="363" spans="1:24" x14ac:dyDescent="0.25">
      <c r="A363" s="94">
        <f t="shared" si="462"/>
        <v>90</v>
      </c>
      <c r="B363" s="116"/>
      <c r="C363" s="93" t="str">
        <f t="shared" ref="C363:D363" si="483">IF($B362&lt;&gt;"",C359,"")</f>
        <v/>
      </c>
      <c r="D363" s="93" t="str">
        <f t="shared" si="483"/>
        <v/>
      </c>
      <c r="E363" s="28"/>
      <c r="F363" s="28"/>
      <c r="G363" s="28"/>
      <c r="H363" s="28"/>
      <c r="I363" s="28"/>
      <c r="J363" s="28"/>
      <c r="K363" s="28"/>
      <c r="L363" s="28"/>
      <c r="M363" s="28"/>
      <c r="N363" s="28"/>
      <c r="O363" s="28"/>
      <c r="P363" s="28"/>
      <c r="Q363" s="28"/>
      <c r="R363" s="28"/>
      <c r="S363" s="28"/>
      <c r="T363" s="28"/>
      <c r="U363" s="28"/>
      <c r="V363" s="26"/>
      <c r="W363" s="31" t="e">
        <f>INDEX(TBL_PIPED_IMPORTERS_CONNECTIONS[PipedImporterConnectionID],$A363)</f>
        <v>#REF!</v>
      </c>
      <c r="X363" s="31" t="e">
        <f>"PipedImporterCapMax_"&amp;RIGHT($W363,11)</f>
        <v>#REF!</v>
      </c>
    </row>
    <row r="364" spans="1:24" x14ac:dyDescent="0.25">
      <c r="A364" s="94">
        <f t="shared" si="462"/>
        <v>90</v>
      </c>
      <c r="B364" s="116"/>
      <c r="C364" s="93" t="str">
        <f t="shared" ref="C364:D364" si="484">IF($B362&lt;&gt;"",C360,"")</f>
        <v/>
      </c>
      <c r="D364" s="93" t="str">
        <f t="shared" si="484"/>
        <v/>
      </c>
      <c r="E364" s="27"/>
      <c r="F364" s="27"/>
      <c r="G364" s="27"/>
      <c r="H364" s="27"/>
      <c r="I364" s="27"/>
      <c r="J364" s="27"/>
      <c r="K364" s="27"/>
      <c r="L364" s="27"/>
      <c r="M364" s="27"/>
      <c r="N364" s="27"/>
      <c r="O364" s="27"/>
      <c r="P364" s="27"/>
      <c r="Q364" s="27"/>
      <c r="R364" s="27"/>
      <c r="S364" s="27"/>
      <c r="T364" s="27"/>
      <c r="U364" s="27"/>
      <c r="V364" s="25"/>
      <c r="W364" s="31" t="e">
        <f>INDEX(TBL_PIPED_IMPORTERS_CONNECTIONS[PipedImporterConnectionID],$A364)</f>
        <v>#REF!</v>
      </c>
      <c r="X364" s="31" t="e">
        <f>"PipedImporterTariffFixed_"&amp;RIGHT($W364,11)</f>
        <v>#REF!</v>
      </c>
    </row>
    <row r="365" spans="1:24" x14ac:dyDescent="0.25">
      <c r="A365" s="94">
        <f t="shared" si="462"/>
        <v>90</v>
      </c>
      <c r="B365" s="117"/>
      <c r="C365" s="93" t="str">
        <f t="shared" ref="C365:D365" si="485">IF($B362&lt;&gt;"",C361,"")</f>
        <v/>
      </c>
      <c r="D365" s="93" t="str">
        <f t="shared" si="485"/>
        <v/>
      </c>
      <c r="E365" s="28"/>
      <c r="F365" s="28"/>
      <c r="G365" s="28"/>
      <c r="H365" s="28"/>
      <c r="I365" s="28"/>
      <c r="J365" s="28"/>
      <c r="K365" s="28"/>
      <c r="L365" s="28"/>
      <c r="M365" s="28"/>
      <c r="N365" s="28"/>
      <c r="O365" s="28"/>
      <c r="P365" s="28"/>
      <c r="Q365" s="28"/>
      <c r="R365" s="28"/>
      <c r="S365" s="28"/>
      <c r="T365" s="28"/>
      <c r="U365" s="28"/>
      <c r="V365" s="26"/>
      <c r="W365" s="31" t="e">
        <f>INDEX(TBL_PIPED_IMPORTERS_CONNECTIONS[PipedImporterConnectionID],$A365)</f>
        <v>#REF!</v>
      </c>
      <c r="X365" s="31" t="e">
        <f>"PipedImporterTariffVar_"&amp;RIGHT($W365,11)</f>
        <v>#REF!</v>
      </c>
    </row>
    <row r="366" spans="1:24" x14ac:dyDescent="0.25">
      <c r="A366" s="94">
        <f t="shared" ref="A366" si="486">$A362+1</f>
        <v>91</v>
      </c>
      <c r="B366" s="115" t="str">
        <f>IFERROR(INDEX(TBL_PIPED_IMPORTERS_CONNECTIONS[Name],$A366),"")</f>
        <v/>
      </c>
      <c r="C366" s="93" t="str">
        <f t="shared" ref="C366:D366" si="487">IF($B366&lt;&gt;"",C362,"")</f>
        <v/>
      </c>
      <c r="D366" s="93" t="str">
        <f t="shared" si="487"/>
        <v/>
      </c>
      <c r="E366" s="27"/>
      <c r="F366" s="27"/>
      <c r="G366" s="27"/>
      <c r="H366" s="27"/>
      <c r="I366" s="27"/>
      <c r="J366" s="27"/>
      <c r="K366" s="27"/>
      <c r="L366" s="27"/>
      <c r="M366" s="27"/>
      <c r="N366" s="27"/>
      <c r="O366" s="27"/>
      <c r="P366" s="27"/>
      <c r="Q366" s="27"/>
      <c r="R366" s="27"/>
      <c r="S366" s="27"/>
      <c r="T366" s="27"/>
      <c r="U366" s="27"/>
      <c r="V366" s="25"/>
      <c r="W366" s="31" t="e">
        <f>INDEX(TBL_PIPED_IMPORTERS_CONNECTIONS[PipedImporterConnectionID],$A366)</f>
        <v>#REF!</v>
      </c>
      <c r="X366" s="31" t="e">
        <f>"PipedImporterCapMin_"&amp;RIGHT($W366,11)</f>
        <v>#REF!</v>
      </c>
    </row>
    <row r="367" spans="1:24" x14ac:dyDescent="0.25">
      <c r="A367" s="94">
        <f t="shared" ref="A367:A369" si="488">$A366</f>
        <v>91</v>
      </c>
      <c r="B367" s="116"/>
      <c r="C367" s="93" t="str">
        <f t="shared" ref="C367:D367" si="489">IF($B366&lt;&gt;"",C363,"")</f>
        <v/>
      </c>
      <c r="D367" s="93" t="str">
        <f t="shared" si="489"/>
        <v/>
      </c>
      <c r="E367" s="28"/>
      <c r="F367" s="28"/>
      <c r="G367" s="28"/>
      <c r="H367" s="28"/>
      <c r="I367" s="28"/>
      <c r="J367" s="28"/>
      <c r="K367" s="28"/>
      <c r="L367" s="28"/>
      <c r="M367" s="28"/>
      <c r="N367" s="28"/>
      <c r="O367" s="28"/>
      <c r="P367" s="28"/>
      <c r="Q367" s="28"/>
      <c r="R367" s="28"/>
      <c r="S367" s="28"/>
      <c r="T367" s="28"/>
      <c r="U367" s="28"/>
      <c r="V367" s="26"/>
      <c r="W367" s="31" t="e">
        <f>INDEX(TBL_PIPED_IMPORTERS_CONNECTIONS[PipedImporterConnectionID],$A367)</f>
        <v>#REF!</v>
      </c>
      <c r="X367" s="31" t="e">
        <f>"PipedImporterCapMax_"&amp;RIGHT($W367,11)</f>
        <v>#REF!</v>
      </c>
    </row>
    <row r="368" spans="1:24" x14ac:dyDescent="0.25">
      <c r="A368" s="94">
        <f t="shared" si="488"/>
        <v>91</v>
      </c>
      <c r="B368" s="116"/>
      <c r="C368" s="93" t="str">
        <f t="shared" ref="C368:D368" si="490">IF($B366&lt;&gt;"",C364,"")</f>
        <v/>
      </c>
      <c r="D368" s="93" t="str">
        <f t="shared" si="490"/>
        <v/>
      </c>
      <c r="E368" s="27"/>
      <c r="F368" s="27"/>
      <c r="G368" s="27"/>
      <c r="H368" s="27"/>
      <c r="I368" s="27"/>
      <c r="J368" s="27"/>
      <c r="K368" s="27"/>
      <c r="L368" s="27"/>
      <c r="M368" s="27"/>
      <c r="N368" s="27"/>
      <c r="O368" s="27"/>
      <c r="P368" s="27"/>
      <c r="Q368" s="27"/>
      <c r="R368" s="27"/>
      <c r="S368" s="27"/>
      <c r="T368" s="27"/>
      <c r="U368" s="27"/>
      <c r="V368" s="25"/>
      <c r="W368" s="31" t="e">
        <f>INDEX(TBL_PIPED_IMPORTERS_CONNECTIONS[PipedImporterConnectionID],$A368)</f>
        <v>#REF!</v>
      </c>
      <c r="X368" s="31" t="e">
        <f>"PipedImporterTariffFixed_"&amp;RIGHT($W368,11)</f>
        <v>#REF!</v>
      </c>
    </row>
    <row r="369" spans="1:24" x14ac:dyDescent="0.25">
      <c r="A369" s="94">
        <f t="shared" si="488"/>
        <v>91</v>
      </c>
      <c r="B369" s="117"/>
      <c r="C369" s="93" t="str">
        <f t="shared" ref="C369:D369" si="491">IF($B366&lt;&gt;"",C365,"")</f>
        <v/>
      </c>
      <c r="D369" s="93" t="str">
        <f t="shared" si="491"/>
        <v/>
      </c>
      <c r="E369" s="28"/>
      <c r="F369" s="28"/>
      <c r="G369" s="28"/>
      <c r="H369" s="28"/>
      <c r="I369" s="28"/>
      <c r="J369" s="28"/>
      <c r="K369" s="28"/>
      <c r="L369" s="28"/>
      <c r="M369" s="28"/>
      <c r="N369" s="28"/>
      <c r="O369" s="28"/>
      <c r="P369" s="28"/>
      <c r="Q369" s="28"/>
      <c r="R369" s="28"/>
      <c r="S369" s="28"/>
      <c r="T369" s="28"/>
      <c r="U369" s="28"/>
      <c r="V369" s="26"/>
      <c r="W369" s="31" t="e">
        <f>INDEX(TBL_PIPED_IMPORTERS_CONNECTIONS[PipedImporterConnectionID],$A369)</f>
        <v>#REF!</v>
      </c>
      <c r="X369" s="31" t="e">
        <f>"PipedImporterTariffVar_"&amp;RIGHT($W369,11)</f>
        <v>#REF!</v>
      </c>
    </row>
    <row r="370" spans="1:24" x14ac:dyDescent="0.25">
      <c r="A370" s="94">
        <f t="shared" ref="A370" si="492">$A366+1</f>
        <v>92</v>
      </c>
      <c r="B370" s="115" t="str">
        <f>IFERROR(INDEX(TBL_PIPED_IMPORTERS_CONNECTIONS[Name],$A370),"")</f>
        <v/>
      </c>
      <c r="C370" s="93" t="str">
        <f t="shared" ref="C370:D370" si="493">IF($B370&lt;&gt;"",C366,"")</f>
        <v/>
      </c>
      <c r="D370" s="93" t="str">
        <f t="shared" si="493"/>
        <v/>
      </c>
      <c r="E370" s="27"/>
      <c r="F370" s="27"/>
      <c r="G370" s="27"/>
      <c r="H370" s="27"/>
      <c r="I370" s="27"/>
      <c r="J370" s="27"/>
      <c r="K370" s="27"/>
      <c r="L370" s="27"/>
      <c r="M370" s="27"/>
      <c r="N370" s="27"/>
      <c r="O370" s="27"/>
      <c r="P370" s="27"/>
      <c r="Q370" s="27"/>
      <c r="R370" s="27"/>
      <c r="S370" s="27"/>
      <c r="T370" s="27"/>
      <c r="U370" s="27"/>
      <c r="V370" s="25"/>
      <c r="W370" s="31" t="e">
        <f>INDEX(TBL_PIPED_IMPORTERS_CONNECTIONS[PipedImporterConnectionID],$A370)</f>
        <v>#REF!</v>
      </c>
      <c r="X370" s="31" t="e">
        <f>"PipedImporterCapMin_"&amp;RIGHT($W370,11)</f>
        <v>#REF!</v>
      </c>
    </row>
    <row r="371" spans="1:24" x14ac:dyDescent="0.25">
      <c r="A371" s="94">
        <f t="shared" ref="A371:A373" si="494">$A370</f>
        <v>92</v>
      </c>
      <c r="B371" s="116"/>
      <c r="C371" s="93" t="str">
        <f t="shared" ref="C371:D371" si="495">IF($B370&lt;&gt;"",C367,"")</f>
        <v/>
      </c>
      <c r="D371" s="93" t="str">
        <f t="shared" si="495"/>
        <v/>
      </c>
      <c r="E371" s="28"/>
      <c r="F371" s="28"/>
      <c r="G371" s="28"/>
      <c r="H371" s="28"/>
      <c r="I371" s="28"/>
      <c r="J371" s="28"/>
      <c r="K371" s="28"/>
      <c r="L371" s="28"/>
      <c r="M371" s="28"/>
      <c r="N371" s="28"/>
      <c r="O371" s="28"/>
      <c r="P371" s="28"/>
      <c r="Q371" s="28"/>
      <c r="R371" s="28"/>
      <c r="S371" s="28"/>
      <c r="T371" s="28"/>
      <c r="U371" s="28"/>
      <c r="V371" s="26"/>
      <c r="W371" s="31" t="e">
        <f>INDEX(TBL_PIPED_IMPORTERS_CONNECTIONS[PipedImporterConnectionID],$A371)</f>
        <v>#REF!</v>
      </c>
      <c r="X371" s="31" t="e">
        <f>"PipedImporterCapMax_"&amp;RIGHT($W371,11)</f>
        <v>#REF!</v>
      </c>
    </row>
    <row r="372" spans="1:24" x14ac:dyDescent="0.25">
      <c r="A372" s="94">
        <f t="shared" si="494"/>
        <v>92</v>
      </c>
      <c r="B372" s="116"/>
      <c r="C372" s="93" t="str">
        <f t="shared" ref="C372:D372" si="496">IF($B370&lt;&gt;"",C368,"")</f>
        <v/>
      </c>
      <c r="D372" s="93" t="str">
        <f t="shared" si="496"/>
        <v/>
      </c>
      <c r="E372" s="27"/>
      <c r="F372" s="27"/>
      <c r="G372" s="27"/>
      <c r="H372" s="27"/>
      <c r="I372" s="27"/>
      <c r="J372" s="27"/>
      <c r="K372" s="27"/>
      <c r="L372" s="27"/>
      <c r="M372" s="27"/>
      <c r="N372" s="27"/>
      <c r="O372" s="27"/>
      <c r="P372" s="27"/>
      <c r="Q372" s="27"/>
      <c r="R372" s="27"/>
      <c r="S372" s="27"/>
      <c r="T372" s="27"/>
      <c r="U372" s="27"/>
      <c r="V372" s="25"/>
      <c r="W372" s="31" t="e">
        <f>INDEX(TBL_PIPED_IMPORTERS_CONNECTIONS[PipedImporterConnectionID],$A372)</f>
        <v>#REF!</v>
      </c>
      <c r="X372" s="31" t="e">
        <f>"PipedImporterTariffFixed_"&amp;RIGHT($W372,11)</f>
        <v>#REF!</v>
      </c>
    </row>
    <row r="373" spans="1:24" x14ac:dyDescent="0.25">
      <c r="A373" s="94">
        <f t="shared" si="494"/>
        <v>92</v>
      </c>
      <c r="B373" s="117"/>
      <c r="C373" s="93" t="str">
        <f t="shared" ref="C373:D373" si="497">IF($B370&lt;&gt;"",C369,"")</f>
        <v/>
      </c>
      <c r="D373" s="93" t="str">
        <f t="shared" si="497"/>
        <v/>
      </c>
      <c r="E373" s="28"/>
      <c r="F373" s="28"/>
      <c r="G373" s="28"/>
      <c r="H373" s="28"/>
      <c r="I373" s="28"/>
      <c r="J373" s="28"/>
      <c r="K373" s="28"/>
      <c r="L373" s="28"/>
      <c r="M373" s="28"/>
      <c r="N373" s="28"/>
      <c r="O373" s="28"/>
      <c r="P373" s="28"/>
      <c r="Q373" s="28"/>
      <c r="R373" s="28"/>
      <c r="S373" s="28"/>
      <c r="T373" s="28"/>
      <c r="U373" s="28"/>
      <c r="V373" s="26"/>
      <c r="W373" s="31" t="e">
        <f>INDEX(TBL_PIPED_IMPORTERS_CONNECTIONS[PipedImporterConnectionID],$A373)</f>
        <v>#REF!</v>
      </c>
      <c r="X373" s="31" t="e">
        <f>"PipedImporterTariffVar_"&amp;RIGHT($W373,11)</f>
        <v>#REF!</v>
      </c>
    </row>
    <row r="374" spans="1:24" x14ac:dyDescent="0.25">
      <c r="A374" s="94">
        <f t="shared" ref="A374" si="498">$A370+1</f>
        <v>93</v>
      </c>
      <c r="B374" s="115" t="str">
        <f>IFERROR(INDEX(TBL_PIPED_IMPORTERS_CONNECTIONS[Name],$A374),"")</f>
        <v/>
      </c>
      <c r="C374" s="93" t="str">
        <f t="shared" ref="C374:D374" si="499">IF($B374&lt;&gt;"",C370,"")</f>
        <v/>
      </c>
      <c r="D374" s="93" t="str">
        <f t="shared" si="499"/>
        <v/>
      </c>
      <c r="E374" s="27"/>
      <c r="F374" s="27"/>
      <c r="G374" s="27"/>
      <c r="H374" s="27"/>
      <c r="I374" s="27"/>
      <c r="J374" s="27"/>
      <c r="K374" s="27"/>
      <c r="L374" s="27"/>
      <c r="M374" s="27"/>
      <c r="N374" s="27"/>
      <c r="O374" s="27"/>
      <c r="P374" s="27"/>
      <c r="Q374" s="27"/>
      <c r="R374" s="27"/>
      <c r="S374" s="27"/>
      <c r="T374" s="27"/>
      <c r="U374" s="27"/>
      <c r="V374" s="25"/>
      <c r="W374" s="31" t="e">
        <f>INDEX(TBL_PIPED_IMPORTERS_CONNECTIONS[PipedImporterConnectionID],$A374)</f>
        <v>#REF!</v>
      </c>
      <c r="X374" s="31" t="e">
        <f>"PipedImporterCapMin_"&amp;RIGHT($W374,11)</f>
        <v>#REF!</v>
      </c>
    </row>
    <row r="375" spans="1:24" x14ac:dyDescent="0.25">
      <c r="A375" s="94">
        <f t="shared" ref="A375:A393" si="500">$A374</f>
        <v>93</v>
      </c>
      <c r="B375" s="116"/>
      <c r="C375" s="93" t="str">
        <f t="shared" ref="C375:D375" si="501">IF($B374&lt;&gt;"",C371,"")</f>
        <v/>
      </c>
      <c r="D375" s="93" t="str">
        <f t="shared" si="501"/>
        <v/>
      </c>
      <c r="E375" s="28"/>
      <c r="F375" s="28"/>
      <c r="G375" s="28"/>
      <c r="H375" s="28"/>
      <c r="I375" s="28"/>
      <c r="J375" s="28"/>
      <c r="K375" s="28"/>
      <c r="L375" s="28"/>
      <c r="M375" s="28"/>
      <c r="N375" s="28"/>
      <c r="O375" s="28"/>
      <c r="P375" s="28"/>
      <c r="Q375" s="28"/>
      <c r="R375" s="28"/>
      <c r="S375" s="28"/>
      <c r="T375" s="28"/>
      <c r="U375" s="28"/>
      <c r="V375" s="26"/>
      <c r="W375" s="31" t="e">
        <f>INDEX(TBL_PIPED_IMPORTERS_CONNECTIONS[PipedImporterConnectionID],$A375)</f>
        <v>#REF!</v>
      </c>
      <c r="X375" s="31" t="e">
        <f>"PipedImporterCapMax_"&amp;RIGHT($W375,11)</f>
        <v>#REF!</v>
      </c>
    </row>
    <row r="376" spans="1:24" x14ac:dyDescent="0.25">
      <c r="A376" s="94">
        <f t="shared" si="500"/>
        <v>93</v>
      </c>
      <c r="B376" s="116"/>
      <c r="C376" s="93" t="str">
        <f t="shared" ref="C376:D376" si="502">IF($B374&lt;&gt;"",C372,"")</f>
        <v/>
      </c>
      <c r="D376" s="93" t="str">
        <f t="shared" si="502"/>
        <v/>
      </c>
      <c r="E376" s="27"/>
      <c r="F376" s="27"/>
      <c r="G376" s="27"/>
      <c r="H376" s="27"/>
      <c r="I376" s="27"/>
      <c r="J376" s="27"/>
      <c r="K376" s="27"/>
      <c r="L376" s="27"/>
      <c r="M376" s="27"/>
      <c r="N376" s="27"/>
      <c r="O376" s="27"/>
      <c r="P376" s="27"/>
      <c r="Q376" s="27"/>
      <c r="R376" s="27"/>
      <c r="S376" s="27"/>
      <c r="T376" s="27"/>
      <c r="U376" s="27"/>
      <c r="V376" s="25"/>
      <c r="W376" s="31" t="e">
        <f>INDEX(TBL_PIPED_IMPORTERS_CONNECTIONS[PipedImporterConnectionID],$A376)</f>
        <v>#REF!</v>
      </c>
      <c r="X376" s="31" t="e">
        <f>"PipedImporterTariffFixed_"&amp;RIGHT($W376,11)</f>
        <v>#REF!</v>
      </c>
    </row>
    <row r="377" spans="1:24" x14ac:dyDescent="0.25">
      <c r="A377" s="94">
        <f t="shared" si="500"/>
        <v>93</v>
      </c>
      <c r="B377" s="117"/>
      <c r="C377" s="93" t="str">
        <f t="shared" ref="C377:D377" si="503">IF($B374&lt;&gt;"",C373,"")</f>
        <v/>
      </c>
      <c r="D377" s="93" t="str">
        <f t="shared" si="503"/>
        <v/>
      </c>
      <c r="E377" s="28"/>
      <c r="F377" s="28"/>
      <c r="G377" s="28"/>
      <c r="H377" s="28"/>
      <c r="I377" s="28"/>
      <c r="J377" s="28"/>
      <c r="K377" s="28"/>
      <c r="L377" s="28"/>
      <c r="M377" s="28"/>
      <c r="N377" s="28"/>
      <c r="O377" s="28"/>
      <c r="P377" s="28"/>
      <c r="Q377" s="28"/>
      <c r="R377" s="28"/>
      <c r="S377" s="28"/>
      <c r="T377" s="28"/>
      <c r="U377" s="28"/>
      <c r="V377" s="26"/>
      <c r="W377" s="31" t="e">
        <f>INDEX(TBL_PIPED_IMPORTERS_CONNECTIONS[PipedImporterConnectionID],$A377)</f>
        <v>#REF!</v>
      </c>
      <c r="X377" s="31" t="e">
        <f>"PipedImporterTariffVar_"&amp;RIGHT($W377,11)</f>
        <v>#REF!</v>
      </c>
    </row>
    <row r="378" spans="1:24" x14ac:dyDescent="0.25">
      <c r="A378" s="94">
        <f t="shared" ref="A378" si="504">$A374+1</f>
        <v>94</v>
      </c>
      <c r="B378" s="115" t="str">
        <f>IFERROR(INDEX(TBL_PIPED_IMPORTERS_CONNECTIONS[Name],$A378),"")</f>
        <v/>
      </c>
      <c r="C378" s="93" t="str">
        <f t="shared" ref="C378:D378" si="505">IF($B378&lt;&gt;"",C374,"")</f>
        <v/>
      </c>
      <c r="D378" s="93" t="str">
        <f t="shared" si="505"/>
        <v/>
      </c>
      <c r="E378" s="27"/>
      <c r="F378" s="27"/>
      <c r="G378" s="27"/>
      <c r="H378" s="27"/>
      <c r="I378" s="27"/>
      <c r="J378" s="27"/>
      <c r="K378" s="27"/>
      <c r="L378" s="27"/>
      <c r="M378" s="27"/>
      <c r="N378" s="27"/>
      <c r="O378" s="27"/>
      <c r="P378" s="27"/>
      <c r="Q378" s="27"/>
      <c r="R378" s="27"/>
      <c r="S378" s="27"/>
      <c r="T378" s="27"/>
      <c r="U378" s="27"/>
      <c r="V378" s="25"/>
      <c r="W378" s="31" t="e">
        <f>INDEX(TBL_PIPED_IMPORTERS_CONNECTIONS[PipedImporterConnectionID],$A378)</f>
        <v>#REF!</v>
      </c>
      <c r="X378" s="31" t="e">
        <f>"PipedImporterCapMin_"&amp;RIGHT($W378,11)</f>
        <v>#REF!</v>
      </c>
    </row>
    <row r="379" spans="1:24" x14ac:dyDescent="0.25">
      <c r="A379" s="94">
        <f t="shared" si="500"/>
        <v>94</v>
      </c>
      <c r="B379" s="116"/>
      <c r="C379" s="93" t="str">
        <f t="shared" ref="C379:D379" si="506">IF($B378&lt;&gt;"",C375,"")</f>
        <v/>
      </c>
      <c r="D379" s="93" t="str">
        <f t="shared" si="506"/>
        <v/>
      </c>
      <c r="E379" s="28"/>
      <c r="F379" s="28"/>
      <c r="G379" s="28"/>
      <c r="H379" s="28"/>
      <c r="I379" s="28"/>
      <c r="J379" s="28"/>
      <c r="K379" s="28"/>
      <c r="L379" s="28"/>
      <c r="M379" s="28"/>
      <c r="N379" s="28"/>
      <c r="O379" s="28"/>
      <c r="P379" s="28"/>
      <c r="Q379" s="28"/>
      <c r="R379" s="28"/>
      <c r="S379" s="28"/>
      <c r="T379" s="28"/>
      <c r="U379" s="28"/>
      <c r="V379" s="26"/>
      <c r="W379" s="31" t="e">
        <f>INDEX(TBL_PIPED_IMPORTERS_CONNECTIONS[PipedImporterConnectionID],$A379)</f>
        <v>#REF!</v>
      </c>
      <c r="X379" s="31" t="e">
        <f>"PipedImporterCapMax_"&amp;RIGHT($W379,11)</f>
        <v>#REF!</v>
      </c>
    </row>
    <row r="380" spans="1:24" x14ac:dyDescent="0.25">
      <c r="A380" s="94">
        <f t="shared" si="500"/>
        <v>94</v>
      </c>
      <c r="B380" s="116"/>
      <c r="C380" s="93" t="str">
        <f t="shared" ref="C380:D380" si="507">IF($B378&lt;&gt;"",C376,"")</f>
        <v/>
      </c>
      <c r="D380" s="93" t="str">
        <f t="shared" si="507"/>
        <v/>
      </c>
      <c r="E380" s="27"/>
      <c r="F380" s="27"/>
      <c r="G380" s="27"/>
      <c r="H380" s="27"/>
      <c r="I380" s="27"/>
      <c r="J380" s="27"/>
      <c r="K380" s="27"/>
      <c r="L380" s="27"/>
      <c r="M380" s="27"/>
      <c r="N380" s="27"/>
      <c r="O380" s="27"/>
      <c r="P380" s="27"/>
      <c r="Q380" s="27"/>
      <c r="R380" s="27"/>
      <c r="S380" s="27"/>
      <c r="T380" s="27"/>
      <c r="U380" s="27"/>
      <c r="V380" s="25"/>
      <c r="W380" s="31" t="e">
        <f>INDEX(TBL_PIPED_IMPORTERS_CONNECTIONS[PipedImporterConnectionID],$A380)</f>
        <v>#REF!</v>
      </c>
      <c r="X380" s="31" t="e">
        <f>"PipedImporterTariffFixed_"&amp;RIGHT($W380,11)</f>
        <v>#REF!</v>
      </c>
    </row>
    <row r="381" spans="1:24" x14ac:dyDescent="0.25">
      <c r="A381" s="94">
        <f t="shared" si="500"/>
        <v>94</v>
      </c>
      <c r="B381" s="117"/>
      <c r="C381" s="93" t="str">
        <f t="shared" ref="C381:D381" si="508">IF($B378&lt;&gt;"",C377,"")</f>
        <v/>
      </c>
      <c r="D381" s="93" t="str">
        <f t="shared" si="508"/>
        <v/>
      </c>
      <c r="E381" s="28"/>
      <c r="F381" s="28"/>
      <c r="G381" s="28"/>
      <c r="H381" s="28"/>
      <c r="I381" s="28"/>
      <c r="J381" s="28"/>
      <c r="K381" s="28"/>
      <c r="L381" s="28"/>
      <c r="M381" s="28"/>
      <c r="N381" s="28"/>
      <c r="O381" s="28"/>
      <c r="P381" s="28"/>
      <c r="Q381" s="28"/>
      <c r="R381" s="28"/>
      <c r="S381" s="28"/>
      <c r="T381" s="28"/>
      <c r="U381" s="28"/>
      <c r="V381" s="26"/>
      <c r="W381" s="31" t="e">
        <f>INDEX(TBL_PIPED_IMPORTERS_CONNECTIONS[PipedImporterConnectionID],$A381)</f>
        <v>#REF!</v>
      </c>
      <c r="X381" s="31" t="e">
        <f>"PipedImporterTariffVar_"&amp;RIGHT($W381,11)</f>
        <v>#REF!</v>
      </c>
    </row>
    <row r="382" spans="1:24" x14ac:dyDescent="0.25">
      <c r="A382" s="94">
        <f t="shared" ref="A382" si="509">$A378+1</f>
        <v>95</v>
      </c>
      <c r="B382" s="115" t="str">
        <f>IFERROR(INDEX(TBL_PIPED_IMPORTERS_CONNECTIONS[Name],$A382),"")</f>
        <v/>
      </c>
      <c r="C382" s="93" t="str">
        <f t="shared" ref="C382:D382" si="510">IF($B382&lt;&gt;"",C378,"")</f>
        <v/>
      </c>
      <c r="D382" s="93" t="str">
        <f t="shared" si="510"/>
        <v/>
      </c>
      <c r="E382" s="27"/>
      <c r="F382" s="27"/>
      <c r="G382" s="27"/>
      <c r="H382" s="27"/>
      <c r="I382" s="27"/>
      <c r="J382" s="27"/>
      <c r="K382" s="27"/>
      <c r="L382" s="27"/>
      <c r="M382" s="27"/>
      <c r="N382" s="27"/>
      <c r="O382" s="27"/>
      <c r="P382" s="27"/>
      <c r="Q382" s="27"/>
      <c r="R382" s="27"/>
      <c r="S382" s="27"/>
      <c r="T382" s="27"/>
      <c r="U382" s="27"/>
      <c r="V382" s="25"/>
      <c r="W382" s="31" t="e">
        <f>INDEX(TBL_PIPED_IMPORTERS_CONNECTIONS[PipedImporterConnectionID],$A382)</f>
        <v>#REF!</v>
      </c>
      <c r="X382" s="31" t="e">
        <f>"PipedImporterCapMin_"&amp;RIGHT($W382,11)</f>
        <v>#REF!</v>
      </c>
    </row>
    <row r="383" spans="1:24" x14ac:dyDescent="0.25">
      <c r="A383" s="94">
        <f t="shared" si="500"/>
        <v>95</v>
      </c>
      <c r="B383" s="116"/>
      <c r="C383" s="93" t="str">
        <f t="shared" ref="C383:D383" si="511">IF($B382&lt;&gt;"",C379,"")</f>
        <v/>
      </c>
      <c r="D383" s="93" t="str">
        <f t="shared" si="511"/>
        <v/>
      </c>
      <c r="E383" s="28"/>
      <c r="F383" s="28"/>
      <c r="G383" s="28"/>
      <c r="H383" s="28"/>
      <c r="I383" s="28"/>
      <c r="J383" s="28"/>
      <c r="K383" s="28"/>
      <c r="L383" s="28"/>
      <c r="M383" s="28"/>
      <c r="N383" s="28"/>
      <c r="O383" s="28"/>
      <c r="P383" s="28"/>
      <c r="Q383" s="28"/>
      <c r="R383" s="28"/>
      <c r="S383" s="28"/>
      <c r="T383" s="28"/>
      <c r="U383" s="28"/>
      <c r="V383" s="26"/>
      <c r="W383" s="31" t="e">
        <f>INDEX(TBL_PIPED_IMPORTERS_CONNECTIONS[PipedImporterConnectionID],$A383)</f>
        <v>#REF!</v>
      </c>
      <c r="X383" s="31" t="e">
        <f>"PipedImporterCapMax_"&amp;RIGHT($W383,11)</f>
        <v>#REF!</v>
      </c>
    </row>
    <row r="384" spans="1:24" x14ac:dyDescent="0.25">
      <c r="A384" s="94">
        <f t="shared" si="500"/>
        <v>95</v>
      </c>
      <c r="B384" s="116"/>
      <c r="C384" s="93" t="str">
        <f t="shared" ref="C384:D384" si="512">IF($B382&lt;&gt;"",C380,"")</f>
        <v/>
      </c>
      <c r="D384" s="93" t="str">
        <f t="shared" si="512"/>
        <v/>
      </c>
      <c r="E384" s="27"/>
      <c r="F384" s="27"/>
      <c r="G384" s="27"/>
      <c r="H384" s="27"/>
      <c r="I384" s="27"/>
      <c r="J384" s="27"/>
      <c r="K384" s="27"/>
      <c r="L384" s="27"/>
      <c r="M384" s="27"/>
      <c r="N384" s="27"/>
      <c r="O384" s="27"/>
      <c r="P384" s="27"/>
      <c r="Q384" s="27"/>
      <c r="R384" s="27"/>
      <c r="S384" s="27"/>
      <c r="T384" s="27"/>
      <c r="U384" s="27"/>
      <c r="V384" s="25"/>
      <c r="W384" s="31" t="e">
        <f>INDEX(TBL_PIPED_IMPORTERS_CONNECTIONS[PipedImporterConnectionID],$A384)</f>
        <v>#REF!</v>
      </c>
      <c r="X384" s="31" t="e">
        <f>"PipedImporterTariffFixed_"&amp;RIGHT($W384,11)</f>
        <v>#REF!</v>
      </c>
    </row>
    <row r="385" spans="1:24" x14ac:dyDescent="0.25">
      <c r="A385" s="94">
        <f t="shared" si="500"/>
        <v>95</v>
      </c>
      <c r="B385" s="117"/>
      <c r="C385" s="93" t="str">
        <f t="shared" ref="C385:D385" si="513">IF($B382&lt;&gt;"",C381,"")</f>
        <v/>
      </c>
      <c r="D385" s="93" t="str">
        <f t="shared" si="513"/>
        <v/>
      </c>
      <c r="E385" s="28"/>
      <c r="F385" s="28"/>
      <c r="G385" s="28"/>
      <c r="H385" s="28"/>
      <c r="I385" s="28"/>
      <c r="J385" s="28"/>
      <c r="K385" s="28"/>
      <c r="L385" s="28"/>
      <c r="M385" s="28"/>
      <c r="N385" s="28"/>
      <c r="O385" s="28"/>
      <c r="P385" s="28"/>
      <c r="Q385" s="28"/>
      <c r="R385" s="28"/>
      <c r="S385" s="28"/>
      <c r="T385" s="28"/>
      <c r="U385" s="28"/>
      <c r="V385" s="26"/>
      <c r="W385" s="31" t="e">
        <f>INDEX(TBL_PIPED_IMPORTERS_CONNECTIONS[PipedImporterConnectionID],$A385)</f>
        <v>#REF!</v>
      </c>
      <c r="X385" s="31" t="e">
        <f>"PipedImporterTariffVar_"&amp;RIGHT($W385,11)</f>
        <v>#REF!</v>
      </c>
    </row>
    <row r="386" spans="1:24" x14ac:dyDescent="0.25">
      <c r="A386" s="94">
        <f t="shared" ref="A386" si="514">$A382+1</f>
        <v>96</v>
      </c>
      <c r="B386" s="115" t="str">
        <f>IFERROR(INDEX(TBL_PIPED_IMPORTERS_CONNECTIONS[Name],$A386),"")</f>
        <v/>
      </c>
      <c r="C386" s="93" t="str">
        <f t="shared" ref="C386:D386" si="515">IF($B386&lt;&gt;"",C382,"")</f>
        <v/>
      </c>
      <c r="D386" s="93" t="str">
        <f t="shared" si="515"/>
        <v/>
      </c>
      <c r="E386" s="27"/>
      <c r="F386" s="27"/>
      <c r="G386" s="27"/>
      <c r="H386" s="27"/>
      <c r="I386" s="27"/>
      <c r="J386" s="27"/>
      <c r="K386" s="27"/>
      <c r="L386" s="27"/>
      <c r="M386" s="27"/>
      <c r="N386" s="27"/>
      <c r="O386" s="27"/>
      <c r="P386" s="27"/>
      <c r="Q386" s="27"/>
      <c r="R386" s="27"/>
      <c r="S386" s="27"/>
      <c r="T386" s="27"/>
      <c r="U386" s="27"/>
      <c r="V386" s="25"/>
      <c r="W386" s="31" t="e">
        <f>INDEX(TBL_PIPED_IMPORTERS_CONNECTIONS[PipedImporterConnectionID],$A386)</f>
        <v>#REF!</v>
      </c>
      <c r="X386" s="31" t="e">
        <f>"PipedImporterCapMin_"&amp;RIGHT($W386,11)</f>
        <v>#REF!</v>
      </c>
    </row>
    <row r="387" spans="1:24" x14ac:dyDescent="0.25">
      <c r="A387" s="94">
        <f t="shared" si="500"/>
        <v>96</v>
      </c>
      <c r="B387" s="116"/>
      <c r="C387" s="93" t="str">
        <f t="shared" ref="C387:D387" si="516">IF($B386&lt;&gt;"",C383,"")</f>
        <v/>
      </c>
      <c r="D387" s="93" t="str">
        <f t="shared" si="516"/>
        <v/>
      </c>
      <c r="E387" s="28"/>
      <c r="F387" s="28"/>
      <c r="G387" s="28"/>
      <c r="H387" s="28"/>
      <c r="I387" s="28"/>
      <c r="J387" s="28"/>
      <c r="K387" s="28"/>
      <c r="L387" s="28"/>
      <c r="M387" s="28"/>
      <c r="N387" s="28"/>
      <c r="O387" s="28"/>
      <c r="P387" s="28"/>
      <c r="Q387" s="28"/>
      <c r="R387" s="28"/>
      <c r="S387" s="28"/>
      <c r="T387" s="28"/>
      <c r="U387" s="28"/>
      <c r="V387" s="26"/>
      <c r="W387" s="31" t="e">
        <f>INDEX(TBL_PIPED_IMPORTERS_CONNECTIONS[PipedImporterConnectionID],$A387)</f>
        <v>#REF!</v>
      </c>
      <c r="X387" s="31" t="e">
        <f>"PipedImporterCapMax_"&amp;RIGHT($W387,11)</f>
        <v>#REF!</v>
      </c>
    </row>
    <row r="388" spans="1:24" x14ac:dyDescent="0.25">
      <c r="A388" s="94">
        <f t="shared" si="500"/>
        <v>96</v>
      </c>
      <c r="B388" s="116"/>
      <c r="C388" s="93" t="str">
        <f t="shared" ref="C388:D388" si="517">IF($B386&lt;&gt;"",C384,"")</f>
        <v/>
      </c>
      <c r="D388" s="93" t="str">
        <f t="shared" si="517"/>
        <v/>
      </c>
      <c r="E388" s="27"/>
      <c r="F388" s="27"/>
      <c r="G388" s="27"/>
      <c r="H388" s="27"/>
      <c r="I388" s="27"/>
      <c r="J388" s="27"/>
      <c r="K388" s="27"/>
      <c r="L388" s="27"/>
      <c r="M388" s="27"/>
      <c r="N388" s="27"/>
      <c r="O388" s="27"/>
      <c r="P388" s="27"/>
      <c r="Q388" s="27"/>
      <c r="R388" s="27"/>
      <c r="S388" s="27"/>
      <c r="T388" s="27"/>
      <c r="U388" s="27"/>
      <c r="V388" s="25"/>
      <c r="W388" s="31" t="e">
        <f>INDEX(TBL_PIPED_IMPORTERS_CONNECTIONS[PipedImporterConnectionID],$A388)</f>
        <v>#REF!</v>
      </c>
      <c r="X388" s="31" t="e">
        <f>"PipedImporterTariffFixed_"&amp;RIGHT($W388,11)</f>
        <v>#REF!</v>
      </c>
    </row>
    <row r="389" spans="1:24" x14ac:dyDescent="0.25">
      <c r="A389" s="94">
        <f t="shared" si="500"/>
        <v>96</v>
      </c>
      <c r="B389" s="117"/>
      <c r="C389" s="93" t="str">
        <f t="shared" ref="C389:D389" si="518">IF($B386&lt;&gt;"",C385,"")</f>
        <v/>
      </c>
      <c r="D389" s="93" t="str">
        <f t="shared" si="518"/>
        <v/>
      </c>
      <c r="E389" s="28"/>
      <c r="F389" s="28"/>
      <c r="G389" s="28"/>
      <c r="H389" s="28"/>
      <c r="I389" s="28"/>
      <c r="J389" s="28"/>
      <c r="K389" s="28"/>
      <c r="L389" s="28"/>
      <c r="M389" s="28"/>
      <c r="N389" s="28"/>
      <c r="O389" s="28"/>
      <c r="P389" s="28"/>
      <c r="Q389" s="28"/>
      <c r="R389" s="28"/>
      <c r="S389" s="28"/>
      <c r="T389" s="28"/>
      <c r="U389" s="28"/>
      <c r="V389" s="26"/>
      <c r="W389" s="31" t="e">
        <f>INDEX(TBL_PIPED_IMPORTERS_CONNECTIONS[PipedImporterConnectionID],$A389)</f>
        <v>#REF!</v>
      </c>
      <c r="X389" s="31" t="e">
        <f>"PipedImporterTariffVar_"&amp;RIGHT($W389,11)</f>
        <v>#REF!</v>
      </c>
    </row>
    <row r="390" spans="1:24" x14ac:dyDescent="0.25">
      <c r="A390" s="94">
        <f t="shared" ref="A390" si="519">$A386+1</f>
        <v>97</v>
      </c>
      <c r="B390" s="115" t="str">
        <f>IFERROR(INDEX(TBL_PIPED_IMPORTERS_CONNECTIONS[Name],$A390),"")</f>
        <v/>
      </c>
      <c r="C390" s="93" t="str">
        <f t="shared" ref="C390:D390" si="520">IF($B390&lt;&gt;"",C386,"")</f>
        <v/>
      </c>
      <c r="D390" s="93" t="str">
        <f t="shared" si="520"/>
        <v/>
      </c>
      <c r="E390" s="27"/>
      <c r="F390" s="27"/>
      <c r="G390" s="27"/>
      <c r="H390" s="27"/>
      <c r="I390" s="27"/>
      <c r="J390" s="27"/>
      <c r="K390" s="27"/>
      <c r="L390" s="27"/>
      <c r="M390" s="27"/>
      <c r="N390" s="27"/>
      <c r="O390" s="27"/>
      <c r="P390" s="27"/>
      <c r="Q390" s="27"/>
      <c r="R390" s="27"/>
      <c r="S390" s="27"/>
      <c r="T390" s="27"/>
      <c r="U390" s="27"/>
      <c r="V390" s="25"/>
      <c r="W390" s="31" t="e">
        <f>INDEX(TBL_PIPED_IMPORTERS_CONNECTIONS[PipedImporterConnectionID],$A390)</f>
        <v>#REF!</v>
      </c>
      <c r="X390" s="31" t="e">
        <f>"PipedImporterCapMin_"&amp;RIGHT($W390,11)</f>
        <v>#REF!</v>
      </c>
    </row>
    <row r="391" spans="1:24" x14ac:dyDescent="0.25">
      <c r="A391" s="94">
        <f t="shared" si="500"/>
        <v>97</v>
      </c>
      <c r="B391" s="116"/>
      <c r="C391" s="93" t="str">
        <f t="shared" ref="C391:D391" si="521">IF($B390&lt;&gt;"",C387,"")</f>
        <v/>
      </c>
      <c r="D391" s="93" t="str">
        <f t="shared" si="521"/>
        <v/>
      </c>
      <c r="E391" s="28"/>
      <c r="F391" s="28"/>
      <c r="G391" s="28"/>
      <c r="H391" s="28"/>
      <c r="I391" s="28"/>
      <c r="J391" s="28"/>
      <c r="K391" s="28"/>
      <c r="L391" s="28"/>
      <c r="M391" s="28"/>
      <c r="N391" s="28"/>
      <c r="O391" s="28"/>
      <c r="P391" s="28"/>
      <c r="Q391" s="28"/>
      <c r="R391" s="28"/>
      <c r="S391" s="28"/>
      <c r="T391" s="28"/>
      <c r="U391" s="28"/>
      <c r="V391" s="26"/>
      <c r="W391" s="31" t="e">
        <f>INDEX(TBL_PIPED_IMPORTERS_CONNECTIONS[PipedImporterConnectionID],$A391)</f>
        <v>#REF!</v>
      </c>
      <c r="X391" s="31" t="e">
        <f>"PipedImporterCapMax_"&amp;RIGHT($W391,11)</f>
        <v>#REF!</v>
      </c>
    </row>
    <row r="392" spans="1:24" x14ac:dyDescent="0.25">
      <c r="A392" s="94">
        <f t="shared" si="500"/>
        <v>97</v>
      </c>
      <c r="B392" s="116"/>
      <c r="C392" s="93" t="str">
        <f t="shared" ref="C392:D392" si="522">IF($B390&lt;&gt;"",C388,"")</f>
        <v/>
      </c>
      <c r="D392" s="93" t="str">
        <f t="shared" si="522"/>
        <v/>
      </c>
      <c r="E392" s="27"/>
      <c r="F392" s="27"/>
      <c r="G392" s="27"/>
      <c r="H392" s="27"/>
      <c r="I392" s="27"/>
      <c r="J392" s="27"/>
      <c r="K392" s="27"/>
      <c r="L392" s="27"/>
      <c r="M392" s="27"/>
      <c r="N392" s="27"/>
      <c r="O392" s="27"/>
      <c r="P392" s="27"/>
      <c r="Q392" s="27"/>
      <c r="R392" s="27"/>
      <c r="S392" s="27"/>
      <c r="T392" s="27"/>
      <c r="U392" s="27"/>
      <c r="V392" s="25"/>
      <c r="W392" s="31" t="e">
        <f>INDEX(TBL_PIPED_IMPORTERS_CONNECTIONS[PipedImporterConnectionID],$A392)</f>
        <v>#REF!</v>
      </c>
      <c r="X392" s="31" t="e">
        <f>"PipedImporterTariffFixed_"&amp;RIGHT($W392,11)</f>
        <v>#REF!</v>
      </c>
    </row>
    <row r="393" spans="1:24" x14ac:dyDescent="0.25">
      <c r="A393" s="94">
        <f t="shared" si="500"/>
        <v>97</v>
      </c>
      <c r="B393" s="117"/>
      <c r="C393" s="93" t="str">
        <f t="shared" ref="C393:D393" si="523">IF($B390&lt;&gt;"",C389,"")</f>
        <v/>
      </c>
      <c r="D393" s="93" t="str">
        <f t="shared" si="523"/>
        <v/>
      </c>
      <c r="E393" s="28"/>
      <c r="F393" s="28"/>
      <c r="G393" s="28"/>
      <c r="H393" s="28"/>
      <c r="I393" s="28"/>
      <c r="J393" s="28"/>
      <c r="K393" s="28"/>
      <c r="L393" s="28"/>
      <c r="M393" s="28"/>
      <c r="N393" s="28"/>
      <c r="O393" s="28"/>
      <c r="P393" s="28"/>
      <c r="Q393" s="28"/>
      <c r="R393" s="28"/>
      <c r="S393" s="28"/>
      <c r="T393" s="28"/>
      <c r="U393" s="28"/>
      <c r="V393" s="26"/>
      <c r="W393" s="31" t="e">
        <f>INDEX(TBL_PIPED_IMPORTERS_CONNECTIONS[PipedImporterConnectionID],$A393)</f>
        <v>#REF!</v>
      </c>
      <c r="X393" s="31" t="e">
        <f>"PipedImporterTariffVar_"&amp;RIGHT($W393,11)</f>
        <v>#REF!</v>
      </c>
    </row>
    <row r="394" spans="1:24" x14ac:dyDescent="0.25">
      <c r="A394" s="94">
        <f t="shared" ref="A394" si="524">$A390+1</f>
        <v>98</v>
      </c>
      <c r="B394" s="115" t="str">
        <f>IFERROR(INDEX(TBL_PIPED_IMPORTERS_CONNECTIONS[Name],$A394),"")</f>
        <v/>
      </c>
      <c r="C394" s="93" t="str">
        <f t="shared" ref="C394:D394" si="525">IF($B394&lt;&gt;"",C390,"")</f>
        <v/>
      </c>
      <c r="D394" s="93" t="str">
        <f t="shared" si="525"/>
        <v/>
      </c>
      <c r="E394" s="27"/>
      <c r="F394" s="27"/>
      <c r="G394" s="27"/>
      <c r="H394" s="27"/>
      <c r="I394" s="27"/>
      <c r="J394" s="27"/>
      <c r="K394" s="27"/>
      <c r="L394" s="27"/>
      <c r="M394" s="27"/>
      <c r="N394" s="27"/>
      <c r="O394" s="27"/>
      <c r="P394" s="27"/>
      <c r="Q394" s="27"/>
      <c r="R394" s="27"/>
      <c r="S394" s="27"/>
      <c r="T394" s="27"/>
      <c r="U394" s="27"/>
      <c r="V394" s="25"/>
      <c r="W394" s="31" t="e">
        <f>INDEX(TBL_PIPED_IMPORTERS_CONNECTIONS[PipedImporterConnectionID],$A394)</f>
        <v>#REF!</v>
      </c>
      <c r="X394" s="31" t="e">
        <f>"PipedImporterCapMin_"&amp;RIGHT($W394,11)</f>
        <v>#REF!</v>
      </c>
    </row>
    <row r="395" spans="1:24" x14ac:dyDescent="0.25">
      <c r="A395" s="94">
        <f t="shared" ref="A395:A397" si="526">$A394</f>
        <v>98</v>
      </c>
      <c r="B395" s="116"/>
      <c r="C395" s="93" t="str">
        <f t="shared" ref="C395:D395" si="527">IF($B394&lt;&gt;"",C391,"")</f>
        <v/>
      </c>
      <c r="D395" s="93" t="str">
        <f t="shared" si="527"/>
        <v/>
      </c>
      <c r="E395" s="28"/>
      <c r="F395" s="28"/>
      <c r="G395" s="28"/>
      <c r="H395" s="28"/>
      <c r="I395" s="28"/>
      <c r="J395" s="28"/>
      <c r="K395" s="28"/>
      <c r="L395" s="28"/>
      <c r="M395" s="28"/>
      <c r="N395" s="28"/>
      <c r="O395" s="28"/>
      <c r="P395" s="28"/>
      <c r="Q395" s="28"/>
      <c r="R395" s="28"/>
      <c r="S395" s="28"/>
      <c r="T395" s="28"/>
      <c r="U395" s="28"/>
      <c r="V395" s="26"/>
      <c r="W395" s="31" t="e">
        <f>INDEX(TBL_PIPED_IMPORTERS_CONNECTIONS[PipedImporterConnectionID],$A395)</f>
        <v>#REF!</v>
      </c>
      <c r="X395" s="31" t="e">
        <f>"PipedImporterCapMax_"&amp;RIGHT($W395,11)</f>
        <v>#REF!</v>
      </c>
    </row>
    <row r="396" spans="1:24" x14ac:dyDescent="0.25">
      <c r="A396" s="94">
        <f t="shared" si="526"/>
        <v>98</v>
      </c>
      <c r="B396" s="116"/>
      <c r="C396" s="93" t="str">
        <f t="shared" ref="C396:D396" si="528">IF($B394&lt;&gt;"",C392,"")</f>
        <v/>
      </c>
      <c r="D396" s="93" t="str">
        <f t="shared" si="528"/>
        <v/>
      </c>
      <c r="E396" s="27"/>
      <c r="F396" s="27"/>
      <c r="G396" s="27"/>
      <c r="H396" s="27"/>
      <c r="I396" s="27"/>
      <c r="J396" s="27"/>
      <c r="K396" s="27"/>
      <c r="L396" s="27"/>
      <c r="M396" s="27"/>
      <c r="N396" s="27"/>
      <c r="O396" s="27"/>
      <c r="P396" s="27"/>
      <c r="Q396" s="27"/>
      <c r="R396" s="27"/>
      <c r="S396" s="27"/>
      <c r="T396" s="27"/>
      <c r="U396" s="27"/>
      <c r="V396" s="25"/>
      <c r="W396" s="31" t="e">
        <f>INDEX(TBL_PIPED_IMPORTERS_CONNECTIONS[PipedImporterConnectionID],$A396)</f>
        <v>#REF!</v>
      </c>
      <c r="X396" s="31" t="e">
        <f>"PipedImporterTariffFixed_"&amp;RIGHT($W396,11)</f>
        <v>#REF!</v>
      </c>
    </row>
    <row r="397" spans="1:24" x14ac:dyDescent="0.25">
      <c r="A397" s="94">
        <f t="shared" si="526"/>
        <v>98</v>
      </c>
      <c r="B397" s="117"/>
      <c r="C397" s="93" t="str">
        <f t="shared" ref="C397:D397" si="529">IF($B394&lt;&gt;"",C393,"")</f>
        <v/>
      </c>
      <c r="D397" s="93" t="str">
        <f t="shared" si="529"/>
        <v/>
      </c>
      <c r="E397" s="28"/>
      <c r="F397" s="28"/>
      <c r="G397" s="28"/>
      <c r="H397" s="28"/>
      <c r="I397" s="28"/>
      <c r="J397" s="28"/>
      <c r="K397" s="28"/>
      <c r="L397" s="28"/>
      <c r="M397" s="28"/>
      <c r="N397" s="28"/>
      <c r="O397" s="28"/>
      <c r="P397" s="28"/>
      <c r="Q397" s="28"/>
      <c r="R397" s="28"/>
      <c r="S397" s="28"/>
      <c r="T397" s="28"/>
      <c r="U397" s="28"/>
      <c r="V397" s="26"/>
      <c r="W397" s="31" t="e">
        <f>INDEX(TBL_PIPED_IMPORTERS_CONNECTIONS[PipedImporterConnectionID],$A397)</f>
        <v>#REF!</v>
      </c>
      <c r="X397" s="31" t="e">
        <f>"PipedImporterTariffVar_"&amp;RIGHT($W397,11)</f>
        <v>#REF!</v>
      </c>
    </row>
    <row r="398" spans="1:24" x14ac:dyDescent="0.25">
      <c r="A398" s="94">
        <f t="shared" ref="A398" si="530">$A394+1</f>
        <v>99</v>
      </c>
      <c r="B398" s="115" t="str">
        <f>IFERROR(INDEX(TBL_PIPED_IMPORTERS_CONNECTIONS[Name],$A398),"")</f>
        <v/>
      </c>
      <c r="C398" s="93" t="str">
        <f t="shared" ref="C398:D398" si="531">IF($B398&lt;&gt;"",C394,"")</f>
        <v/>
      </c>
      <c r="D398" s="93" t="str">
        <f t="shared" si="531"/>
        <v/>
      </c>
      <c r="E398" s="27"/>
      <c r="F398" s="27"/>
      <c r="G398" s="27"/>
      <c r="H398" s="27"/>
      <c r="I398" s="27"/>
      <c r="J398" s="27"/>
      <c r="K398" s="27"/>
      <c r="L398" s="27"/>
      <c r="M398" s="27"/>
      <c r="N398" s="27"/>
      <c r="O398" s="27"/>
      <c r="P398" s="27"/>
      <c r="Q398" s="27"/>
      <c r="R398" s="27"/>
      <c r="S398" s="27"/>
      <c r="T398" s="27"/>
      <c r="U398" s="27"/>
      <c r="V398" s="25"/>
      <c r="W398" s="31" t="e">
        <f>INDEX(TBL_PIPED_IMPORTERS_CONNECTIONS[PipedImporterConnectionID],$A398)</f>
        <v>#REF!</v>
      </c>
      <c r="X398" s="31" t="e">
        <f>"PipedImporterCapMin_"&amp;RIGHT($W398,11)</f>
        <v>#REF!</v>
      </c>
    </row>
    <row r="399" spans="1:24" x14ac:dyDescent="0.25">
      <c r="A399" s="94">
        <f t="shared" ref="A399:A401" si="532">$A398</f>
        <v>99</v>
      </c>
      <c r="B399" s="116"/>
      <c r="C399" s="93" t="str">
        <f t="shared" ref="C399:D399" si="533">IF($B398&lt;&gt;"",C395,"")</f>
        <v/>
      </c>
      <c r="D399" s="93" t="str">
        <f t="shared" si="533"/>
        <v/>
      </c>
      <c r="E399" s="28"/>
      <c r="F399" s="28"/>
      <c r="G399" s="28"/>
      <c r="H399" s="28"/>
      <c r="I399" s="28"/>
      <c r="J399" s="28"/>
      <c r="K399" s="28"/>
      <c r="L399" s="28"/>
      <c r="M399" s="28"/>
      <c r="N399" s="28"/>
      <c r="O399" s="28"/>
      <c r="P399" s="28"/>
      <c r="Q399" s="28"/>
      <c r="R399" s="28"/>
      <c r="S399" s="28"/>
      <c r="T399" s="28"/>
      <c r="U399" s="28"/>
      <c r="V399" s="26"/>
      <c r="W399" s="31" t="e">
        <f>INDEX(TBL_PIPED_IMPORTERS_CONNECTIONS[PipedImporterConnectionID],$A399)</f>
        <v>#REF!</v>
      </c>
      <c r="X399" s="31" t="e">
        <f>"PipedImporterCapMax_"&amp;RIGHT($W399,11)</f>
        <v>#REF!</v>
      </c>
    </row>
    <row r="400" spans="1:24" x14ac:dyDescent="0.25">
      <c r="A400" s="94">
        <f t="shared" si="532"/>
        <v>99</v>
      </c>
      <c r="B400" s="116"/>
      <c r="C400" s="93" t="str">
        <f t="shared" ref="C400:D400" si="534">IF($B398&lt;&gt;"",C396,"")</f>
        <v/>
      </c>
      <c r="D400" s="93" t="str">
        <f t="shared" si="534"/>
        <v/>
      </c>
      <c r="E400" s="27"/>
      <c r="F400" s="27"/>
      <c r="G400" s="27"/>
      <c r="H400" s="27"/>
      <c r="I400" s="27"/>
      <c r="J400" s="27"/>
      <c r="K400" s="27"/>
      <c r="L400" s="27"/>
      <c r="M400" s="27"/>
      <c r="N400" s="27"/>
      <c r="O400" s="27"/>
      <c r="P400" s="27"/>
      <c r="Q400" s="27"/>
      <c r="R400" s="27"/>
      <c r="S400" s="27"/>
      <c r="T400" s="27"/>
      <c r="U400" s="27"/>
      <c r="V400" s="25"/>
      <c r="W400" s="31" t="e">
        <f>INDEX(TBL_PIPED_IMPORTERS_CONNECTIONS[PipedImporterConnectionID],$A400)</f>
        <v>#REF!</v>
      </c>
      <c r="X400" s="31" t="e">
        <f>"PipedImporterTariffFixed_"&amp;RIGHT($W400,11)</f>
        <v>#REF!</v>
      </c>
    </row>
    <row r="401" spans="1:24" x14ac:dyDescent="0.25">
      <c r="A401" s="94">
        <f t="shared" si="532"/>
        <v>99</v>
      </c>
      <c r="B401" s="117"/>
      <c r="C401" s="93" t="str">
        <f t="shared" ref="C401:D401" si="535">IF($B398&lt;&gt;"",C397,"")</f>
        <v/>
      </c>
      <c r="D401" s="93" t="str">
        <f t="shared" si="535"/>
        <v/>
      </c>
      <c r="E401" s="28"/>
      <c r="F401" s="28"/>
      <c r="G401" s="28"/>
      <c r="H401" s="28"/>
      <c r="I401" s="28"/>
      <c r="J401" s="28"/>
      <c r="K401" s="28"/>
      <c r="L401" s="28"/>
      <c r="M401" s="28"/>
      <c r="N401" s="28"/>
      <c r="O401" s="28"/>
      <c r="P401" s="28"/>
      <c r="Q401" s="28"/>
      <c r="R401" s="28"/>
      <c r="S401" s="28"/>
      <c r="T401" s="28"/>
      <c r="U401" s="28"/>
      <c r="V401" s="26"/>
      <c r="W401" s="31" t="e">
        <f>INDEX(TBL_PIPED_IMPORTERS_CONNECTIONS[PipedImporterConnectionID],$A401)</f>
        <v>#REF!</v>
      </c>
      <c r="X401" s="31" t="e">
        <f>"PipedImporterTariffVar_"&amp;RIGHT($W401,11)</f>
        <v>#REF!</v>
      </c>
    </row>
    <row r="402" spans="1:24" x14ac:dyDescent="0.25">
      <c r="A402" s="94">
        <f t="shared" ref="A402" si="536">$A398+1</f>
        <v>100</v>
      </c>
      <c r="B402" s="115" t="str">
        <f>IFERROR(INDEX(TBL_PIPED_IMPORTERS_CONNECTIONS[Name],$A402),"")</f>
        <v/>
      </c>
      <c r="C402" s="93" t="str">
        <f t="shared" ref="C402:D402" si="537">IF($B402&lt;&gt;"",C398,"")</f>
        <v/>
      </c>
      <c r="D402" s="93" t="str">
        <f t="shared" si="537"/>
        <v/>
      </c>
      <c r="E402" s="27"/>
      <c r="F402" s="27"/>
      <c r="G402" s="27"/>
      <c r="H402" s="27"/>
      <c r="I402" s="27"/>
      <c r="J402" s="27"/>
      <c r="K402" s="27"/>
      <c r="L402" s="27"/>
      <c r="M402" s="27"/>
      <c r="N402" s="27"/>
      <c r="O402" s="27"/>
      <c r="P402" s="27"/>
      <c r="Q402" s="27"/>
      <c r="R402" s="27"/>
      <c r="S402" s="27"/>
      <c r="T402" s="27"/>
      <c r="U402" s="27"/>
      <c r="V402" s="25"/>
      <c r="W402" s="31" t="e">
        <f>INDEX(TBL_PIPED_IMPORTERS_CONNECTIONS[PipedImporterConnectionID],$A402)</f>
        <v>#REF!</v>
      </c>
      <c r="X402" s="31" t="e">
        <f>"PipedImporterCapMin_"&amp;RIGHT($W402,11)</f>
        <v>#REF!</v>
      </c>
    </row>
    <row r="403" spans="1:24" x14ac:dyDescent="0.25">
      <c r="A403" s="94">
        <f t="shared" ref="A403:A421" si="538">$A402</f>
        <v>100</v>
      </c>
      <c r="B403" s="116"/>
      <c r="C403" s="93" t="str">
        <f t="shared" ref="C403:D403" si="539">IF($B402&lt;&gt;"",C399,"")</f>
        <v/>
      </c>
      <c r="D403" s="93" t="str">
        <f t="shared" si="539"/>
        <v/>
      </c>
      <c r="E403" s="28"/>
      <c r="F403" s="28"/>
      <c r="G403" s="28"/>
      <c r="H403" s="28"/>
      <c r="I403" s="28"/>
      <c r="J403" s="28"/>
      <c r="K403" s="28"/>
      <c r="L403" s="28"/>
      <c r="M403" s="28"/>
      <c r="N403" s="28"/>
      <c r="O403" s="28"/>
      <c r="P403" s="28"/>
      <c r="Q403" s="28"/>
      <c r="R403" s="28"/>
      <c r="S403" s="28"/>
      <c r="T403" s="28"/>
      <c r="U403" s="28"/>
      <c r="V403" s="26"/>
      <c r="W403" s="31" t="e">
        <f>INDEX(TBL_PIPED_IMPORTERS_CONNECTIONS[PipedImporterConnectionID],$A403)</f>
        <v>#REF!</v>
      </c>
      <c r="X403" s="31" t="e">
        <f>"PipedImporterCapMax_"&amp;RIGHT($W403,11)</f>
        <v>#REF!</v>
      </c>
    </row>
    <row r="404" spans="1:24" x14ac:dyDescent="0.25">
      <c r="A404" s="94">
        <f t="shared" si="538"/>
        <v>100</v>
      </c>
      <c r="B404" s="116"/>
      <c r="C404" s="93" t="str">
        <f t="shared" ref="C404:D404" si="540">IF($B402&lt;&gt;"",C400,"")</f>
        <v/>
      </c>
      <c r="D404" s="93" t="str">
        <f t="shared" si="540"/>
        <v/>
      </c>
      <c r="E404" s="27"/>
      <c r="F404" s="27"/>
      <c r="G404" s="27"/>
      <c r="H404" s="27"/>
      <c r="I404" s="27"/>
      <c r="J404" s="27"/>
      <c r="K404" s="27"/>
      <c r="L404" s="27"/>
      <c r="M404" s="27"/>
      <c r="N404" s="27"/>
      <c r="O404" s="27"/>
      <c r="P404" s="27"/>
      <c r="Q404" s="27"/>
      <c r="R404" s="27"/>
      <c r="S404" s="27"/>
      <c r="T404" s="27"/>
      <c r="U404" s="27"/>
      <c r="V404" s="25"/>
      <c r="W404" s="31" t="e">
        <f>INDEX(TBL_PIPED_IMPORTERS_CONNECTIONS[PipedImporterConnectionID],$A404)</f>
        <v>#REF!</v>
      </c>
      <c r="X404" s="31" t="e">
        <f>"PipedImporterTariffFixed_"&amp;RIGHT($W404,11)</f>
        <v>#REF!</v>
      </c>
    </row>
    <row r="405" spans="1:24" x14ac:dyDescent="0.25">
      <c r="A405" s="94">
        <f t="shared" si="538"/>
        <v>100</v>
      </c>
      <c r="B405" s="117"/>
      <c r="C405" s="93" t="str">
        <f t="shared" ref="C405:D405" si="541">IF($B402&lt;&gt;"",C401,"")</f>
        <v/>
      </c>
      <c r="D405" s="93" t="str">
        <f t="shared" si="541"/>
        <v/>
      </c>
      <c r="E405" s="28"/>
      <c r="F405" s="28"/>
      <c r="G405" s="28"/>
      <c r="H405" s="28"/>
      <c r="I405" s="28"/>
      <c r="J405" s="28"/>
      <c r="K405" s="28"/>
      <c r="L405" s="28"/>
      <c r="M405" s="28"/>
      <c r="N405" s="28"/>
      <c r="O405" s="28"/>
      <c r="P405" s="28"/>
      <c r="Q405" s="28"/>
      <c r="R405" s="28"/>
      <c r="S405" s="28"/>
      <c r="T405" s="28"/>
      <c r="U405" s="28"/>
      <c r="V405" s="26"/>
      <c r="W405" s="31" t="e">
        <f>INDEX(TBL_PIPED_IMPORTERS_CONNECTIONS[PipedImporterConnectionID],$A405)</f>
        <v>#REF!</v>
      </c>
      <c r="X405" s="31" t="e">
        <f>"PipedImporterTariffVar_"&amp;RIGHT($W405,11)</f>
        <v>#REF!</v>
      </c>
    </row>
    <row r="406" spans="1:24" x14ac:dyDescent="0.25">
      <c r="A406" s="94">
        <f t="shared" ref="A406" si="542">$A402+1</f>
        <v>101</v>
      </c>
      <c r="B406" s="115" t="str">
        <f>IFERROR(INDEX(TBL_PIPED_IMPORTERS_CONNECTIONS[Name],$A406),"")</f>
        <v/>
      </c>
      <c r="C406" s="93" t="str">
        <f t="shared" ref="C406:D406" si="543">IF($B406&lt;&gt;"",C402,"")</f>
        <v/>
      </c>
      <c r="D406" s="93" t="str">
        <f t="shared" si="543"/>
        <v/>
      </c>
      <c r="E406" s="27"/>
      <c r="F406" s="27"/>
      <c r="G406" s="27"/>
      <c r="H406" s="27"/>
      <c r="I406" s="27"/>
      <c r="J406" s="27"/>
      <c r="K406" s="27"/>
      <c r="L406" s="27"/>
      <c r="M406" s="27"/>
      <c r="N406" s="27"/>
      <c r="O406" s="27"/>
      <c r="P406" s="27"/>
      <c r="Q406" s="27"/>
      <c r="R406" s="27"/>
      <c r="S406" s="27"/>
      <c r="T406" s="27"/>
      <c r="U406" s="27"/>
      <c r="V406" s="25"/>
      <c r="W406" s="31" t="e">
        <f>INDEX(TBL_PIPED_IMPORTERS_CONNECTIONS[PipedImporterConnectionID],$A406)</f>
        <v>#REF!</v>
      </c>
      <c r="X406" s="31" t="e">
        <f>"PipedImporterCapMin_"&amp;RIGHT($W406,11)</f>
        <v>#REF!</v>
      </c>
    </row>
    <row r="407" spans="1:24" x14ac:dyDescent="0.25">
      <c r="A407" s="94">
        <f t="shared" si="538"/>
        <v>101</v>
      </c>
      <c r="B407" s="116"/>
      <c r="C407" s="93" t="str">
        <f t="shared" ref="C407:D407" si="544">IF($B406&lt;&gt;"",C403,"")</f>
        <v/>
      </c>
      <c r="D407" s="93" t="str">
        <f t="shared" si="544"/>
        <v/>
      </c>
      <c r="E407" s="28"/>
      <c r="F407" s="28"/>
      <c r="G407" s="28"/>
      <c r="H407" s="28"/>
      <c r="I407" s="28"/>
      <c r="J407" s="28"/>
      <c r="K407" s="28"/>
      <c r="L407" s="28"/>
      <c r="M407" s="28"/>
      <c r="N407" s="28"/>
      <c r="O407" s="28"/>
      <c r="P407" s="28"/>
      <c r="Q407" s="28"/>
      <c r="R407" s="28"/>
      <c r="S407" s="28"/>
      <c r="T407" s="28"/>
      <c r="U407" s="28"/>
      <c r="V407" s="26"/>
      <c r="W407" s="31" t="e">
        <f>INDEX(TBL_PIPED_IMPORTERS_CONNECTIONS[PipedImporterConnectionID],$A407)</f>
        <v>#REF!</v>
      </c>
      <c r="X407" s="31" t="e">
        <f>"PipedImporterCapMax_"&amp;RIGHT($W407,11)</f>
        <v>#REF!</v>
      </c>
    </row>
    <row r="408" spans="1:24" x14ac:dyDescent="0.25">
      <c r="A408" s="94">
        <f t="shared" si="538"/>
        <v>101</v>
      </c>
      <c r="B408" s="116"/>
      <c r="C408" s="93" t="str">
        <f t="shared" ref="C408:D408" si="545">IF($B406&lt;&gt;"",C404,"")</f>
        <v/>
      </c>
      <c r="D408" s="93" t="str">
        <f t="shared" si="545"/>
        <v/>
      </c>
      <c r="E408" s="27"/>
      <c r="F408" s="27"/>
      <c r="G408" s="27"/>
      <c r="H408" s="27"/>
      <c r="I408" s="27"/>
      <c r="J408" s="27"/>
      <c r="K408" s="27"/>
      <c r="L408" s="27"/>
      <c r="M408" s="27"/>
      <c r="N408" s="27"/>
      <c r="O408" s="27"/>
      <c r="P408" s="27"/>
      <c r="Q408" s="27"/>
      <c r="R408" s="27"/>
      <c r="S408" s="27"/>
      <c r="T408" s="27"/>
      <c r="U408" s="27"/>
      <c r="V408" s="25"/>
      <c r="W408" s="31" t="e">
        <f>INDEX(TBL_PIPED_IMPORTERS_CONNECTIONS[PipedImporterConnectionID],$A408)</f>
        <v>#REF!</v>
      </c>
      <c r="X408" s="31" t="e">
        <f>"PipedImporterTariffFixed_"&amp;RIGHT($W408,11)</f>
        <v>#REF!</v>
      </c>
    </row>
    <row r="409" spans="1:24" x14ac:dyDescent="0.25">
      <c r="A409" s="94">
        <f t="shared" si="538"/>
        <v>101</v>
      </c>
      <c r="B409" s="117"/>
      <c r="C409" s="93" t="str">
        <f t="shared" ref="C409:D409" si="546">IF($B406&lt;&gt;"",C405,"")</f>
        <v/>
      </c>
      <c r="D409" s="93" t="str">
        <f t="shared" si="546"/>
        <v/>
      </c>
      <c r="E409" s="28"/>
      <c r="F409" s="28"/>
      <c r="G409" s="28"/>
      <c r="H409" s="28"/>
      <c r="I409" s="28"/>
      <c r="J409" s="28"/>
      <c r="K409" s="28"/>
      <c r="L409" s="28"/>
      <c r="M409" s="28"/>
      <c r="N409" s="28"/>
      <c r="O409" s="28"/>
      <c r="P409" s="28"/>
      <c r="Q409" s="28"/>
      <c r="R409" s="28"/>
      <c r="S409" s="28"/>
      <c r="T409" s="28"/>
      <c r="U409" s="28"/>
      <c r="V409" s="26"/>
      <c r="W409" s="31" t="e">
        <f>INDEX(TBL_PIPED_IMPORTERS_CONNECTIONS[PipedImporterConnectionID],$A409)</f>
        <v>#REF!</v>
      </c>
      <c r="X409" s="31" t="e">
        <f>"PipedImporterTariffVar_"&amp;RIGHT($W409,11)</f>
        <v>#REF!</v>
      </c>
    </row>
    <row r="410" spans="1:24" x14ac:dyDescent="0.25">
      <c r="A410" s="94">
        <f t="shared" ref="A410" si="547">$A406+1</f>
        <v>102</v>
      </c>
      <c r="B410" s="115" t="str">
        <f>IFERROR(INDEX(TBL_PIPED_IMPORTERS_CONNECTIONS[Name],$A410),"")</f>
        <v/>
      </c>
      <c r="C410" s="93" t="str">
        <f t="shared" ref="C410:D410" si="548">IF($B410&lt;&gt;"",C406,"")</f>
        <v/>
      </c>
      <c r="D410" s="93" t="str">
        <f t="shared" si="548"/>
        <v/>
      </c>
      <c r="E410" s="27"/>
      <c r="F410" s="27"/>
      <c r="G410" s="27"/>
      <c r="H410" s="27"/>
      <c r="I410" s="27"/>
      <c r="J410" s="27"/>
      <c r="K410" s="27"/>
      <c r="L410" s="27"/>
      <c r="M410" s="27"/>
      <c r="N410" s="27"/>
      <c r="O410" s="27"/>
      <c r="P410" s="27"/>
      <c r="Q410" s="27"/>
      <c r="R410" s="27"/>
      <c r="S410" s="27"/>
      <c r="T410" s="27"/>
      <c r="U410" s="27"/>
      <c r="V410" s="25"/>
      <c r="W410" s="31" t="e">
        <f>INDEX(TBL_PIPED_IMPORTERS_CONNECTIONS[PipedImporterConnectionID],$A410)</f>
        <v>#REF!</v>
      </c>
      <c r="X410" s="31" t="e">
        <f>"PipedImporterCapMin_"&amp;RIGHT($W410,11)</f>
        <v>#REF!</v>
      </c>
    </row>
    <row r="411" spans="1:24" x14ac:dyDescent="0.25">
      <c r="A411" s="94">
        <f t="shared" si="538"/>
        <v>102</v>
      </c>
      <c r="B411" s="116"/>
      <c r="C411" s="93" t="str">
        <f t="shared" ref="C411:D411" si="549">IF($B410&lt;&gt;"",C407,"")</f>
        <v/>
      </c>
      <c r="D411" s="93" t="str">
        <f t="shared" si="549"/>
        <v/>
      </c>
      <c r="E411" s="28"/>
      <c r="F411" s="28"/>
      <c r="G411" s="28"/>
      <c r="H411" s="28"/>
      <c r="I411" s="28"/>
      <c r="J411" s="28"/>
      <c r="K411" s="28"/>
      <c r="L411" s="28"/>
      <c r="M411" s="28"/>
      <c r="N411" s="28"/>
      <c r="O411" s="28"/>
      <c r="P411" s="28"/>
      <c r="Q411" s="28"/>
      <c r="R411" s="28"/>
      <c r="S411" s="28"/>
      <c r="T411" s="28"/>
      <c r="U411" s="28"/>
      <c r="V411" s="26"/>
      <c r="W411" s="31" t="e">
        <f>INDEX(TBL_PIPED_IMPORTERS_CONNECTIONS[PipedImporterConnectionID],$A411)</f>
        <v>#REF!</v>
      </c>
      <c r="X411" s="31" t="e">
        <f>"PipedImporterCapMax_"&amp;RIGHT($W411,11)</f>
        <v>#REF!</v>
      </c>
    </row>
    <row r="412" spans="1:24" x14ac:dyDescent="0.25">
      <c r="A412" s="94">
        <f t="shared" si="538"/>
        <v>102</v>
      </c>
      <c r="B412" s="116"/>
      <c r="C412" s="93" t="str">
        <f t="shared" ref="C412:D412" si="550">IF($B410&lt;&gt;"",C408,"")</f>
        <v/>
      </c>
      <c r="D412" s="93" t="str">
        <f t="shared" si="550"/>
        <v/>
      </c>
      <c r="E412" s="27"/>
      <c r="F412" s="27"/>
      <c r="G412" s="27"/>
      <c r="H412" s="27"/>
      <c r="I412" s="27"/>
      <c r="J412" s="27"/>
      <c r="K412" s="27"/>
      <c r="L412" s="27"/>
      <c r="M412" s="27"/>
      <c r="N412" s="27"/>
      <c r="O412" s="27"/>
      <c r="P412" s="27"/>
      <c r="Q412" s="27"/>
      <c r="R412" s="27"/>
      <c r="S412" s="27"/>
      <c r="T412" s="27"/>
      <c r="U412" s="27"/>
      <c r="V412" s="25"/>
      <c r="W412" s="31" t="e">
        <f>INDEX(TBL_PIPED_IMPORTERS_CONNECTIONS[PipedImporterConnectionID],$A412)</f>
        <v>#REF!</v>
      </c>
      <c r="X412" s="31" t="e">
        <f>"PipedImporterTariffFixed_"&amp;RIGHT($W412,11)</f>
        <v>#REF!</v>
      </c>
    </row>
    <row r="413" spans="1:24" x14ac:dyDescent="0.25">
      <c r="A413" s="94">
        <f t="shared" si="538"/>
        <v>102</v>
      </c>
      <c r="B413" s="117"/>
      <c r="C413" s="93" t="str">
        <f t="shared" ref="C413:D413" si="551">IF($B410&lt;&gt;"",C409,"")</f>
        <v/>
      </c>
      <c r="D413" s="93" t="str">
        <f t="shared" si="551"/>
        <v/>
      </c>
      <c r="E413" s="28"/>
      <c r="F413" s="28"/>
      <c r="G413" s="28"/>
      <c r="H413" s="28"/>
      <c r="I413" s="28"/>
      <c r="J413" s="28"/>
      <c r="K413" s="28"/>
      <c r="L413" s="28"/>
      <c r="M413" s="28"/>
      <c r="N413" s="28"/>
      <c r="O413" s="28"/>
      <c r="P413" s="28"/>
      <c r="Q413" s="28"/>
      <c r="R413" s="28"/>
      <c r="S413" s="28"/>
      <c r="T413" s="28"/>
      <c r="U413" s="28"/>
      <c r="V413" s="26"/>
      <c r="W413" s="31" t="e">
        <f>INDEX(TBL_PIPED_IMPORTERS_CONNECTIONS[PipedImporterConnectionID],$A413)</f>
        <v>#REF!</v>
      </c>
      <c r="X413" s="31" t="e">
        <f>"PipedImporterTariffVar_"&amp;RIGHT($W413,11)</f>
        <v>#REF!</v>
      </c>
    </row>
    <row r="414" spans="1:24" x14ac:dyDescent="0.25">
      <c r="A414" s="94">
        <f t="shared" ref="A414" si="552">$A410+1</f>
        <v>103</v>
      </c>
      <c r="B414" s="115" t="str">
        <f>IFERROR(INDEX(TBL_PIPED_IMPORTERS_CONNECTIONS[Name],$A414),"")</f>
        <v/>
      </c>
      <c r="C414" s="93" t="str">
        <f t="shared" ref="C414:D414" si="553">IF($B414&lt;&gt;"",C410,"")</f>
        <v/>
      </c>
      <c r="D414" s="93" t="str">
        <f t="shared" si="553"/>
        <v/>
      </c>
      <c r="E414" s="27"/>
      <c r="F414" s="27"/>
      <c r="G414" s="27"/>
      <c r="H414" s="27"/>
      <c r="I414" s="27"/>
      <c r="J414" s="27"/>
      <c r="K414" s="27"/>
      <c r="L414" s="27"/>
      <c r="M414" s="27"/>
      <c r="N414" s="27"/>
      <c r="O414" s="27"/>
      <c r="P414" s="27"/>
      <c r="Q414" s="27"/>
      <c r="R414" s="27"/>
      <c r="S414" s="27"/>
      <c r="T414" s="27"/>
      <c r="U414" s="27"/>
      <c r="V414" s="25"/>
      <c r="W414" s="31" t="e">
        <f>INDEX(TBL_PIPED_IMPORTERS_CONNECTIONS[PipedImporterConnectionID],$A414)</f>
        <v>#REF!</v>
      </c>
      <c r="X414" s="31" t="e">
        <f>"PipedImporterCapMin_"&amp;RIGHT($W414,11)</f>
        <v>#REF!</v>
      </c>
    </row>
    <row r="415" spans="1:24" x14ac:dyDescent="0.25">
      <c r="A415" s="94">
        <f t="shared" si="538"/>
        <v>103</v>
      </c>
      <c r="B415" s="116"/>
      <c r="C415" s="93" t="str">
        <f t="shared" ref="C415:D415" si="554">IF($B414&lt;&gt;"",C411,"")</f>
        <v/>
      </c>
      <c r="D415" s="93" t="str">
        <f t="shared" si="554"/>
        <v/>
      </c>
      <c r="E415" s="28"/>
      <c r="F415" s="28"/>
      <c r="G415" s="28"/>
      <c r="H415" s="28"/>
      <c r="I415" s="28"/>
      <c r="J415" s="28"/>
      <c r="K415" s="28"/>
      <c r="L415" s="28"/>
      <c r="M415" s="28"/>
      <c r="N415" s="28"/>
      <c r="O415" s="28"/>
      <c r="P415" s="28"/>
      <c r="Q415" s="28"/>
      <c r="R415" s="28"/>
      <c r="S415" s="28"/>
      <c r="T415" s="28"/>
      <c r="U415" s="28"/>
      <c r="V415" s="26"/>
      <c r="W415" s="31" t="e">
        <f>INDEX(TBL_PIPED_IMPORTERS_CONNECTIONS[PipedImporterConnectionID],$A415)</f>
        <v>#REF!</v>
      </c>
      <c r="X415" s="31" t="e">
        <f>"PipedImporterCapMax_"&amp;RIGHT($W415,11)</f>
        <v>#REF!</v>
      </c>
    </row>
    <row r="416" spans="1:24" x14ac:dyDescent="0.25">
      <c r="A416" s="94">
        <f t="shared" si="538"/>
        <v>103</v>
      </c>
      <c r="B416" s="116"/>
      <c r="C416" s="93" t="str">
        <f t="shared" ref="C416:D416" si="555">IF($B414&lt;&gt;"",C412,"")</f>
        <v/>
      </c>
      <c r="D416" s="93" t="str">
        <f t="shared" si="555"/>
        <v/>
      </c>
      <c r="E416" s="27"/>
      <c r="F416" s="27"/>
      <c r="G416" s="27"/>
      <c r="H416" s="27"/>
      <c r="I416" s="27"/>
      <c r="J416" s="27"/>
      <c r="K416" s="27"/>
      <c r="L416" s="27"/>
      <c r="M416" s="27"/>
      <c r="N416" s="27"/>
      <c r="O416" s="27"/>
      <c r="P416" s="27"/>
      <c r="Q416" s="27"/>
      <c r="R416" s="27"/>
      <c r="S416" s="27"/>
      <c r="T416" s="27"/>
      <c r="U416" s="27"/>
      <c r="V416" s="25"/>
      <c r="W416" s="31" t="e">
        <f>INDEX(TBL_PIPED_IMPORTERS_CONNECTIONS[PipedImporterConnectionID],$A416)</f>
        <v>#REF!</v>
      </c>
      <c r="X416" s="31" t="e">
        <f>"PipedImporterTariffFixed_"&amp;RIGHT($W416,11)</f>
        <v>#REF!</v>
      </c>
    </row>
    <row r="417" spans="1:24" x14ac:dyDescent="0.25">
      <c r="A417" s="94">
        <f t="shared" si="538"/>
        <v>103</v>
      </c>
      <c r="B417" s="117"/>
      <c r="C417" s="93" t="str">
        <f t="shared" ref="C417:D417" si="556">IF($B414&lt;&gt;"",C413,"")</f>
        <v/>
      </c>
      <c r="D417" s="93" t="str">
        <f t="shared" si="556"/>
        <v/>
      </c>
      <c r="E417" s="28"/>
      <c r="F417" s="28"/>
      <c r="G417" s="28"/>
      <c r="H417" s="28"/>
      <c r="I417" s="28"/>
      <c r="J417" s="28"/>
      <c r="K417" s="28"/>
      <c r="L417" s="28"/>
      <c r="M417" s="28"/>
      <c r="N417" s="28"/>
      <c r="O417" s="28"/>
      <c r="P417" s="28"/>
      <c r="Q417" s="28"/>
      <c r="R417" s="28"/>
      <c r="S417" s="28"/>
      <c r="T417" s="28"/>
      <c r="U417" s="28"/>
      <c r="V417" s="26"/>
      <c r="W417" s="31" t="e">
        <f>INDEX(TBL_PIPED_IMPORTERS_CONNECTIONS[PipedImporterConnectionID],$A417)</f>
        <v>#REF!</v>
      </c>
      <c r="X417" s="31" t="e">
        <f>"PipedImporterTariffVar_"&amp;RIGHT($W417,11)</f>
        <v>#REF!</v>
      </c>
    </row>
    <row r="418" spans="1:24" x14ac:dyDescent="0.25">
      <c r="A418" s="94">
        <f t="shared" ref="A418" si="557">$A414+1</f>
        <v>104</v>
      </c>
      <c r="B418" s="115" t="str">
        <f>IFERROR(INDEX(TBL_PIPED_IMPORTERS_CONNECTIONS[Name],$A418),"")</f>
        <v/>
      </c>
      <c r="C418" s="93" t="str">
        <f t="shared" ref="C418:D418" si="558">IF($B418&lt;&gt;"",C414,"")</f>
        <v/>
      </c>
      <c r="D418" s="93" t="str">
        <f t="shared" si="558"/>
        <v/>
      </c>
      <c r="E418" s="27"/>
      <c r="F418" s="27"/>
      <c r="G418" s="27"/>
      <c r="H418" s="27"/>
      <c r="I418" s="27"/>
      <c r="J418" s="27"/>
      <c r="K418" s="27"/>
      <c r="L418" s="27"/>
      <c r="M418" s="27"/>
      <c r="N418" s="27"/>
      <c r="O418" s="27"/>
      <c r="P418" s="27"/>
      <c r="Q418" s="27"/>
      <c r="R418" s="27"/>
      <c r="S418" s="27"/>
      <c r="T418" s="27"/>
      <c r="U418" s="27"/>
      <c r="V418" s="25"/>
      <c r="W418" s="31" t="e">
        <f>INDEX(TBL_PIPED_IMPORTERS_CONNECTIONS[PipedImporterConnectionID],$A418)</f>
        <v>#REF!</v>
      </c>
      <c r="X418" s="31" t="e">
        <f>"PipedImporterCapMin_"&amp;RIGHT($W418,11)</f>
        <v>#REF!</v>
      </c>
    </row>
    <row r="419" spans="1:24" x14ac:dyDescent="0.25">
      <c r="A419" s="94">
        <f t="shared" si="538"/>
        <v>104</v>
      </c>
      <c r="B419" s="116"/>
      <c r="C419" s="93" t="str">
        <f t="shared" ref="C419:D419" si="559">IF($B418&lt;&gt;"",C415,"")</f>
        <v/>
      </c>
      <c r="D419" s="93" t="str">
        <f t="shared" si="559"/>
        <v/>
      </c>
      <c r="E419" s="28"/>
      <c r="F419" s="28"/>
      <c r="G419" s="28"/>
      <c r="H419" s="28"/>
      <c r="I419" s="28"/>
      <c r="J419" s="28"/>
      <c r="K419" s="28"/>
      <c r="L419" s="28"/>
      <c r="M419" s="28"/>
      <c r="N419" s="28"/>
      <c r="O419" s="28"/>
      <c r="P419" s="28"/>
      <c r="Q419" s="28"/>
      <c r="R419" s="28"/>
      <c r="S419" s="28"/>
      <c r="T419" s="28"/>
      <c r="U419" s="28"/>
      <c r="V419" s="26"/>
      <c r="W419" s="31" t="e">
        <f>INDEX(TBL_PIPED_IMPORTERS_CONNECTIONS[PipedImporterConnectionID],$A419)</f>
        <v>#REF!</v>
      </c>
      <c r="X419" s="31" t="e">
        <f>"PipedImporterCapMax_"&amp;RIGHT($W419,11)</f>
        <v>#REF!</v>
      </c>
    </row>
    <row r="420" spans="1:24" x14ac:dyDescent="0.25">
      <c r="A420" s="94">
        <f t="shared" si="538"/>
        <v>104</v>
      </c>
      <c r="B420" s="116"/>
      <c r="C420" s="93" t="str">
        <f t="shared" ref="C420:D420" si="560">IF($B418&lt;&gt;"",C416,"")</f>
        <v/>
      </c>
      <c r="D420" s="93" t="str">
        <f t="shared" si="560"/>
        <v/>
      </c>
      <c r="E420" s="27"/>
      <c r="F420" s="27"/>
      <c r="G420" s="27"/>
      <c r="H420" s="27"/>
      <c r="I420" s="27"/>
      <c r="J420" s="27"/>
      <c r="K420" s="27"/>
      <c r="L420" s="27"/>
      <c r="M420" s="27"/>
      <c r="N420" s="27"/>
      <c r="O420" s="27"/>
      <c r="P420" s="27"/>
      <c r="Q420" s="27"/>
      <c r="R420" s="27"/>
      <c r="S420" s="27"/>
      <c r="T420" s="27"/>
      <c r="U420" s="27"/>
      <c r="V420" s="25"/>
      <c r="W420" s="31" t="e">
        <f>INDEX(TBL_PIPED_IMPORTERS_CONNECTIONS[PipedImporterConnectionID],$A420)</f>
        <v>#REF!</v>
      </c>
      <c r="X420" s="31" t="e">
        <f>"PipedImporterTariffFixed_"&amp;RIGHT($W420,11)</f>
        <v>#REF!</v>
      </c>
    </row>
    <row r="421" spans="1:24" x14ac:dyDescent="0.25">
      <c r="A421" s="94">
        <f t="shared" si="538"/>
        <v>104</v>
      </c>
      <c r="B421" s="117"/>
      <c r="C421" s="93" t="str">
        <f t="shared" ref="C421:D421" si="561">IF($B418&lt;&gt;"",C417,"")</f>
        <v/>
      </c>
      <c r="D421" s="93" t="str">
        <f t="shared" si="561"/>
        <v/>
      </c>
      <c r="E421" s="28"/>
      <c r="F421" s="28"/>
      <c r="G421" s="28"/>
      <c r="H421" s="28"/>
      <c r="I421" s="28"/>
      <c r="J421" s="28"/>
      <c r="K421" s="28"/>
      <c r="L421" s="28"/>
      <c r="M421" s="28"/>
      <c r="N421" s="28"/>
      <c r="O421" s="28"/>
      <c r="P421" s="28"/>
      <c r="Q421" s="28"/>
      <c r="R421" s="28"/>
      <c r="S421" s="28"/>
      <c r="T421" s="28"/>
      <c r="U421" s="28"/>
      <c r="V421" s="26"/>
      <c r="W421" s="31" t="e">
        <f>INDEX(TBL_PIPED_IMPORTERS_CONNECTIONS[PipedImporterConnectionID],$A421)</f>
        <v>#REF!</v>
      </c>
      <c r="X421" s="31" t="e">
        <f>"PipedImporterTariffVar_"&amp;RIGHT($W421,11)</f>
        <v>#REF!</v>
      </c>
    </row>
    <row r="422" spans="1:24" x14ac:dyDescent="0.25">
      <c r="A422" s="94">
        <f t="shared" ref="A422" si="562">$A418+1</f>
        <v>105</v>
      </c>
      <c r="B422" s="115" t="str">
        <f>IFERROR(INDEX(TBL_PIPED_IMPORTERS_CONNECTIONS[Name],$A422),"")</f>
        <v/>
      </c>
      <c r="C422" s="93" t="str">
        <f t="shared" ref="C422:D422" si="563">IF($B422&lt;&gt;"",C418,"")</f>
        <v/>
      </c>
      <c r="D422" s="93" t="str">
        <f t="shared" si="563"/>
        <v/>
      </c>
      <c r="E422" s="27"/>
      <c r="F422" s="27"/>
      <c r="G422" s="27"/>
      <c r="H422" s="27"/>
      <c r="I422" s="27"/>
      <c r="J422" s="27"/>
      <c r="K422" s="27"/>
      <c r="L422" s="27"/>
      <c r="M422" s="27"/>
      <c r="N422" s="27"/>
      <c r="O422" s="27"/>
      <c r="P422" s="27"/>
      <c r="Q422" s="27"/>
      <c r="R422" s="27"/>
      <c r="S422" s="27"/>
      <c r="T422" s="27"/>
      <c r="U422" s="27"/>
      <c r="V422" s="25"/>
      <c r="W422" s="31" t="e">
        <f>INDEX(TBL_PIPED_IMPORTERS_CONNECTIONS[PipedImporterConnectionID],$A422)</f>
        <v>#REF!</v>
      </c>
      <c r="X422" s="31" t="e">
        <f>"PipedImporterCapMin_"&amp;RIGHT($W422,11)</f>
        <v>#REF!</v>
      </c>
    </row>
    <row r="423" spans="1:24" x14ac:dyDescent="0.25">
      <c r="A423" s="94">
        <f t="shared" ref="A423:A425" si="564">$A422</f>
        <v>105</v>
      </c>
      <c r="B423" s="116"/>
      <c r="C423" s="93" t="str">
        <f t="shared" ref="C423:D423" si="565">IF($B422&lt;&gt;"",C419,"")</f>
        <v/>
      </c>
      <c r="D423" s="93" t="str">
        <f t="shared" si="565"/>
        <v/>
      </c>
      <c r="E423" s="28"/>
      <c r="F423" s="28"/>
      <c r="G423" s="28"/>
      <c r="H423" s="28"/>
      <c r="I423" s="28"/>
      <c r="J423" s="28"/>
      <c r="K423" s="28"/>
      <c r="L423" s="28"/>
      <c r="M423" s="28"/>
      <c r="N423" s="28"/>
      <c r="O423" s="28"/>
      <c r="P423" s="28"/>
      <c r="Q423" s="28"/>
      <c r="R423" s="28"/>
      <c r="S423" s="28"/>
      <c r="T423" s="28"/>
      <c r="U423" s="28"/>
      <c r="V423" s="26"/>
      <c r="W423" s="31" t="e">
        <f>INDEX(TBL_PIPED_IMPORTERS_CONNECTIONS[PipedImporterConnectionID],$A423)</f>
        <v>#REF!</v>
      </c>
      <c r="X423" s="31" t="e">
        <f>"PipedImporterCapMax_"&amp;RIGHT($W423,11)</f>
        <v>#REF!</v>
      </c>
    </row>
    <row r="424" spans="1:24" x14ac:dyDescent="0.25">
      <c r="A424" s="94">
        <f t="shared" si="564"/>
        <v>105</v>
      </c>
      <c r="B424" s="116"/>
      <c r="C424" s="93" t="str">
        <f t="shared" ref="C424:D424" si="566">IF($B422&lt;&gt;"",C420,"")</f>
        <v/>
      </c>
      <c r="D424" s="93" t="str">
        <f t="shared" si="566"/>
        <v/>
      </c>
      <c r="E424" s="27"/>
      <c r="F424" s="27"/>
      <c r="G424" s="27"/>
      <c r="H424" s="27"/>
      <c r="I424" s="27"/>
      <c r="J424" s="27"/>
      <c r="K424" s="27"/>
      <c r="L424" s="27"/>
      <c r="M424" s="27"/>
      <c r="N424" s="27"/>
      <c r="O424" s="27"/>
      <c r="P424" s="27"/>
      <c r="Q424" s="27"/>
      <c r="R424" s="27"/>
      <c r="S424" s="27"/>
      <c r="T424" s="27"/>
      <c r="U424" s="27"/>
      <c r="V424" s="25"/>
      <c r="W424" s="31" t="e">
        <f>INDEX(TBL_PIPED_IMPORTERS_CONNECTIONS[PipedImporterConnectionID],$A424)</f>
        <v>#REF!</v>
      </c>
      <c r="X424" s="31" t="e">
        <f>"PipedImporterTariffFixed_"&amp;RIGHT($W424,11)</f>
        <v>#REF!</v>
      </c>
    </row>
    <row r="425" spans="1:24" x14ac:dyDescent="0.25">
      <c r="A425" s="94">
        <f t="shared" si="564"/>
        <v>105</v>
      </c>
      <c r="B425" s="117"/>
      <c r="C425" s="93" t="str">
        <f t="shared" ref="C425:D425" si="567">IF($B422&lt;&gt;"",C421,"")</f>
        <v/>
      </c>
      <c r="D425" s="93" t="str">
        <f t="shared" si="567"/>
        <v/>
      </c>
      <c r="E425" s="28"/>
      <c r="F425" s="28"/>
      <c r="G425" s="28"/>
      <c r="H425" s="28"/>
      <c r="I425" s="28"/>
      <c r="J425" s="28"/>
      <c r="K425" s="28"/>
      <c r="L425" s="28"/>
      <c r="M425" s="28"/>
      <c r="N425" s="28"/>
      <c r="O425" s="28"/>
      <c r="P425" s="28"/>
      <c r="Q425" s="28"/>
      <c r="R425" s="28"/>
      <c r="S425" s="28"/>
      <c r="T425" s="28"/>
      <c r="U425" s="28"/>
      <c r="V425" s="26"/>
      <c r="W425" s="31" t="e">
        <f>INDEX(TBL_PIPED_IMPORTERS_CONNECTIONS[PipedImporterConnectionID],$A425)</f>
        <v>#REF!</v>
      </c>
      <c r="X425" s="31" t="e">
        <f>"PipedImporterTariffVar_"&amp;RIGHT($W425,11)</f>
        <v>#REF!</v>
      </c>
    </row>
    <row r="426" spans="1:24" x14ac:dyDescent="0.25">
      <c r="A426" s="94">
        <f t="shared" ref="A426" si="568">$A422+1</f>
        <v>106</v>
      </c>
      <c r="B426" s="115" t="str">
        <f>IFERROR(INDEX(TBL_PIPED_IMPORTERS_CONNECTIONS[Name],$A426),"")</f>
        <v/>
      </c>
      <c r="C426" s="93" t="str">
        <f t="shared" ref="C426:D426" si="569">IF($B426&lt;&gt;"",C422,"")</f>
        <v/>
      </c>
      <c r="D426" s="93" t="str">
        <f t="shared" si="569"/>
        <v/>
      </c>
      <c r="E426" s="27"/>
      <c r="F426" s="27"/>
      <c r="G426" s="27"/>
      <c r="H426" s="27"/>
      <c r="I426" s="27"/>
      <c r="J426" s="27"/>
      <c r="K426" s="27"/>
      <c r="L426" s="27"/>
      <c r="M426" s="27"/>
      <c r="N426" s="27"/>
      <c r="O426" s="27"/>
      <c r="P426" s="27"/>
      <c r="Q426" s="27"/>
      <c r="R426" s="27"/>
      <c r="S426" s="27"/>
      <c r="T426" s="27"/>
      <c r="U426" s="27"/>
      <c r="V426" s="25"/>
      <c r="W426" s="31" t="e">
        <f>INDEX(TBL_PIPED_IMPORTERS_CONNECTIONS[PipedImporterConnectionID],$A426)</f>
        <v>#REF!</v>
      </c>
      <c r="X426" s="31" t="e">
        <f>"PipedImporterCapMin_"&amp;RIGHT($W426,11)</f>
        <v>#REF!</v>
      </c>
    </row>
    <row r="427" spans="1:24" x14ac:dyDescent="0.25">
      <c r="A427" s="94">
        <f t="shared" ref="A427:A429" si="570">$A426</f>
        <v>106</v>
      </c>
      <c r="B427" s="116"/>
      <c r="C427" s="93" t="str">
        <f t="shared" ref="C427:D427" si="571">IF($B426&lt;&gt;"",C423,"")</f>
        <v/>
      </c>
      <c r="D427" s="93" t="str">
        <f t="shared" si="571"/>
        <v/>
      </c>
      <c r="E427" s="28"/>
      <c r="F427" s="28"/>
      <c r="G427" s="28"/>
      <c r="H427" s="28"/>
      <c r="I427" s="28"/>
      <c r="J427" s="28"/>
      <c r="K427" s="28"/>
      <c r="L427" s="28"/>
      <c r="M427" s="28"/>
      <c r="N427" s="28"/>
      <c r="O427" s="28"/>
      <c r="P427" s="28"/>
      <c r="Q427" s="28"/>
      <c r="R427" s="28"/>
      <c r="S427" s="28"/>
      <c r="T427" s="28"/>
      <c r="U427" s="28"/>
      <c r="V427" s="26"/>
      <c r="W427" s="31" t="e">
        <f>INDEX(TBL_PIPED_IMPORTERS_CONNECTIONS[PipedImporterConnectionID],$A427)</f>
        <v>#REF!</v>
      </c>
      <c r="X427" s="31" t="e">
        <f>"PipedImporterCapMax_"&amp;RIGHT($W427,11)</f>
        <v>#REF!</v>
      </c>
    </row>
    <row r="428" spans="1:24" x14ac:dyDescent="0.25">
      <c r="A428" s="94">
        <f t="shared" si="570"/>
        <v>106</v>
      </c>
      <c r="B428" s="116"/>
      <c r="C428" s="93" t="str">
        <f t="shared" ref="C428:D428" si="572">IF($B426&lt;&gt;"",C424,"")</f>
        <v/>
      </c>
      <c r="D428" s="93" t="str">
        <f t="shared" si="572"/>
        <v/>
      </c>
      <c r="E428" s="27"/>
      <c r="F428" s="27"/>
      <c r="G428" s="27"/>
      <c r="H428" s="27"/>
      <c r="I428" s="27"/>
      <c r="J428" s="27"/>
      <c r="K428" s="27"/>
      <c r="L428" s="27"/>
      <c r="M428" s="27"/>
      <c r="N428" s="27"/>
      <c r="O428" s="27"/>
      <c r="P428" s="27"/>
      <c r="Q428" s="27"/>
      <c r="R428" s="27"/>
      <c r="S428" s="27"/>
      <c r="T428" s="27"/>
      <c r="U428" s="27"/>
      <c r="V428" s="25"/>
      <c r="W428" s="31" t="e">
        <f>INDEX(TBL_PIPED_IMPORTERS_CONNECTIONS[PipedImporterConnectionID],$A428)</f>
        <v>#REF!</v>
      </c>
      <c r="X428" s="31" t="e">
        <f>"PipedImporterTariffFixed_"&amp;RIGHT($W428,11)</f>
        <v>#REF!</v>
      </c>
    </row>
    <row r="429" spans="1:24" x14ac:dyDescent="0.25">
      <c r="A429" s="94">
        <f t="shared" si="570"/>
        <v>106</v>
      </c>
      <c r="B429" s="117"/>
      <c r="C429" s="93" t="str">
        <f t="shared" ref="C429:D429" si="573">IF($B426&lt;&gt;"",C425,"")</f>
        <v/>
      </c>
      <c r="D429" s="93" t="str">
        <f t="shared" si="573"/>
        <v/>
      </c>
      <c r="E429" s="28"/>
      <c r="F429" s="28"/>
      <c r="G429" s="28"/>
      <c r="H429" s="28"/>
      <c r="I429" s="28"/>
      <c r="J429" s="28"/>
      <c r="K429" s="28"/>
      <c r="L429" s="28"/>
      <c r="M429" s="28"/>
      <c r="N429" s="28"/>
      <c r="O429" s="28"/>
      <c r="P429" s="28"/>
      <c r="Q429" s="28"/>
      <c r="R429" s="28"/>
      <c r="S429" s="28"/>
      <c r="T429" s="28"/>
      <c r="U429" s="28"/>
      <c r="V429" s="26"/>
      <c r="W429" s="31" t="e">
        <f>INDEX(TBL_PIPED_IMPORTERS_CONNECTIONS[PipedImporterConnectionID],$A429)</f>
        <v>#REF!</v>
      </c>
      <c r="X429" s="31" t="e">
        <f>"PipedImporterTariffVar_"&amp;RIGHT($W429,11)</f>
        <v>#REF!</v>
      </c>
    </row>
    <row r="430" spans="1:24" x14ac:dyDescent="0.25">
      <c r="A430" s="94">
        <f t="shared" ref="A430" si="574">$A426+1</f>
        <v>107</v>
      </c>
      <c r="B430" s="115" t="str">
        <f>IFERROR(INDEX(TBL_PIPED_IMPORTERS_CONNECTIONS[Name],$A430),"")</f>
        <v/>
      </c>
      <c r="C430" s="93" t="str">
        <f t="shared" ref="C430:D430" si="575">IF($B430&lt;&gt;"",C426,"")</f>
        <v/>
      </c>
      <c r="D430" s="93" t="str">
        <f t="shared" si="575"/>
        <v/>
      </c>
      <c r="E430" s="27"/>
      <c r="F430" s="27"/>
      <c r="G430" s="27"/>
      <c r="H430" s="27"/>
      <c r="I430" s="27"/>
      <c r="J430" s="27"/>
      <c r="K430" s="27"/>
      <c r="L430" s="27"/>
      <c r="M430" s="27"/>
      <c r="N430" s="27"/>
      <c r="O430" s="27"/>
      <c r="P430" s="27"/>
      <c r="Q430" s="27"/>
      <c r="R430" s="27"/>
      <c r="S430" s="27"/>
      <c r="T430" s="27"/>
      <c r="U430" s="27"/>
      <c r="V430" s="25"/>
      <c r="W430" s="31" t="e">
        <f>INDEX(TBL_PIPED_IMPORTERS_CONNECTIONS[PipedImporterConnectionID],$A430)</f>
        <v>#REF!</v>
      </c>
      <c r="X430" s="31" t="e">
        <f>"PipedImporterCapMin_"&amp;RIGHT($W430,11)</f>
        <v>#REF!</v>
      </c>
    </row>
    <row r="431" spans="1:24" x14ac:dyDescent="0.25">
      <c r="A431" s="94">
        <f t="shared" ref="A431:A445" si="576">$A430</f>
        <v>107</v>
      </c>
      <c r="B431" s="116"/>
      <c r="C431" s="93" t="str">
        <f t="shared" ref="C431:D431" si="577">IF($B430&lt;&gt;"",C427,"")</f>
        <v/>
      </c>
      <c r="D431" s="93" t="str">
        <f t="shared" si="577"/>
        <v/>
      </c>
      <c r="E431" s="28"/>
      <c r="F431" s="28"/>
      <c r="G431" s="28"/>
      <c r="H431" s="28"/>
      <c r="I431" s="28"/>
      <c r="J431" s="28"/>
      <c r="K431" s="28"/>
      <c r="L431" s="28"/>
      <c r="M431" s="28"/>
      <c r="N431" s="28"/>
      <c r="O431" s="28"/>
      <c r="P431" s="28"/>
      <c r="Q431" s="28"/>
      <c r="R431" s="28"/>
      <c r="S431" s="28"/>
      <c r="T431" s="28"/>
      <c r="U431" s="28"/>
      <c r="V431" s="26"/>
      <c r="W431" s="31" t="e">
        <f>INDEX(TBL_PIPED_IMPORTERS_CONNECTIONS[PipedImporterConnectionID],$A431)</f>
        <v>#REF!</v>
      </c>
      <c r="X431" s="31" t="e">
        <f>"PipedImporterCapMax_"&amp;RIGHT($W431,11)</f>
        <v>#REF!</v>
      </c>
    </row>
    <row r="432" spans="1:24" x14ac:dyDescent="0.25">
      <c r="A432" s="94">
        <f t="shared" si="576"/>
        <v>107</v>
      </c>
      <c r="B432" s="116"/>
      <c r="C432" s="93" t="str">
        <f t="shared" ref="C432:D432" si="578">IF($B430&lt;&gt;"",C428,"")</f>
        <v/>
      </c>
      <c r="D432" s="93" t="str">
        <f t="shared" si="578"/>
        <v/>
      </c>
      <c r="E432" s="27"/>
      <c r="F432" s="27"/>
      <c r="G432" s="27"/>
      <c r="H432" s="27"/>
      <c r="I432" s="27"/>
      <c r="J432" s="27"/>
      <c r="K432" s="27"/>
      <c r="L432" s="27"/>
      <c r="M432" s="27"/>
      <c r="N432" s="27"/>
      <c r="O432" s="27"/>
      <c r="P432" s="27"/>
      <c r="Q432" s="27"/>
      <c r="R432" s="27"/>
      <c r="S432" s="27"/>
      <c r="T432" s="27"/>
      <c r="U432" s="27"/>
      <c r="V432" s="25"/>
      <c r="W432" s="31" t="e">
        <f>INDEX(TBL_PIPED_IMPORTERS_CONNECTIONS[PipedImporterConnectionID],$A432)</f>
        <v>#REF!</v>
      </c>
      <c r="X432" s="31" t="e">
        <f>"PipedImporterTariffFixed_"&amp;RIGHT($W432,11)</f>
        <v>#REF!</v>
      </c>
    </row>
    <row r="433" spans="1:24" x14ac:dyDescent="0.25">
      <c r="A433" s="94">
        <f t="shared" si="576"/>
        <v>107</v>
      </c>
      <c r="B433" s="117"/>
      <c r="C433" s="93" t="str">
        <f t="shared" ref="C433:D433" si="579">IF($B430&lt;&gt;"",C429,"")</f>
        <v/>
      </c>
      <c r="D433" s="93" t="str">
        <f t="shared" si="579"/>
        <v/>
      </c>
      <c r="E433" s="28"/>
      <c r="F433" s="28"/>
      <c r="G433" s="28"/>
      <c r="H433" s="28"/>
      <c r="I433" s="28"/>
      <c r="J433" s="28"/>
      <c r="K433" s="28"/>
      <c r="L433" s="28"/>
      <c r="M433" s="28"/>
      <c r="N433" s="28"/>
      <c r="O433" s="28"/>
      <c r="P433" s="28"/>
      <c r="Q433" s="28"/>
      <c r="R433" s="28"/>
      <c r="S433" s="28"/>
      <c r="T433" s="28"/>
      <c r="U433" s="28"/>
      <c r="V433" s="26"/>
      <c r="W433" s="31" t="e">
        <f>INDEX(TBL_PIPED_IMPORTERS_CONNECTIONS[PipedImporterConnectionID],$A433)</f>
        <v>#REF!</v>
      </c>
      <c r="X433" s="31" t="e">
        <f>"PipedImporterTariffVar_"&amp;RIGHT($W433,11)</f>
        <v>#REF!</v>
      </c>
    </row>
    <row r="434" spans="1:24" x14ac:dyDescent="0.25">
      <c r="A434" s="94">
        <f t="shared" ref="A434" si="580">$A430+1</f>
        <v>108</v>
      </c>
      <c r="B434" s="115" t="str">
        <f>IFERROR(INDEX(TBL_PIPED_IMPORTERS_CONNECTIONS[Name],$A434),"")</f>
        <v/>
      </c>
      <c r="C434" s="93" t="str">
        <f t="shared" ref="C434:D434" si="581">IF($B434&lt;&gt;"",C430,"")</f>
        <v/>
      </c>
      <c r="D434" s="93" t="str">
        <f t="shared" si="581"/>
        <v/>
      </c>
      <c r="E434" s="27"/>
      <c r="F434" s="27"/>
      <c r="G434" s="27"/>
      <c r="H434" s="27"/>
      <c r="I434" s="27"/>
      <c r="J434" s="27"/>
      <c r="K434" s="27"/>
      <c r="L434" s="27"/>
      <c r="M434" s="27"/>
      <c r="N434" s="27"/>
      <c r="O434" s="27"/>
      <c r="P434" s="27"/>
      <c r="Q434" s="27"/>
      <c r="R434" s="27"/>
      <c r="S434" s="27"/>
      <c r="T434" s="27"/>
      <c r="U434" s="27"/>
      <c r="V434" s="25"/>
      <c r="W434" s="31" t="e">
        <f>INDEX(TBL_PIPED_IMPORTERS_CONNECTIONS[PipedImporterConnectionID],$A434)</f>
        <v>#REF!</v>
      </c>
      <c r="X434" s="31" t="e">
        <f>"PipedImporterCapMin_"&amp;RIGHT($W434,11)</f>
        <v>#REF!</v>
      </c>
    </row>
    <row r="435" spans="1:24" x14ac:dyDescent="0.25">
      <c r="A435" s="94">
        <f t="shared" si="576"/>
        <v>108</v>
      </c>
      <c r="B435" s="116"/>
      <c r="C435" s="93" t="str">
        <f t="shared" ref="C435:D435" si="582">IF($B434&lt;&gt;"",C431,"")</f>
        <v/>
      </c>
      <c r="D435" s="93" t="str">
        <f t="shared" si="582"/>
        <v/>
      </c>
      <c r="E435" s="28"/>
      <c r="F435" s="28"/>
      <c r="G435" s="28"/>
      <c r="H435" s="28"/>
      <c r="I435" s="28"/>
      <c r="J435" s="28"/>
      <c r="K435" s="28"/>
      <c r="L435" s="28"/>
      <c r="M435" s="28"/>
      <c r="N435" s="28"/>
      <c r="O435" s="28"/>
      <c r="P435" s="28"/>
      <c r="Q435" s="28"/>
      <c r="R435" s="28"/>
      <c r="S435" s="28"/>
      <c r="T435" s="28"/>
      <c r="U435" s="28"/>
      <c r="V435" s="26"/>
      <c r="W435" s="31" t="e">
        <f>INDEX(TBL_PIPED_IMPORTERS_CONNECTIONS[PipedImporterConnectionID],$A435)</f>
        <v>#REF!</v>
      </c>
      <c r="X435" s="31" t="e">
        <f>"PipedImporterCapMax_"&amp;RIGHT($W435,11)</f>
        <v>#REF!</v>
      </c>
    </row>
    <row r="436" spans="1:24" x14ac:dyDescent="0.25">
      <c r="A436" s="94">
        <f t="shared" si="576"/>
        <v>108</v>
      </c>
      <c r="B436" s="116"/>
      <c r="C436" s="93" t="str">
        <f t="shared" ref="C436:D436" si="583">IF($B434&lt;&gt;"",C432,"")</f>
        <v/>
      </c>
      <c r="D436" s="93" t="str">
        <f t="shared" si="583"/>
        <v/>
      </c>
      <c r="E436" s="27"/>
      <c r="F436" s="27"/>
      <c r="G436" s="27"/>
      <c r="H436" s="27"/>
      <c r="I436" s="27"/>
      <c r="J436" s="27"/>
      <c r="K436" s="27"/>
      <c r="L436" s="27"/>
      <c r="M436" s="27"/>
      <c r="N436" s="27"/>
      <c r="O436" s="27"/>
      <c r="P436" s="27"/>
      <c r="Q436" s="27"/>
      <c r="R436" s="27"/>
      <c r="S436" s="27"/>
      <c r="T436" s="27"/>
      <c r="U436" s="27"/>
      <c r="V436" s="25"/>
      <c r="W436" s="31" t="e">
        <f>INDEX(TBL_PIPED_IMPORTERS_CONNECTIONS[PipedImporterConnectionID],$A436)</f>
        <v>#REF!</v>
      </c>
      <c r="X436" s="31" t="e">
        <f>"PipedImporterTariffFixed_"&amp;RIGHT($W436,11)</f>
        <v>#REF!</v>
      </c>
    </row>
    <row r="437" spans="1:24" x14ac:dyDescent="0.25">
      <c r="A437" s="94">
        <f t="shared" si="576"/>
        <v>108</v>
      </c>
      <c r="B437" s="117"/>
      <c r="C437" s="93" t="str">
        <f t="shared" ref="C437:D437" si="584">IF($B434&lt;&gt;"",C433,"")</f>
        <v/>
      </c>
      <c r="D437" s="93" t="str">
        <f t="shared" si="584"/>
        <v/>
      </c>
      <c r="E437" s="28"/>
      <c r="F437" s="28"/>
      <c r="G437" s="28"/>
      <c r="H437" s="28"/>
      <c r="I437" s="28"/>
      <c r="J437" s="28"/>
      <c r="K437" s="28"/>
      <c r="L437" s="28"/>
      <c r="M437" s="28"/>
      <c r="N437" s="28"/>
      <c r="O437" s="28"/>
      <c r="P437" s="28"/>
      <c r="Q437" s="28"/>
      <c r="R437" s="28"/>
      <c r="S437" s="28"/>
      <c r="T437" s="28"/>
      <c r="U437" s="28"/>
      <c r="V437" s="26"/>
      <c r="W437" s="31" t="e">
        <f>INDEX(TBL_PIPED_IMPORTERS_CONNECTIONS[PipedImporterConnectionID],$A437)</f>
        <v>#REF!</v>
      </c>
      <c r="X437" s="31" t="e">
        <f>"PipedImporterTariffVar_"&amp;RIGHT($W437,11)</f>
        <v>#REF!</v>
      </c>
    </row>
    <row r="438" spans="1:24" x14ac:dyDescent="0.25">
      <c r="A438" s="94">
        <f t="shared" ref="A438" si="585">$A434+1</f>
        <v>109</v>
      </c>
      <c r="B438" s="115" t="str">
        <f>IFERROR(INDEX(TBL_PIPED_IMPORTERS_CONNECTIONS[Name],$A438),"")</f>
        <v/>
      </c>
      <c r="C438" s="93" t="str">
        <f t="shared" ref="C438:D438" si="586">IF($B438&lt;&gt;"",C434,"")</f>
        <v/>
      </c>
      <c r="D438" s="93" t="str">
        <f t="shared" si="586"/>
        <v/>
      </c>
      <c r="E438" s="27"/>
      <c r="F438" s="27"/>
      <c r="G438" s="27"/>
      <c r="H438" s="27"/>
      <c r="I438" s="27"/>
      <c r="J438" s="27"/>
      <c r="K438" s="27"/>
      <c r="L438" s="27"/>
      <c r="M438" s="27"/>
      <c r="N438" s="27"/>
      <c r="O438" s="27"/>
      <c r="P438" s="27"/>
      <c r="Q438" s="27"/>
      <c r="R438" s="27"/>
      <c r="S438" s="27"/>
      <c r="T438" s="27"/>
      <c r="U438" s="27"/>
      <c r="V438" s="25"/>
      <c r="W438" s="31" t="e">
        <f>INDEX(TBL_PIPED_IMPORTERS_CONNECTIONS[PipedImporterConnectionID],$A438)</f>
        <v>#REF!</v>
      </c>
      <c r="X438" s="31" t="e">
        <f>"PipedImporterCapMin_"&amp;RIGHT($W438,11)</f>
        <v>#REF!</v>
      </c>
    </row>
    <row r="439" spans="1:24" x14ac:dyDescent="0.25">
      <c r="A439" s="94">
        <f t="shared" si="576"/>
        <v>109</v>
      </c>
      <c r="B439" s="116"/>
      <c r="C439" s="93" t="str">
        <f t="shared" ref="C439:D439" si="587">IF($B438&lt;&gt;"",C435,"")</f>
        <v/>
      </c>
      <c r="D439" s="93" t="str">
        <f t="shared" si="587"/>
        <v/>
      </c>
      <c r="E439" s="28"/>
      <c r="F439" s="28"/>
      <c r="G439" s="28"/>
      <c r="H439" s="28"/>
      <c r="I439" s="28"/>
      <c r="J439" s="28"/>
      <c r="K439" s="28"/>
      <c r="L439" s="28"/>
      <c r="M439" s="28"/>
      <c r="N439" s="28"/>
      <c r="O439" s="28"/>
      <c r="P439" s="28"/>
      <c r="Q439" s="28"/>
      <c r="R439" s="28"/>
      <c r="S439" s="28"/>
      <c r="T439" s="28"/>
      <c r="U439" s="28"/>
      <c r="V439" s="26"/>
      <c r="W439" s="31" t="e">
        <f>INDEX(TBL_PIPED_IMPORTERS_CONNECTIONS[PipedImporterConnectionID],$A439)</f>
        <v>#REF!</v>
      </c>
      <c r="X439" s="31" t="e">
        <f>"PipedImporterCapMax_"&amp;RIGHT($W439,11)</f>
        <v>#REF!</v>
      </c>
    </row>
    <row r="440" spans="1:24" x14ac:dyDescent="0.25">
      <c r="A440" s="94">
        <f t="shared" si="576"/>
        <v>109</v>
      </c>
      <c r="B440" s="116"/>
      <c r="C440" s="93" t="str">
        <f t="shared" ref="C440:D440" si="588">IF($B438&lt;&gt;"",C436,"")</f>
        <v/>
      </c>
      <c r="D440" s="93" t="str">
        <f t="shared" si="588"/>
        <v/>
      </c>
      <c r="E440" s="27"/>
      <c r="F440" s="27"/>
      <c r="G440" s="27"/>
      <c r="H440" s="27"/>
      <c r="I440" s="27"/>
      <c r="J440" s="27"/>
      <c r="K440" s="27"/>
      <c r="L440" s="27"/>
      <c r="M440" s="27"/>
      <c r="N440" s="27"/>
      <c r="O440" s="27"/>
      <c r="P440" s="27"/>
      <c r="Q440" s="27"/>
      <c r="R440" s="27"/>
      <c r="S440" s="27"/>
      <c r="T440" s="27"/>
      <c r="U440" s="27"/>
      <c r="V440" s="25"/>
      <c r="W440" s="31" t="e">
        <f>INDEX(TBL_PIPED_IMPORTERS_CONNECTIONS[PipedImporterConnectionID],$A440)</f>
        <v>#REF!</v>
      </c>
      <c r="X440" s="31" t="e">
        <f>"PipedImporterTariffFixed_"&amp;RIGHT($W440,11)</f>
        <v>#REF!</v>
      </c>
    </row>
    <row r="441" spans="1:24" x14ac:dyDescent="0.25">
      <c r="A441" s="94">
        <f t="shared" si="576"/>
        <v>109</v>
      </c>
      <c r="B441" s="117"/>
      <c r="C441" s="93" t="str">
        <f t="shared" ref="C441:D441" si="589">IF($B438&lt;&gt;"",C437,"")</f>
        <v/>
      </c>
      <c r="D441" s="93" t="str">
        <f t="shared" si="589"/>
        <v/>
      </c>
      <c r="E441" s="28"/>
      <c r="F441" s="28"/>
      <c r="G441" s="28"/>
      <c r="H441" s="28"/>
      <c r="I441" s="28"/>
      <c r="J441" s="28"/>
      <c r="K441" s="28"/>
      <c r="L441" s="28"/>
      <c r="M441" s="28"/>
      <c r="N441" s="28"/>
      <c r="O441" s="28"/>
      <c r="P441" s="28"/>
      <c r="Q441" s="28"/>
      <c r="R441" s="28"/>
      <c r="S441" s="28"/>
      <c r="T441" s="28"/>
      <c r="U441" s="28"/>
      <c r="V441" s="26"/>
      <c r="W441" s="31" t="e">
        <f>INDEX(TBL_PIPED_IMPORTERS_CONNECTIONS[PipedImporterConnectionID],$A441)</f>
        <v>#REF!</v>
      </c>
      <c r="X441" s="31" t="e">
        <f>"PipedImporterTariffVar_"&amp;RIGHT($W441,11)</f>
        <v>#REF!</v>
      </c>
    </row>
    <row r="442" spans="1:24" x14ac:dyDescent="0.25">
      <c r="A442" s="94">
        <f t="shared" ref="A442" si="590">$A438+1</f>
        <v>110</v>
      </c>
      <c r="B442" s="115" t="str">
        <f>IFERROR(INDEX(TBL_PIPED_IMPORTERS_CONNECTIONS[Name],$A442),"")</f>
        <v/>
      </c>
      <c r="C442" s="93" t="str">
        <f t="shared" ref="C442:D442" si="591">IF($B442&lt;&gt;"",C438,"")</f>
        <v/>
      </c>
      <c r="D442" s="93" t="str">
        <f t="shared" si="591"/>
        <v/>
      </c>
      <c r="E442" s="27"/>
      <c r="F442" s="27"/>
      <c r="G442" s="27"/>
      <c r="H442" s="27"/>
      <c r="I442" s="27"/>
      <c r="J442" s="27"/>
      <c r="K442" s="27"/>
      <c r="L442" s="27"/>
      <c r="M442" s="27"/>
      <c r="N442" s="27"/>
      <c r="O442" s="27"/>
      <c r="P442" s="27"/>
      <c r="Q442" s="27"/>
      <c r="R442" s="27"/>
      <c r="S442" s="27"/>
      <c r="T442" s="27"/>
      <c r="U442" s="27"/>
      <c r="V442" s="25"/>
      <c r="W442" s="31" t="e">
        <f>INDEX(TBL_PIPED_IMPORTERS_CONNECTIONS[PipedImporterConnectionID],$A442)</f>
        <v>#REF!</v>
      </c>
      <c r="X442" s="31" t="e">
        <f>"PipedImporterCapMin_"&amp;RIGHT($W442,11)</f>
        <v>#REF!</v>
      </c>
    </row>
    <row r="443" spans="1:24" x14ac:dyDescent="0.25">
      <c r="A443" s="94">
        <f t="shared" si="576"/>
        <v>110</v>
      </c>
      <c r="B443" s="116"/>
      <c r="C443" s="93" t="str">
        <f t="shared" ref="C443:D443" si="592">IF($B442&lt;&gt;"",C439,"")</f>
        <v/>
      </c>
      <c r="D443" s="93" t="str">
        <f t="shared" si="592"/>
        <v/>
      </c>
      <c r="E443" s="28"/>
      <c r="F443" s="28"/>
      <c r="G443" s="28"/>
      <c r="H443" s="28"/>
      <c r="I443" s="28"/>
      <c r="J443" s="28"/>
      <c r="K443" s="28"/>
      <c r="L443" s="28"/>
      <c r="M443" s="28"/>
      <c r="N443" s="28"/>
      <c r="O443" s="28"/>
      <c r="P443" s="28"/>
      <c r="Q443" s="28"/>
      <c r="R443" s="28"/>
      <c r="S443" s="28"/>
      <c r="T443" s="28"/>
      <c r="U443" s="28"/>
      <c r="V443" s="26"/>
      <c r="W443" s="31" t="e">
        <f>INDEX(TBL_PIPED_IMPORTERS_CONNECTIONS[PipedImporterConnectionID],$A443)</f>
        <v>#REF!</v>
      </c>
      <c r="X443" s="31" t="e">
        <f>"PipedImporterCapMax_"&amp;RIGHT($W443,11)</f>
        <v>#REF!</v>
      </c>
    </row>
    <row r="444" spans="1:24" x14ac:dyDescent="0.25">
      <c r="A444" s="94">
        <f t="shared" si="576"/>
        <v>110</v>
      </c>
      <c r="B444" s="116"/>
      <c r="C444" s="93" t="str">
        <f t="shared" ref="C444:D444" si="593">IF($B442&lt;&gt;"",C440,"")</f>
        <v/>
      </c>
      <c r="D444" s="93" t="str">
        <f t="shared" si="593"/>
        <v/>
      </c>
      <c r="E444" s="27"/>
      <c r="F444" s="27"/>
      <c r="G444" s="27"/>
      <c r="H444" s="27"/>
      <c r="I444" s="27"/>
      <c r="J444" s="27"/>
      <c r="K444" s="27"/>
      <c r="L444" s="27"/>
      <c r="M444" s="27"/>
      <c r="N444" s="27"/>
      <c r="O444" s="27"/>
      <c r="P444" s="27"/>
      <c r="Q444" s="27"/>
      <c r="R444" s="27"/>
      <c r="S444" s="27"/>
      <c r="T444" s="27"/>
      <c r="U444" s="27"/>
      <c r="V444" s="25"/>
      <c r="W444" s="31" t="e">
        <f>INDEX(TBL_PIPED_IMPORTERS_CONNECTIONS[PipedImporterConnectionID],$A444)</f>
        <v>#REF!</v>
      </c>
      <c r="X444" s="31" t="e">
        <f>"PipedImporterTariffFixed_"&amp;RIGHT($W444,11)</f>
        <v>#REF!</v>
      </c>
    </row>
    <row r="445" spans="1:24" x14ac:dyDescent="0.25">
      <c r="A445" s="94">
        <f t="shared" si="576"/>
        <v>110</v>
      </c>
      <c r="B445" s="117"/>
      <c r="C445" s="93" t="str">
        <f t="shared" ref="C445:D445" si="594">IF($B442&lt;&gt;"",C441,"")</f>
        <v/>
      </c>
      <c r="D445" s="93" t="str">
        <f t="shared" si="594"/>
        <v/>
      </c>
      <c r="E445" s="28"/>
      <c r="F445" s="28"/>
      <c r="G445" s="28"/>
      <c r="H445" s="28"/>
      <c r="I445" s="28"/>
      <c r="J445" s="28"/>
      <c r="K445" s="28"/>
      <c r="L445" s="28"/>
      <c r="M445" s="28"/>
      <c r="N445" s="28"/>
      <c r="O445" s="28"/>
      <c r="P445" s="28"/>
      <c r="Q445" s="28"/>
      <c r="R445" s="28"/>
      <c r="S445" s="28"/>
      <c r="T445" s="28"/>
      <c r="U445" s="28"/>
      <c r="V445" s="26"/>
      <c r="W445" s="31" t="e">
        <f>INDEX(TBL_PIPED_IMPORTERS_CONNECTIONS[PipedImporterConnectionID],$A445)</f>
        <v>#REF!</v>
      </c>
      <c r="X445" s="31" t="e">
        <f>"PipedImporterTariffVar_"&amp;RIGHT($W445,11)</f>
        <v>#REF!</v>
      </c>
    </row>
  </sheetData>
  <mergeCells count="110">
    <mergeCell ref="B438:B441"/>
    <mergeCell ref="B442:B445"/>
    <mergeCell ref="B418:B421"/>
    <mergeCell ref="B422:B425"/>
    <mergeCell ref="B426:B429"/>
    <mergeCell ref="B430:B433"/>
    <mergeCell ref="B434:B437"/>
    <mergeCell ref="B398:B401"/>
    <mergeCell ref="B402:B405"/>
    <mergeCell ref="B406:B409"/>
    <mergeCell ref="B410:B413"/>
    <mergeCell ref="B414:B417"/>
    <mergeCell ref="B378:B381"/>
    <mergeCell ref="B382:B385"/>
    <mergeCell ref="B386:B389"/>
    <mergeCell ref="B390:B393"/>
    <mergeCell ref="B394:B397"/>
    <mergeCell ref="B358:B361"/>
    <mergeCell ref="B362:B365"/>
    <mergeCell ref="B366:B369"/>
    <mergeCell ref="B370:B373"/>
    <mergeCell ref="B374:B377"/>
    <mergeCell ref="B338:B341"/>
    <mergeCell ref="B342:B345"/>
    <mergeCell ref="B346:B349"/>
    <mergeCell ref="B350:B353"/>
    <mergeCell ref="B354:B357"/>
    <mergeCell ref="B318:B321"/>
    <mergeCell ref="B322:B325"/>
    <mergeCell ref="B326:B329"/>
    <mergeCell ref="B330:B333"/>
    <mergeCell ref="B334:B337"/>
    <mergeCell ref="B298:B301"/>
    <mergeCell ref="B302:B305"/>
    <mergeCell ref="B306:B309"/>
    <mergeCell ref="B310:B313"/>
    <mergeCell ref="B314:B317"/>
    <mergeCell ref="B278:B281"/>
    <mergeCell ref="B282:B285"/>
    <mergeCell ref="B286:B289"/>
    <mergeCell ref="B290:B293"/>
    <mergeCell ref="B294:B297"/>
    <mergeCell ref="B258:B261"/>
    <mergeCell ref="B262:B265"/>
    <mergeCell ref="B266:B269"/>
    <mergeCell ref="B270:B273"/>
    <mergeCell ref="B274:B277"/>
    <mergeCell ref="B238:B241"/>
    <mergeCell ref="B242:B245"/>
    <mergeCell ref="B246:B249"/>
    <mergeCell ref="B250:B253"/>
    <mergeCell ref="B254:B257"/>
    <mergeCell ref="B218:B221"/>
    <mergeCell ref="B222:B225"/>
    <mergeCell ref="B226:B229"/>
    <mergeCell ref="B230:B233"/>
    <mergeCell ref="B234:B237"/>
    <mergeCell ref="B198:B201"/>
    <mergeCell ref="B202:B205"/>
    <mergeCell ref="B206:B209"/>
    <mergeCell ref="B210:B213"/>
    <mergeCell ref="B214:B217"/>
    <mergeCell ref="B178:B181"/>
    <mergeCell ref="B182:B185"/>
    <mergeCell ref="B186:B189"/>
    <mergeCell ref="B190:B193"/>
    <mergeCell ref="B194:B197"/>
    <mergeCell ref="B158:B161"/>
    <mergeCell ref="B162:B165"/>
    <mergeCell ref="B166:B169"/>
    <mergeCell ref="B170:B173"/>
    <mergeCell ref="B174:B177"/>
    <mergeCell ref="B138:B141"/>
    <mergeCell ref="B142:B145"/>
    <mergeCell ref="B146:B149"/>
    <mergeCell ref="B150:B153"/>
    <mergeCell ref="B154:B157"/>
    <mergeCell ref="B118:B121"/>
    <mergeCell ref="B122:B125"/>
    <mergeCell ref="B126:B129"/>
    <mergeCell ref="B130:B133"/>
    <mergeCell ref="B134:B137"/>
    <mergeCell ref="B98:B101"/>
    <mergeCell ref="B102:B105"/>
    <mergeCell ref="B106:B109"/>
    <mergeCell ref="B110:B113"/>
    <mergeCell ref="B114:B117"/>
    <mergeCell ref="B78:B81"/>
    <mergeCell ref="B82:B85"/>
    <mergeCell ref="B86:B89"/>
    <mergeCell ref="B90:B93"/>
    <mergeCell ref="B94:B97"/>
    <mergeCell ref="B70:B73"/>
    <mergeCell ref="B74:B77"/>
    <mergeCell ref="B54:B57"/>
    <mergeCell ref="B30:B33"/>
    <mergeCell ref="B34:B37"/>
    <mergeCell ref="B38:B41"/>
    <mergeCell ref="B42:B45"/>
    <mergeCell ref="B46:B49"/>
    <mergeCell ref="B50:B53"/>
    <mergeCell ref="B26:B29"/>
    <mergeCell ref="B6:B9"/>
    <mergeCell ref="B10:B13"/>
    <mergeCell ref="B14:B17"/>
    <mergeCell ref="B18:B21"/>
    <mergeCell ref="B22:B25"/>
    <mergeCell ref="B58:B61"/>
    <mergeCell ref="B62:B65"/>
    <mergeCell ref="B66:B69"/>
  </mergeCells>
  <conditionalFormatting sqref="D6:D7">
    <cfRule type="cellIs" dxfId="118" priority="15" operator="equal">
      <formula>#REF!</formula>
    </cfRule>
  </conditionalFormatting>
  <conditionalFormatting sqref="D8:D9">
    <cfRule type="cellIs" dxfId="117" priority="13" operator="equal">
      <formula>#REF!</formula>
    </cfRule>
  </conditionalFormatting>
  <dataValidations count="2">
    <dataValidation type="decimal" operator="greaterThanOrEqual" allowBlank="1" showInputMessage="1" showErrorMessage="1" sqref="E6:U445" xr:uid="{E5C0434A-65D6-45BB-934B-6E7905D7E866}">
      <formula1>0</formula1>
    </dataValidation>
    <dataValidation operator="greaterThanOrEqual" allowBlank="1" showInputMessage="1" showErrorMessage="1" sqref="V6:V445" xr:uid="{3F4DE22D-FD3F-4CA0-8F6F-6FC972DA8C65}"/>
  </dataValidations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F82C0FA-C94D-4AF8-9060-01EB0F2279E0}">
  <sheetPr>
    <tabColor rgb="FF7030A0"/>
  </sheetPr>
  <dimension ref="A1:E7"/>
  <sheetViews>
    <sheetView workbookViewId="0">
      <selection activeCell="E7" sqref="E7"/>
    </sheetView>
  </sheetViews>
  <sheetFormatPr baseColWidth="10" defaultColWidth="9.140625" defaultRowHeight="15" outlineLevelCol="1" x14ac:dyDescent="0.25"/>
  <cols>
    <col min="1" max="1" width="28.5703125" customWidth="1"/>
    <col min="2" max="2" width="8.28515625" hidden="1" customWidth="1" outlineLevel="1"/>
    <col min="3" max="3" width="83.85546875" customWidth="1" collapsed="1"/>
    <col min="4" max="4" width="18.28515625" hidden="1" customWidth="1" outlineLevel="1"/>
    <col min="5" max="5" width="9.140625" collapsed="1"/>
  </cols>
  <sheetData>
    <row r="1" spans="1:4" x14ac:dyDescent="0.25">
      <c r="A1" s="1" t="s">
        <v>86</v>
      </c>
    </row>
    <row r="2" spans="1:4" x14ac:dyDescent="0.25">
      <c r="A2" s="1" t="s">
        <v>161</v>
      </c>
    </row>
    <row r="5" spans="1:4" x14ac:dyDescent="0.25">
      <c r="A5" t="s">
        <v>88</v>
      </c>
      <c r="B5" t="s">
        <v>1</v>
      </c>
      <c r="C5" t="s">
        <v>3</v>
      </c>
      <c r="D5" s="2" t="s">
        <v>87</v>
      </c>
    </row>
    <row r="6" spans="1:4" x14ac:dyDescent="0.25">
      <c r="A6" s="82" t="s">
        <v>89</v>
      </c>
      <c r="B6" s="4">
        <f>ROW(1:1)</f>
        <v>1</v>
      </c>
      <c r="C6" s="20"/>
      <c r="D6" s="21" t="str">
        <f>"LNGImporter_"&amp;TEXT(TBL_LNG_IMPORTERS[[#This Row],[Index]],"000")</f>
        <v>LNGImporter_001</v>
      </c>
    </row>
    <row r="7" spans="1:4" x14ac:dyDescent="0.25">
      <c r="A7" s="82" t="s">
        <v>90</v>
      </c>
      <c r="B7" s="4">
        <f>ROW(2:2)</f>
        <v>2</v>
      </c>
      <c r="C7" s="20"/>
      <c r="D7" s="21" t="str">
        <f>"LNGImporter_"&amp;TEXT(TBL_LNG_IMPORTERS[[#This Row],[Index]],"000")</f>
        <v>LNGImporter_002</v>
      </c>
    </row>
  </sheetData>
  <dataValidations count="1">
    <dataValidation type="custom" allowBlank="1" showInputMessage="1" showErrorMessage="1" sqref="A6:C7" xr:uid="{3A75C551-F6DD-48A1-B385-CB8F83820DA8}">
      <formula1>COUNTIF($A$6:$A6,$A6)&lt;2</formula1>
    </dataValidation>
  </dataValidations>
  <pageMargins left="0.7" right="0.7" top="0.75" bottom="0.75" header="0.3" footer="0.3"/>
  <tableParts count="1">
    <tablePart r:id="rId1"/>
  </tableParts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02E47BD-777F-4945-A86F-F1DF405870F0}">
  <sheetPr>
    <tabColor rgb="FF7030A0"/>
  </sheetPr>
  <dimension ref="A1:Z8"/>
  <sheetViews>
    <sheetView workbookViewId="0">
      <selection activeCell="A2" sqref="A2"/>
    </sheetView>
  </sheetViews>
  <sheetFormatPr baseColWidth="10" defaultColWidth="9.140625" defaultRowHeight="15" outlineLevelCol="1" x14ac:dyDescent="0.25"/>
  <cols>
    <col min="1" max="1" width="28.5703125" customWidth="1"/>
    <col min="2" max="2" width="14.28515625" hidden="1" customWidth="1" outlineLevel="1"/>
    <col min="3" max="3" width="28.5703125" customWidth="1" collapsed="1"/>
    <col min="4" max="4" width="12.5703125" hidden="1" customWidth="1" outlineLevel="1"/>
    <col min="5" max="5" width="28.5703125" customWidth="1" collapsed="1"/>
    <col min="6" max="6" width="16.28515625" hidden="1" customWidth="1" outlineLevel="1"/>
    <col min="7" max="7" width="16.7109375" hidden="1" customWidth="1" outlineLevel="1"/>
    <col min="8" max="8" width="83.85546875" customWidth="1" collapsed="1"/>
    <col min="9" max="9" width="35.140625" hidden="1" customWidth="1" outlineLevel="1"/>
    <col min="10" max="10" width="9.140625" collapsed="1"/>
    <col min="11" max="11" width="9.42578125" customWidth="1"/>
    <col min="15" max="15" width="9.28515625" customWidth="1"/>
    <col min="17" max="17" width="9.28515625" customWidth="1"/>
    <col min="20" max="20" width="9.28515625" customWidth="1"/>
    <col min="23" max="23" width="9.42578125" customWidth="1"/>
    <col min="25" max="25" width="71.5703125" customWidth="1"/>
    <col min="26" max="26" width="28.42578125" bestFit="1" customWidth="1" outlineLevel="1"/>
  </cols>
  <sheetData>
    <row r="1" spans="1:9" x14ac:dyDescent="0.25">
      <c r="A1" s="1" t="s">
        <v>151</v>
      </c>
    </row>
    <row r="2" spans="1:9" x14ac:dyDescent="0.25">
      <c r="A2" s="1" t="s">
        <v>161</v>
      </c>
    </row>
    <row r="5" spans="1:9" x14ac:dyDescent="0.25">
      <c r="A5" t="s">
        <v>88</v>
      </c>
      <c r="B5" t="s">
        <v>152</v>
      </c>
      <c r="C5" t="s">
        <v>0</v>
      </c>
      <c r="D5" t="s">
        <v>36</v>
      </c>
      <c r="E5" t="s">
        <v>38</v>
      </c>
      <c r="F5" t="s">
        <v>147</v>
      </c>
      <c r="G5" t="s">
        <v>146</v>
      </c>
      <c r="H5" s="2" t="s">
        <v>3</v>
      </c>
      <c r="I5" s="2" t="s">
        <v>94</v>
      </c>
    </row>
    <row r="6" spans="1:9" x14ac:dyDescent="0.25">
      <c r="A6" s="83" t="s">
        <v>89</v>
      </c>
      <c r="B6" s="4">
        <f>INDEX(TBL_LNG_IMPORTERS[Index],MATCH(TBL_LNG_IMPORTERS_CONNECTIONS[[#This Row],[Terminal]],TBL_LNG_IMPORTERS[Terminal],0))</f>
        <v>1</v>
      </c>
      <c r="C6" s="86" t="s">
        <v>57</v>
      </c>
      <c r="D6" s="4">
        <f>INDEX(TBL_REGIONS_INDEX[Index],MATCH(TBL_LNG_IMPORTERS_CONNECTIONS[[#This Row],[Region]],TBL_REGIONS_INDEX[Region],0))</f>
        <v>3</v>
      </c>
      <c r="E6" s="88" t="s">
        <v>91</v>
      </c>
      <c r="F6" s="4" t="str">
        <f>TEXT(TBL_LNG_IMPORTERS_CONNECTIONS[[#This Row],[Terminal Index]],"000")&amp;TEXT(TBL_LNG_IMPORTERS_CONNECTIONS[[#This Row],[Region Index]],"000")</f>
        <v>001003</v>
      </c>
      <c r="G6" s="4">
        <f>COUNTIF($F$5:$F5,$F5)</f>
        <v>1</v>
      </c>
      <c r="H6" s="17"/>
      <c r="I6" s="21" t="str">
        <f>"LNGImporterConnection_"&amp;TEXT(TBL_LNG_IMPORTERS_CONNECTIONS[[#This Row],[Terminal Index]],"000")&amp;"_"&amp;TEXT(TBL_LNG_IMPORTERS_CONNECTIONS[[#This Row],[Region Index]],"000")&amp;"_"&amp;TEXT(TBL_LNG_IMPORTERS_CONNECTIONS[[#This Row],[Connection Index]],"000")</f>
        <v>LNGImporterConnection_001_003_001</v>
      </c>
    </row>
    <row r="7" spans="1:9" x14ac:dyDescent="0.25">
      <c r="A7" s="83" t="s">
        <v>89</v>
      </c>
      <c r="B7" s="4">
        <f>INDEX(TBL_LNG_IMPORTERS[Index],MATCH(TBL_LNG_IMPORTERS_CONNECTIONS[[#This Row],[Terminal]],TBL_LNG_IMPORTERS[Terminal],0))</f>
        <v>1</v>
      </c>
      <c r="C7" s="87" t="s">
        <v>55</v>
      </c>
      <c r="D7" s="4">
        <f>INDEX(TBL_REGIONS_INDEX[Index],MATCH(TBL_LNG_IMPORTERS_CONNECTIONS[[#This Row],[Region]],TBL_REGIONS_INDEX[Region],0))</f>
        <v>1</v>
      </c>
      <c r="E7" s="88" t="s">
        <v>92</v>
      </c>
      <c r="F7" s="4" t="str">
        <f>TEXT(TBL_LNG_IMPORTERS_CONNECTIONS[[#This Row],[Terminal Index]],"000")&amp;TEXT(TBL_LNG_IMPORTERS_CONNECTIONS[[#This Row],[Region Index]],"000")</f>
        <v>001001</v>
      </c>
      <c r="G7" s="4">
        <f>COUNTIF($F$5:$F6,$F6)</f>
        <v>1</v>
      </c>
      <c r="H7" s="17"/>
      <c r="I7" s="21" t="str">
        <f>"LNGImporterConnection_"&amp;TEXT(TBL_LNG_IMPORTERS_CONNECTIONS[[#This Row],[Terminal Index]],"000")&amp;"_"&amp;TEXT(TBL_LNG_IMPORTERS_CONNECTIONS[[#This Row],[Region Index]],"000")&amp;"_"&amp;TEXT(TBL_LNG_IMPORTERS_CONNECTIONS[[#This Row],[Connection Index]],"000")</f>
        <v>LNGImporterConnection_001_001_001</v>
      </c>
    </row>
    <row r="8" spans="1:9" x14ac:dyDescent="0.25">
      <c r="A8" s="83" t="s">
        <v>90</v>
      </c>
      <c r="B8" s="4">
        <f>INDEX(TBL_LNG_IMPORTERS[Index],MATCH(TBL_LNG_IMPORTERS_CONNECTIONS[[#This Row],[Terminal]],TBL_LNG_IMPORTERS[Terminal],0))</f>
        <v>2</v>
      </c>
      <c r="C8" s="87" t="s">
        <v>56</v>
      </c>
      <c r="D8" s="4">
        <f>INDEX(TBL_REGIONS_INDEX[Index],MATCH(TBL_LNG_IMPORTERS_CONNECTIONS[[#This Row],[Region]],TBL_REGIONS_INDEX[Region],0))</f>
        <v>2</v>
      </c>
      <c r="E8" s="88" t="s">
        <v>93</v>
      </c>
      <c r="F8" s="4" t="str">
        <f>TEXT(TBL_LNG_IMPORTERS_CONNECTIONS[[#This Row],[Terminal Index]],"000")&amp;TEXT(TBL_LNG_IMPORTERS_CONNECTIONS[[#This Row],[Region Index]],"000")</f>
        <v>002002</v>
      </c>
      <c r="G8" s="4">
        <f>COUNTIF($F$5:$F7,$F7)</f>
        <v>1</v>
      </c>
      <c r="H8" s="17"/>
      <c r="I8" s="21" t="str">
        <f>"LNGImporterConnection_"&amp;TEXT(TBL_LNG_IMPORTERS_CONNECTIONS[[#This Row],[Terminal Index]],"000")&amp;"_"&amp;TEXT(TBL_LNG_IMPORTERS_CONNECTIONS[[#This Row],[Region Index]],"000")&amp;"_"&amp;TEXT(TBL_LNG_IMPORTERS_CONNECTIONS[[#This Row],[Connection Index]],"000")</f>
        <v>LNGImporterConnection_002_002_001</v>
      </c>
    </row>
  </sheetData>
  <phoneticPr fontId="5" type="noConversion"/>
  <dataValidations count="3">
    <dataValidation type="list" allowBlank="1" showInputMessage="1" showErrorMessage="1" sqref="C6:C8" xr:uid="{1C7D74C0-C936-4C88-AD4C-4EF4B3CD2364}">
      <formula1>INDIRECT("TBL_REGIONS_INDEX[Region]")</formula1>
    </dataValidation>
    <dataValidation type="list" allowBlank="1" showInputMessage="1" showErrorMessage="1" sqref="A6:A8" xr:uid="{D5072067-D7F6-4002-83BE-83304269FA4B}">
      <formula1>INDIRECT("TBL_LNG_IMPORTERS[Terminal]")</formula1>
    </dataValidation>
    <dataValidation type="custom" allowBlank="1" showInputMessage="1" showErrorMessage="1" sqref="E6:E8" xr:uid="{C2468385-153E-4FD3-99FE-D6F991FAE056}">
      <formula1>COUNTIF($E$6:$E6,$E6)&lt;2</formula1>
    </dataValidation>
  </dataValidations>
  <pageMargins left="0.7" right="0.7" top="0.75" bottom="0.75" header="0.3" footer="0.3"/>
  <tableParts count="1">
    <tablePart r:id="rId1"/>
  </tableParts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13E5253-2C07-4B04-AF0E-50E57C4B9107}">
  <sheetPr>
    <tabColor rgb="FF7030A0"/>
  </sheetPr>
  <dimension ref="A1:Y445"/>
  <sheetViews>
    <sheetView topLeftCell="B1" workbookViewId="0">
      <selection activeCell="D6" sqref="D6"/>
    </sheetView>
  </sheetViews>
  <sheetFormatPr baseColWidth="10" defaultColWidth="9.140625" defaultRowHeight="15" outlineLevelCol="1" x14ac:dyDescent="0.25"/>
  <cols>
    <col min="1" max="1" width="4" hidden="1" customWidth="1" outlineLevel="1"/>
    <col min="2" max="2" width="28.5703125" customWidth="1" collapsed="1"/>
    <col min="3" max="3" width="23" bestFit="1" customWidth="1"/>
    <col min="4" max="4" width="13.28515625" customWidth="1"/>
    <col min="22" max="22" width="83.85546875" customWidth="1"/>
    <col min="23" max="23" width="35.140625" hidden="1" customWidth="1" outlineLevel="1"/>
    <col min="24" max="24" width="34.5703125" hidden="1" customWidth="1" outlineLevel="1"/>
    <col min="25" max="25" width="9.140625" collapsed="1"/>
  </cols>
  <sheetData>
    <row r="1" spans="1:24" x14ac:dyDescent="0.25">
      <c r="B1" s="1" t="s">
        <v>95</v>
      </c>
    </row>
    <row r="2" spans="1:24" x14ac:dyDescent="0.25">
      <c r="B2" s="1" t="s">
        <v>149</v>
      </c>
    </row>
    <row r="3" spans="1:24" x14ac:dyDescent="0.25">
      <c r="B3" s="1" t="s">
        <v>150</v>
      </c>
    </row>
    <row r="4" spans="1:24" x14ac:dyDescent="0.25">
      <c r="B4" s="1" t="s">
        <v>96</v>
      </c>
    </row>
    <row r="5" spans="1:24" x14ac:dyDescent="0.25">
      <c r="B5" s="8" t="s">
        <v>99</v>
      </c>
      <c r="C5" s="8" t="s">
        <v>40</v>
      </c>
      <c r="D5" s="8" t="s">
        <v>41</v>
      </c>
      <c r="E5" s="22" t="s">
        <v>4</v>
      </c>
      <c r="F5" s="22" t="s">
        <v>5</v>
      </c>
      <c r="G5" s="22" t="s">
        <v>6</v>
      </c>
      <c r="H5" s="22" t="s">
        <v>7</v>
      </c>
      <c r="I5" s="22" t="s">
        <v>8</v>
      </c>
      <c r="J5" s="22" t="s">
        <v>9</v>
      </c>
      <c r="K5" s="22" t="s">
        <v>10</v>
      </c>
      <c r="L5" s="22" t="s">
        <v>11</v>
      </c>
      <c r="M5" s="22" t="s">
        <v>12</v>
      </c>
      <c r="N5" s="22" t="s">
        <v>13</v>
      </c>
      <c r="O5" s="22" t="s">
        <v>14</v>
      </c>
      <c r="P5" s="22" t="s">
        <v>15</v>
      </c>
      <c r="Q5" s="22" t="s">
        <v>16</v>
      </c>
      <c r="R5" s="22" t="s">
        <v>17</v>
      </c>
      <c r="S5" s="22" t="s">
        <v>18</v>
      </c>
      <c r="T5" s="22" t="s">
        <v>19</v>
      </c>
      <c r="U5" s="22" t="s">
        <v>20</v>
      </c>
      <c r="V5" s="8" t="s">
        <v>27</v>
      </c>
      <c r="W5" s="23" t="s">
        <v>94</v>
      </c>
      <c r="X5" s="30" t="s">
        <v>100</v>
      </c>
    </row>
    <row r="6" spans="1:24" x14ac:dyDescent="0.25">
      <c r="A6" s="94">
        <v>1</v>
      </c>
      <c r="B6" s="115" t="str">
        <f>IFERROR(INDEX(TBL_LNG_IMPORTERS_CONNECTIONS[Name],$A6),"")</f>
        <v>GATE NL</v>
      </c>
      <c r="C6" s="89" t="s">
        <v>42</v>
      </c>
      <c r="D6" s="90" t="s">
        <v>107</v>
      </c>
      <c r="E6" s="27">
        <v>0</v>
      </c>
      <c r="F6" s="27"/>
      <c r="G6" s="27"/>
      <c r="H6" s="27"/>
      <c r="I6" s="27"/>
      <c r="J6" s="27"/>
      <c r="K6" s="27"/>
      <c r="L6" s="27"/>
      <c r="M6" s="27"/>
      <c r="N6" s="27"/>
      <c r="O6" s="27"/>
      <c r="P6" s="27"/>
      <c r="Q6" s="27"/>
      <c r="R6" s="27"/>
      <c r="S6" s="27"/>
      <c r="T6" s="27"/>
      <c r="U6" s="27"/>
      <c r="V6" s="25"/>
      <c r="W6" s="31" t="str">
        <f>INDEX(TBL_LNG_IMPORTERS_CONNECTIONS[LNGImporterConnectionID],$A6)</f>
        <v>LNGImporterConnection_001_003_001</v>
      </c>
      <c r="X6" s="31" t="str">
        <f>"LNGImporterCapMin_"&amp;RIGHT($W6,11)</f>
        <v>LNGImporterCapMin_001_003_001</v>
      </c>
    </row>
    <row r="7" spans="1:24" x14ac:dyDescent="0.25">
      <c r="A7" s="94">
        <f>$A6</f>
        <v>1</v>
      </c>
      <c r="B7" s="116"/>
      <c r="C7" s="91" t="s">
        <v>43</v>
      </c>
      <c r="D7" s="92" t="s">
        <v>107</v>
      </c>
      <c r="E7" s="28">
        <v>10</v>
      </c>
      <c r="F7" s="28"/>
      <c r="G7" s="28"/>
      <c r="H7" s="28"/>
      <c r="I7" s="28"/>
      <c r="J7" s="28"/>
      <c r="K7" s="28"/>
      <c r="L7" s="28"/>
      <c r="M7" s="28"/>
      <c r="N7" s="28"/>
      <c r="O7" s="28"/>
      <c r="P7" s="28"/>
      <c r="Q7" s="28"/>
      <c r="R7" s="28"/>
      <c r="S7" s="28"/>
      <c r="T7" s="28"/>
      <c r="U7" s="28"/>
      <c r="V7" s="26"/>
      <c r="W7" s="31" t="str">
        <f>INDEX(TBL_LNG_IMPORTERS_CONNECTIONS[LNGImporterConnectionID],$A7)</f>
        <v>LNGImporterConnection_001_003_001</v>
      </c>
      <c r="X7" s="31" t="str">
        <f>"LNGImporterCapMax_"&amp;RIGHT($W7,11)</f>
        <v>LNGImporterCapMax_001_003_001</v>
      </c>
    </row>
    <row r="8" spans="1:24" x14ac:dyDescent="0.25">
      <c r="A8" s="94">
        <f>$A7</f>
        <v>1</v>
      </c>
      <c r="B8" s="116"/>
      <c r="C8" s="89" t="s">
        <v>108</v>
      </c>
      <c r="D8" s="90" t="s">
        <v>45</v>
      </c>
      <c r="E8" s="27">
        <v>0</v>
      </c>
      <c r="F8" s="27"/>
      <c r="G8" s="27"/>
      <c r="H8" s="27"/>
      <c r="I8" s="27"/>
      <c r="J8" s="27"/>
      <c r="K8" s="27"/>
      <c r="L8" s="27"/>
      <c r="M8" s="27"/>
      <c r="N8" s="27"/>
      <c r="O8" s="27"/>
      <c r="P8" s="27"/>
      <c r="Q8" s="27"/>
      <c r="R8" s="27"/>
      <c r="S8" s="27"/>
      <c r="T8" s="27"/>
      <c r="U8" s="27"/>
      <c r="V8" s="25"/>
      <c r="W8" s="31" t="str">
        <f>INDEX(TBL_LNG_IMPORTERS_CONNECTIONS[LNGImporterConnectionID],$A8)</f>
        <v>LNGImporterConnection_001_003_001</v>
      </c>
      <c r="X8" s="31" t="str">
        <f>"LNGImporterTariffFixed_"&amp;RIGHT($W8,11)</f>
        <v>LNGImporterTariffFixed_001_003_001</v>
      </c>
    </row>
    <row r="9" spans="1:24" x14ac:dyDescent="0.25">
      <c r="A9" s="94">
        <f>$A8</f>
        <v>1</v>
      </c>
      <c r="B9" s="117"/>
      <c r="C9" s="91" t="s">
        <v>109</v>
      </c>
      <c r="D9" s="92" t="s">
        <v>47</v>
      </c>
      <c r="E9" s="28">
        <v>0.4</v>
      </c>
      <c r="F9" s="28"/>
      <c r="G9" s="28"/>
      <c r="H9" s="28"/>
      <c r="I9" s="28"/>
      <c r="J9" s="28"/>
      <c r="K9" s="28"/>
      <c r="L9" s="28"/>
      <c r="M9" s="28"/>
      <c r="N9" s="28"/>
      <c r="O9" s="28"/>
      <c r="P9" s="28"/>
      <c r="Q9" s="28"/>
      <c r="R9" s="28"/>
      <c r="S9" s="28"/>
      <c r="T9" s="28"/>
      <c r="U9" s="28"/>
      <c r="V9" s="26"/>
      <c r="W9" s="31" t="str">
        <f>INDEX(TBL_LNG_IMPORTERS_CONNECTIONS[LNGImporterConnectionID],$A9)</f>
        <v>LNGImporterConnection_001_003_001</v>
      </c>
      <c r="X9" s="31" t="str">
        <f>"LNGImporterTariffVar_"&amp;RIGHT($W9,11)</f>
        <v>LNGImporterTariffVar_001_003_001</v>
      </c>
    </row>
    <row r="10" spans="1:24" x14ac:dyDescent="0.25">
      <c r="A10" s="94">
        <f>$A6+1</f>
        <v>2</v>
      </c>
      <c r="B10" s="115" t="str">
        <f>IFERROR(INDEX(TBL_LNG_IMPORTERS_CONNECTIONS[Name],$A10),"")</f>
        <v>GATE DE</v>
      </c>
      <c r="C10" s="93" t="str">
        <f>IF($B10&lt;&gt;"",C6,"")</f>
        <v>Capacity - Min</v>
      </c>
      <c r="D10" s="93" t="str">
        <f>IF($B10&lt;&gt;"",D6,"")</f>
        <v>mcm/day</v>
      </c>
      <c r="E10" s="27">
        <v>0</v>
      </c>
      <c r="F10" s="27"/>
      <c r="G10" s="27"/>
      <c r="H10" s="27"/>
      <c r="I10" s="27"/>
      <c r="J10" s="27"/>
      <c r="K10" s="27"/>
      <c r="L10" s="27"/>
      <c r="M10" s="27"/>
      <c r="N10" s="27"/>
      <c r="O10" s="27"/>
      <c r="P10" s="27"/>
      <c r="Q10" s="27"/>
      <c r="R10" s="27"/>
      <c r="S10" s="27"/>
      <c r="T10" s="27"/>
      <c r="U10" s="27"/>
      <c r="V10" s="25"/>
      <c r="W10" s="31" t="str">
        <f>INDEX(TBL_LNG_IMPORTERS_CONNECTIONS[LNGImporterConnectionID],$A10)</f>
        <v>LNGImporterConnection_001_001_001</v>
      </c>
      <c r="X10" s="31" t="str">
        <f>"LNGImporterCapMin_"&amp;RIGHT($W10,11)</f>
        <v>LNGImporterCapMin_001_001_001</v>
      </c>
    </row>
    <row r="11" spans="1:24" x14ac:dyDescent="0.25">
      <c r="A11" s="94">
        <f>$A10</f>
        <v>2</v>
      </c>
      <c r="B11" s="116"/>
      <c r="C11" s="93" t="str">
        <f>IF($B10&lt;&gt;"",C7,"")</f>
        <v>Capacity - Max</v>
      </c>
      <c r="D11" s="93" t="str">
        <f>IF($B10&lt;&gt;"",D7,"")</f>
        <v>mcm/day</v>
      </c>
      <c r="E11" s="28">
        <v>10</v>
      </c>
      <c r="F11" s="28"/>
      <c r="G11" s="28"/>
      <c r="H11" s="28"/>
      <c r="I11" s="28"/>
      <c r="J11" s="28"/>
      <c r="K11" s="28"/>
      <c r="L11" s="28"/>
      <c r="M11" s="28"/>
      <c r="N11" s="28"/>
      <c r="O11" s="28"/>
      <c r="P11" s="28"/>
      <c r="Q11" s="28"/>
      <c r="R11" s="28"/>
      <c r="S11" s="28"/>
      <c r="T11" s="28"/>
      <c r="U11" s="28"/>
      <c r="V11" s="26"/>
      <c r="W11" s="31" t="str">
        <f>INDEX(TBL_LNG_IMPORTERS_CONNECTIONS[LNGImporterConnectionID],$A11)</f>
        <v>LNGImporterConnection_001_001_001</v>
      </c>
      <c r="X11" s="31" t="str">
        <f>"LNGImporterCapMax_"&amp;RIGHT($W11,11)</f>
        <v>LNGImporterCapMax_001_001_001</v>
      </c>
    </row>
    <row r="12" spans="1:24" x14ac:dyDescent="0.25">
      <c r="A12" s="94">
        <f>$A11</f>
        <v>2</v>
      </c>
      <c r="B12" s="116"/>
      <c r="C12" s="93" t="str">
        <f>IF($B10&lt;&gt;"",C8,"")</f>
        <v>Cost to Market - fixed</v>
      </c>
      <c r="D12" s="93" t="str">
        <f>IF($B10&lt;&gt;"",D8,"")</f>
        <v>EUR/month</v>
      </c>
      <c r="E12" s="27">
        <v>0</v>
      </c>
      <c r="F12" s="27"/>
      <c r="G12" s="27"/>
      <c r="H12" s="27"/>
      <c r="I12" s="27"/>
      <c r="J12" s="27"/>
      <c r="K12" s="27"/>
      <c r="L12" s="27"/>
      <c r="M12" s="27"/>
      <c r="N12" s="27"/>
      <c r="O12" s="27"/>
      <c r="P12" s="27"/>
      <c r="Q12" s="27"/>
      <c r="R12" s="27"/>
      <c r="S12" s="27"/>
      <c r="T12" s="27"/>
      <c r="U12" s="27"/>
      <c r="V12" s="25"/>
      <c r="W12" s="31" t="str">
        <f>INDEX(TBL_LNG_IMPORTERS_CONNECTIONS[LNGImporterConnectionID],$A12)</f>
        <v>LNGImporterConnection_001_001_001</v>
      </c>
      <c r="X12" s="31" t="str">
        <f>"LNGImporterTariffFixed_"&amp;RIGHT($W12,11)</f>
        <v>LNGImporterTariffFixed_001_001_001</v>
      </c>
    </row>
    <row r="13" spans="1:24" x14ac:dyDescent="0.25">
      <c r="A13" s="94">
        <f>$A12</f>
        <v>2</v>
      </c>
      <c r="B13" s="117"/>
      <c r="C13" s="93" t="str">
        <f>IF($B10&lt;&gt;"",C9,"")</f>
        <v>Cost to Market - variable</v>
      </c>
      <c r="D13" s="93" t="str">
        <f>IF($B10&lt;&gt;"",D9,"")</f>
        <v>EUR/MWh</v>
      </c>
      <c r="E13" s="28">
        <v>0.2</v>
      </c>
      <c r="F13" s="28"/>
      <c r="G13" s="28"/>
      <c r="H13" s="28"/>
      <c r="I13" s="28"/>
      <c r="J13" s="28"/>
      <c r="K13" s="28"/>
      <c r="L13" s="28"/>
      <c r="M13" s="28"/>
      <c r="N13" s="28"/>
      <c r="O13" s="28"/>
      <c r="P13" s="28"/>
      <c r="Q13" s="28"/>
      <c r="R13" s="28"/>
      <c r="S13" s="28"/>
      <c r="T13" s="28"/>
      <c r="U13" s="28"/>
      <c r="V13" s="26"/>
      <c r="W13" s="31" t="str">
        <f>INDEX(TBL_LNG_IMPORTERS_CONNECTIONS[LNGImporterConnectionID],$A13)</f>
        <v>LNGImporterConnection_001_001_001</v>
      </c>
      <c r="X13" s="31" t="str">
        <f>"LNGImporterTariffVar_"&amp;RIGHT($W13,11)</f>
        <v>LNGImporterTariffVar_001_001_001</v>
      </c>
    </row>
    <row r="14" spans="1:24" x14ac:dyDescent="0.25">
      <c r="A14" s="94">
        <f t="shared" ref="A14" si="0">$A10+1</f>
        <v>3</v>
      </c>
      <c r="B14" s="115" t="str">
        <f>IFERROR(INDEX(TBL_LNG_IMPORTERS_CONNECTIONS[Name],$A14),"")</f>
        <v>Dunkirk FR</v>
      </c>
      <c r="C14" s="93" t="str">
        <f t="shared" ref="C14:D14" si="1">IF($B14&lt;&gt;"",C10,"")</f>
        <v>Capacity - Min</v>
      </c>
      <c r="D14" s="93" t="str">
        <f t="shared" si="1"/>
        <v>mcm/day</v>
      </c>
      <c r="E14" s="27">
        <v>0</v>
      </c>
      <c r="F14" s="27"/>
      <c r="G14" s="27"/>
      <c r="H14" s="27"/>
      <c r="I14" s="27"/>
      <c r="J14" s="27"/>
      <c r="K14" s="27"/>
      <c r="L14" s="27"/>
      <c r="M14" s="27"/>
      <c r="N14" s="27"/>
      <c r="O14" s="27"/>
      <c r="P14" s="27"/>
      <c r="Q14" s="27"/>
      <c r="R14" s="27"/>
      <c r="S14" s="27"/>
      <c r="T14" s="27"/>
      <c r="U14" s="27"/>
      <c r="V14" s="25"/>
      <c r="W14" s="31" t="str">
        <f>INDEX(TBL_LNG_IMPORTERS_CONNECTIONS[LNGImporterConnectionID],$A14)</f>
        <v>LNGImporterConnection_002_002_001</v>
      </c>
      <c r="X14" s="31" t="str">
        <f>"LNGImporterCapMin_"&amp;RIGHT($W14,11)</f>
        <v>LNGImporterCapMin_002_002_001</v>
      </c>
    </row>
    <row r="15" spans="1:24" x14ac:dyDescent="0.25">
      <c r="A15" s="94">
        <f t="shared" ref="A15:A17" si="2">$A14</f>
        <v>3</v>
      </c>
      <c r="B15" s="116"/>
      <c r="C15" s="93" t="str">
        <f t="shared" ref="C15:D15" si="3">IF($B14&lt;&gt;"",C11,"")</f>
        <v>Capacity - Max</v>
      </c>
      <c r="D15" s="93" t="str">
        <f t="shared" si="3"/>
        <v>mcm/day</v>
      </c>
      <c r="E15" s="28">
        <v>10</v>
      </c>
      <c r="F15" s="28"/>
      <c r="G15" s="28"/>
      <c r="H15" s="28"/>
      <c r="I15" s="28"/>
      <c r="J15" s="28"/>
      <c r="K15" s="28"/>
      <c r="L15" s="28"/>
      <c r="M15" s="28"/>
      <c r="N15" s="28"/>
      <c r="O15" s="28"/>
      <c r="P15" s="28"/>
      <c r="Q15" s="28"/>
      <c r="R15" s="28"/>
      <c r="S15" s="28"/>
      <c r="T15" s="28"/>
      <c r="U15" s="28"/>
      <c r="V15" s="26"/>
      <c r="W15" s="31" t="str">
        <f>INDEX(TBL_LNG_IMPORTERS_CONNECTIONS[LNGImporterConnectionID],$A15)</f>
        <v>LNGImporterConnection_002_002_001</v>
      </c>
      <c r="X15" s="31" t="str">
        <f>"LNGImporterCapMax_"&amp;RIGHT($W15,11)</f>
        <v>LNGImporterCapMax_002_002_001</v>
      </c>
    </row>
    <row r="16" spans="1:24" x14ac:dyDescent="0.25">
      <c r="A16" s="94">
        <f t="shared" si="2"/>
        <v>3</v>
      </c>
      <c r="B16" s="116"/>
      <c r="C16" s="93" t="str">
        <f t="shared" ref="C16:D16" si="4">IF($B14&lt;&gt;"",C12,"")</f>
        <v>Cost to Market - fixed</v>
      </c>
      <c r="D16" s="93" t="str">
        <f t="shared" si="4"/>
        <v>EUR/month</v>
      </c>
      <c r="E16" s="27">
        <v>0</v>
      </c>
      <c r="F16" s="27"/>
      <c r="G16" s="27"/>
      <c r="H16" s="27"/>
      <c r="I16" s="27"/>
      <c r="J16" s="27"/>
      <c r="K16" s="27"/>
      <c r="L16" s="27"/>
      <c r="M16" s="27"/>
      <c r="N16" s="27"/>
      <c r="O16" s="27"/>
      <c r="P16" s="27"/>
      <c r="Q16" s="27"/>
      <c r="R16" s="27"/>
      <c r="S16" s="27"/>
      <c r="T16" s="27"/>
      <c r="U16" s="27"/>
      <c r="V16" s="25"/>
      <c r="W16" s="31" t="str">
        <f>INDEX(TBL_LNG_IMPORTERS_CONNECTIONS[LNGImporterConnectionID],$A16)</f>
        <v>LNGImporterConnection_002_002_001</v>
      </c>
      <c r="X16" s="31" t="str">
        <f>"LNGImporterTariffFixed_"&amp;RIGHT($W16,11)</f>
        <v>LNGImporterTariffFixed_002_002_001</v>
      </c>
    </row>
    <row r="17" spans="1:24" x14ac:dyDescent="0.25">
      <c r="A17" s="94">
        <f t="shared" si="2"/>
        <v>3</v>
      </c>
      <c r="B17" s="117"/>
      <c r="C17" s="93" t="str">
        <f t="shared" ref="C17:D17" si="5">IF($B14&lt;&gt;"",C13,"")</f>
        <v>Cost to Market - variable</v>
      </c>
      <c r="D17" s="93" t="str">
        <f t="shared" si="5"/>
        <v>EUR/MWh</v>
      </c>
      <c r="E17" s="28">
        <v>0.35</v>
      </c>
      <c r="F17" s="28"/>
      <c r="G17" s="28"/>
      <c r="H17" s="28"/>
      <c r="I17" s="28"/>
      <c r="J17" s="28"/>
      <c r="K17" s="28"/>
      <c r="L17" s="28"/>
      <c r="M17" s="28"/>
      <c r="N17" s="28"/>
      <c r="O17" s="28"/>
      <c r="P17" s="28"/>
      <c r="Q17" s="28"/>
      <c r="R17" s="28"/>
      <c r="S17" s="28"/>
      <c r="T17" s="28"/>
      <c r="U17" s="28"/>
      <c r="V17" s="26"/>
      <c r="W17" s="31" t="str">
        <f>INDEX(TBL_LNG_IMPORTERS_CONNECTIONS[LNGImporterConnectionID],$A17)</f>
        <v>LNGImporterConnection_002_002_001</v>
      </c>
      <c r="X17" s="31" t="str">
        <f>"LNGImporterTariffVar_"&amp;RIGHT($W17,11)</f>
        <v>LNGImporterTariffVar_002_002_001</v>
      </c>
    </row>
    <row r="18" spans="1:24" x14ac:dyDescent="0.25">
      <c r="A18" s="94">
        <f t="shared" ref="A18" si="6">$A14+1</f>
        <v>4</v>
      </c>
      <c r="B18" s="115" t="str">
        <f>IFERROR(INDEX(TBL_LNG_IMPORTERS_CONNECTIONS[Name],$A18),"")</f>
        <v/>
      </c>
      <c r="C18" s="93" t="str">
        <f t="shared" ref="C18:D18" si="7">IF($B18&lt;&gt;"",C14,"")</f>
        <v/>
      </c>
      <c r="D18" s="93" t="str">
        <f t="shared" si="7"/>
        <v/>
      </c>
      <c r="E18" s="27"/>
      <c r="F18" s="27"/>
      <c r="G18" s="27"/>
      <c r="H18" s="27"/>
      <c r="I18" s="27"/>
      <c r="J18" s="27"/>
      <c r="K18" s="27"/>
      <c r="L18" s="27"/>
      <c r="M18" s="27"/>
      <c r="N18" s="27"/>
      <c r="O18" s="27"/>
      <c r="P18" s="27"/>
      <c r="Q18" s="27"/>
      <c r="R18" s="27"/>
      <c r="S18" s="27"/>
      <c r="T18" s="27"/>
      <c r="U18" s="27"/>
      <c r="V18" s="25"/>
      <c r="W18" s="31" t="e">
        <f>INDEX(TBL_LNG_IMPORTERS_CONNECTIONS[LNGImporterConnectionID],$A18)</f>
        <v>#REF!</v>
      </c>
      <c r="X18" s="31" t="e">
        <f>"LNGImporterCapMin_"&amp;RIGHT($W18,11)</f>
        <v>#REF!</v>
      </c>
    </row>
    <row r="19" spans="1:24" x14ac:dyDescent="0.25">
      <c r="A19" s="94">
        <f t="shared" ref="A19:A21" si="8">$A18</f>
        <v>4</v>
      </c>
      <c r="B19" s="116"/>
      <c r="C19" s="93" t="str">
        <f t="shared" ref="C19:D19" si="9">IF($B18&lt;&gt;"",C15,"")</f>
        <v/>
      </c>
      <c r="D19" s="93" t="str">
        <f t="shared" si="9"/>
        <v/>
      </c>
      <c r="E19" s="28"/>
      <c r="F19" s="28"/>
      <c r="G19" s="28"/>
      <c r="H19" s="28"/>
      <c r="I19" s="28"/>
      <c r="J19" s="28"/>
      <c r="K19" s="28"/>
      <c r="L19" s="28"/>
      <c r="M19" s="28"/>
      <c r="N19" s="28"/>
      <c r="O19" s="28"/>
      <c r="P19" s="28"/>
      <c r="Q19" s="28"/>
      <c r="R19" s="28"/>
      <c r="S19" s="28"/>
      <c r="T19" s="28"/>
      <c r="U19" s="28"/>
      <c r="V19" s="26"/>
      <c r="W19" s="31" t="e">
        <f>INDEX(TBL_LNG_IMPORTERS_CONNECTIONS[LNGImporterConnectionID],$A19)</f>
        <v>#REF!</v>
      </c>
      <c r="X19" s="31" t="e">
        <f>"LNGImporterCapMax_"&amp;RIGHT($W19,11)</f>
        <v>#REF!</v>
      </c>
    </row>
    <row r="20" spans="1:24" x14ac:dyDescent="0.25">
      <c r="A20" s="94">
        <f t="shared" si="8"/>
        <v>4</v>
      </c>
      <c r="B20" s="116"/>
      <c r="C20" s="93" t="str">
        <f t="shared" ref="C20:D20" si="10">IF($B18&lt;&gt;"",C16,"")</f>
        <v/>
      </c>
      <c r="D20" s="93" t="str">
        <f t="shared" si="10"/>
        <v/>
      </c>
      <c r="E20" s="27"/>
      <c r="F20" s="27"/>
      <c r="G20" s="27"/>
      <c r="H20" s="27"/>
      <c r="I20" s="27"/>
      <c r="J20" s="27"/>
      <c r="K20" s="27"/>
      <c r="L20" s="27"/>
      <c r="M20" s="27"/>
      <c r="N20" s="27"/>
      <c r="O20" s="27"/>
      <c r="P20" s="27"/>
      <c r="Q20" s="27"/>
      <c r="R20" s="27"/>
      <c r="S20" s="27"/>
      <c r="T20" s="27"/>
      <c r="U20" s="27"/>
      <c r="V20" s="25"/>
      <c r="W20" s="31" t="e">
        <f>INDEX(TBL_LNG_IMPORTERS_CONNECTIONS[LNGImporterConnectionID],$A20)</f>
        <v>#REF!</v>
      </c>
      <c r="X20" s="31" t="e">
        <f>"LNGImporterTariffFixed_"&amp;RIGHT($W20,11)</f>
        <v>#REF!</v>
      </c>
    </row>
    <row r="21" spans="1:24" x14ac:dyDescent="0.25">
      <c r="A21" s="94">
        <f t="shared" si="8"/>
        <v>4</v>
      </c>
      <c r="B21" s="117"/>
      <c r="C21" s="93" t="str">
        <f t="shared" ref="C21:D21" si="11">IF($B18&lt;&gt;"",C17,"")</f>
        <v/>
      </c>
      <c r="D21" s="93" t="str">
        <f t="shared" si="11"/>
        <v/>
      </c>
      <c r="E21" s="28"/>
      <c r="F21" s="28"/>
      <c r="G21" s="28"/>
      <c r="H21" s="28"/>
      <c r="I21" s="28"/>
      <c r="J21" s="28"/>
      <c r="K21" s="28"/>
      <c r="L21" s="28"/>
      <c r="M21" s="28"/>
      <c r="N21" s="28"/>
      <c r="O21" s="28"/>
      <c r="P21" s="28"/>
      <c r="Q21" s="28"/>
      <c r="R21" s="28"/>
      <c r="S21" s="28"/>
      <c r="T21" s="28"/>
      <c r="U21" s="28"/>
      <c r="V21" s="26"/>
      <c r="W21" s="31" t="e">
        <f>INDEX(TBL_LNG_IMPORTERS_CONNECTIONS[LNGImporterConnectionID],$A21)</f>
        <v>#REF!</v>
      </c>
      <c r="X21" s="31" t="e">
        <f>"LNGImporterTariffVar_"&amp;RIGHT($W21,11)</f>
        <v>#REF!</v>
      </c>
    </row>
    <row r="22" spans="1:24" x14ac:dyDescent="0.25">
      <c r="A22" s="94">
        <f t="shared" ref="A22" si="12">$A18+1</f>
        <v>5</v>
      </c>
      <c r="B22" s="115" t="str">
        <f>IFERROR(INDEX(TBL_LNG_IMPORTERS_CONNECTIONS[Name],$A22),"")</f>
        <v/>
      </c>
      <c r="C22" s="93" t="str">
        <f t="shared" ref="C22:D22" si="13">IF($B22&lt;&gt;"",C18,"")</f>
        <v/>
      </c>
      <c r="D22" s="93" t="str">
        <f t="shared" si="13"/>
        <v/>
      </c>
      <c r="E22" s="27"/>
      <c r="F22" s="27"/>
      <c r="G22" s="27"/>
      <c r="H22" s="27"/>
      <c r="I22" s="27"/>
      <c r="J22" s="27"/>
      <c r="K22" s="27"/>
      <c r="L22" s="27"/>
      <c r="M22" s="27"/>
      <c r="N22" s="27"/>
      <c r="O22" s="27"/>
      <c r="P22" s="27"/>
      <c r="Q22" s="27"/>
      <c r="R22" s="27"/>
      <c r="S22" s="27"/>
      <c r="T22" s="27"/>
      <c r="U22" s="27"/>
      <c r="V22" s="25"/>
      <c r="W22" s="31" t="e">
        <f>INDEX(TBL_LNG_IMPORTERS_CONNECTIONS[LNGImporterConnectionID],$A22)</f>
        <v>#REF!</v>
      </c>
      <c r="X22" s="31" t="e">
        <f>"LNGImporterCapMin_"&amp;RIGHT($W22,11)</f>
        <v>#REF!</v>
      </c>
    </row>
    <row r="23" spans="1:24" x14ac:dyDescent="0.25">
      <c r="A23" s="94">
        <f t="shared" ref="A23:A25" si="14">$A22</f>
        <v>5</v>
      </c>
      <c r="B23" s="116"/>
      <c r="C23" s="93" t="str">
        <f t="shared" ref="C23:D23" si="15">IF($B22&lt;&gt;"",C19,"")</f>
        <v/>
      </c>
      <c r="D23" s="93" t="str">
        <f t="shared" si="15"/>
        <v/>
      </c>
      <c r="E23" s="28"/>
      <c r="F23" s="28"/>
      <c r="G23" s="28"/>
      <c r="H23" s="28"/>
      <c r="I23" s="28"/>
      <c r="J23" s="28"/>
      <c r="K23" s="28"/>
      <c r="L23" s="28"/>
      <c r="M23" s="28"/>
      <c r="N23" s="28"/>
      <c r="O23" s="28"/>
      <c r="P23" s="28"/>
      <c r="Q23" s="28"/>
      <c r="R23" s="28"/>
      <c r="S23" s="28"/>
      <c r="T23" s="28"/>
      <c r="U23" s="28"/>
      <c r="V23" s="26"/>
      <c r="W23" s="31" t="e">
        <f>INDEX(TBL_LNG_IMPORTERS_CONNECTIONS[LNGImporterConnectionID],$A23)</f>
        <v>#REF!</v>
      </c>
      <c r="X23" s="31" t="e">
        <f>"LNGImporterCapMax_"&amp;RIGHT($W23,11)</f>
        <v>#REF!</v>
      </c>
    </row>
    <row r="24" spans="1:24" x14ac:dyDescent="0.25">
      <c r="A24" s="94">
        <f t="shared" si="14"/>
        <v>5</v>
      </c>
      <c r="B24" s="116"/>
      <c r="C24" s="93" t="str">
        <f t="shared" ref="C24:D24" si="16">IF($B22&lt;&gt;"",C20,"")</f>
        <v/>
      </c>
      <c r="D24" s="93" t="str">
        <f t="shared" si="16"/>
        <v/>
      </c>
      <c r="E24" s="27"/>
      <c r="F24" s="27"/>
      <c r="G24" s="27"/>
      <c r="H24" s="27"/>
      <c r="I24" s="27"/>
      <c r="J24" s="27"/>
      <c r="K24" s="27"/>
      <c r="L24" s="27"/>
      <c r="M24" s="27"/>
      <c r="N24" s="27"/>
      <c r="O24" s="27"/>
      <c r="P24" s="27"/>
      <c r="Q24" s="27"/>
      <c r="R24" s="27"/>
      <c r="S24" s="27"/>
      <c r="T24" s="27"/>
      <c r="U24" s="27"/>
      <c r="V24" s="25"/>
      <c r="W24" s="31" t="e">
        <f>INDEX(TBL_LNG_IMPORTERS_CONNECTIONS[LNGImporterConnectionID],$A24)</f>
        <v>#REF!</v>
      </c>
      <c r="X24" s="31" t="e">
        <f>"LNGImporterTariffFixed_"&amp;RIGHT($W24,11)</f>
        <v>#REF!</v>
      </c>
    </row>
    <row r="25" spans="1:24" x14ac:dyDescent="0.25">
      <c r="A25" s="94">
        <f t="shared" si="14"/>
        <v>5</v>
      </c>
      <c r="B25" s="117"/>
      <c r="C25" s="93" t="str">
        <f t="shared" ref="C25:D25" si="17">IF($B22&lt;&gt;"",C21,"")</f>
        <v/>
      </c>
      <c r="D25" s="93" t="str">
        <f t="shared" si="17"/>
        <v/>
      </c>
      <c r="E25" s="28"/>
      <c r="F25" s="28"/>
      <c r="G25" s="28"/>
      <c r="H25" s="28"/>
      <c r="I25" s="28"/>
      <c r="J25" s="28"/>
      <c r="K25" s="28"/>
      <c r="L25" s="28"/>
      <c r="M25" s="28"/>
      <c r="N25" s="28"/>
      <c r="O25" s="28"/>
      <c r="P25" s="28"/>
      <c r="Q25" s="28"/>
      <c r="R25" s="28"/>
      <c r="S25" s="28"/>
      <c r="T25" s="28"/>
      <c r="U25" s="28"/>
      <c r="V25" s="26"/>
      <c r="W25" s="31" t="e">
        <f>INDEX(TBL_LNG_IMPORTERS_CONNECTIONS[LNGImporterConnectionID],$A25)</f>
        <v>#REF!</v>
      </c>
      <c r="X25" s="31" t="e">
        <f>"LNGImporterTariffVar_"&amp;RIGHT($W25,11)</f>
        <v>#REF!</v>
      </c>
    </row>
    <row r="26" spans="1:24" x14ac:dyDescent="0.25">
      <c r="A26" s="94">
        <f t="shared" ref="A26" si="18">$A22+1</f>
        <v>6</v>
      </c>
      <c r="B26" s="115" t="str">
        <f>IFERROR(INDEX(TBL_LNG_IMPORTERS_CONNECTIONS[Name],$A26),"")</f>
        <v/>
      </c>
      <c r="C26" s="93" t="str">
        <f t="shared" ref="C26:D26" si="19">IF($B26&lt;&gt;"",C22,"")</f>
        <v/>
      </c>
      <c r="D26" s="93" t="str">
        <f t="shared" si="19"/>
        <v/>
      </c>
      <c r="E26" s="27"/>
      <c r="F26" s="27"/>
      <c r="G26" s="27"/>
      <c r="H26" s="27"/>
      <c r="I26" s="27"/>
      <c r="J26" s="27"/>
      <c r="K26" s="27"/>
      <c r="L26" s="27"/>
      <c r="M26" s="27"/>
      <c r="N26" s="27"/>
      <c r="O26" s="27"/>
      <c r="P26" s="27"/>
      <c r="Q26" s="27"/>
      <c r="R26" s="27"/>
      <c r="S26" s="27"/>
      <c r="T26" s="27"/>
      <c r="U26" s="27"/>
      <c r="V26" s="25"/>
      <c r="W26" s="31" t="e">
        <f>INDEX(TBL_LNG_IMPORTERS_CONNECTIONS[LNGImporterConnectionID],$A26)</f>
        <v>#REF!</v>
      </c>
      <c r="X26" s="31" t="e">
        <f>"LNGImporterCapMin_"&amp;RIGHT($W26,11)</f>
        <v>#REF!</v>
      </c>
    </row>
    <row r="27" spans="1:24" x14ac:dyDescent="0.25">
      <c r="A27" s="94">
        <f t="shared" ref="A27:A29" si="20">$A26</f>
        <v>6</v>
      </c>
      <c r="B27" s="116"/>
      <c r="C27" s="93" t="str">
        <f t="shared" ref="C27:D27" si="21">IF($B26&lt;&gt;"",C23,"")</f>
        <v/>
      </c>
      <c r="D27" s="93" t="str">
        <f t="shared" si="21"/>
        <v/>
      </c>
      <c r="E27" s="28"/>
      <c r="F27" s="28"/>
      <c r="G27" s="28"/>
      <c r="H27" s="28"/>
      <c r="I27" s="28"/>
      <c r="J27" s="28"/>
      <c r="K27" s="28"/>
      <c r="L27" s="28"/>
      <c r="M27" s="28"/>
      <c r="N27" s="28"/>
      <c r="O27" s="28"/>
      <c r="P27" s="28"/>
      <c r="Q27" s="28"/>
      <c r="R27" s="28"/>
      <c r="S27" s="28"/>
      <c r="T27" s="28"/>
      <c r="U27" s="28"/>
      <c r="V27" s="26"/>
      <c r="W27" s="31" t="e">
        <f>INDEX(TBL_LNG_IMPORTERS_CONNECTIONS[LNGImporterConnectionID],$A27)</f>
        <v>#REF!</v>
      </c>
      <c r="X27" s="31" t="e">
        <f>"LNGImporterCapMax_"&amp;RIGHT($W27,11)</f>
        <v>#REF!</v>
      </c>
    </row>
    <row r="28" spans="1:24" x14ac:dyDescent="0.25">
      <c r="A28" s="94">
        <f t="shared" si="20"/>
        <v>6</v>
      </c>
      <c r="B28" s="116"/>
      <c r="C28" s="93" t="str">
        <f t="shared" ref="C28:D28" si="22">IF($B26&lt;&gt;"",C24,"")</f>
        <v/>
      </c>
      <c r="D28" s="93" t="str">
        <f t="shared" si="22"/>
        <v/>
      </c>
      <c r="E28" s="27"/>
      <c r="F28" s="27"/>
      <c r="G28" s="27"/>
      <c r="H28" s="27"/>
      <c r="I28" s="27"/>
      <c r="J28" s="27"/>
      <c r="K28" s="27"/>
      <c r="L28" s="27"/>
      <c r="M28" s="27"/>
      <c r="N28" s="27"/>
      <c r="O28" s="27"/>
      <c r="P28" s="27"/>
      <c r="Q28" s="27"/>
      <c r="R28" s="27"/>
      <c r="S28" s="27"/>
      <c r="T28" s="27"/>
      <c r="U28" s="27"/>
      <c r="V28" s="25"/>
      <c r="W28" s="31" t="e">
        <f>INDEX(TBL_LNG_IMPORTERS_CONNECTIONS[LNGImporterConnectionID],$A28)</f>
        <v>#REF!</v>
      </c>
      <c r="X28" s="31" t="e">
        <f>"LNGImporterTariffFixed_"&amp;RIGHT($W28,11)</f>
        <v>#REF!</v>
      </c>
    </row>
    <row r="29" spans="1:24" x14ac:dyDescent="0.25">
      <c r="A29" s="94">
        <f t="shared" si="20"/>
        <v>6</v>
      </c>
      <c r="B29" s="117"/>
      <c r="C29" s="93" t="str">
        <f t="shared" ref="C29:D29" si="23">IF($B26&lt;&gt;"",C25,"")</f>
        <v/>
      </c>
      <c r="D29" s="93" t="str">
        <f t="shared" si="23"/>
        <v/>
      </c>
      <c r="E29" s="28"/>
      <c r="F29" s="28"/>
      <c r="G29" s="28"/>
      <c r="H29" s="28"/>
      <c r="I29" s="28"/>
      <c r="J29" s="28"/>
      <c r="K29" s="28"/>
      <c r="L29" s="28"/>
      <c r="M29" s="28"/>
      <c r="N29" s="28"/>
      <c r="O29" s="28"/>
      <c r="P29" s="28"/>
      <c r="Q29" s="28"/>
      <c r="R29" s="28"/>
      <c r="S29" s="28"/>
      <c r="T29" s="28"/>
      <c r="U29" s="28"/>
      <c r="V29" s="26"/>
      <c r="W29" s="31" t="e">
        <f>INDEX(TBL_LNG_IMPORTERS_CONNECTIONS[LNGImporterConnectionID],$A29)</f>
        <v>#REF!</v>
      </c>
      <c r="X29" s="31" t="e">
        <f>"LNGImporterTariffVar_"&amp;RIGHT($W29,11)</f>
        <v>#REF!</v>
      </c>
    </row>
    <row r="30" spans="1:24" x14ac:dyDescent="0.25">
      <c r="A30" s="94">
        <f t="shared" ref="A30" si="24">$A26+1</f>
        <v>7</v>
      </c>
      <c r="B30" s="115" t="str">
        <f>IFERROR(INDEX(TBL_LNG_IMPORTERS_CONNECTIONS[Name],$A30),"")</f>
        <v/>
      </c>
      <c r="C30" s="93" t="str">
        <f t="shared" ref="C30:D30" si="25">IF($B30&lt;&gt;"",C26,"")</f>
        <v/>
      </c>
      <c r="D30" s="93" t="str">
        <f t="shared" si="25"/>
        <v/>
      </c>
      <c r="E30" s="27"/>
      <c r="F30" s="27"/>
      <c r="G30" s="27"/>
      <c r="H30" s="27"/>
      <c r="I30" s="27"/>
      <c r="J30" s="27"/>
      <c r="K30" s="27"/>
      <c r="L30" s="27"/>
      <c r="M30" s="27"/>
      <c r="N30" s="27"/>
      <c r="O30" s="27"/>
      <c r="P30" s="27"/>
      <c r="Q30" s="27"/>
      <c r="R30" s="27"/>
      <c r="S30" s="27"/>
      <c r="T30" s="27"/>
      <c r="U30" s="27"/>
      <c r="V30" s="25"/>
      <c r="W30" s="31" t="e">
        <f>INDEX(TBL_LNG_IMPORTERS_CONNECTIONS[LNGImporterConnectionID],$A30)</f>
        <v>#REF!</v>
      </c>
      <c r="X30" s="31" t="e">
        <f>"LNGImporterCapMin_"&amp;RIGHT($W30,11)</f>
        <v>#REF!</v>
      </c>
    </row>
    <row r="31" spans="1:24" x14ac:dyDescent="0.25">
      <c r="A31" s="94">
        <f t="shared" ref="A31:A33" si="26">$A30</f>
        <v>7</v>
      </c>
      <c r="B31" s="116"/>
      <c r="C31" s="93" t="str">
        <f t="shared" ref="C31:D31" si="27">IF($B30&lt;&gt;"",C27,"")</f>
        <v/>
      </c>
      <c r="D31" s="93" t="str">
        <f t="shared" si="27"/>
        <v/>
      </c>
      <c r="E31" s="28"/>
      <c r="F31" s="28"/>
      <c r="G31" s="28"/>
      <c r="H31" s="28"/>
      <c r="I31" s="28"/>
      <c r="J31" s="28"/>
      <c r="K31" s="28"/>
      <c r="L31" s="28"/>
      <c r="M31" s="28"/>
      <c r="N31" s="28"/>
      <c r="O31" s="28"/>
      <c r="P31" s="28"/>
      <c r="Q31" s="28"/>
      <c r="R31" s="28"/>
      <c r="S31" s="28"/>
      <c r="T31" s="28"/>
      <c r="U31" s="28"/>
      <c r="V31" s="26"/>
      <c r="W31" s="31" t="e">
        <f>INDEX(TBL_LNG_IMPORTERS_CONNECTIONS[LNGImporterConnectionID],$A31)</f>
        <v>#REF!</v>
      </c>
      <c r="X31" s="31" t="e">
        <f>"LNGImporterCapMax_"&amp;RIGHT($W31,11)</f>
        <v>#REF!</v>
      </c>
    </row>
    <row r="32" spans="1:24" x14ac:dyDescent="0.25">
      <c r="A32" s="94">
        <f t="shared" si="26"/>
        <v>7</v>
      </c>
      <c r="B32" s="116"/>
      <c r="C32" s="93" t="str">
        <f t="shared" ref="C32:D32" si="28">IF($B30&lt;&gt;"",C28,"")</f>
        <v/>
      </c>
      <c r="D32" s="93" t="str">
        <f t="shared" si="28"/>
        <v/>
      </c>
      <c r="E32" s="27"/>
      <c r="F32" s="27"/>
      <c r="G32" s="27"/>
      <c r="H32" s="27"/>
      <c r="I32" s="27"/>
      <c r="J32" s="27"/>
      <c r="K32" s="27"/>
      <c r="L32" s="27"/>
      <c r="M32" s="27"/>
      <c r="N32" s="27"/>
      <c r="O32" s="27"/>
      <c r="P32" s="27"/>
      <c r="Q32" s="27"/>
      <c r="R32" s="27"/>
      <c r="S32" s="27"/>
      <c r="T32" s="27"/>
      <c r="U32" s="27"/>
      <c r="V32" s="25"/>
      <c r="W32" s="31" t="e">
        <f>INDEX(TBL_LNG_IMPORTERS_CONNECTIONS[LNGImporterConnectionID],$A32)</f>
        <v>#REF!</v>
      </c>
      <c r="X32" s="31" t="e">
        <f>"LNGImporterTariffFixed_"&amp;RIGHT($W32,11)</f>
        <v>#REF!</v>
      </c>
    </row>
    <row r="33" spans="1:24" x14ac:dyDescent="0.25">
      <c r="A33" s="94">
        <f t="shared" si="26"/>
        <v>7</v>
      </c>
      <c r="B33" s="117"/>
      <c r="C33" s="93" t="str">
        <f t="shared" ref="C33:D33" si="29">IF($B30&lt;&gt;"",C29,"")</f>
        <v/>
      </c>
      <c r="D33" s="93" t="str">
        <f t="shared" si="29"/>
        <v/>
      </c>
      <c r="E33" s="28"/>
      <c r="F33" s="28"/>
      <c r="G33" s="28"/>
      <c r="H33" s="28"/>
      <c r="I33" s="28"/>
      <c r="J33" s="28"/>
      <c r="K33" s="28"/>
      <c r="L33" s="28"/>
      <c r="M33" s="28"/>
      <c r="N33" s="28"/>
      <c r="O33" s="28"/>
      <c r="P33" s="28"/>
      <c r="Q33" s="28"/>
      <c r="R33" s="28"/>
      <c r="S33" s="28"/>
      <c r="T33" s="28"/>
      <c r="U33" s="28"/>
      <c r="V33" s="26"/>
      <c r="W33" s="31" t="e">
        <f>INDEX(TBL_LNG_IMPORTERS_CONNECTIONS[LNGImporterConnectionID],$A33)</f>
        <v>#REF!</v>
      </c>
      <c r="X33" s="31" t="e">
        <f>"LNGImporterTariffVar_"&amp;RIGHT($W33,11)</f>
        <v>#REF!</v>
      </c>
    </row>
    <row r="34" spans="1:24" x14ac:dyDescent="0.25">
      <c r="A34" s="94">
        <f t="shared" ref="A34" si="30">$A30+1</f>
        <v>8</v>
      </c>
      <c r="B34" s="115" t="str">
        <f>IFERROR(INDEX(TBL_LNG_IMPORTERS_CONNECTIONS[Name],$A34),"")</f>
        <v/>
      </c>
      <c r="C34" s="93" t="str">
        <f t="shared" ref="C34:D34" si="31">IF($B34&lt;&gt;"",C30,"")</f>
        <v/>
      </c>
      <c r="D34" s="93" t="str">
        <f t="shared" si="31"/>
        <v/>
      </c>
      <c r="E34" s="27"/>
      <c r="F34" s="27"/>
      <c r="G34" s="27"/>
      <c r="H34" s="27"/>
      <c r="I34" s="27"/>
      <c r="J34" s="27"/>
      <c r="K34" s="27"/>
      <c r="L34" s="27"/>
      <c r="M34" s="27"/>
      <c r="N34" s="27"/>
      <c r="O34" s="27"/>
      <c r="P34" s="27"/>
      <c r="Q34" s="27"/>
      <c r="R34" s="27"/>
      <c r="S34" s="27"/>
      <c r="T34" s="27"/>
      <c r="U34" s="27"/>
      <c r="V34" s="25"/>
      <c r="W34" s="31" t="e">
        <f>INDEX(TBL_LNG_IMPORTERS_CONNECTIONS[LNGImporterConnectionID],$A34)</f>
        <v>#REF!</v>
      </c>
      <c r="X34" s="31" t="e">
        <f>"LNGImporterCapMin_"&amp;RIGHT($W34,11)</f>
        <v>#REF!</v>
      </c>
    </row>
    <row r="35" spans="1:24" x14ac:dyDescent="0.25">
      <c r="A35" s="94">
        <f t="shared" ref="A35:A37" si="32">$A34</f>
        <v>8</v>
      </c>
      <c r="B35" s="116"/>
      <c r="C35" s="93" t="str">
        <f t="shared" ref="C35:D35" si="33">IF($B34&lt;&gt;"",C31,"")</f>
        <v/>
      </c>
      <c r="D35" s="93" t="str">
        <f t="shared" si="33"/>
        <v/>
      </c>
      <c r="E35" s="28"/>
      <c r="F35" s="28"/>
      <c r="G35" s="28"/>
      <c r="H35" s="28"/>
      <c r="I35" s="28"/>
      <c r="J35" s="28"/>
      <c r="K35" s="28"/>
      <c r="L35" s="28"/>
      <c r="M35" s="28"/>
      <c r="N35" s="28"/>
      <c r="O35" s="28"/>
      <c r="P35" s="28"/>
      <c r="Q35" s="28"/>
      <c r="R35" s="28"/>
      <c r="S35" s="28"/>
      <c r="T35" s="28"/>
      <c r="U35" s="28"/>
      <c r="V35" s="26"/>
      <c r="W35" s="31" t="e">
        <f>INDEX(TBL_LNG_IMPORTERS_CONNECTIONS[LNGImporterConnectionID],$A35)</f>
        <v>#REF!</v>
      </c>
      <c r="X35" s="31" t="e">
        <f>"LNGImporterCapMax_"&amp;RIGHT($W35,11)</f>
        <v>#REF!</v>
      </c>
    </row>
    <row r="36" spans="1:24" x14ac:dyDescent="0.25">
      <c r="A36" s="94">
        <f t="shared" si="32"/>
        <v>8</v>
      </c>
      <c r="B36" s="116"/>
      <c r="C36" s="93" t="str">
        <f t="shared" ref="C36:D36" si="34">IF($B34&lt;&gt;"",C32,"")</f>
        <v/>
      </c>
      <c r="D36" s="93" t="str">
        <f t="shared" si="34"/>
        <v/>
      </c>
      <c r="E36" s="27"/>
      <c r="F36" s="27"/>
      <c r="G36" s="27"/>
      <c r="H36" s="27"/>
      <c r="I36" s="27"/>
      <c r="J36" s="27"/>
      <c r="K36" s="27"/>
      <c r="L36" s="27"/>
      <c r="M36" s="27"/>
      <c r="N36" s="27"/>
      <c r="O36" s="27"/>
      <c r="P36" s="27"/>
      <c r="Q36" s="27"/>
      <c r="R36" s="27"/>
      <c r="S36" s="27"/>
      <c r="T36" s="27"/>
      <c r="U36" s="27"/>
      <c r="V36" s="25"/>
      <c r="W36" s="31" t="e">
        <f>INDEX(TBL_LNG_IMPORTERS_CONNECTIONS[LNGImporterConnectionID],$A36)</f>
        <v>#REF!</v>
      </c>
      <c r="X36" s="31" t="e">
        <f>"LNGImporterTariffFixed_"&amp;RIGHT($W36,11)</f>
        <v>#REF!</v>
      </c>
    </row>
    <row r="37" spans="1:24" x14ac:dyDescent="0.25">
      <c r="A37" s="94">
        <f t="shared" si="32"/>
        <v>8</v>
      </c>
      <c r="B37" s="117"/>
      <c r="C37" s="93" t="str">
        <f t="shared" ref="C37:D37" si="35">IF($B34&lt;&gt;"",C33,"")</f>
        <v/>
      </c>
      <c r="D37" s="93" t="str">
        <f t="shared" si="35"/>
        <v/>
      </c>
      <c r="E37" s="28"/>
      <c r="F37" s="28"/>
      <c r="G37" s="28"/>
      <c r="H37" s="28"/>
      <c r="I37" s="28"/>
      <c r="J37" s="28"/>
      <c r="K37" s="28"/>
      <c r="L37" s="28"/>
      <c r="M37" s="28"/>
      <c r="N37" s="28"/>
      <c r="O37" s="28"/>
      <c r="P37" s="28"/>
      <c r="Q37" s="28"/>
      <c r="R37" s="28"/>
      <c r="S37" s="28"/>
      <c r="T37" s="28"/>
      <c r="U37" s="28"/>
      <c r="V37" s="26"/>
      <c r="W37" s="31" t="e">
        <f>INDEX(TBL_LNG_IMPORTERS_CONNECTIONS[LNGImporterConnectionID],$A37)</f>
        <v>#REF!</v>
      </c>
      <c r="X37" s="31" t="e">
        <f>"LNGImporterTariffVar_"&amp;RIGHT($W37,11)</f>
        <v>#REF!</v>
      </c>
    </row>
    <row r="38" spans="1:24" x14ac:dyDescent="0.25">
      <c r="A38" s="94">
        <f t="shared" ref="A38" si="36">$A34+1</f>
        <v>9</v>
      </c>
      <c r="B38" s="115" t="str">
        <f>IFERROR(INDEX(TBL_LNG_IMPORTERS_CONNECTIONS[Name],$A38),"")</f>
        <v/>
      </c>
      <c r="C38" s="93" t="str">
        <f t="shared" ref="C38:D38" si="37">IF($B38&lt;&gt;"",C34,"")</f>
        <v/>
      </c>
      <c r="D38" s="93" t="str">
        <f t="shared" si="37"/>
        <v/>
      </c>
      <c r="E38" s="27"/>
      <c r="F38" s="27"/>
      <c r="G38" s="27"/>
      <c r="H38" s="27"/>
      <c r="I38" s="27"/>
      <c r="J38" s="27"/>
      <c r="K38" s="27"/>
      <c r="L38" s="27"/>
      <c r="M38" s="27"/>
      <c r="N38" s="27"/>
      <c r="O38" s="27"/>
      <c r="P38" s="27"/>
      <c r="Q38" s="27"/>
      <c r="R38" s="27"/>
      <c r="S38" s="27"/>
      <c r="T38" s="27"/>
      <c r="U38" s="27"/>
      <c r="V38" s="25"/>
      <c r="W38" s="31" t="e">
        <f>INDEX(TBL_LNG_IMPORTERS_CONNECTIONS[LNGImporterConnectionID],$A38)</f>
        <v>#REF!</v>
      </c>
      <c r="X38" s="31" t="e">
        <f>"LNGImporterCapMin_"&amp;RIGHT($W38,11)</f>
        <v>#REF!</v>
      </c>
    </row>
    <row r="39" spans="1:24" x14ac:dyDescent="0.25">
      <c r="A39" s="94">
        <f t="shared" ref="A39:A57" si="38">$A38</f>
        <v>9</v>
      </c>
      <c r="B39" s="116"/>
      <c r="C39" s="93" t="str">
        <f t="shared" ref="C39:D39" si="39">IF($B38&lt;&gt;"",C35,"")</f>
        <v/>
      </c>
      <c r="D39" s="93" t="str">
        <f t="shared" si="39"/>
        <v/>
      </c>
      <c r="E39" s="28"/>
      <c r="F39" s="28"/>
      <c r="G39" s="28"/>
      <c r="H39" s="28"/>
      <c r="I39" s="28"/>
      <c r="J39" s="28"/>
      <c r="K39" s="28"/>
      <c r="L39" s="28"/>
      <c r="M39" s="28"/>
      <c r="N39" s="28"/>
      <c r="O39" s="28"/>
      <c r="P39" s="28"/>
      <c r="Q39" s="28"/>
      <c r="R39" s="28"/>
      <c r="S39" s="28"/>
      <c r="T39" s="28"/>
      <c r="U39" s="28"/>
      <c r="V39" s="26"/>
      <c r="W39" s="31" t="e">
        <f>INDEX(TBL_LNG_IMPORTERS_CONNECTIONS[LNGImporterConnectionID],$A39)</f>
        <v>#REF!</v>
      </c>
      <c r="X39" s="31" t="e">
        <f>"LNGImporterCapMax_"&amp;RIGHT($W39,11)</f>
        <v>#REF!</v>
      </c>
    </row>
    <row r="40" spans="1:24" x14ac:dyDescent="0.25">
      <c r="A40" s="94">
        <f t="shared" si="38"/>
        <v>9</v>
      </c>
      <c r="B40" s="116"/>
      <c r="C40" s="93" t="str">
        <f t="shared" ref="C40:D40" si="40">IF($B38&lt;&gt;"",C36,"")</f>
        <v/>
      </c>
      <c r="D40" s="93" t="str">
        <f t="shared" si="40"/>
        <v/>
      </c>
      <c r="E40" s="27"/>
      <c r="F40" s="27"/>
      <c r="G40" s="27"/>
      <c r="H40" s="27"/>
      <c r="I40" s="27"/>
      <c r="J40" s="27"/>
      <c r="K40" s="27"/>
      <c r="L40" s="27"/>
      <c r="M40" s="27"/>
      <c r="N40" s="27"/>
      <c r="O40" s="27"/>
      <c r="P40" s="27"/>
      <c r="Q40" s="27"/>
      <c r="R40" s="27"/>
      <c r="S40" s="27"/>
      <c r="T40" s="27"/>
      <c r="U40" s="27"/>
      <c r="V40" s="25"/>
      <c r="W40" s="31" t="e">
        <f>INDEX(TBL_LNG_IMPORTERS_CONNECTIONS[LNGImporterConnectionID],$A40)</f>
        <v>#REF!</v>
      </c>
      <c r="X40" s="31" t="e">
        <f>"LNGImporterTariffFixed_"&amp;RIGHT($W40,11)</f>
        <v>#REF!</v>
      </c>
    </row>
    <row r="41" spans="1:24" x14ac:dyDescent="0.25">
      <c r="A41" s="94">
        <f t="shared" si="38"/>
        <v>9</v>
      </c>
      <c r="B41" s="117"/>
      <c r="C41" s="93" t="str">
        <f t="shared" ref="C41:D41" si="41">IF($B38&lt;&gt;"",C37,"")</f>
        <v/>
      </c>
      <c r="D41" s="93" t="str">
        <f t="shared" si="41"/>
        <v/>
      </c>
      <c r="E41" s="28"/>
      <c r="F41" s="28"/>
      <c r="G41" s="28"/>
      <c r="H41" s="28"/>
      <c r="I41" s="28"/>
      <c r="J41" s="28"/>
      <c r="K41" s="28"/>
      <c r="L41" s="28"/>
      <c r="M41" s="28"/>
      <c r="N41" s="28"/>
      <c r="O41" s="28"/>
      <c r="P41" s="28"/>
      <c r="Q41" s="28"/>
      <c r="R41" s="28"/>
      <c r="S41" s="28"/>
      <c r="T41" s="28"/>
      <c r="U41" s="28"/>
      <c r="V41" s="26"/>
      <c r="W41" s="31" t="e">
        <f>INDEX(TBL_LNG_IMPORTERS_CONNECTIONS[LNGImporterConnectionID],$A41)</f>
        <v>#REF!</v>
      </c>
      <c r="X41" s="31" t="e">
        <f>"LNGImporterTariffVar_"&amp;RIGHT($W41,11)</f>
        <v>#REF!</v>
      </c>
    </row>
    <row r="42" spans="1:24" x14ac:dyDescent="0.25">
      <c r="A42" s="94">
        <f t="shared" ref="A42" si="42">$A38+1</f>
        <v>10</v>
      </c>
      <c r="B42" s="115" t="str">
        <f>IFERROR(INDEX(TBL_LNG_IMPORTERS_CONNECTIONS[Name],$A42),"")</f>
        <v/>
      </c>
      <c r="C42" s="93" t="str">
        <f t="shared" ref="C42:D42" si="43">IF($B42&lt;&gt;"",C38,"")</f>
        <v/>
      </c>
      <c r="D42" s="93" t="str">
        <f t="shared" si="43"/>
        <v/>
      </c>
      <c r="E42" s="27"/>
      <c r="F42" s="27"/>
      <c r="G42" s="27"/>
      <c r="H42" s="27"/>
      <c r="I42" s="27"/>
      <c r="J42" s="27"/>
      <c r="K42" s="27"/>
      <c r="L42" s="27"/>
      <c r="M42" s="27"/>
      <c r="N42" s="27"/>
      <c r="O42" s="27"/>
      <c r="P42" s="27"/>
      <c r="Q42" s="27"/>
      <c r="R42" s="27"/>
      <c r="S42" s="27"/>
      <c r="T42" s="27"/>
      <c r="U42" s="27"/>
      <c r="V42" s="25"/>
      <c r="W42" s="31" t="e">
        <f>INDEX(TBL_LNG_IMPORTERS_CONNECTIONS[LNGImporterConnectionID],$A42)</f>
        <v>#REF!</v>
      </c>
      <c r="X42" s="31" t="e">
        <f>"LNGImporterCapMin_"&amp;RIGHT($W42,11)</f>
        <v>#REF!</v>
      </c>
    </row>
    <row r="43" spans="1:24" x14ac:dyDescent="0.25">
      <c r="A43" s="94">
        <f t="shared" si="38"/>
        <v>10</v>
      </c>
      <c r="B43" s="116"/>
      <c r="C43" s="93" t="str">
        <f t="shared" ref="C43:D43" si="44">IF($B42&lt;&gt;"",C39,"")</f>
        <v/>
      </c>
      <c r="D43" s="93" t="str">
        <f t="shared" si="44"/>
        <v/>
      </c>
      <c r="E43" s="28"/>
      <c r="F43" s="28"/>
      <c r="G43" s="28"/>
      <c r="H43" s="28"/>
      <c r="I43" s="28"/>
      <c r="J43" s="28"/>
      <c r="K43" s="28"/>
      <c r="L43" s="28"/>
      <c r="M43" s="28"/>
      <c r="N43" s="28"/>
      <c r="O43" s="28"/>
      <c r="P43" s="28"/>
      <c r="Q43" s="28"/>
      <c r="R43" s="28"/>
      <c r="S43" s="28"/>
      <c r="T43" s="28"/>
      <c r="U43" s="28"/>
      <c r="V43" s="26"/>
      <c r="W43" s="31" t="e">
        <f>INDEX(TBL_LNG_IMPORTERS_CONNECTIONS[LNGImporterConnectionID],$A43)</f>
        <v>#REF!</v>
      </c>
      <c r="X43" s="31" t="e">
        <f>"LNGImporterCapMax_"&amp;RIGHT($W43,11)</f>
        <v>#REF!</v>
      </c>
    </row>
    <row r="44" spans="1:24" x14ac:dyDescent="0.25">
      <c r="A44" s="94">
        <f t="shared" si="38"/>
        <v>10</v>
      </c>
      <c r="B44" s="116"/>
      <c r="C44" s="93" t="str">
        <f t="shared" ref="C44:D44" si="45">IF($B42&lt;&gt;"",C40,"")</f>
        <v/>
      </c>
      <c r="D44" s="93" t="str">
        <f t="shared" si="45"/>
        <v/>
      </c>
      <c r="E44" s="27"/>
      <c r="F44" s="27"/>
      <c r="G44" s="27"/>
      <c r="H44" s="27"/>
      <c r="I44" s="27"/>
      <c r="J44" s="27"/>
      <c r="K44" s="27"/>
      <c r="L44" s="27"/>
      <c r="M44" s="27"/>
      <c r="N44" s="27"/>
      <c r="O44" s="27"/>
      <c r="P44" s="27"/>
      <c r="Q44" s="27"/>
      <c r="R44" s="27"/>
      <c r="S44" s="27"/>
      <c r="T44" s="27"/>
      <c r="U44" s="27"/>
      <c r="V44" s="25"/>
      <c r="W44" s="31" t="e">
        <f>INDEX(TBL_LNG_IMPORTERS_CONNECTIONS[LNGImporterConnectionID],$A44)</f>
        <v>#REF!</v>
      </c>
      <c r="X44" s="31" t="e">
        <f>"LNGImporterTariffFixed_"&amp;RIGHT($W44,11)</f>
        <v>#REF!</v>
      </c>
    </row>
    <row r="45" spans="1:24" x14ac:dyDescent="0.25">
      <c r="A45" s="94">
        <f t="shared" si="38"/>
        <v>10</v>
      </c>
      <c r="B45" s="117"/>
      <c r="C45" s="93" t="str">
        <f t="shared" ref="C45:D45" si="46">IF($B42&lt;&gt;"",C41,"")</f>
        <v/>
      </c>
      <c r="D45" s="93" t="str">
        <f t="shared" si="46"/>
        <v/>
      </c>
      <c r="E45" s="28"/>
      <c r="F45" s="28"/>
      <c r="G45" s="28"/>
      <c r="H45" s="28"/>
      <c r="I45" s="28"/>
      <c r="J45" s="28"/>
      <c r="K45" s="28"/>
      <c r="L45" s="28"/>
      <c r="M45" s="28"/>
      <c r="N45" s="28"/>
      <c r="O45" s="28"/>
      <c r="P45" s="28"/>
      <c r="Q45" s="28"/>
      <c r="R45" s="28"/>
      <c r="S45" s="28"/>
      <c r="T45" s="28"/>
      <c r="U45" s="28"/>
      <c r="V45" s="26"/>
      <c r="W45" s="31" t="e">
        <f>INDEX(TBL_LNG_IMPORTERS_CONNECTIONS[LNGImporterConnectionID],$A45)</f>
        <v>#REF!</v>
      </c>
      <c r="X45" s="31" t="e">
        <f>"LNGImporterTariffVar_"&amp;RIGHT($W45,11)</f>
        <v>#REF!</v>
      </c>
    </row>
    <row r="46" spans="1:24" x14ac:dyDescent="0.25">
      <c r="A46" s="94">
        <f t="shared" ref="A46" si="47">$A42+1</f>
        <v>11</v>
      </c>
      <c r="B46" s="115" t="str">
        <f>IFERROR(INDEX(TBL_LNG_IMPORTERS_CONNECTIONS[Name],$A46),"")</f>
        <v/>
      </c>
      <c r="C46" s="93" t="str">
        <f t="shared" ref="C46:D46" si="48">IF($B46&lt;&gt;"",C42,"")</f>
        <v/>
      </c>
      <c r="D46" s="93" t="str">
        <f t="shared" si="48"/>
        <v/>
      </c>
      <c r="E46" s="27"/>
      <c r="F46" s="27"/>
      <c r="G46" s="27"/>
      <c r="H46" s="27"/>
      <c r="I46" s="27"/>
      <c r="J46" s="27"/>
      <c r="K46" s="27"/>
      <c r="L46" s="27"/>
      <c r="M46" s="27"/>
      <c r="N46" s="27"/>
      <c r="O46" s="27"/>
      <c r="P46" s="27"/>
      <c r="Q46" s="27"/>
      <c r="R46" s="27"/>
      <c r="S46" s="27"/>
      <c r="T46" s="27"/>
      <c r="U46" s="27"/>
      <c r="V46" s="25"/>
      <c r="W46" s="31" t="e">
        <f>INDEX(TBL_LNG_IMPORTERS_CONNECTIONS[LNGImporterConnectionID],$A46)</f>
        <v>#REF!</v>
      </c>
      <c r="X46" s="31" t="e">
        <f>"LNGImporterCapMin_"&amp;RIGHT($W46,11)</f>
        <v>#REF!</v>
      </c>
    </row>
    <row r="47" spans="1:24" x14ac:dyDescent="0.25">
      <c r="A47" s="94">
        <f t="shared" si="38"/>
        <v>11</v>
      </c>
      <c r="B47" s="116"/>
      <c r="C47" s="93" t="str">
        <f t="shared" ref="C47:D47" si="49">IF($B46&lt;&gt;"",C43,"")</f>
        <v/>
      </c>
      <c r="D47" s="93" t="str">
        <f t="shared" si="49"/>
        <v/>
      </c>
      <c r="E47" s="28"/>
      <c r="F47" s="28"/>
      <c r="G47" s="28"/>
      <c r="H47" s="28"/>
      <c r="I47" s="28"/>
      <c r="J47" s="28"/>
      <c r="K47" s="28"/>
      <c r="L47" s="28"/>
      <c r="M47" s="28"/>
      <c r="N47" s="28"/>
      <c r="O47" s="28"/>
      <c r="P47" s="28"/>
      <c r="Q47" s="28"/>
      <c r="R47" s="28"/>
      <c r="S47" s="28"/>
      <c r="T47" s="28"/>
      <c r="U47" s="28"/>
      <c r="V47" s="26"/>
      <c r="W47" s="31" t="e">
        <f>INDEX(TBL_LNG_IMPORTERS_CONNECTIONS[LNGImporterConnectionID],$A47)</f>
        <v>#REF!</v>
      </c>
      <c r="X47" s="31" t="e">
        <f>"LNGImporterCapMax_"&amp;RIGHT($W47,11)</f>
        <v>#REF!</v>
      </c>
    </row>
    <row r="48" spans="1:24" x14ac:dyDescent="0.25">
      <c r="A48" s="94">
        <f t="shared" si="38"/>
        <v>11</v>
      </c>
      <c r="B48" s="116"/>
      <c r="C48" s="93" t="str">
        <f t="shared" ref="C48:D48" si="50">IF($B46&lt;&gt;"",C44,"")</f>
        <v/>
      </c>
      <c r="D48" s="93" t="str">
        <f t="shared" si="50"/>
        <v/>
      </c>
      <c r="E48" s="27"/>
      <c r="F48" s="27"/>
      <c r="G48" s="27"/>
      <c r="H48" s="27"/>
      <c r="I48" s="27"/>
      <c r="J48" s="27"/>
      <c r="K48" s="27"/>
      <c r="L48" s="27"/>
      <c r="M48" s="27"/>
      <c r="N48" s="27"/>
      <c r="O48" s="27"/>
      <c r="P48" s="27"/>
      <c r="Q48" s="27"/>
      <c r="R48" s="27"/>
      <c r="S48" s="27"/>
      <c r="T48" s="27"/>
      <c r="U48" s="27"/>
      <c r="V48" s="25"/>
      <c r="W48" s="31" t="e">
        <f>INDEX(TBL_LNG_IMPORTERS_CONNECTIONS[LNGImporterConnectionID],$A48)</f>
        <v>#REF!</v>
      </c>
      <c r="X48" s="31" t="e">
        <f>"LNGImporterTariffFixed_"&amp;RIGHT($W48,11)</f>
        <v>#REF!</v>
      </c>
    </row>
    <row r="49" spans="1:24" x14ac:dyDescent="0.25">
      <c r="A49" s="94">
        <f t="shared" si="38"/>
        <v>11</v>
      </c>
      <c r="B49" s="117"/>
      <c r="C49" s="93" t="str">
        <f t="shared" ref="C49:D49" si="51">IF($B46&lt;&gt;"",C45,"")</f>
        <v/>
      </c>
      <c r="D49" s="93" t="str">
        <f t="shared" si="51"/>
        <v/>
      </c>
      <c r="E49" s="28"/>
      <c r="F49" s="28"/>
      <c r="G49" s="28"/>
      <c r="H49" s="28"/>
      <c r="I49" s="28"/>
      <c r="J49" s="28"/>
      <c r="K49" s="28"/>
      <c r="L49" s="28"/>
      <c r="M49" s="28"/>
      <c r="N49" s="28"/>
      <c r="O49" s="28"/>
      <c r="P49" s="28"/>
      <c r="Q49" s="28"/>
      <c r="R49" s="28"/>
      <c r="S49" s="28"/>
      <c r="T49" s="28"/>
      <c r="U49" s="28"/>
      <c r="V49" s="26"/>
      <c r="W49" s="31" t="e">
        <f>INDEX(TBL_LNG_IMPORTERS_CONNECTIONS[LNGImporterConnectionID],$A49)</f>
        <v>#REF!</v>
      </c>
      <c r="X49" s="31" t="e">
        <f>"LNGImporterTariffVar_"&amp;RIGHT($W49,11)</f>
        <v>#REF!</v>
      </c>
    </row>
    <row r="50" spans="1:24" x14ac:dyDescent="0.25">
      <c r="A50" s="94">
        <f t="shared" ref="A50" si="52">$A46+1</f>
        <v>12</v>
      </c>
      <c r="B50" s="115" t="str">
        <f>IFERROR(INDEX(TBL_LNG_IMPORTERS_CONNECTIONS[Name],$A50),"")</f>
        <v/>
      </c>
      <c r="C50" s="93" t="str">
        <f t="shared" ref="C50:D50" si="53">IF($B50&lt;&gt;"",C46,"")</f>
        <v/>
      </c>
      <c r="D50" s="93" t="str">
        <f t="shared" si="53"/>
        <v/>
      </c>
      <c r="E50" s="27"/>
      <c r="F50" s="27"/>
      <c r="G50" s="27"/>
      <c r="H50" s="27"/>
      <c r="I50" s="27"/>
      <c r="J50" s="27"/>
      <c r="K50" s="27"/>
      <c r="L50" s="27"/>
      <c r="M50" s="27"/>
      <c r="N50" s="27"/>
      <c r="O50" s="27"/>
      <c r="P50" s="27"/>
      <c r="Q50" s="27"/>
      <c r="R50" s="27"/>
      <c r="S50" s="27"/>
      <c r="T50" s="27"/>
      <c r="U50" s="27"/>
      <c r="V50" s="25"/>
      <c r="W50" s="31" t="e">
        <f>INDEX(TBL_LNG_IMPORTERS_CONNECTIONS[LNGImporterConnectionID],$A50)</f>
        <v>#REF!</v>
      </c>
      <c r="X50" s="31" t="e">
        <f>"LNGImporterCapMin_"&amp;RIGHT($W50,11)</f>
        <v>#REF!</v>
      </c>
    </row>
    <row r="51" spans="1:24" x14ac:dyDescent="0.25">
      <c r="A51" s="94">
        <f t="shared" si="38"/>
        <v>12</v>
      </c>
      <c r="B51" s="116"/>
      <c r="C51" s="93" t="str">
        <f t="shared" ref="C51:D51" si="54">IF($B50&lt;&gt;"",C47,"")</f>
        <v/>
      </c>
      <c r="D51" s="93" t="str">
        <f t="shared" si="54"/>
        <v/>
      </c>
      <c r="E51" s="28"/>
      <c r="F51" s="28"/>
      <c r="G51" s="28"/>
      <c r="H51" s="28"/>
      <c r="I51" s="28"/>
      <c r="J51" s="28"/>
      <c r="K51" s="28"/>
      <c r="L51" s="28"/>
      <c r="M51" s="28"/>
      <c r="N51" s="28"/>
      <c r="O51" s="28"/>
      <c r="P51" s="28"/>
      <c r="Q51" s="28"/>
      <c r="R51" s="28"/>
      <c r="S51" s="28"/>
      <c r="T51" s="28"/>
      <c r="U51" s="28"/>
      <c r="V51" s="26"/>
      <c r="W51" s="31" t="e">
        <f>INDEX(TBL_LNG_IMPORTERS_CONNECTIONS[LNGImporterConnectionID],$A51)</f>
        <v>#REF!</v>
      </c>
      <c r="X51" s="31" t="e">
        <f>"LNGImporterCapMax_"&amp;RIGHT($W51,11)</f>
        <v>#REF!</v>
      </c>
    </row>
    <row r="52" spans="1:24" x14ac:dyDescent="0.25">
      <c r="A52" s="94">
        <f t="shared" si="38"/>
        <v>12</v>
      </c>
      <c r="B52" s="116"/>
      <c r="C52" s="93" t="str">
        <f t="shared" ref="C52:D52" si="55">IF($B50&lt;&gt;"",C48,"")</f>
        <v/>
      </c>
      <c r="D52" s="93" t="str">
        <f t="shared" si="55"/>
        <v/>
      </c>
      <c r="E52" s="27"/>
      <c r="F52" s="27"/>
      <c r="G52" s="27"/>
      <c r="H52" s="27"/>
      <c r="I52" s="27"/>
      <c r="J52" s="27"/>
      <c r="K52" s="27"/>
      <c r="L52" s="27"/>
      <c r="M52" s="27"/>
      <c r="N52" s="27"/>
      <c r="O52" s="27"/>
      <c r="P52" s="27"/>
      <c r="Q52" s="27"/>
      <c r="R52" s="27"/>
      <c r="S52" s="27"/>
      <c r="T52" s="27"/>
      <c r="U52" s="27"/>
      <c r="V52" s="25"/>
      <c r="W52" s="31" t="e">
        <f>INDEX(TBL_LNG_IMPORTERS_CONNECTIONS[LNGImporterConnectionID],$A52)</f>
        <v>#REF!</v>
      </c>
      <c r="X52" s="31" t="e">
        <f>"LNGImporterTariffFixed_"&amp;RIGHT($W52,11)</f>
        <v>#REF!</v>
      </c>
    </row>
    <row r="53" spans="1:24" x14ac:dyDescent="0.25">
      <c r="A53" s="94">
        <f t="shared" si="38"/>
        <v>12</v>
      </c>
      <c r="B53" s="117"/>
      <c r="C53" s="93" t="str">
        <f t="shared" ref="C53:D53" si="56">IF($B50&lt;&gt;"",C49,"")</f>
        <v/>
      </c>
      <c r="D53" s="93" t="str">
        <f t="shared" si="56"/>
        <v/>
      </c>
      <c r="E53" s="28"/>
      <c r="F53" s="28"/>
      <c r="G53" s="28"/>
      <c r="H53" s="28"/>
      <c r="I53" s="28"/>
      <c r="J53" s="28"/>
      <c r="K53" s="28"/>
      <c r="L53" s="28"/>
      <c r="M53" s="28"/>
      <c r="N53" s="28"/>
      <c r="O53" s="28"/>
      <c r="P53" s="28"/>
      <c r="Q53" s="28"/>
      <c r="R53" s="28"/>
      <c r="S53" s="28"/>
      <c r="T53" s="28"/>
      <c r="U53" s="28"/>
      <c r="V53" s="26"/>
      <c r="W53" s="31" t="e">
        <f>INDEX(TBL_LNG_IMPORTERS_CONNECTIONS[LNGImporterConnectionID],$A53)</f>
        <v>#REF!</v>
      </c>
      <c r="X53" s="31" t="e">
        <f>"LNGImporterTariffVar_"&amp;RIGHT($W53,11)</f>
        <v>#REF!</v>
      </c>
    </row>
    <row r="54" spans="1:24" x14ac:dyDescent="0.25">
      <c r="A54" s="94">
        <f t="shared" ref="A54" si="57">$A50+1</f>
        <v>13</v>
      </c>
      <c r="B54" s="115" t="str">
        <f>IFERROR(INDEX(TBL_LNG_IMPORTERS_CONNECTIONS[Name],$A54),"")</f>
        <v/>
      </c>
      <c r="C54" s="93" t="str">
        <f t="shared" ref="C54:D54" si="58">IF($B54&lt;&gt;"",C50,"")</f>
        <v/>
      </c>
      <c r="D54" s="93" t="str">
        <f t="shared" si="58"/>
        <v/>
      </c>
      <c r="E54" s="27"/>
      <c r="F54" s="27"/>
      <c r="G54" s="27"/>
      <c r="H54" s="27"/>
      <c r="I54" s="27"/>
      <c r="J54" s="27"/>
      <c r="K54" s="27"/>
      <c r="L54" s="27"/>
      <c r="M54" s="27"/>
      <c r="N54" s="27"/>
      <c r="O54" s="27"/>
      <c r="P54" s="27"/>
      <c r="Q54" s="27"/>
      <c r="R54" s="27"/>
      <c r="S54" s="27"/>
      <c r="T54" s="27"/>
      <c r="U54" s="27"/>
      <c r="V54" s="25"/>
      <c r="W54" s="31" t="e">
        <f>INDEX(TBL_LNG_IMPORTERS_CONNECTIONS[LNGImporterConnectionID],$A54)</f>
        <v>#REF!</v>
      </c>
      <c r="X54" s="31" t="e">
        <f>"LNGImporterCapMin_"&amp;RIGHT($W54,11)</f>
        <v>#REF!</v>
      </c>
    </row>
    <row r="55" spans="1:24" x14ac:dyDescent="0.25">
      <c r="A55" s="94">
        <f t="shared" si="38"/>
        <v>13</v>
      </c>
      <c r="B55" s="116"/>
      <c r="C55" s="93" t="str">
        <f t="shared" ref="C55:D55" si="59">IF($B54&lt;&gt;"",C51,"")</f>
        <v/>
      </c>
      <c r="D55" s="93" t="str">
        <f t="shared" si="59"/>
        <v/>
      </c>
      <c r="E55" s="28"/>
      <c r="F55" s="28"/>
      <c r="G55" s="28"/>
      <c r="H55" s="28"/>
      <c r="I55" s="28"/>
      <c r="J55" s="28"/>
      <c r="K55" s="28"/>
      <c r="L55" s="28"/>
      <c r="M55" s="28"/>
      <c r="N55" s="28"/>
      <c r="O55" s="28"/>
      <c r="P55" s="28"/>
      <c r="Q55" s="28"/>
      <c r="R55" s="28"/>
      <c r="S55" s="28"/>
      <c r="T55" s="28"/>
      <c r="U55" s="28"/>
      <c r="V55" s="26"/>
      <c r="W55" s="31" t="e">
        <f>INDEX(TBL_LNG_IMPORTERS_CONNECTIONS[LNGImporterConnectionID],$A55)</f>
        <v>#REF!</v>
      </c>
      <c r="X55" s="31" t="e">
        <f>"LNGImporterCapMax_"&amp;RIGHT($W55,11)</f>
        <v>#REF!</v>
      </c>
    </row>
    <row r="56" spans="1:24" x14ac:dyDescent="0.25">
      <c r="A56" s="94">
        <f t="shared" si="38"/>
        <v>13</v>
      </c>
      <c r="B56" s="116"/>
      <c r="C56" s="93" t="str">
        <f t="shared" ref="C56:D56" si="60">IF($B54&lt;&gt;"",C52,"")</f>
        <v/>
      </c>
      <c r="D56" s="93" t="str">
        <f t="shared" si="60"/>
        <v/>
      </c>
      <c r="E56" s="27"/>
      <c r="F56" s="27"/>
      <c r="G56" s="27"/>
      <c r="H56" s="27"/>
      <c r="I56" s="27"/>
      <c r="J56" s="27"/>
      <c r="K56" s="27"/>
      <c r="L56" s="27"/>
      <c r="M56" s="27"/>
      <c r="N56" s="27"/>
      <c r="O56" s="27"/>
      <c r="P56" s="27"/>
      <c r="Q56" s="27"/>
      <c r="R56" s="27"/>
      <c r="S56" s="27"/>
      <c r="T56" s="27"/>
      <c r="U56" s="27"/>
      <c r="V56" s="25"/>
      <c r="W56" s="31" t="e">
        <f>INDEX(TBL_LNG_IMPORTERS_CONNECTIONS[LNGImporterConnectionID],$A56)</f>
        <v>#REF!</v>
      </c>
      <c r="X56" s="31" t="e">
        <f>"LNGImporterTariffFixed_"&amp;RIGHT($W56,11)</f>
        <v>#REF!</v>
      </c>
    </row>
    <row r="57" spans="1:24" x14ac:dyDescent="0.25">
      <c r="A57" s="94">
        <f t="shared" si="38"/>
        <v>13</v>
      </c>
      <c r="B57" s="117"/>
      <c r="C57" s="93" t="str">
        <f t="shared" ref="C57:D57" si="61">IF($B54&lt;&gt;"",C53,"")</f>
        <v/>
      </c>
      <c r="D57" s="93" t="str">
        <f t="shared" si="61"/>
        <v/>
      </c>
      <c r="E57" s="28"/>
      <c r="F57" s="28"/>
      <c r="G57" s="28"/>
      <c r="H57" s="28"/>
      <c r="I57" s="28"/>
      <c r="J57" s="28"/>
      <c r="K57" s="28"/>
      <c r="L57" s="28"/>
      <c r="M57" s="28"/>
      <c r="N57" s="28"/>
      <c r="O57" s="28"/>
      <c r="P57" s="28"/>
      <c r="Q57" s="28"/>
      <c r="R57" s="28"/>
      <c r="S57" s="28"/>
      <c r="T57" s="28"/>
      <c r="U57" s="28"/>
      <c r="V57" s="26"/>
      <c r="W57" s="31" t="e">
        <f>INDEX(TBL_LNG_IMPORTERS_CONNECTIONS[LNGImporterConnectionID],$A57)</f>
        <v>#REF!</v>
      </c>
      <c r="X57" s="31" t="e">
        <f>"LNGImporterTariffVar_"&amp;RIGHT($W57,11)</f>
        <v>#REF!</v>
      </c>
    </row>
    <row r="58" spans="1:24" x14ac:dyDescent="0.25">
      <c r="A58" s="94">
        <f t="shared" ref="A58" si="62">$A54+1</f>
        <v>14</v>
      </c>
      <c r="B58" s="115" t="str">
        <f>IFERROR(INDEX(TBL_LNG_IMPORTERS_CONNECTIONS[Name],$A58),"")</f>
        <v/>
      </c>
      <c r="C58" s="93" t="str">
        <f t="shared" ref="C58:D58" si="63">IF($B58&lt;&gt;"",C54,"")</f>
        <v/>
      </c>
      <c r="D58" s="93" t="str">
        <f t="shared" si="63"/>
        <v/>
      </c>
      <c r="E58" s="27"/>
      <c r="F58" s="27"/>
      <c r="G58" s="27"/>
      <c r="H58" s="27"/>
      <c r="I58" s="27"/>
      <c r="J58" s="27"/>
      <c r="K58" s="27"/>
      <c r="L58" s="27"/>
      <c r="M58" s="27"/>
      <c r="N58" s="27"/>
      <c r="O58" s="27"/>
      <c r="P58" s="27"/>
      <c r="Q58" s="27"/>
      <c r="R58" s="27"/>
      <c r="S58" s="27"/>
      <c r="T58" s="27"/>
      <c r="U58" s="27"/>
      <c r="V58" s="25"/>
      <c r="W58" s="31" t="e">
        <f>INDEX(TBL_LNG_IMPORTERS_CONNECTIONS[LNGImporterConnectionID],$A58)</f>
        <v>#REF!</v>
      </c>
      <c r="X58" s="31" t="e">
        <f>"LNGImporterCapMin_"&amp;RIGHT($W58,11)</f>
        <v>#REF!</v>
      </c>
    </row>
    <row r="59" spans="1:24" x14ac:dyDescent="0.25">
      <c r="A59" s="94">
        <f t="shared" ref="A59:A61" si="64">$A58</f>
        <v>14</v>
      </c>
      <c r="B59" s="116"/>
      <c r="C59" s="93" t="str">
        <f t="shared" ref="C59:D59" si="65">IF($B58&lt;&gt;"",C55,"")</f>
        <v/>
      </c>
      <c r="D59" s="93" t="str">
        <f t="shared" si="65"/>
        <v/>
      </c>
      <c r="E59" s="28"/>
      <c r="F59" s="28"/>
      <c r="G59" s="28"/>
      <c r="H59" s="28"/>
      <c r="I59" s="28"/>
      <c r="J59" s="28"/>
      <c r="K59" s="28"/>
      <c r="L59" s="28"/>
      <c r="M59" s="28"/>
      <c r="N59" s="28"/>
      <c r="O59" s="28"/>
      <c r="P59" s="28"/>
      <c r="Q59" s="28"/>
      <c r="R59" s="28"/>
      <c r="S59" s="28"/>
      <c r="T59" s="28"/>
      <c r="U59" s="28"/>
      <c r="V59" s="26"/>
      <c r="W59" s="31" t="e">
        <f>INDEX(TBL_LNG_IMPORTERS_CONNECTIONS[LNGImporterConnectionID],$A59)</f>
        <v>#REF!</v>
      </c>
      <c r="X59" s="31" t="e">
        <f>"LNGImporterCapMax_"&amp;RIGHT($W59,11)</f>
        <v>#REF!</v>
      </c>
    </row>
    <row r="60" spans="1:24" x14ac:dyDescent="0.25">
      <c r="A60" s="94">
        <f t="shared" si="64"/>
        <v>14</v>
      </c>
      <c r="B60" s="116"/>
      <c r="C60" s="93" t="str">
        <f t="shared" ref="C60:D60" si="66">IF($B58&lt;&gt;"",C56,"")</f>
        <v/>
      </c>
      <c r="D60" s="93" t="str">
        <f t="shared" si="66"/>
        <v/>
      </c>
      <c r="E60" s="27"/>
      <c r="F60" s="27"/>
      <c r="G60" s="27"/>
      <c r="H60" s="27"/>
      <c r="I60" s="27"/>
      <c r="J60" s="27"/>
      <c r="K60" s="27"/>
      <c r="L60" s="27"/>
      <c r="M60" s="27"/>
      <c r="N60" s="27"/>
      <c r="O60" s="27"/>
      <c r="P60" s="27"/>
      <c r="Q60" s="27"/>
      <c r="R60" s="27"/>
      <c r="S60" s="27"/>
      <c r="T60" s="27"/>
      <c r="U60" s="27"/>
      <c r="V60" s="25"/>
      <c r="W60" s="31" t="e">
        <f>INDEX(TBL_LNG_IMPORTERS_CONNECTIONS[LNGImporterConnectionID],$A60)</f>
        <v>#REF!</v>
      </c>
      <c r="X60" s="31" t="e">
        <f>"LNGImporterTariffFixed_"&amp;RIGHT($W60,11)</f>
        <v>#REF!</v>
      </c>
    </row>
    <row r="61" spans="1:24" x14ac:dyDescent="0.25">
      <c r="A61" s="94">
        <f t="shared" si="64"/>
        <v>14</v>
      </c>
      <c r="B61" s="117"/>
      <c r="C61" s="93" t="str">
        <f t="shared" ref="C61:D61" si="67">IF($B58&lt;&gt;"",C57,"")</f>
        <v/>
      </c>
      <c r="D61" s="93" t="str">
        <f t="shared" si="67"/>
        <v/>
      </c>
      <c r="E61" s="28"/>
      <c r="F61" s="28"/>
      <c r="G61" s="28"/>
      <c r="H61" s="28"/>
      <c r="I61" s="28"/>
      <c r="J61" s="28"/>
      <c r="K61" s="28"/>
      <c r="L61" s="28"/>
      <c r="M61" s="28"/>
      <c r="N61" s="28"/>
      <c r="O61" s="28"/>
      <c r="P61" s="28"/>
      <c r="Q61" s="28"/>
      <c r="R61" s="28"/>
      <c r="S61" s="28"/>
      <c r="T61" s="28"/>
      <c r="U61" s="28"/>
      <c r="V61" s="26"/>
      <c r="W61" s="31" t="e">
        <f>INDEX(TBL_LNG_IMPORTERS_CONNECTIONS[LNGImporterConnectionID],$A61)</f>
        <v>#REF!</v>
      </c>
      <c r="X61" s="31" t="e">
        <f>"LNGImporterTariffVar_"&amp;RIGHT($W61,11)</f>
        <v>#REF!</v>
      </c>
    </row>
    <row r="62" spans="1:24" x14ac:dyDescent="0.25">
      <c r="A62" s="94">
        <f t="shared" ref="A62" si="68">$A58+1</f>
        <v>15</v>
      </c>
      <c r="B62" s="115" t="str">
        <f>IFERROR(INDEX(TBL_LNG_IMPORTERS_CONNECTIONS[Name],$A62),"")</f>
        <v/>
      </c>
      <c r="C62" s="93" t="str">
        <f t="shared" ref="C62:D62" si="69">IF($B62&lt;&gt;"",C58,"")</f>
        <v/>
      </c>
      <c r="D62" s="93" t="str">
        <f t="shared" si="69"/>
        <v/>
      </c>
      <c r="E62" s="27"/>
      <c r="F62" s="27"/>
      <c r="G62" s="27"/>
      <c r="H62" s="27"/>
      <c r="I62" s="27"/>
      <c r="J62" s="27"/>
      <c r="K62" s="27"/>
      <c r="L62" s="27"/>
      <c r="M62" s="27"/>
      <c r="N62" s="27"/>
      <c r="O62" s="27"/>
      <c r="P62" s="27"/>
      <c r="Q62" s="27"/>
      <c r="R62" s="27"/>
      <c r="S62" s="27"/>
      <c r="T62" s="27"/>
      <c r="U62" s="27"/>
      <c r="V62" s="25"/>
      <c r="W62" s="31" t="e">
        <f>INDEX(TBL_LNG_IMPORTERS_CONNECTIONS[LNGImporterConnectionID],$A62)</f>
        <v>#REF!</v>
      </c>
      <c r="X62" s="31" t="e">
        <f>"LNGImporterCapMin_"&amp;RIGHT($W62,11)</f>
        <v>#REF!</v>
      </c>
    </row>
    <row r="63" spans="1:24" x14ac:dyDescent="0.25">
      <c r="A63" s="94">
        <f t="shared" ref="A63:A65" si="70">$A62</f>
        <v>15</v>
      </c>
      <c r="B63" s="116"/>
      <c r="C63" s="93" t="str">
        <f t="shared" ref="C63:D63" si="71">IF($B62&lt;&gt;"",C59,"")</f>
        <v/>
      </c>
      <c r="D63" s="93" t="str">
        <f t="shared" si="71"/>
        <v/>
      </c>
      <c r="E63" s="28"/>
      <c r="F63" s="28"/>
      <c r="G63" s="28"/>
      <c r="H63" s="28"/>
      <c r="I63" s="28"/>
      <c r="J63" s="28"/>
      <c r="K63" s="28"/>
      <c r="L63" s="28"/>
      <c r="M63" s="28"/>
      <c r="N63" s="28"/>
      <c r="O63" s="28"/>
      <c r="P63" s="28"/>
      <c r="Q63" s="28"/>
      <c r="R63" s="28"/>
      <c r="S63" s="28"/>
      <c r="T63" s="28"/>
      <c r="U63" s="28"/>
      <c r="V63" s="26"/>
      <c r="W63" s="31" t="e">
        <f>INDEX(TBL_LNG_IMPORTERS_CONNECTIONS[LNGImporterConnectionID],$A63)</f>
        <v>#REF!</v>
      </c>
      <c r="X63" s="31" t="e">
        <f>"LNGImporterCapMax_"&amp;RIGHT($W63,11)</f>
        <v>#REF!</v>
      </c>
    </row>
    <row r="64" spans="1:24" x14ac:dyDescent="0.25">
      <c r="A64" s="94">
        <f t="shared" si="70"/>
        <v>15</v>
      </c>
      <c r="B64" s="116"/>
      <c r="C64" s="93" t="str">
        <f t="shared" ref="C64:D64" si="72">IF($B62&lt;&gt;"",C60,"")</f>
        <v/>
      </c>
      <c r="D64" s="93" t="str">
        <f t="shared" si="72"/>
        <v/>
      </c>
      <c r="E64" s="27"/>
      <c r="F64" s="27"/>
      <c r="G64" s="27"/>
      <c r="H64" s="27"/>
      <c r="I64" s="27"/>
      <c r="J64" s="27"/>
      <c r="K64" s="27"/>
      <c r="L64" s="27"/>
      <c r="M64" s="27"/>
      <c r="N64" s="27"/>
      <c r="O64" s="27"/>
      <c r="P64" s="27"/>
      <c r="Q64" s="27"/>
      <c r="R64" s="27"/>
      <c r="S64" s="27"/>
      <c r="T64" s="27"/>
      <c r="U64" s="27"/>
      <c r="V64" s="25"/>
      <c r="W64" s="31" t="e">
        <f>INDEX(TBL_LNG_IMPORTERS_CONNECTIONS[LNGImporterConnectionID],$A64)</f>
        <v>#REF!</v>
      </c>
      <c r="X64" s="31" t="e">
        <f>"LNGImporterTariffFixed_"&amp;RIGHT($W64,11)</f>
        <v>#REF!</v>
      </c>
    </row>
    <row r="65" spans="1:24" x14ac:dyDescent="0.25">
      <c r="A65" s="94">
        <f t="shared" si="70"/>
        <v>15</v>
      </c>
      <c r="B65" s="117"/>
      <c r="C65" s="93" t="str">
        <f t="shared" ref="C65:D65" si="73">IF($B62&lt;&gt;"",C61,"")</f>
        <v/>
      </c>
      <c r="D65" s="93" t="str">
        <f t="shared" si="73"/>
        <v/>
      </c>
      <c r="E65" s="28"/>
      <c r="F65" s="28"/>
      <c r="G65" s="28"/>
      <c r="H65" s="28"/>
      <c r="I65" s="28"/>
      <c r="J65" s="28"/>
      <c r="K65" s="28"/>
      <c r="L65" s="28"/>
      <c r="M65" s="28"/>
      <c r="N65" s="28"/>
      <c r="O65" s="28"/>
      <c r="P65" s="28"/>
      <c r="Q65" s="28"/>
      <c r="R65" s="28"/>
      <c r="S65" s="28"/>
      <c r="T65" s="28"/>
      <c r="U65" s="28"/>
      <c r="V65" s="26"/>
      <c r="W65" s="31" t="e">
        <f>INDEX(TBL_LNG_IMPORTERS_CONNECTIONS[LNGImporterConnectionID],$A65)</f>
        <v>#REF!</v>
      </c>
      <c r="X65" s="31" t="e">
        <f>"LNGImporterTariffVar_"&amp;RIGHT($W65,11)</f>
        <v>#REF!</v>
      </c>
    </row>
    <row r="66" spans="1:24" x14ac:dyDescent="0.25">
      <c r="A66" s="94">
        <f t="shared" ref="A66" si="74">$A62+1</f>
        <v>16</v>
      </c>
      <c r="B66" s="115" t="str">
        <f>IFERROR(INDEX(TBL_LNG_IMPORTERS_CONNECTIONS[Name],$A66),"")</f>
        <v/>
      </c>
      <c r="C66" s="93" t="str">
        <f t="shared" ref="C66:D66" si="75">IF($B66&lt;&gt;"",C62,"")</f>
        <v/>
      </c>
      <c r="D66" s="93" t="str">
        <f t="shared" si="75"/>
        <v/>
      </c>
      <c r="E66" s="27"/>
      <c r="F66" s="27"/>
      <c r="G66" s="27"/>
      <c r="H66" s="27"/>
      <c r="I66" s="27"/>
      <c r="J66" s="27"/>
      <c r="K66" s="27"/>
      <c r="L66" s="27"/>
      <c r="M66" s="27"/>
      <c r="N66" s="27"/>
      <c r="O66" s="27"/>
      <c r="P66" s="27"/>
      <c r="Q66" s="27"/>
      <c r="R66" s="27"/>
      <c r="S66" s="27"/>
      <c r="T66" s="27"/>
      <c r="U66" s="27"/>
      <c r="V66" s="25"/>
      <c r="W66" s="31" t="e">
        <f>INDEX(TBL_LNG_IMPORTERS_CONNECTIONS[LNGImporterConnectionID],$A66)</f>
        <v>#REF!</v>
      </c>
      <c r="X66" s="31" t="e">
        <f>"LNGImporterCapMin_"&amp;RIGHT($W66,11)</f>
        <v>#REF!</v>
      </c>
    </row>
    <row r="67" spans="1:24" x14ac:dyDescent="0.25">
      <c r="A67" s="94">
        <f t="shared" ref="A67:A69" si="76">$A66</f>
        <v>16</v>
      </c>
      <c r="B67" s="116"/>
      <c r="C67" s="93" t="str">
        <f t="shared" ref="C67:D67" si="77">IF($B66&lt;&gt;"",C63,"")</f>
        <v/>
      </c>
      <c r="D67" s="93" t="str">
        <f t="shared" si="77"/>
        <v/>
      </c>
      <c r="E67" s="28"/>
      <c r="F67" s="28"/>
      <c r="G67" s="28"/>
      <c r="H67" s="28"/>
      <c r="I67" s="28"/>
      <c r="J67" s="28"/>
      <c r="K67" s="28"/>
      <c r="L67" s="28"/>
      <c r="M67" s="28"/>
      <c r="N67" s="28"/>
      <c r="O67" s="28"/>
      <c r="P67" s="28"/>
      <c r="Q67" s="28"/>
      <c r="R67" s="28"/>
      <c r="S67" s="28"/>
      <c r="T67" s="28"/>
      <c r="U67" s="28"/>
      <c r="V67" s="26"/>
      <c r="W67" s="31" t="e">
        <f>INDEX(TBL_LNG_IMPORTERS_CONNECTIONS[LNGImporterConnectionID],$A67)</f>
        <v>#REF!</v>
      </c>
      <c r="X67" s="31" t="e">
        <f>"LNGImporterCapMax_"&amp;RIGHT($W67,11)</f>
        <v>#REF!</v>
      </c>
    </row>
    <row r="68" spans="1:24" x14ac:dyDescent="0.25">
      <c r="A68" s="94">
        <f t="shared" si="76"/>
        <v>16</v>
      </c>
      <c r="B68" s="116"/>
      <c r="C68" s="93" t="str">
        <f t="shared" ref="C68:D68" si="78">IF($B66&lt;&gt;"",C64,"")</f>
        <v/>
      </c>
      <c r="D68" s="93" t="str">
        <f t="shared" si="78"/>
        <v/>
      </c>
      <c r="E68" s="27"/>
      <c r="F68" s="27"/>
      <c r="G68" s="27"/>
      <c r="H68" s="27"/>
      <c r="I68" s="27"/>
      <c r="J68" s="27"/>
      <c r="K68" s="27"/>
      <c r="L68" s="27"/>
      <c r="M68" s="27"/>
      <c r="N68" s="27"/>
      <c r="O68" s="27"/>
      <c r="P68" s="27"/>
      <c r="Q68" s="27"/>
      <c r="R68" s="27"/>
      <c r="S68" s="27"/>
      <c r="T68" s="27"/>
      <c r="U68" s="27"/>
      <c r="V68" s="25"/>
      <c r="W68" s="31" t="e">
        <f>INDEX(TBL_LNG_IMPORTERS_CONNECTIONS[LNGImporterConnectionID],$A68)</f>
        <v>#REF!</v>
      </c>
      <c r="X68" s="31" t="e">
        <f>"LNGImporterTariffFixed_"&amp;RIGHT($W68,11)</f>
        <v>#REF!</v>
      </c>
    </row>
    <row r="69" spans="1:24" x14ac:dyDescent="0.25">
      <c r="A69" s="94">
        <f t="shared" si="76"/>
        <v>16</v>
      </c>
      <c r="B69" s="117"/>
      <c r="C69" s="93" t="str">
        <f t="shared" ref="C69:D69" si="79">IF($B66&lt;&gt;"",C65,"")</f>
        <v/>
      </c>
      <c r="D69" s="93" t="str">
        <f t="shared" si="79"/>
        <v/>
      </c>
      <c r="E69" s="28"/>
      <c r="F69" s="28"/>
      <c r="G69" s="28"/>
      <c r="H69" s="28"/>
      <c r="I69" s="28"/>
      <c r="J69" s="28"/>
      <c r="K69" s="28"/>
      <c r="L69" s="28"/>
      <c r="M69" s="28"/>
      <c r="N69" s="28"/>
      <c r="O69" s="28"/>
      <c r="P69" s="28"/>
      <c r="Q69" s="28"/>
      <c r="R69" s="28"/>
      <c r="S69" s="28"/>
      <c r="T69" s="28"/>
      <c r="U69" s="28"/>
      <c r="V69" s="26"/>
      <c r="W69" s="31" t="e">
        <f>INDEX(TBL_LNG_IMPORTERS_CONNECTIONS[LNGImporterConnectionID],$A69)</f>
        <v>#REF!</v>
      </c>
      <c r="X69" s="31" t="e">
        <f>"LNGImporterTariffVar_"&amp;RIGHT($W69,11)</f>
        <v>#REF!</v>
      </c>
    </row>
    <row r="70" spans="1:24" x14ac:dyDescent="0.25">
      <c r="A70" s="94">
        <f t="shared" ref="A70" si="80">$A66+1</f>
        <v>17</v>
      </c>
      <c r="B70" s="115" t="str">
        <f>IFERROR(INDEX(TBL_LNG_IMPORTERS_CONNECTIONS[Name],$A70),"")</f>
        <v/>
      </c>
      <c r="C70" s="93" t="str">
        <f t="shared" ref="C70:D70" si="81">IF($B70&lt;&gt;"",C66,"")</f>
        <v/>
      </c>
      <c r="D70" s="93" t="str">
        <f t="shared" si="81"/>
        <v/>
      </c>
      <c r="E70" s="27"/>
      <c r="F70" s="27"/>
      <c r="G70" s="27"/>
      <c r="H70" s="27"/>
      <c r="I70" s="27"/>
      <c r="J70" s="27"/>
      <c r="K70" s="27"/>
      <c r="L70" s="27"/>
      <c r="M70" s="27"/>
      <c r="N70" s="27"/>
      <c r="O70" s="27"/>
      <c r="P70" s="27"/>
      <c r="Q70" s="27"/>
      <c r="R70" s="27"/>
      <c r="S70" s="27"/>
      <c r="T70" s="27"/>
      <c r="U70" s="27"/>
      <c r="V70" s="25"/>
      <c r="W70" s="31" t="e">
        <f>INDEX(TBL_LNG_IMPORTERS_CONNECTIONS[LNGImporterConnectionID],$A70)</f>
        <v>#REF!</v>
      </c>
      <c r="X70" s="31" t="e">
        <f>"LNGImporterCapMin_"&amp;RIGHT($W70,11)</f>
        <v>#REF!</v>
      </c>
    </row>
    <row r="71" spans="1:24" x14ac:dyDescent="0.25">
      <c r="A71" s="94">
        <f t="shared" ref="A71:A73" si="82">$A70</f>
        <v>17</v>
      </c>
      <c r="B71" s="116"/>
      <c r="C71" s="93" t="str">
        <f t="shared" ref="C71:D71" si="83">IF($B70&lt;&gt;"",C67,"")</f>
        <v/>
      </c>
      <c r="D71" s="93" t="str">
        <f t="shared" si="83"/>
        <v/>
      </c>
      <c r="E71" s="28"/>
      <c r="F71" s="28"/>
      <c r="G71" s="28"/>
      <c r="H71" s="28"/>
      <c r="I71" s="28"/>
      <c r="J71" s="28"/>
      <c r="K71" s="28"/>
      <c r="L71" s="28"/>
      <c r="M71" s="28"/>
      <c r="N71" s="28"/>
      <c r="O71" s="28"/>
      <c r="P71" s="28"/>
      <c r="Q71" s="28"/>
      <c r="R71" s="28"/>
      <c r="S71" s="28"/>
      <c r="T71" s="28"/>
      <c r="U71" s="28"/>
      <c r="V71" s="26"/>
      <c r="W71" s="31" t="e">
        <f>INDEX(TBL_LNG_IMPORTERS_CONNECTIONS[LNGImporterConnectionID],$A71)</f>
        <v>#REF!</v>
      </c>
      <c r="X71" s="31" t="e">
        <f>"LNGImporterCapMax_"&amp;RIGHT($W71,11)</f>
        <v>#REF!</v>
      </c>
    </row>
    <row r="72" spans="1:24" x14ac:dyDescent="0.25">
      <c r="A72" s="94">
        <f t="shared" si="82"/>
        <v>17</v>
      </c>
      <c r="B72" s="116"/>
      <c r="C72" s="93" t="str">
        <f t="shared" ref="C72:D72" si="84">IF($B70&lt;&gt;"",C68,"")</f>
        <v/>
      </c>
      <c r="D72" s="93" t="str">
        <f t="shared" si="84"/>
        <v/>
      </c>
      <c r="E72" s="27"/>
      <c r="F72" s="27"/>
      <c r="G72" s="27"/>
      <c r="H72" s="27"/>
      <c r="I72" s="27"/>
      <c r="J72" s="27"/>
      <c r="K72" s="27"/>
      <c r="L72" s="27"/>
      <c r="M72" s="27"/>
      <c r="N72" s="27"/>
      <c r="O72" s="27"/>
      <c r="P72" s="27"/>
      <c r="Q72" s="27"/>
      <c r="R72" s="27"/>
      <c r="S72" s="27"/>
      <c r="T72" s="27"/>
      <c r="U72" s="27"/>
      <c r="V72" s="25"/>
      <c r="W72" s="31" t="e">
        <f>INDEX(TBL_LNG_IMPORTERS_CONNECTIONS[LNGImporterConnectionID],$A72)</f>
        <v>#REF!</v>
      </c>
      <c r="X72" s="31" t="e">
        <f>"LNGImporterTariffFixed_"&amp;RIGHT($W72,11)</f>
        <v>#REF!</v>
      </c>
    </row>
    <row r="73" spans="1:24" x14ac:dyDescent="0.25">
      <c r="A73" s="94">
        <f t="shared" si="82"/>
        <v>17</v>
      </c>
      <c r="B73" s="117"/>
      <c r="C73" s="93" t="str">
        <f t="shared" ref="C73:D73" si="85">IF($B70&lt;&gt;"",C69,"")</f>
        <v/>
      </c>
      <c r="D73" s="93" t="str">
        <f t="shared" si="85"/>
        <v/>
      </c>
      <c r="E73" s="28"/>
      <c r="F73" s="28"/>
      <c r="G73" s="28"/>
      <c r="H73" s="28"/>
      <c r="I73" s="28"/>
      <c r="J73" s="28"/>
      <c r="K73" s="28"/>
      <c r="L73" s="28"/>
      <c r="M73" s="28"/>
      <c r="N73" s="28"/>
      <c r="O73" s="28"/>
      <c r="P73" s="28"/>
      <c r="Q73" s="28"/>
      <c r="R73" s="28"/>
      <c r="S73" s="28"/>
      <c r="T73" s="28"/>
      <c r="U73" s="28"/>
      <c r="V73" s="26"/>
      <c r="W73" s="31" t="e">
        <f>INDEX(TBL_LNG_IMPORTERS_CONNECTIONS[LNGImporterConnectionID],$A73)</f>
        <v>#REF!</v>
      </c>
      <c r="X73" s="31" t="e">
        <f>"LNGImporterTariffVar_"&amp;RIGHT($W73,11)</f>
        <v>#REF!</v>
      </c>
    </row>
    <row r="74" spans="1:24" x14ac:dyDescent="0.25">
      <c r="A74" s="94">
        <f t="shared" ref="A74" si="86">$A70+1</f>
        <v>18</v>
      </c>
      <c r="B74" s="115" t="str">
        <f>IFERROR(INDEX(TBL_LNG_IMPORTERS_CONNECTIONS[Name],$A74),"")</f>
        <v/>
      </c>
      <c r="C74" s="93" t="str">
        <f t="shared" ref="C74:D74" si="87">IF($B74&lt;&gt;"",C70,"")</f>
        <v/>
      </c>
      <c r="D74" s="93" t="str">
        <f t="shared" si="87"/>
        <v/>
      </c>
      <c r="E74" s="27"/>
      <c r="F74" s="27"/>
      <c r="G74" s="27"/>
      <c r="H74" s="27"/>
      <c r="I74" s="27"/>
      <c r="J74" s="27"/>
      <c r="K74" s="27"/>
      <c r="L74" s="27"/>
      <c r="M74" s="27"/>
      <c r="N74" s="27"/>
      <c r="O74" s="27"/>
      <c r="P74" s="27"/>
      <c r="Q74" s="27"/>
      <c r="R74" s="27"/>
      <c r="S74" s="27"/>
      <c r="T74" s="27"/>
      <c r="U74" s="27"/>
      <c r="V74" s="25"/>
      <c r="W74" s="31" t="e">
        <f>INDEX(TBL_LNG_IMPORTERS_CONNECTIONS[LNGImporterConnectionID],$A74)</f>
        <v>#REF!</v>
      </c>
      <c r="X74" s="31" t="e">
        <f>"LNGImporterCapMin_"&amp;RIGHT($W74,11)</f>
        <v>#REF!</v>
      </c>
    </row>
    <row r="75" spans="1:24" x14ac:dyDescent="0.25">
      <c r="A75" s="94">
        <f t="shared" ref="A75:A77" si="88">$A74</f>
        <v>18</v>
      </c>
      <c r="B75" s="116"/>
      <c r="C75" s="93" t="str">
        <f t="shared" ref="C75:D75" si="89">IF($B74&lt;&gt;"",C71,"")</f>
        <v/>
      </c>
      <c r="D75" s="93" t="str">
        <f t="shared" si="89"/>
        <v/>
      </c>
      <c r="E75" s="28"/>
      <c r="F75" s="28"/>
      <c r="G75" s="28"/>
      <c r="H75" s="28"/>
      <c r="I75" s="28"/>
      <c r="J75" s="28"/>
      <c r="K75" s="28"/>
      <c r="L75" s="28"/>
      <c r="M75" s="28"/>
      <c r="N75" s="28"/>
      <c r="O75" s="28"/>
      <c r="P75" s="28"/>
      <c r="Q75" s="28"/>
      <c r="R75" s="28"/>
      <c r="S75" s="28"/>
      <c r="T75" s="28"/>
      <c r="U75" s="28"/>
      <c r="V75" s="26"/>
      <c r="W75" s="31" t="e">
        <f>INDEX(TBL_LNG_IMPORTERS_CONNECTIONS[LNGImporterConnectionID],$A75)</f>
        <v>#REF!</v>
      </c>
      <c r="X75" s="31" t="e">
        <f>"LNGImporterCapMax_"&amp;RIGHT($W75,11)</f>
        <v>#REF!</v>
      </c>
    </row>
    <row r="76" spans="1:24" x14ac:dyDescent="0.25">
      <c r="A76" s="94">
        <f t="shared" si="88"/>
        <v>18</v>
      </c>
      <c r="B76" s="116"/>
      <c r="C76" s="93" t="str">
        <f t="shared" ref="C76:D76" si="90">IF($B74&lt;&gt;"",C72,"")</f>
        <v/>
      </c>
      <c r="D76" s="93" t="str">
        <f t="shared" si="90"/>
        <v/>
      </c>
      <c r="E76" s="27"/>
      <c r="F76" s="27"/>
      <c r="G76" s="27"/>
      <c r="H76" s="27"/>
      <c r="I76" s="27"/>
      <c r="J76" s="27"/>
      <c r="K76" s="27"/>
      <c r="L76" s="27"/>
      <c r="M76" s="27"/>
      <c r="N76" s="27"/>
      <c r="O76" s="27"/>
      <c r="P76" s="27"/>
      <c r="Q76" s="27"/>
      <c r="R76" s="27"/>
      <c r="S76" s="27"/>
      <c r="T76" s="27"/>
      <c r="U76" s="27"/>
      <c r="V76" s="25"/>
      <c r="W76" s="31" t="e">
        <f>INDEX(TBL_LNG_IMPORTERS_CONNECTIONS[LNGImporterConnectionID],$A76)</f>
        <v>#REF!</v>
      </c>
      <c r="X76" s="31" t="e">
        <f>"LNGImporterTariffFixed_"&amp;RIGHT($W76,11)</f>
        <v>#REF!</v>
      </c>
    </row>
    <row r="77" spans="1:24" x14ac:dyDescent="0.25">
      <c r="A77" s="94">
        <f t="shared" si="88"/>
        <v>18</v>
      </c>
      <c r="B77" s="117"/>
      <c r="C77" s="93" t="str">
        <f t="shared" ref="C77:D77" si="91">IF($B74&lt;&gt;"",C73,"")</f>
        <v/>
      </c>
      <c r="D77" s="93" t="str">
        <f t="shared" si="91"/>
        <v/>
      </c>
      <c r="E77" s="28"/>
      <c r="F77" s="28"/>
      <c r="G77" s="28"/>
      <c r="H77" s="28"/>
      <c r="I77" s="28"/>
      <c r="J77" s="28"/>
      <c r="K77" s="28"/>
      <c r="L77" s="28"/>
      <c r="M77" s="28"/>
      <c r="N77" s="28"/>
      <c r="O77" s="28"/>
      <c r="P77" s="28"/>
      <c r="Q77" s="28"/>
      <c r="R77" s="28"/>
      <c r="S77" s="28"/>
      <c r="T77" s="28"/>
      <c r="U77" s="28"/>
      <c r="V77" s="26"/>
      <c r="W77" s="31" t="e">
        <f>INDEX(TBL_LNG_IMPORTERS_CONNECTIONS[LNGImporterConnectionID],$A77)</f>
        <v>#REF!</v>
      </c>
      <c r="X77" s="31" t="e">
        <f>"LNGImporterTariffVar_"&amp;RIGHT($W77,11)</f>
        <v>#REF!</v>
      </c>
    </row>
    <row r="78" spans="1:24" x14ac:dyDescent="0.25">
      <c r="A78" s="94">
        <f t="shared" ref="A78" si="92">$A74+1</f>
        <v>19</v>
      </c>
      <c r="B78" s="115" t="str">
        <f>IFERROR(INDEX(TBL_LNG_IMPORTERS_CONNECTIONS[Name],$A78),"")</f>
        <v/>
      </c>
      <c r="C78" s="93" t="str">
        <f t="shared" ref="C78:D78" si="93">IF($B78&lt;&gt;"",C74,"")</f>
        <v/>
      </c>
      <c r="D78" s="93" t="str">
        <f t="shared" si="93"/>
        <v/>
      </c>
      <c r="E78" s="27"/>
      <c r="F78" s="27"/>
      <c r="G78" s="27"/>
      <c r="H78" s="27"/>
      <c r="I78" s="27"/>
      <c r="J78" s="27"/>
      <c r="K78" s="27"/>
      <c r="L78" s="27"/>
      <c r="M78" s="27"/>
      <c r="N78" s="27"/>
      <c r="O78" s="27"/>
      <c r="P78" s="27"/>
      <c r="Q78" s="27"/>
      <c r="R78" s="27"/>
      <c r="S78" s="27"/>
      <c r="T78" s="27"/>
      <c r="U78" s="27"/>
      <c r="V78" s="25"/>
      <c r="W78" s="31" t="e">
        <f>INDEX(TBL_LNG_IMPORTERS_CONNECTIONS[LNGImporterConnectionID],$A78)</f>
        <v>#REF!</v>
      </c>
      <c r="X78" s="31" t="e">
        <f>"LNGImporterCapMin_"&amp;RIGHT($W78,11)</f>
        <v>#REF!</v>
      </c>
    </row>
    <row r="79" spans="1:24" x14ac:dyDescent="0.25">
      <c r="A79" s="94">
        <f t="shared" ref="A79:A97" si="94">$A78</f>
        <v>19</v>
      </c>
      <c r="B79" s="116"/>
      <c r="C79" s="93" t="str">
        <f t="shared" ref="C79:D79" si="95">IF($B78&lt;&gt;"",C75,"")</f>
        <v/>
      </c>
      <c r="D79" s="93" t="str">
        <f t="shared" si="95"/>
        <v/>
      </c>
      <c r="E79" s="28"/>
      <c r="F79" s="28"/>
      <c r="G79" s="28"/>
      <c r="H79" s="28"/>
      <c r="I79" s="28"/>
      <c r="J79" s="28"/>
      <c r="K79" s="28"/>
      <c r="L79" s="28"/>
      <c r="M79" s="28"/>
      <c r="N79" s="28"/>
      <c r="O79" s="28"/>
      <c r="P79" s="28"/>
      <c r="Q79" s="28"/>
      <c r="R79" s="28"/>
      <c r="S79" s="28"/>
      <c r="T79" s="28"/>
      <c r="U79" s="28"/>
      <c r="V79" s="26"/>
      <c r="W79" s="31" t="e">
        <f>INDEX(TBL_LNG_IMPORTERS_CONNECTIONS[LNGImporterConnectionID],$A79)</f>
        <v>#REF!</v>
      </c>
      <c r="X79" s="31" t="e">
        <f>"LNGImporterCapMax_"&amp;RIGHT($W79,11)</f>
        <v>#REF!</v>
      </c>
    </row>
    <row r="80" spans="1:24" x14ac:dyDescent="0.25">
      <c r="A80" s="94">
        <f t="shared" si="94"/>
        <v>19</v>
      </c>
      <c r="B80" s="116"/>
      <c r="C80" s="93" t="str">
        <f t="shared" ref="C80:D80" si="96">IF($B78&lt;&gt;"",C76,"")</f>
        <v/>
      </c>
      <c r="D80" s="93" t="str">
        <f t="shared" si="96"/>
        <v/>
      </c>
      <c r="E80" s="27"/>
      <c r="F80" s="27"/>
      <c r="G80" s="27"/>
      <c r="H80" s="27"/>
      <c r="I80" s="27"/>
      <c r="J80" s="27"/>
      <c r="K80" s="27"/>
      <c r="L80" s="27"/>
      <c r="M80" s="27"/>
      <c r="N80" s="27"/>
      <c r="O80" s="27"/>
      <c r="P80" s="27"/>
      <c r="Q80" s="27"/>
      <c r="R80" s="27"/>
      <c r="S80" s="27"/>
      <c r="T80" s="27"/>
      <c r="U80" s="27"/>
      <c r="V80" s="25"/>
      <c r="W80" s="31" t="e">
        <f>INDEX(TBL_LNG_IMPORTERS_CONNECTIONS[LNGImporterConnectionID],$A80)</f>
        <v>#REF!</v>
      </c>
      <c r="X80" s="31" t="e">
        <f>"LNGImporterTariffFixed_"&amp;RIGHT($W80,11)</f>
        <v>#REF!</v>
      </c>
    </row>
    <row r="81" spans="1:24" x14ac:dyDescent="0.25">
      <c r="A81" s="94">
        <f t="shared" si="94"/>
        <v>19</v>
      </c>
      <c r="B81" s="117"/>
      <c r="C81" s="93" t="str">
        <f t="shared" ref="C81:D81" si="97">IF($B78&lt;&gt;"",C77,"")</f>
        <v/>
      </c>
      <c r="D81" s="93" t="str">
        <f t="shared" si="97"/>
        <v/>
      </c>
      <c r="E81" s="28"/>
      <c r="F81" s="28"/>
      <c r="G81" s="28"/>
      <c r="H81" s="28"/>
      <c r="I81" s="28"/>
      <c r="J81" s="28"/>
      <c r="K81" s="28"/>
      <c r="L81" s="28"/>
      <c r="M81" s="28"/>
      <c r="N81" s="28"/>
      <c r="O81" s="28"/>
      <c r="P81" s="28"/>
      <c r="Q81" s="28"/>
      <c r="R81" s="28"/>
      <c r="S81" s="28"/>
      <c r="T81" s="28"/>
      <c r="U81" s="28"/>
      <c r="V81" s="26"/>
      <c r="W81" s="31" t="e">
        <f>INDEX(TBL_LNG_IMPORTERS_CONNECTIONS[LNGImporterConnectionID],$A81)</f>
        <v>#REF!</v>
      </c>
      <c r="X81" s="31" t="e">
        <f>"LNGImporterTariffVar_"&amp;RIGHT($W81,11)</f>
        <v>#REF!</v>
      </c>
    </row>
    <row r="82" spans="1:24" x14ac:dyDescent="0.25">
      <c r="A82" s="94">
        <f t="shared" ref="A82" si="98">$A78+1</f>
        <v>20</v>
      </c>
      <c r="B82" s="115" t="str">
        <f>IFERROR(INDEX(TBL_LNG_IMPORTERS_CONNECTIONS[Name],$A82),"")</f>
        <v/>
      </c>
      <c r="C82" s="93" t="str">
        <f t="shared" ref="C82:D82" si="99">IF($B82&lt;&gt;"",C78,"")</f>
        <v/>
      </c>
      <c r="D82" s="93" t="str">
        <f t="shared" si="99"/>
        <v/>
      </c>
      <c r="E82" s="27"/>
      <c r="F82" s="27"/>
      <c r="G82" s="27"/>
      <c r="H82" s="27"/>
      <c r="I82" s="27"/>
      <c r="J82" s="27"/>
      <c r="K82" s="27"/>
      <c r="L82" s="27"/>
      <c r="M82" s="27"/>
      <c r="N82" s="27"/>
      <c r="O82" s="27"/>
      <c r="P82" s="27"/>
      <c r="Q82" s="27"/>
      <c r="R82" s="27"/>
      <c r="S82" s="27"/>
      <c r="T82" s="27"/>
      <c r="U82" s="27"/>
      <c r="V82" s="25"/>
      <c r="W82" s="31" t="e">
        <f>INDEX(TBL_LNG_IMPORTERS_CONNECTIONS[LNGImporterConnectionID],$A82)</f>
        <v>#REF!</v>
      </c>
      <c r="X82" s="31" t="e">
        <f>"LNGImporterCapMin_"&amp;RIGHT($W82,11)</f>
        <v>#REF!</v>
      </c>
    </row>
    <row r="83" spans="1:24" x14ac:dyDescent="0.25">
      <c r="A83" s="94">
        <f t="shared" si="94"/>
        <v>20</v>
      </c>
      <c r="B83" s="116"/>
      <c r="C83" s="93" t="str">
        <f t="shared" ref="C83:D83" si="100">IF($B82&lt;&gt;"",C79,"")</f>
        <v/>
      </c>
      <c r="D83" s="93" t="str">
        <f t="shared" si="100"/>
        <v/>
      </c>
      <c r="E83" s="28"/>
      <c r="F83" s="28"/>
      <c r="G83" s="28"/>
      <c r="H83" s="28"/>
      <c r="I83" s="28"/>
      <c r="J83" s="28"/>
      <c r="K83" s="28"/>
      <c r="L83" s="28"/>
      <c r="M83" s="28"/>
      <c r="N83" s="28"/>
      <c r="O83" s="28"/>
      <c r="P83" s="28"/>
      <c r="Q83" s="28"/>
      <c r="R83" s="28"/>
      <c r="S83" s="28"/>
      <c r="T83" s="28"/>
      <c r="U83" s="28"/>
      <c r="V83" s="26"/>
      <c r="W83" s="31" t="e">
        <f>INDEX(TBL_LNG_IMPORTERS_CONNECTIONS[LNGImporterConnectionID],$A83)</f>
        <v>#REF!</v>
      </c>
      <c r="X83" s="31" t="e">
        <f>"LNGImporterCapMax_"&amp;RIGHT($W83,11)</f>
        <v>#REF!</v>
      </c>
    </row>
    <row r="84" spans="1:24" x14ac:dyDescent="0.25">
      <c r="A84" s="94">
        <f t="shared" si="94"/>
        <v>20</v>
      </c>
      <c r="B84" s="116"/>
      <c r="C84" s="93" t="str">
        <f t="shared" ref="C84:D84" si="101">IF($B82&lt;&gt;"",C80,"")</f>
        <v/>
      </c>
      <c r="D84" s="93" t="str">
        <f t="shared" si="101"/>
        <v/>
      </c>
      <c r="E84" s="27"/>
      <c r="F84" s="27"/>
      <c r="G84" s="27"/>
      <c r="H84" s="27"/>
      <c r="I84" s="27"/>
      <c r="J84" s="27"/>
      <c r="K84" s="27"/>
      <c r="L84" s="27"/>
      <c r="M84" s="27"/>
      <c r="N84" s="27"/>
      <c r="O84" s="27"/>
      <c r="P84" s="27"/>
      <c r="Q84" s="27"/>
      <c r="R84" s="27"/>
      <c r="S84" s="27"/>
      <c r="T84" s="27"/>
      <c r="U84" s="27"/>
      <c r="V84" s="25"/>
      <c r="W84" s="31" t="e">
        <f>INDEX(TBL_LNG_IMPORTERS_CONNECTIONS[LNGImporterConnectionID],$A84)</f>
        <v>#REF!</v>
      </c>
      <c r="X84" s="31" t="e">
        <f>"LNGImporterTariffFixed_"&amp;RIGHT($W84,11)</f>
        <v>#REF!</v>
      </c>
    </row>
    <row r="85" spans="1:24" x14ac:dyDescent="0.25">
      <c r="A85" s="94">
        <f t="shared" si="94"/>
        <v>20</v>
      </c>
      <c r="B85" s="117"/>
      <c r="C85" s="93" t="str">
        <f t="shared" ref="C85:D85" si="102">IF($B82&lt;&gt;"",C81,"")</f>
        <v/>
      </c>
      <c r="D85" s="93" t="str">
        <f t="shared" si="102"/>
        <v/>
      </c>
      <c r="E85" s="28"/>
      <c r="F85" s="28"/>
      <c r="G85" s="28"/>
      <c r="H85" s="28"/>
      <c r="I85" s="28"/>
      <c r="J85" s="28"/>
      <c r="K85" s="28"/>
      <c r="L85" s="28"/>
      <c r="M85" s="28"/>
      <c r="N85" s="28"/>
      <c r="O85" s="28"/>
      <c r="P85" s="28"/>
      <c r="Q85" s="28"/>
      <c r="R85" s="28"/>
      <c r="S85" s="28"/>
      <c r="T85" s="28"/>
      <c r="U85" s="28"/>
      <c r="V85" s="26"/>
      <c r="W85" s="31" t="e">
        <f>INDEX(TBL_LNG_IMPORTERS_CONNECTIONS[LNGImporterConnectionID],$A85)</f>
        <v>#REF!</v>
      </c>
      <c r="X85" s="31" t="e">
        <f>"LNGImporterTariffVar_"&amp;RIGHT($W85,11)</f>
        <v>#REF!</v>
      </c>
    </row>
    <row r="86" spans="1:24" x14ac:dyDescent="0.25">
      <c r="A86" s="94">
        <f t="shared" ref="A86" si="103">$A82+1</f>
        <v>21</v>
      </c>
      <c r="B86" s="115" t="str">
        <f>IFERROR(INDEX(TBL_LNG_IMPORTERS_CONNECTIONS[Name],$A86),"")</f>
        <v/>
      </c>
      <c r="C86" s="93" t="str">
        <f t="shared" ref="C86:D86" si="104">IF($B86&lt;&gt;"",C82,"")</f>
        <v/>
      </c>
      <c r="D86" s="93" t="str">
        <f t="shared" si="104"/>
        <v/>
      </c>
      <c r="E86" s="27"/>
      <c r="F86" s="27"/>
      <c r="G86" s="27"/>
      <c r="H86" s="27"/>
      <c r="I86" s="27"/>
      <c r="J86" s="27"/>
      <c r="K86" s="27"/>
      <c r="L86" s="27"/>
      <c r="M86" s="27"/>
      <c r="N86" s="27"/>
      <c r="O86" s="27"/>
      <c r="P86" s="27"/>
      <c r="Q86" s="27"/>
      <c r="R86" s="27"/>
      <c r="S86" s="27"/>
      <c r="T86" s="27"/>
      <c r="U86" s="27"/>
      <c r="V86" s="25"/>
      <c r="W86" s="31" t="e">
        <f>INDEX(TBL_LNG_IMPORTERS_CONNECTIONS[LNGImporterConnectionID],$A86)</f>
        <v>#REF!</v>
      </c>
      <c r="X86" s="31" t="e">
        <f>"LNGImporterCapMin_"&amp;RIGHT($W86,11)</f>
        <v>#REF!</v>
      </c>
    </row>
    <row r="87" spans="1:24" x14ac:dyDescent="0.25">
      <c r="A87" s="94">
        <f t="shared" si="94"/>
        <v>21</v>
      </c>
      <c r="B87" s="116"/>
      <c r="C87" s="93" t="str">
        <f t="shared" ref="C87:D87" si="105">IF($B86&lt;&gt;"",C83,"")</f>
        <v/>
      </c>
      <c r="D87" s="93" t="str">
        <f t="shared" si="105"/>
        <v/>
      </c>
      <c r="E87" s="28"/>
      <c r="F87" s="28"/>
      <c r="G87" s="28"/>
      <c r="H87" s="28"/>
      <c r="I87" s="28"/>
      <c r="J87" s="28"/>
      <c r="K87" s="28"/>
      <c r="L87" s="28"/>
      <c r="M87" s="28"/>
      <c r="N87" s="28"/>
      <c r="O87" s="28"/>
      <c r="P87" s="28"/>
      <c r="Q87" s="28"/>
      <c r="R87" s="28"/>
      <c r="S87" s="28"/>
      <c r="T87" s="28"/>
      <c r="U87" s="28"/>
      <c r="V87" s="26"/>
      <c r="W87" s="31" t="e">
        <f>INDEX(TBL_LNG_IMPORTERS_CONNECTIONS[LNGImporterConnectionID],$A87)</f>
        <v>#REF!</v>
      </c>
      <c r="X87" s="31" t="e">
        <f>"LNGImporterCapMax_"&amp;RIGHT($W87,11)</f>
        <v>#REF!</v>
      </c>
    </row>
    <row r="88" spans="1:24" x14ac:dyDescent="0.25">
      <c r="A88" s="94">
        <f t="shared" si="94"/>
        <v>21</v>
      </c>
      <c r="B88" s="116"/>
      <c r="C88" s="93" t="str">
        <f t="shared" ref="C88:D88" si="106">IF($B86&lt;&gt;"",C84,"")</f>
        <v/>
      </c>
      <c r="D88" s="93" t="str">
        <f t="shared" si="106"/>
        <v/>
      </c>
      <c r="E88" s="27"/>
      <c r="F88" s="27"/>
      <c r="G88" s="27"/>
      <c r="H88" s="27"/>
      <c r="I88" s="27"/>
      <c r="J88" s="27"/>
      <c r="K88" s="27"/>
      <c r="L88" s="27"/>
      <c r="M88" s="27"/>
      <c r="N88" s="27"/>
      <c r="O88" s="27"/>
      <c r="P88" s="27"/>
      <c r="Q88" s="27"/>
      <c r="R88" s="27"/>
      <c r="S88" s="27"/>
      <c r="T88" s="27"/>
      <c r="U88" s="27"/>
      <c r="V88" s="25"/>
      <c r="W88" s="31" t="e">
        <f>INDEX(TBL_LNG_IMPORTERS_CONNECTIONS[LNGImporterConnectionID],$A88)</f>
        <v>#REF!</v>
      </c>
      <c r="X88" s="31" t="e">
        <f>"LNGImporterTariffFixed_"&amp;RIGHT($W88,11)</f>
        <v>#REF!</v>
      </c>
    </row>
    <row r="89" spans="1:24" x14ac:dyDescent="0.25">
      <c r="A89" s="94">
        <f t="shared" si="94"/>
        <v>21</v>
      </c>
      <c r="B89" s="117"/>
      <c r="C89" s="93" t="str">
        <f t="shared" ref="C89:D89" si="107">IF($B86&lt;&gt;"",C85,"")</f>
        <v/>
      </c>
      <c r="D89" s="93" t="str">
        <f t="shared" si="107"/>
        <v/>
      </c>
      <c r="E89" s="28"/>
      <c r="F89" s="28"/>
      <c r="G89" s="28"/>
      <c r="H89" s="28"/>
      <c r="I89" s="28"/>
      <c r="J89" s="28"/>
      <c r="K89" s="28"/>
      <c r="L89" s="28"/>
      <c r="M89" s="28"/>
      <c r="N89" s="28"/>
      <c r="O89" s="28"/>
      <c r="P89" s="28"/>
      <c r="Q89" s="28"/>
      <c r="R89" s="28"/>
      <c r="S89" s="28"/>
      <c r="T89" s="28"/>
      <c r="U89" s="28"/>
      <c r="V89" s="26"/>
      <c r="W89" s="31" t="e">
        <f>INDEX(TBL_LNG_IMPORTERS_CONNECTIONS[LNGImporterConnectionID],$A89)</f>
        <v>#REF!</v>
      </c>
      <c r="X89" s="31" t="e">
        <f>"LNGImporterTariffVar_"&amp;RIGHT($W89,11)</f>
        <v>#REF!</v>
      </c>
    </row>
    <row r="90" spans="1:24" x14ac:dyDescent="0.25">
      <c r="A90" s="94">
        <f t="shared" ref="A90" si="108">$A86+1</f>
        <v>22</v>
      </c>
      <c r="B90" s="115" t="str">
        <f>IFERROR(INDEX(TBL_LNG_IMPORTERS_CONNECTIONS[Name],$A90),"")</f>
        <v/>
      </c>
      <c r="C90" s="93" t="str">
        <f t="shared" ref="C90:D90" si="109">IF($B90&lt;&gt;"",C86,"")</f>
        <v/>
      </c>
      <c r="D90" s="93" t="str">
        <f t="shared" si="109"/>
        <v/>
      </c>
      <c r="E90" s="27"/>
      <c r="F90" s="27"/>
      <c r="G90" s="27"/>
      <c r="H90" s="27"/>
      <c r="I90" s="27"/>
      <c r="J90" s="27"/>
      <c r="K90" s="27"/>
      <c r="L90" s="27"/>
      <c r="M90" s="27"/>
      <c r="N90" s="27"/>
      <c r="O90" s="27"/>
      <c r="P90" s="27"/>
      <c r="Q90" s="27"/>
      <c r="R90" s="27"/>
      <c r="S90" s="27"/>
      <c r="T90" s="27"/>
      <c r="U90" s="27"/>
      <c r="V90" s="25"/>
      <c r="W90" s="31" t="e">
        <f>INDEX(TBL_LNG_IMPORTERS_CONNECTIONS[LNGImporterConnectionID],$A90)</f>
        <v>#REF!</v>
      </c>
      <c r="X90" s="31" t="e">
        <f>"LNGImporterCapMin_"&amp;RIGHT($W90,11)</f>
        <v>#REF!</v>
      </c>
    </row>
    <row r="91" spans="1:24" x14ac:dyDescent="0.25">
      <c r="A91" s="94">
        <f t="shared" si="94"/>
        <v>22</v>
      </c>
      <c r="B91" s="116"/>
      <c r="C91" s="93" t="str">
        <f t="shared" ref="C91:D91" si="110">IF($B90&lt;&gt;"",C87,"")</f>
        <v/>
      </c>
      <c r="D91" s="93" t="str">
        <f t="shared" si="110"/>
        <v/>
      </c>
      <c r="E91" s="28"/>
      <c r="F91" s="28"/>
      <c r="G91" s="28"/>
      <c r="H91" s="28"/>
      <c r="I91" s="28"/>
      <c r="J91" s="28"/>
      <c r="K91" s="28"/>
      <c r="L91" s="28"/>
      <c r="M91" s="28"/>
      <c r="N91" s="28"/>
      <c r="O91" s="28"/>
      <c r="P91" s="28"/>
      <c r="Q91" s="28"/>
      <c r="R91" s="28"/>
      <c r="S91" s="28"/>
      <c r="T91" s="28"/>
      <c r="U91" s="28"/>
      <c r="V91" s="26"/>
      <c r="W91" s="31" t="e">
        <f>INDEX(TBL_LNG_IMPORTERS_CONNECTIONS[LNGImporterConnectionID],$A91)</f>
        <v>#REF!</v>
      </c>
      <c r="X91" s="31" t="e">
        <f>"LNGImporterCapMax_"&amp;RIGHT($W91,11)</f>
        <v>#REF!</v>
      </c>
    </row>
    <row r="92" spans="1:24" x14ac:dyDescent="0.25">
      <c r="A92" s="94">
        <f t="shared" si="94"/>
        <v>22</v>
      </c>
      <c r="B92" s="116"/>
      <c r="C92" s="93" t="str">
        <f t="shared" ref="C92:D92" si="111">IF($B90&lt;&gt;"",C88,"")</f>
        <v/>
      </c>
      <c r="D92" s="93" t="str">
        <f t="shared" si="111"/>
        <v/>
      </c>
      <c r="E92" s="27"/>
      <c r="F92" s="27"/>
      <c r="G92" s="27"/>
      <c r="H92" s="27"/>
      <c r="I92" s="27"/>
      <c r="J92" s="27"/>
      <c r="K92" s="27"/>
      <c r="L92" s="27"/>
      <c r="M92" s="27"/>
      <c r="N92" s="27"/>
      <c r="O92" s="27"/>
      <c r="P92" s="27"/>
      <c r="Q92" s="27"/>
      <c r="R92" s="27"/>
      <c r="S92" s="27"/>
      <c r="T92" s="27"/>
      <c r="U92" s="27"/>
      <c r="V92" s="25"/>
      <c r="W92" s="31" t="e">
        <f>INDEX(TBL_LNG_IMPORTERS_CONNECTIONS[LNGImporterConnectionID],$A92)</f>
        <v>#REF!</v>
      </c>
      <c r="X92" s="31" t="e">
        <f>"LNGImporterTariffFixed_"&amp;RIGHT($W92,11)</f>
        <v>#REF!</v>
      </c>
    </row>
    <row r="93" spans="1:24" x14ac:dyDescent="0.25">
      <c r="A93" s="94">
        <f t="shared" si="94"/>
        <v>22</v>
      </c>
      <c r="B93" s="117"/>
      <c r="C93" s="93" t="str">
        <f t="shared" ref="C93:D93" si="112">IF($B90&lt;&gt;"",C89,"")</f>
        <v/>
      </c>
      <c r="D93" s="93" t="str">
        <f t="shared" si="112"/>
        <v/>
      </c>
      <c r="E93" s="28"/>
      <c r="F93" s="28"/>
      <c r="G93" s="28"/>
      <c r="H93" s="28"/>
      <c r="I93" s="28"/>
      <c r="J93" s="28"/>
      <c r="K93" s="28"/>
      <c r="L93" s="28"/>
      <c r="M93" s="28"/>
      <c r="N93" s="28"/>
      <c r="O93" s="28"/>
      <c r="P93" s="28"/>
      <c r="Q93" s="28"/>
      <c r="R93" s="28"/>
      <c r="S93" s="28"/>
      <c r="T93" s="28"/>
      <c r="U93" s="28"/>
      <c r="V93" s="26"/>
      <c r="W93" s="31" t="e">
        <f>INDEX(TBL_LNG_IMPORTERS_CONNECTIONS[LNGImporterConnectionID],$A93)</f>
        <v>#REF!</v>
      </c>
      <c r="X93" s="31" t="e">
        <f>"LNGImporterTariffVar_"&amp;RIGHT($W93,11)</f>
        <v>#REF!</v>
      </c>
    </row>
    <row r="94" spans="1:24" x14ac:dyDescent="0.25">
      <c r="A94" s="94">
        <f t="shared" ref="A94" si="113">$A90+1</f>
        <v>23</v>
      </c>
      <c r="B94" s="115" t="str">
        <f>IFERROR(INDEX(TBL_LNG_IMPORTERS_CONNECTIONS[Name],$A94),"")</f>
        <v/>
      </c>
      <c r="C94" s="93" t="str">
        <f t="shared" ref="C94:D94" si="114">IF($B94&lt;&gt;"",C90,"")</f>
        <v/>
      </c>
      <c r="D94" s="93" t="str">
        <f t="shared" si="114"/>
        <v/>
      </c>
      <c r="E94" s="27"/>
      <c r="F94" s="27"/>
      <c r="G94" s="27"/>
      <c r="H94" s="27"/>
      <c r="I94" s="27"/>
      <c r="J94" s="27"/>
      <c r="K94" s="27"/>
      <c r="L94" s="27"/>
      <c r="M94" s="27"/>
      <c r="N94" s="27"/>
      <c r="O94" s="27"/>
      <c r="P94" s="27"/>
      <c r="Q94" s="27"/>
      <c r="R94" s="27"/>
      <c r="S94" s="27"/>
      <c r="T94" s="27"/>
      <c r="U94" s="27"/>
      <c r="V94" s="25"/>
      <c r="W94" s="31" t="e">
        <f>INDEX(TBL_LNG_IMPORTERS_CONNECTIONS[LNGImporterConnectionID],$A94)</f>
        <v>#REF!</v>
      </c>
      <c r="X94" s="31" t="e">
        <f>"LNGImporterCapMin_"&amp;RIGHT($W94,11)</f>
        <v>#REF!</v>
      </c>
    </row>
    <row r="95" spans="1:24" x14ac:dyDescent="0.25">
      <c r="A95" s="94">
        <f t="shared" si="94"/>
        <v>23</v>
      </c>
      <c r="B95" s="116"/>
      <c r="C95" s="93" t="str">
        <f t="shared" ref="C95:D95" si="115">IF($B94&lt;&gt;"",C91,"")</f>
        <v/>
      </c>
      <c r="D95" s="93" t="str">
        <f t="shared" si="115"/>
        <v/>
      </c>
      <c r="E95" s="28"/>
      <c r="F95" s="28"/>
      <c r="G95" s="28"/>
      <c r="H95" s="28"/>
      <c r="I95" s="28"/>
      <c r="J95" s="28"/>
      <c r="K95" s="28"/>
      <c r="L95" s="28"/>
      <c r="M95" s="28"/>
      <c r="N95" s="28"/>
      <c r="O95" s="28"/>
      <c r="P95" s="28"/>
      <c r="Q95" s="28"/>
      <c r="R95" s="28"/>
      <c r="S95" s="28"/>
      <c r="T95" s="28"/>
      <c r="U95" s="28"/>
      <c r="V95" s="26"/>
      <c r="W95" s="31" t="e">
        <f>INDEX(TBL_LNG_IMPORTERS_CONNECTIONS[LNGImporterConnectionID],$A95)</f>
        <v>#REF!</v>
      </c>
      <c r="X95" s="31" t="e">
        <f>"LNGImporterCapMax_"&amp;RIGHT($W95,11)</f>
        <v>#REF!</v>
      </c>
    </row>
    <row r="96" spans="1:24" x14ac:dyDescent="0.25">
      <c r="A96" s="94">
        <f t="shared" si="94"/>
        <v>23</v>
      </c>
      <c r="B96" s="116"/>
      <c r="C96" s="93" t="str">
        <f t="shared" ref="C96:D96" si="116">IF($B94&lt;&gt;"",C92,"")</f>
        <v/>
      </c>
      <c r="D96" s="93" t="str">
        <f t="shared" si="116"/>
        <v/>
      </c>
      <c r="E96" s="27"/>
      <c r="F96" s="27"/>
      <c r="G96" s="27"/>
      <c r="H96" s="27"/>
      <c r="I96" s="27"/>
      <c r="J96" s="27"/>
      <c r="K96" s="27"/>
      <c r="L96" s="27"/>
      <c r="M96" s="27"/>
      <c r="N96" s="27"/>
      <c r="O96" s="27"/>
      <c r="P96" s="27"/>
      <c r="Q96" s="27"/>
      <c r="R96" s="27"/>
      <c r="S96" s="27"/>
      <c r="T96" s="27"/>
      <c r="U96" s="27"/>
      <c r="V96" s="25"/>
      <c r="W96" s="31" t="e">
        <f>INDEX(TBL_LNG_IMPORTERS_CONNECTIONS[LNGImporterConnectionID],$A96)</f>
        <v>#REF!</v>
      </c>
      <c r="X96" s="31" t="e">
        <f>"LNGImporterTariffFixed_"&amp;RIGHT($W96,11)</f>
        <v>#REF!</v>
      </c>
    </row>
    <row r="97" spans="1:24" x14ac:dyDescent="0.25">
      <c r="A97" s="94">
        <f t="shared" si="94"/>
        <v>23</v>
      </c>
      <c r="B97" s="117"/>
      <c r="C97" s="93" t="str">
        <f t="shared" ref="C97:D97" si="117">IF($B94&lt;&gt;"",C93,"")</f>
        <v/>
      </c>
      <c r="D97" s="93" t="str">
        <f t="shared" si="117"/>
        <v/>
      </c>
      <c r="E97" s="28"/>
      <c r="F97" s="28"/>
      <c r="G97" s="28"/>
      <c r="H97" s="28"/>
      <c r="I97" s="28"/>
      <c r="J97" s="28"/>
      <c r="K97" s="28"/>
      <c r="L97" s="28"/>
      <c r="M97" s="28"/>
      <c r="N97" s="28"/>
      <c r="O97" s="28"/>
      <c r="P97" s="28"/>
      <c r="Q97" s="28"/>
      <c r="R97" s="28"/>
      <c r="S97" s="28"/>
      <c r="T97" s="28"/>
      <c r="U97" s="28"/>
      <c r="V97" s="26"/>
      <c r="W97" s="31" t="e">
        <f>INDEX(TBL_LNG_IMPORTERS_CONNECTIONS[LNGImporterConnectionID],$A97)</f>
        <v>#REF!</v>
      </c>
      <c r="X97" s="31" t="e">
        <f>"LNGImporterTariffVar_"&amp;RIGHT($W97,11)</f>
        <v>#REF!</v>
      </c>
    </row>
    <row r="98" spans="1:24" x14ac:dyDescent="0.25">
      <c r="A98" s="94">
        <f t="shared" ref="A98" si="118">$A94+1</f>
        <v>24</v>
      </c>
      <c r="B98" s="115" t="str">
        <f>IFERROR(INDEX(TBL_LNG_IMPORTERS_CONNECTIONS[Name],$A98),"")</f>
        <v/>
      </c>
      <c r="C98" s="93" t="str">
        <f t="shared" ref="C98:D98" si="119">IF($B98&lt;&gt;"",C94,"")</f>
        <v/>
      </c>
      <c r="D98" s="93" t="str">
        <f t="shared" si="119"/>
        <v/>
      </c>
      <c r="E98" s="27"/>
      <c r="F98" s="27"/>
      <c r="G98" s="27"/>
      <c r="H98" s="27"/>
      <c r="I98" s="27"/>
      <c r="J98" s="27"/>
      <c r="K98" s="27"/>
      <c r="L98" s="27"/>
      <c r="M98" s="27"/>
      <c r="N98" s="27"/>
      <c r="O98" s="27"/>
      <c r="P98" s="27"/>
      <c r="Q98" s="27"/>
      <c r="R98" s="27"/>
      <c r="S98" s="27"/>
      <c r="T98" s="27"/>
      <c r="U98" s="27"/>
      <c r="V98" s="25"/>
      <c r="W98" s="31" t="e">
        <f>INDEX(TBL_LNG_IMPORTERS_CONNECTIONS[LNGImporterConnectionID],$A98)</f>
        <v>#REF!</v>
      </c>
      <c r="X98" s="31" t="e">
        <f>"LNGImporterCapMin_"&amp;RIGHT($W98,11)</f>
        <v>#REF!</v>
      </c>
    </row>
    <row r="99" spans="1:24" x14ac:dyDescent="0.25">
      <c r="A99" s="94">
        <f t="shared" ref="A99:A101" si="120">$A98</f>
        <v>24</v>
      </c>
      <c r="B99" s="116"/>
      <c r="C99" s="93" t="str">
        <f t="shared" ref="C99:D99" si="121">IF($B98&lt;&gt;"",C95,"")</f>
        <v/>
      </c>
      <c r="D99" s="93" t="str">
        <f t="shared" si="121"/>
        <v/>
      </c>
      <c r="E99" s="28"/>
      <c r="F99" s="28"/>
      <c r="G99" s="28"/>
      <c r="H99" s="28"/>
      <c r="I99" s="28"/>
      <c r="J99" s="28"/>
      <c r="K99" s="28"/>
      <c r="L99" s="28"/>
      <c r="M99" s="28"/>
      <c r="N99" s="28"/>
      <c r="O99" s="28"/>
      <c r="P99" s="28"/>
      <c r="Q99" s="28"/>
      <c r="R99" s="28"/>
      <c r="S99" s="28"/>
      <c r="T99" s="28"/>
      <c r="U99" s="28"/>
      <c r="V99" s="26"/>
      <c r="W99" s="31" t="e">
        <f>INDEX(TBL_LNG_IMPORTERS_CONNECTIONS[LNGImporterConnectionID],$A99)</f>
        <v>#REF!</v>
      </c>
      <c r="X99" s="31" t="e">
        <f>"LNGImporterCapMax_"&amp;RIGHT($W99,11)</f>
        <v>#REF!</v>
      </c>
    </row>
    <row r="100" spans="1:24" x14ac:dyDescent="0.25">
      <c r="A100" s="94">
        <f t="shared" si="120"/>
        <v>24</v>
      </c>
      <c r="B100" s="116"/>
      <c r="C100" s="93" t="str">
        <f t="shared" ref="C100:D100" si="122">IF($B98&lt;&gt;"",C96,"")</f>
        <v/>
      </c>
      <c r="D100" s="93" t="str">
        <f t="shared" si="122"/>
        <v/>
      </c>
      <c r="E100" s="27"/>
      <c r="F100" s="27"/>
      <c r="G100" s="27"/>
      <c r="H100" s="27"/>
      <c r="I100" s="27"/>
      <c r="J100" s="27"/>
      <c r="K100" s="27"/>
      <c r="L100" s="27"/>
      <c r="M100" s="27"/>
      <c r="N100" s="27"/>
      <c r="O100" s="27"/>
      <c r="P100" s="27"/>
      <c r="Q100" s="27"/>
      <c r="R100" s="27"/>
      <c r="S100" s="27"/>
      <c r="T100" s="27"/>
      <c r="U100" s="27"/>
      <c r="V100" s="25"/>
      <c r="W100" s="31" t="e">
        <f>INDEX(TBL_LNG_IMPORTERS_CONNECTIONS[LNGImporterConnectionID],$A100)</f>
        <v>#REF!</v>
      </c>
      <c r="X100" s="31" t="e">
        <f>"LNGImporterTariffFixed_"&amp;RIGHT($W100,11)</f>
        <v>#REF!</v>
      </c>
    </row>
    <row r="101" spans="1:24" x14ac:dyDescent="0.25">
      <c r="A101" s="94">
        <f t="shared" si="120"/>
        <v>24</v>
      </c>
      <c r="B101" s="117"/>
      <c r="C101" s="93" t="str">
        <f t="shared" ref="C101:D101" si="123">IF($B98&lt;&gt;"",C97,"")</f>
        <v/>
      </c>
      <c r="D101" s="93" t="str">
        <f t="shared" si="123"/>
        <v/>
      </c>
      <c r="E101" s="28"/>
      <c r="F101" s="28"/>
      <c r="G101" s="28"/>
      <c r="H101" s="28"/>
      <c r="I101" s="28"/>
      <c r="J101" s="28"/>
      <c r="K101" s="28"/>
      <c r="L101" s="28"/>
      <c r="M101" s="28"/>
      <c r="N101" s="28"/>
      <c r="O101" s="28"/>
      <c r="P101" s="28"/>
      <c r="Q101" s="28"/>
      <c r="R101" s="28"/>
      <c r="S101" s="28"/>
      <c r="T101" s="28"/>
      <c r="U101" s="28"/>
      <c r="V101" s="26"/>
      <c r="W101" s="31" t="e">
        <f>INDEX(TBL_LNG_IMPORTERS_CONNECTIONS[LNGImporterConnectionID],$A101)</f>
        <v>#REF!</v>
      </c>
      <c r="X101" s="31" t="e">
        <f>"LNGImporterTariffVar_"&amp;RIGHT($W101,11)</f>
        <v>#REF!</v>
      </c>
    </row>
    <row r="102" spans="1:24" x14ac:dyDescent="0.25">
      <c r="A102" s="94">
        <f t="shared" ref="A102" si="124">$A98+1</f>
        <v>25</v>
      </c>
      <c r="B102" s="115" t="str">
        <f>IFERROR(INDEX(TBL_LNG_IMPORTERS_CONNECTIONS[Name],$A102),"")</f>
        <v/>
      </c>
      <c r="C102" s="93" t="str">
        <f t="shared" ref="C102:D102" si="125">IF($B102&lt;&gt;"",C98,"")</f>
        <v/>
      </c>
      <c r="D102" s="93" t="str">
        <f t="shared" si="125"/>
        <v/>
      </c>
      <c r="E102" s="27"/>
      <c r="F102" s="27"/>
      <c r="G102" s="27"/>
      <c r="H102" s="27"/>
      <c r="I102" s="27"/>
      <c r="J102" s="27"/>
      <c r="K102" s="27"/>
      <c r="L102" s="27"/>
      <c r="M102" s="27"/>
      <c r="N102" s="27"/>
      <c r="O102" s="27"/>
      <c r="P102" s="27"/>
      <c r="Q102" s="27"/>
      <c r="R102" s="27"/>
      <c r="S102" s="27"/>
      <c r="T102" s="27"/>
      <c r="U102" s="27"/>
      <c r="V102" s="25"/>
      <c r="W102" s="31" t="e">
        <f>INDEX(TBL_LNG_IMPORTERS_CONNECTIONS[LNGImporterConnectionID],$A102)</f>
        <v>#REF!</v>
      </c>
      <c r="X102" s="31" t="e">
        <f>"LNGImporterCapMin_"&amp;RIGHT($W102,11)</f>
        <v>#REF!</v>
      </c>
    </row>
    <row r="103" spans="1:24" x14ac:dyDescent="0.25">
      <c r="A103" s="94">
        <f t="shared" ref="A103:A105" si="126">$A102</f>
        <v>25</v>
      </c>
      <c r="B103" s="116"/>
      <c r="C103" s="93" t="str">
        <f t="shared" ref="C103:D103" si="127">IF($B102&lt;&gt;"",C99,"")</f>
        <v/>
      </c>
      <c r="D103" s="93" t="str">
        <f t="shared" si="127"/>
        <v/>
      </c>
      <c r="E103" s="28"/>
      <c r="F103" s="28"/>
      <c r="G103" s="28"/>
      <c r="H103" s="28"/>
      <c r="I103" s="28"/>
      <c r="J103" s="28"/>
      <c r="K103" s="28"/>
      <c r="L103" s="28"/>
      <c r="M103" s="28"/>
      <c r="N103" s="28"/>
      <c r="O103" s="28"/>
      <c r="P103" s="28"/>
      <c r="Q103" s="28"/>
      <c r="R103" s="28"/>
      <c r="S103" s="28"/>
      <c r="T103" s="28"/>
      <c r="U103" s="28"/>
      <c r="V103" s="26"/>
      <c r="W103" s="31" t="e">
        <f>INDEX(TBL_LNG_IMPORTERS_CONNECTIONS[LNGImporterConnectionID],$A103)</f>
        <v>#REF!</v>
      </c>
      <c r="X103" s="31" t="e">
        <f>"LNGImporterCapMax_"&amp;RIGHT($W103,11)</f>
        <v>#REF!</v>
      </c>
    </row>
    <row r="104" spans="1:24" x14ac:dyDescent="0.25">
      <c r="A104" s="94">
        <f t="shared" si="126"/>
        <v>25</v>
      </c>
      <c r="B104" s="116"/>
      <c r="C104" s="93" t="str">
        <f t="shared" ref="C104:D104" si="128">IF($B102&lt;&gt;"",C100,"")</f>
        <v/>
      </c>
      <c r="D104" s="93" t="str">
        <f t="shared" si="128"/>
        <v/>
      </c>
      <c r="E104" s="27"/>
      <c r="F104" s="27"/>
      <c r="G104" s="27"/>
      <c r="H104" s="27"/>
      <c r="I104" s="27"/>
      <c r="J104" s="27"/>
      <c r="K104" s="27"/>
      <c r="L104" s="27"/>
      <c r="M104" s="27"/>
      <c r="N104" s="27"/>
      <c r="O104" s="27"/>
      <c r="P104" s="27"/>
      <c r="Q104" s="27"/>
      <c r="R104" s="27"/>
      <c r="S104" s="27"/>
      <c r="T104" s="27"/>
      <c r="U104" s="27"/>
      <c r="V104" s="25"/>
      <c r="W104" s="31" t="e">
        <f>INDEX(TBL_LNG_IMPORTERS_CONNECTIONS[LNGImporterConnectionID],$A104)</f>
        <v>#REF!</v>
      </c>
      <c r="X104" s="31" t="e">
        <f>"LNGImporterTariffFixed_"&amp;RIGHT($W104,11)</f>
        <v>#REF!</v>
      </c>
    </row>
    <row r="105" spans="1:24" x14ac:dyDescent="0.25">
      <c r="A105" s="94">
        <f t="shared" si="126"/>
        <v>25</v>
      </c>
      <c r="B105" s="117"/>
      <c r="C105" s="93" t="str">
        <f t="shared" ref="C105:D105" si="129">IF($B102&lt;&gt;"",C101,"")</f>
        <v/>
      </c>
      <c r="D105" s="93" t="str">
        <f t="shared" si="129"/>
        <v/>
      </c>
      <c r="E105" s="28"/>
      <c r="F105" s="28"/>
      <c r="G105" s="28"/>
      <c r="H105" s="28"/>
      <c r="I105" s="28"/>
      <c r="J105" s="28"/>
      <c r="K105" s="28"/>
      <c r="L105" s="28"/>
      <c r="M105" s="28"/>
      <c r="N105" s="28"/>
      <c r="O105" s="28"/>
      <c r="P105" s="28"/>
      <c r="Q105" s="28"/>
      <c r="R105" s="28"/>
      <c r="S105" s="28"/>
      <c r="T105" s="28"/>
      <c r="U105" s="28"/>
      <c r="V105" s="26"/>
      <c r="W105" s="31" t="e">
        <f>INDEX(TBL_LNG_IMPORTERS_CONNECTIONS[LNGImporterConnectionID],$A105)</f>
        <v>#REF!</v>
      </c>
      <c r="X105" s="31" t="e">
        <f>"LNGImporterTariffVar_"&amp;RIGHT($W105,11)</f>
        <v>#REF!</v>
      </c>
    </row>
    <row r="106" spans="1:24" x14ac:dyDescent="0.25">
      <c r="A106" s="94">
        <f t="shared" ref="A106" si="130">$A102+1</f>
        <v>26</v>
      </c>
      <c r="B106" s="115" t="str">
        <f>IFERROR(INDEX(TBL_LNG_IMPORTERS_CONNECTIONS[Name],$A106),"")</f>
        <v/>
      </c>
      <c r="C106" s="93" t="str">
        <f t="shared" ref="C106:D106" si="131">IF($B106&lt;&gt;"",C102,"")</f>
        <v/>
      </c>
      <c r="D106" s="93" t="str">
        <f t="shared" si="131"/>
        <v/>
      </c>
      <c r="E106" s="27"/>
      <c r="F106" s="27"/>
      <c r="G106" s="27"/>
      <c r="H106" s="27"/>
      <c r="I106" s="27"/>
      <c r="J106" s="27"/>
      <c r="K106" s="27"/>
      <c r="L106" s="27"/>
      <c r="M106" s="27"/>
      <c r="N106" s="27"/>
      <c r="O106" s="27"/>
      <c r="P106" s="27"/>
      <c r="Q106" s="27"/>
      <c r="R106" s="27"/>
      <c r="S106" s="27"/>
      <c r="T106" s="27"/>
      <c r="U106" s="27"/>
      <c r="V106" s="25"/>
      <c r="W106" s="31" t="e">
        <f>INDEX(TBL_LNG_IMPORTERS_CONNECTIONS[LNGImporterConnectionID],$A106)</f>
        <v>#REF!</v>
      </c>
      <c r="X106" s="31" t="e">
        <f>"LNGImporterCapMin_"&amp;RIGHT($W106,11)</f>
        <v>#REF!</v>
      </c>
    </row>
    <row r="107" spans="1:24" x14ac:dyDescent="0.25">
      <c r="A107" s="94">
        <f t="shared" ref="A107:A109" si="132">$A106</f>
        <v>26</v>
      </c>
      <c r="B107" s="116"/>
      <c r="C107" s="93" t="str">
        <f t="shared" ref="C107:D107" si="133">IF($B106&lt;&gt;"",C103,"")</f>
        <v/>
      </c>
      <c r="D107" s="93" t="str">
        <f t="shared" si="133"/>
        <v/>
      </c>
      <c r="E107" s="28"/>
      <c r="F107" s="28"/>
      <c r="G107" s="28"/>
      <c r="H107" s="28"/>
      <c r="I107" s="28"/>
      <c r="J107" s="28"/>
      <c r="K107" s="28"/>
      <c r="L107" s="28"/>
      <c r="M107" s="28"/>
      <c r="N107" s="28"/>
      <c r="O107" s="28"/>
      <c r="P107" s="28"/>
      <c r="Q107" s="28"/>
      <c r="R107" s="28"/>
      <c r="S107" s="28"/>
      <c r="T107" s="28"/>
      <c r="U107" s="28"/>
      <c r="V107" s="26"/>
      <c r="W107" s="31" t="e">
        <f>INDEX(TBL_LNG_IMPORTERS_CONNECTIONS[LNGImporterConnectionID],$A107)</f>
        <v>#REF!</v>
      </c>
      <c r="X107" s="31" t="e">
        <f>"LNGImporterCapMax_"&amp;RIGHT($W107,11)</f>
        <v>#REF!</v>
      </c>
    </row>
    <row r="108" spans="1:24" x14ac:dyDescent="0.25">
      <c r="A108" s="94">
        <f t="shared" si="132"/>
        <v>26</v>
      </c>
      <c r="B108" s="116"/>
      <c r="C108" s="93" t="str">
        <f t="shared" ref="C108:D108" si="134">IF($B106&lt;&gt;"",C104,"")</f>
        <v/>
      </c>
      <c r="D108" s="93" t="str">
        <f t="shared" si="134"/>
        <v/>
      </c>
      <c r="E108" s="27"/>
      <c r="F108" s="27"/>
      <c r="G108" s="27"/>
      <c r="H108" s="27"/>
      <c r="I108" s="27"/>
      <c r="J108" s="27"/>
      <c r="K108" s="27"/>
      <c r="L108" s="27"/>
      <c r="M108" s="27"/>
      <c r="N108" s="27"/>
      <c r="O108" s="27"/>
      <c r="P108" s="27"/>
      <c r="Q108" s="27"/>
      <c r="R108" s="27"/>
      <c r="S108" s="27"/>
      <c r="T108" s="27"/>
      <c r="U108" s="27"/>
      <c r="V108" s="25"/>
      <c r="W108" s="31" t="e">
        <f>INDEX(TBL_LNG_IMPORTERS_CONNECTIONS[LNGImporterConnectionID],$A108)</f>
        <v>#REF!</v>
      </c>
      <c r="X108" s="31" t="e">
        <f>"LNGImporterTariffFixed_"&amp;RIGHT($W108,11)</f>
        <v>#REF!</v>
      </c>
    </row>
    <row r="109" spans="1:24" x14ac:dyDescent="0.25">
      <c r="A109" s="94">
        <f t="shared" si="132"/>
        <v>26</v>
      </c>
      <c r="B109" s="117"/>
      <c r="C109" s="93" t="str">
        <f t="shared" ref="C109:D109" si="135">IF($B106&lt;&gt;"",C105,"")</f>
        <v/>
      </c>
      <c r="D109" s="93" t="str">
        <f t="shared" si="135"/>
        <v/>
      </c>
      <c r="E109" s="28"/>
      <c r="F109" s="28"/>
      <c r="G109" s="28"/>
      <c r="H109" s="28"/>
      <c r="I109" s="28"/>
      <c r="J109" s="28"/>
      <c r="K109" s="28"/>
      <c r="L109" s="28"/>
      <c r="M109" s="28"/>
      <c r="N109" s="28"/>
      <c r="O109" s="28"/>
      <c r="P109" s="28"/>
      <c r="Q109" s="28"/>
      <c r="R109" s="28"/>
      <c r="S109" s="28"/>
      <c r="T109" s="28"/>
      <c r="U109" s="28"/>
      <c r="V109" s="26"/>
      <c r="W109" s="31" t="e">
        <f>INDEX(TBL_LNG_IMPORTERS_CONNECTIONS[LNGImporterConnectionID],$A109)</f>
        <v>#REF!</v>
      </c>
      <c r="X109" s="31" t="e">
        <f>"LNGImporterTariffVar_"&amp;RIGHT($W109,11)</f>
        <v>#REF!</v>
      </c>
    </row>
    <row r="110" spans="1:24" x14ac:dyDescent="0.25">
      <c r="A110" s="94">
        <f t="shared" ref="A110" si="136">$A106+1</f>
        <v>27</v>
      </c>
      <c r="B110" s="115" t="str">
        <f>IFERROR(INDEX(TBL_LNG_IMPORTERS_CONNECTIONS[Name],$A110),"")</f>
        <v/>
      </c>
      <c r="C110" s="93" t="str">
        <f t="shared" ref="C110:D110" si="137">IF($B110&lt;&gt;"",C106,"")</f>
        <v/>
      </c>
      <c r="D110" s="93" t="str">
        <f t="shared" si="137"/>
        <v/>
      </c>
      <c r="E110" s="27"/>
      <c r="F110" s="27"/>
      <c r="G110" s="27"/>
      <c r="H110" s="27"/>
      <c r="I110" s="27"/>
      <c r="J110" s="27"/>
      <c r="K110" s="27"/>
      <c r="L110" s="27"/>
      <c r="M110" s="27"/>
      <c r="N110" s="27"/>
      <c r="O110" s="27"/>
      <c r="P110" s="27"/>
      <c r="Q110" s="27"/>
      <c r="R110" s="27"/>
      <c r="S110" s="27"/>
      <c r="T110" s="27"/>
      <c r="U110" s="27"/>
      <c r="V110" s="25"/>
      <c r="W110" s="31" t="e">
        <f>INDEX(TBL_LNG_IMPORTERS_CONNECTIONS[LNGImporterConnectionID],$A110)</f>
        <v>#REF!</v>
      </c>
      <c r="X110" s="31" t="e">
        <f>"LNGImporterCapMin_"&amp;RIGHT($W110,11)</f>
        <v>#REF!</v>
      </c>
    </row>
    <row r="111" spans="1:24" x14ac:dyDescent="0.25">
      <c r="A111" s="94">
        <f t="shared" ref="A111:A113" si="138">$A110</f>
        <v>27</v>
      </c>
      <c r="B111" s="116"/>
      <c r="C111" s="93" t="str">
        <f t="shared" ref="C111:D111" si="139">IF($B110&lt;&gt;"",C107,"")</f>
        <v/>
      </c>
      <c r="D111" s="93" t="str">
        <f t="shared" si="139"/>
        <v/>
      </c>
      <c r="E111" s="28"/>
      <c r="F111" s="28"/>
      <c r="G111" s="28"/>
      <c r="H111" s="28"/>
      <c r="I111" s="28"/>
      <c r="J111" s="28"/>
      <c r="K111" s="28"/>
      <c r="L111" s="28"/>
      <c r="M111" s="28"/>
      <c r="N111" s="28"/>
      <c r="O111" s="28"/>
      <c r="P111" s="28"/>
      <c r="Q111" s="28"/>
      <c r="R111" s="28"/>
      <c r="S111" s="28"/>
      <c r="T111" s="28"/>
      <c r="U111" s="28"/>
      <c r="V111" s="26"/>
      <c r="W111" s="31" t="e">
        <f>INDEX(TBL_LNG_IMPORTERS_CONNECTIONS[LNGImporterConnectionID],$A111)</f>
        <v>#REF!</v>
      </c>
      <c r="X111" s="31" t="e">
        <f>"LNGImporterCapMax_"&amp;RIGHT($W111,11)</f>
        <v>#REF!</v>
      </c>
    </row>
    <row r="112" spans="1:24" x14ac:dyDescent="0.25">
      <c r="A112" s="94">
        <f t="shared" si="138"/>
        <v>27</v>
      </c>
      <c r="B112" s="116"/>
      <c r="C112" s="93" t="str">
        <f t="shared" ref="C112:D112" si="140">IF($B110&lt;&gt;"",C108,"")</f>
        <v/>
      </c>
      <c r="D112" s="93" t="str">
        <f t="shared" si="140"/>
        <v/>
      </c>
      <c r="E112" s="27"/>
      <c r="F112" s="27"/>
      <c r="G112" s="27"/>
      <c r="H112" s="27"/>
      <c r="I112" s="27"/>
      <c r="J112" s="27"/>
      <c r="K112" s="27"/>
      <c r="L112" s="27"/>
      <c r="M112" s="27"/>
      <c r="N112" s="27"/>
      <c r="O112" s="27"/>
      <c r="P112" s="27"/>
      <c r="Q112" s="27"/>
      <c r="R112" s="27"/>
      <c r="S112" s="27"/>
      <c r="T112" s="27"/>
      <c r="U112" s="27"/>
      <c r="V112" s="25"/>
      <c r="W112" s="31" t="e">
        <f>INDEX(TBL_LNG_IMPORTERS_CONNECTIONS[LNGImporterConnectionID],$A112)</f>
        <v>#REF!</v>
      </c>
      <c r="X112" s="31" t="e">
        <f>"LNGImporterTariffFixed_"&amp;RIGHT($W112,11)</f>
        <v>#REF!</v>
      </c>
    </row>
    <row r="113" spans="1:24" x14ac:dyDescent="0.25">
      <c r="A113" s="94">
        <f t="shared" si="138"/>
        <v>27</v>
      </c>
      <c r="B113" s="117"/>
      <c r="C113" s="93" t="str">
        <f t="shared" ref="C113:D113" si="141">IF($B110&lt;&gt;"",C109,"")</f>
        <v/>
      </c>
      <c r="D113" s="93" t="str">
        <f t="shared" si="141"/>
        <v/>
      </c>
      <c r="E113" s="28"/>
      <c r="F113" s="28"/>
      <c r="G113" s="28"/>
      <c r="H113" s="28"/>
      <c r="I113" s="28"/>
      <c r="J113" s="28"/>
      <c r="K113" s="28"/>
      <c r="L113" s="28"/>
      <c r="M113" s="28"/>
      <c r="N113" s="28"/>
      <c r="O113" s="28"/>
      <c r="P113" s="28"/>
      <c r="Q113" s="28"/>
      <c r="R113" s="28"/>
      <c r="S113" s="28"/>
      <c r="T113" s="28"/>
      <c r="U113" s="28"/>
      <c r="V113" s="26"/>
      <c r="W113" s="31" t="e">
        <f>INDEX(TBL_LNG_IMPORTERS_CONNECTIONS[LNGImporterConnectionID],$A113)</f>
        <v>#REF!</v>
      </c>
      <c r="X113" s="31" t="e">
        <f>"LNGImporterTariffVar_"&amp;RIGHT($W113,11)</f>
        <v>#REF!</v>
      </c>
    </row>
    <row r="114" spans="1:24" x14ac:dyDescent="0.25">
      <c r="A114" s="94">
        <f t="shared" ref="A114" si="142">$A110+1</f>
        <v>28</v>
      </c>
      <c r="B114" s="115" t="str">
        <f>IFERROR(INDEX(TBL_LNG_IMPORTERS_CONNECTIONS[Name],$A114),"")</f>
        <v/>
      </c>
      <c r="C114" s="93" t="str">
        <f t="shared" ref="C114:D114" si="143">IF($B114&lt;&gt;"",C110,"")</f>
        <v/>
      </c>
      <c r="D114" s="93" t="str">
        <f t="shared" si="143"/>
        <v/>
      </c>
      <c r="E114" s="27"/>
      <c r="F114" s="27"/>
      <c r="G114" s="27"/>
      <c r="H114" s="27"/>
      <c r="I114" s="27"/>
      <c r="J114" s="27"/>
      <c r="K114" s="27"/>
      <c r="L114" s="27"/>
      <c r="M114" s="27"/>
      <c r="N114" s="27"/>
      <c r="O114" s="27"/>
      <c r="P114" s="27"/>
      <c r="Q114" s="27"/>
      <c r="R114" s="27"/>
      <c r="S114" s="27"/>
      <c r="T114" s="27"/>
      <c r="U114" s="27"/>
      <c r="V114" s="25"/>
      <c r="W114" s="31" t="e">
        <f>INDEX(TBL_LNG_IMPORTERS_CONNECTIONS[LNGImporterConnectionID],$A114)</f>
        <v>#REF!</v>
      </c>
      <c r="X114" s="31" t="e">
        <f>"LNGImporterCapMin_"&amp;RIGHT($W114,11)</f>
        <v>#REF!</v>
      </c>
    </row>
    <row r="115" spans="1:24" x14ac:dyDescent="0.25">
      <c r="A115" s="94">
        <f t="shared" ref="A115:A117" si="144">$A114</f>
        <v>28</v>
      </c>
      <c r="B115" s="116"/>
      <c r="C115" s="93" t="str">
        <f t="shared" ref="C115:D115" si="145">IF($B114&lt;&gt;"",C111,"")</f>
        <v/>
      </c>
      <c r="D115" s="93" t="str">
        <f t="shared" si="145"/>
        <v/>
      </c>
      <c r="E115" s="28"/>
      <c r="F115" s="28"/>
      <c r="G115" s="28"/>
      <c r="H115" s="28"/>
      <c r="I115" s="28"/>
      <c r="J115" s="28"/>
      <c r="K115" s="28"/>
      <c r="L115" s="28"/>
      <c r="M115" s="28"/>
      <c r="N115" s="28"/>
      <c r="O115" s="28"/>
      <c r="P115" s="28"/>
      <c r="Q115" s="28"/>
      <c r="R115" s="28"/>
      <c r="S115" s="28"/>
      <c r="T115" s="28"/>
      <c r="U115" s="28"/>
      <c r="V115" s="26"/>
      <c r="W115" s="31" t="e">
        <f>INDEX(TBL_LNG_IMPORTERS_CONNECTIONS[LNGImporterConnectionID],$A115)</f>
        <v>#REF!</v>
      </c>
      <c r="X115" s="31" t="e">
        <f>"LNGImporterCapMax_"&amp;RIGHT($W115,11)</f>
        <v>#REF!</v>
      </c>
    </row>
    <row r="116" spans="1:24" x14ac:dyDescent="0.25">
      <c r="A116" s="94">
        <f t="shared" si="144"/>
        <v>28</v>
      </c>
      <c r="B116" s="116"/>
      <c r="C116" s="93" t="str">
        <f t="shared" ref="C116:D116" si="146">IF($B114&lt;&gt;"",C112,"")</f>
        <v/>
      </c>
      <c r="D116" s="93" t="str">
        <f t="shared" si="146"/>
        <v/>
      </c>
      <c r="E116" s="27"/>
      <c r="F116" s="27"/>
      <c r="G116" s="27"/>
      <c r="H116" s="27"/>
      <c r="I116" s="27"/>
      <c r="J116" s="27"/>
      <c r="K116" s="27"/>
      <c r="L116" s="27"/>
      <c r="M116" s="27"/>
      <c r="N116" s="27"/>
      <c r="O116" s="27"/>
      <c r="P116" s="27"/>
      <c r="Q116" s="27"/>
      <c r="R116" s="27"/>
      <c r="S116" s="27"/>
      <c r="T116" s="27"/>
      <c r="U116" s="27"/>
      <c r="V116" s="25"/>
      <c r="W116" s="31" t="e">
        <f>INDEX(TBL_LNG_IMPORTERS_CONNECTIONS[LNGImporterConnectionID],$A116)</f>
        <v>#REF!</v>
      </c>
      <c r="X116" s="31" t="e">
        <f>"LNGImporterTariffFixed_"&amp;RIGHT($W116,11)</f>
        <v>#REF!</v>
      </c>
    </row>
    <row r="117" spans="1:24" x14ac:dyDescent="0.25">
      <c r="A117" s="94">
        <f t="shared" si="144"/>
        <v>28</v>
      </c>
      <c r="B117" s="117"/>
      <c r="C117" s="93" t="str">
        <f t="shared" ref="C117:D117" si="147">IF($B114&lt;&gt;"",C113,"")</f>
        <v/>
      </c>
      <c r="D117" s="93" t="str">
        <f t="shared" si="147"/>
        <v/>
      </c>
      <c r="E117" s="28"/>
      <c r="F117" s="28"/>
      <c r="G117" s="28"/>
      <c r="H117" s="28"/>
      <c r="I117" s="28"/>
      <c r="J117" s="28"/>
      <c r="K117" s="28"/>
      <c r="L117" s="28"/>
      <c r="M117" s="28"/>
      <c r="N117" s="28"/>
      <c r="O117" s="28"/>
      <c r="P117" s="28"/>
      <c r="Q117" s="28"/>
      <c r="R117" s="28"/>
      <c r="S117" s="28"/>
      <c r="T117" s="28"/>
      <c r="U117" s="28"/>
      <c r="V117" s="26"/>
      <c r="W117" s="31" t="e">
        <f>INDEX(TBL_LNG_IMPORTERS_CONNECTIONS[LNGImporterConnectionID],$A117)</f>
        <v>#REF!</v>
      </c>
      <c r="X117" s="31" t="e">
        <f>"LNGImporterTariffVar_"&amp;RIGHT($W117,11)</f>
        <v>#REF!</v>
      </c>
    </row>
    <row r="118" spans="1:24" x14ac:dyDescent="0.25">
      <c r="A118" s="94">
        <f t="shared" ref="A118" si="148">$A114+1</f>
        <v>29</v>
      </c>
      <c r="B118" s="115" t="str">
        <f>IFERROR(INDEX(TBL_LNG_IMPORTERS_CONNECTIONS[Name],$A118),"")</f>
        <v/>
      </c>
      <c r="C118" s="93" t="str">
        <f t="shared" ref="C118:D118" si="149">IF($B118&lt;&gt;"",C114,"")</f>
        <v/>
      </c>
      <c r="D118" s="93" t="str">
        <f t="shared" si="149"/>
        <v/>
      </c>
      <c r="E118" s="27"/>
      <c r="F118" s="27"/>
      <c r="G118" s="27"/>
      <c r="H118" s="27"/>
      <c r="I118" s="27"/>
      <c r="J118" s="27"/>
      <c r="K118" s="27"/>
      <c r="L118" s="27"/>
      <c r="M118" s="27"/>
      <c r="N118" s="27"/>
      <c r="O118" s="27"/>
      <c r="P118" s="27"/>
      <c r="Q118" s="27"/>
      <c r="R118" s="27"/>
      <c r="S118" s="27"/>
      <c r="T118" s="27"/>
      <c r="U118" s="27"/>
      <c r="V118" s="25"/>
      <c r="W118" s="31" t="e">
        <f>INDEX(TBL_LNG_IMPORTERS_CONNECTIONS[LNGImporterConnectionID],$A118)</f>
        <v>#REF!</v>
      </c>
      <c r="X118" s="31" t="e">
        <f>"LNGImporterCapMin_"&amp;RIGHT($W118,11)</f>
        <v>#REF!</v>
      </c>
    </row>
    <row r="119" spans="1:24" x14ac:dyDescent="0.25">
      <c r="A119" s="94">
        <f t="shared" ref="A119:A137" si="150">$A118</f>
        <v>29</v>
      </c>
      <c r="B119" s="116"/>
      <c r="C119" s="93" t="str">
        <f t="shared" ref="C119:D119" si="151">IF($B118&lt;&gt;"",C115,"")</f>
        <v/>
      </c>
      <c r="D119" s="93" t="str">
        <f t="shared" si="151"/>
        <v/>
      </c>
      <c r="E119" s="28"/>
      <c r="F119" s="28"/>
      <c r="G119" s="28"/>
      <c r="H119" s="28"/>
      <c r="I119" s="28"/>
      <c r="J119" s="28"/>
      <c r="K119" s="28"/>
      <c r="L119" s="28"/>
      <c r="M119" s="28"/>
      <c r="N119" s="28"/>
      <c r="O119" s="28"/>
      <c r="P119" s="28"/>
      <c r="Q119" s="28"/>
      <c r="R119" s="28"/>
      <c r="S119" s="28"/>
      <c r="T119" s="28"/>
      <c r="U119" s="28"/>
      <c r="V119" s="26"/>
      <c r="W119" s="31" t="e">
        <f>INDEX(TBL_LNG_IMPORTERS_CONNECTIONS[LNGImporterConnectionID],$A119)</f>
        <v>#REF!</v>
      </c>
      <c r="X119" s="31" t="e">
        <f>"LNGImporterCapMax_"&amp;RIGHT($W119,11)</f>
        <v>#REF!</v>
      </c>
    </row>
    <row r="120" spans="1:24" x14ac:dyDescent="0.25">
      <c r="A120" s="94">
        <f t="shared" si="150"/>
        <v>29</v>
      </c>
      <c r="B120" s="116"/>
      <c r="C120" s="93" t="str">
        <f t="shared" ref="C120:D120" si="152">IF($B118&lt;&gt;"",C116,"")</f>
        <v/>
      </c>
      <c r="D120" s="93" t="str">
        <f t="shared" si="152"/>
        <v/>
      </c>
      <c r="E120" s="27"/>
      <c r="F120" s="27"/>
      <c r="G120" s="27"/>
      <c r="H120" s="27"/>
      <c r="I120" s="27"/>
      <c r="J120" s="27"/>
      <c r="K120" s="27"/>
      <c r="L120" s="27"/>
      <c r="M120" s="27"/>
      <c r="N120" s="27"/>
      <c r="O120" s="27"/>
      <c r="P120" s="27"/>
      <c r="Q120" s="27"/>
      <c r="R120" s="27"/>
      <c r="S120" s="27"/>
      <c r="T120" s="27"/>
      <c r="U120" s="27"/>
      <c r="V120" s="25"/>
      <c r="W120" s="31" t="e">
        <f>INDEX(TBL_LNG_IMPORTERS_CONNECTIONS[LNGImporterConnectionID],$A120)</f>
        <v>#REF!</v>
      </c>
      <c r="X120" s="31" t="e">
        <f>"LNGImporterTariffFixed_"&amp;RIGHT($W120,11)</f>
        <v>#REF!</v>
      </c>
    </row>
    <row r="121" spans="1:24" x14ac:dyDescent="0.25">
      <c r="A121" s="94">
        <f t="shared" si="150"/>
        <v>29</v>
      </c>
      <c r="B121" s="117"/>
      <c r="C121" s="93" t="str">
        <f t="shared" ref="C121:D121" si="153">IF($B118&lt;&gt;"",C117,"")</f>
        <v/>
      </c>
      <c r="D121" s="93" t="str">
        <f t="shared" si="153"/>
        <v/>
      </c>
      <c r="E121" s="28"/>
      <c r="F121" s="28"/>
      <c r="G121" s="28"/>
      <c r="H121" s="28"/>
      <c r="I121" s="28"/>
      <c r="J121" s="28"/>
      <c r="K121" s="28"/>
      <c r="L121" s="28"/>
      <c r="M121" s="28"/>
      <c r="N121" s="28"/>
      <c r="O121" s="28"/>
      <c r="P121" s="28"/>
      <c r="Q121" s="28"/>
      <c r="R121" s="28"/>
      <c r="S121" s="28"/>
      <c r="T121" s="28"/>
      <c r="U121" s="28"/>
      <c r="V121" s="26"/>
      <c r="W121" s="31" t="e">
        <f>INDEX(TBL_LNG_IMPORTERS_CONNECTIONS[LNGImporterConnectionID],$A121)</f>
        <v>#REF!</v>
      </c>
      <c r="X121" s="31" t="e">
        <f>"LNGImporterTariffVar_"&amp;RIGHT($W121,11)</f>
        <v>#REF!</v>
      </c>
    </row>
    <row r="122" spans="1:24" x14ac:dyDescent="0.25">
      <c r="A122" s="94">
        <f t="shared" ref="A122" si="154">$A118+1</f>
        <v>30</v>
      </c>
      <c r="B122" s="115" t="str">
        <f>IFERROR(INDEX(TBL_LNG_IMPORTERS_CONNECTIONS[Name],$A122),"")</f>
        <v/>
      </c>
      <c r="C122" s="93" t="str">
        <f t="shared" ref="C122:D122" si="155">IF($B122&lt;&gt;"",C118,"")</f>
        <v/>
      </c>
      <c r="D122" s="93" t="str">
        <f t="shared" si="155"/>
        <v/>
      </c>
      <c r="E122" s="27"/>
      <c r="F122" s="27"/>
      <c r="G122" s="27"/>
      <c r="H122" s="27"/>
      <c r="I122" s="27"/>
      <c r="J122" s="27"/>
      <c r="K122" s="27"/>
      <c r="L122" s="27"/>
      <c r="M122" s="27"/>
      <c r="N122" s="27"/>
      <c r="O122" s="27"/>
      <c r="P122" s="27"/>
      <c r="Q122" s="27"/>
      <c r="R122" s="27"/>
      <c r="S122" s="27"/>
      <c r="T122" s="27"/>
      <c r="U122" s="27"/>
      <c r="V122" s="25"/>
      <c r="W122" s="31" t="e">
        <f>INDEX(TBL_LNG_IMPORTERS_CONNECTIONS[LNGImporterConnectionID],$A122)</f>
        <v>#REF!</v>
      </c>
      <c r="X122" s="31" t="e">
        <f>"LNGImporterCapMin_"&amp;RIGHT($W122,11)</f>
        <v>#REF!</v>
      </c>
    </row>
    <row r="123" spans="1:24" x14ac:dyDescent="0.25">
      <c r="A123" s="94">
        <f t="shared" si="150"/>
        <v>30</v>
      </c>
      <c r="B123" s="116"/>
      <c r="C123" s="93" t="str">
        <f t="shared" ref="C123:D123" si="156">IF($B122&lt;&gt;"",C119,"")</f>
        <v/>
      </c>
      <c r="D123" s="93" t="str">
        <f t="shared" si="156"/>
        <v/>
      </c>
      <c r="E123" s="28"/>
      <c r="F123" s="28"/>
      <c r="G123" s="28"/>
      <c r="H123" s="28"/>
      <c r="I123" s="28"/>
      <c r="J123" s="28"/>
      <c r="K123" s="28"/>
      <c r="L123" s="28"/>
      <c r="M123" s="28"/>
      <c r="N123" s="28"/>
      <c r="O123" s="28"/>
      <c r="P123" s="28"/>
      <c r="Q123" s="28"/>
      <c r="R123" s="28"/>
      <c r="S123" s="28"/>
      <c r="T123" s="28"/>
      <c r="U123" s="28"/>
      <c r="V123" s="26"/>
      <c r="W123" s="31" t="e">
        <f>INDEX(TBL_LNG_IMPORTERS_CONNECTIONS[LNGImporterConnectionID],$A123)</f>
        <v>#REF!</v>
      </c>
      <c r="X123" s="31" t="e">
        <f>"LNGImporterCapMax_"&amp;RIGHT($W123,11)</f>
        <v>#REF!</v>
      </c>
    </row>
    <row r="124" spans="1:24" x14ac:dyDescent="0.25">
      <c r="A124" s="94">
        <f t="shared" si="150"/>
        <v>30</v>
      </c>
      <c r="B124" s="116"/>
      <c r="C124" s="93" t="str">
        <f t="shared" ref="C124:D124" si="157">IF($B122&lt;&gt;"",C120,"")</f>
        <v/>
      </c>
      <c r="D124" s="93" t="str">
        <f t="shared" si="157"/>
        <v/>
      </c>
      <c r="E124" s="27"/>
      <c r="F124" s="27"/>
      <c r="G124" s="27"/>
      <c r="H124" s="27"/>
      <c r="I124" s="27"/>
      <c r="J124" s="27"/>
      <c r="K124" s="27"/>
      <c r="L124" s="27"/>
      <c r="M124" s="27"/>
      <c r="N124" s="27"/>
      <c r="O124" s="27"/>
      <c r="P124" s="27"/>
      <c r="Q124" s="27"/>
      <c r="R124" s="27"/>
      <c r="S124" s="27"/>
      <c r="T124" s="27"/>
      <c r="U124" s="27"/>
      <c r="V124" s="25"/>
      <c r="W124" s="31" t="e">
        <f>INDEX(TBL_LNG_IMPORTERS_CONNECTIONS[LNGImporterConnectionID],$A124)</f>
        <v>#REF!</v>
      </c>
      <c r="X124" s="31" t="e">
        <f>"LNGImporterTariffFixed_"&amp;RIGHT($W124,11)</f>
        <v>#REF!</v>
      </c>
    </row>
    <row r="125" spans="1:24" x14ac:dyDescent="0.25">
      <c r="A125" s="94">
        <f t="shared" si="150"/>
        <v>30</v>
      </c>
      <c r="B125" s="117"/>
      <c r="C125" s="93" t="str">
        <f t="shared" ref="C125:D125" si="158">IF($B122&lt;&gt;"",C121,"")</f>
        <v/>
      </c>
      <c r="D125" s="93" t="str">
        <f t="shared" si="158"/>
        <v/>
      </c>
      <c r="E125" s="28"/>
      <c r="F125" s="28"/>
      <c r="G125" s="28"/>
      <c r="H125" s="28"/>
      <c r="I125" s="28"/>
      <c r="J125" s="28"/>
      <c r="K125" s="28"/>
      <c r="L125" s="28"/>
      <c r="M125" s="28"/>
      <c r="N125" s="28"/>
      <c r="O125" s="28"/>
      <c r="P125" s="28"/>
      <c r="Q125" s="28"/>
      <c r="R125" s="28"/>
      <c r="S125" s="28"/>
      <c r="T125" s="28"/>
      <c r="U125" s="28"/>
      <c r="V125" s="26"/>
      <c r="W125" s="31" t="e">
        <f>INDEX(TBL_LNG_IMPORTERS_CONNECTIONS[LNGImporterConnectionID],$A125)</f>
        <v>#REF!</v>
      </c>
      <c r="X125" s="31" t="e">
        <f>"LNGImporterTariffVar_"&amp;RIGHT($W125,11)</f>
        <v>#REF!</v>
      </c>
    </row>
    <row r="126" spans="1:24" x14ac:dyDescent="0.25">
      <c r="A126" s="94">
        <f t="shared" ref="A126" si="159">$A122+1</f>
        <v>31</v>
      </c>
      <c r="B126" s="115" t="str">
        <f>IFERROR(INDEX(TBL_LNG_IMPORTERS_CONNECTIONS[Name],$A126),"")</f>
        <v/>
      </c>
      <c r="C126" s="93" t="str">
        <f t="shared" ref="C126:D126" si="160">IF($B126&lt;&gt;"",C122,"")</f>
        <v/>
      </c>
      <c r="D126" s="93" t="str">
        <f t="shared" si="160"/>
        <v/>
      </c>
      <c r="E126" s="27"/>
      <c r="F126" s="27"/>
      <c r="G126" s="27"/>
      <c r="H126" s="27"/>
      <c r="I126" s="27"/>
      <c r="J126" s="27"/>
      <c r="K126" s="27"/>
      <c r="L126" s="27"/>
      <c r="M126" s="27"/>
      <c r="N126" s="27"/>
      <c r="O126" s="27"/>
      <c r="P126" s="27"/>
      <c r="Q126" s="27"/>
      <c r="R126" s="27"/>
      <c r="S126" s="27"/>
      <c r="T126" s="27"/>
      <c r="U126" s="27"/>
      <c r="V126" s="25"/>
      <c r="W126" s="31" t="e">
        <f>INDEX(TBL_LNG_IMPORTERS_CONNECTIONS[LNGImporterConnectionID],$A126)</f>
        <v>#REF!</v>
      </c>
      <c r="X126" s="31" t="e">
        <f>"LNGImporterCapMin_"&amp;RIGHT($W126,11)</f>
        <v>#REF!</v>
      </c>
    </row>
    <row r="127" spans="1:24" x14ac:dyDescent="0.25">
      <c r="A127" s="94">
        <f t="shared" si="150"/>
        <v>31</v>
      </c>
      <c r="B127" s="116"/>
      <c r="C127" s="93" t="str">
        <f t="shared" ref="C127:D127" si="161">IF($B126&lt;&gt;"",C123,"")</f>
        <v/>
      </c>
      <c r="D127" s="93" t="str">
        <f t="shared" si="161"/>
        <v/>
      </c>
      <c r="E127" s="28"/>
      <c r="F127" s="28"/>
      <c r="G127" s="28"/>
      <c r="H127" s="28"/>
      <c r="I127" s="28"/>
      <c r="J127" s="28"/>
      <c r="K127" s="28"/>
      <c r="L127" s="28"/>
      <c r="M127" s="28"/>
      <c r="N127" s="28"/>
      <c r="O127" s="28"/>
      <c r="P127" s="28"/>
      <c r="Q127" s="28"/>
      <c r="R127" s="28"/>
      <c r="S127" s="28"/>
      <c r="T127" s="28"/>
      <c r="U127" s="28"/>
      <c r="V127" s="26"/>
      <c r="W127" s="31" t="e">
        <f>INDEX(TBL_LNG_IMPORTERS_CONNECTIONS[LNGImporterConnectionID],$A127)</f>
        <v>#REF!</v>
      </c>
      <c r="X127" s="31" t="e">
        <f>"LNGImporterCapMax_"&amp;RIGHT($W127,11)</f>
        <v>#REF!</v>
      </c>
    </row>
    <row r="128" spans="1:24" x14ac:dyDescent="0.25">
      <c r="A128" s="94">
        <f t="shared" si="150"/>
        <v>31</v>
      </c>
      <c r="B128" s="116"/>
      <c r="C128" s="93" t="str">
        <f t="shared" ref="C128:D128" si="162">IF($B126&lt;&gt;"",C124,"")</f>
        <v/>
      </c>
      <c r="D128" s="93" t="str">
        <f t="shared" si="162"/>
        <v/>
      </c>
      <c r="E128" s="27"/>
      <c r="F128" s="27"/>
      <c r="G128" s="27"/>
      <c r="H128" s="27"/>
      <c r="I128" s="27"/>
      <c r="J128" s="27"/>
      <c r="K128" s="27"/>
      <c r="L128" s="27"/>
      <c r="M128" s="27"/>
      <c r="N128" s="27"/>
      <c r="O128" s="27"/>
      <c r="P128" s="27"/>
      <c r="Q128" s="27"/>
      <c r="R128" s="27"/>
      <c r="S128" s="27"/>
      <c r="T128" s="27"/>
      <c r="U128" s="27"/>
      <c r="V128" s="25"/>
      <c r="W128" s="31" t="e">
        <f>INDEX(TBL_LNG_IMPORTERS_CONNECTIONS[LNGImporterConnectionID],$A128)</f>
        <v>#REF!</v>
      </c>
      <c r="X128" s="31" t="e">
        <f>"LNGImporterTariffFixed_"&amp;RIGHT($W128,11)</f>
        <v>#REF!</v>
      </c>
    </row>
    <row r="129" spans="1:24" x14ac:dyDescent="0.25">
      <c r="A129" s="94">
        <f t="shared" si="150"/>
        <v>31</v>
      </c>
      <c r="B129" s="117"/>
      <c r="C129" s="93" t="str">
        <f t="shared" ref="C129:D129" si="163">IF($B126&lt;&gt;"",C125,"")</f>
        <v/>
      </c>
      <c r="D129" s="93" t="str">
        <f t="shared" si="163"/>
        <v/>
      </c>
      <c r="E129" s="28"/>
      <c r="F129" s="28"/>
      <c r="G129" s="28"/>
      <c r="H129" s="28"/>
      <c r="I129" s="28"/>
      <c r="J129" s="28"/>
      <c r="K129" s="28"/>
      <c r="L129" s="28"/>
      <c r="M129" s="28"/>
      <c r="N129" s="28"/>
      <c r="O129" s="28"/>
      <c r="P129" s="28"/>
      <c r="Q129" s="28"/>
      <c r="R129" s="28"/>
      <c r="S129" s="28"/>
      <c r="T129" s="28"/>
      <c r="U129" s="28"/>
      <c r="V129" s="26"/>
      <c r="W129" s="31" t="e">
        <f>INDEX(TBL_LNG_IMPORTERS_CONNECTIONS[LNGImporterConnectionID],$A129)</f>
        <v>#REF!</v>
      </c>
      <c r="X129" s="31" t="e">
        <f>"LNGImporterTariffVar_"&amp;RIGHT($W129,11)</f>
        <v>#REF!</v>
      </c>
    </row>
    <row r="130" spans="1:24" x14ac:dyDescent="0.25">
      <c r="A130" s="94">
        <f t="shared" ref="A130" si="164">$A126+1</f>
        <v>32</v>
      </c>
      <c r="B130" s="115" t="str">
        <f>IFERROR(INDEX(TBL_LNG_IMPORTERS_CONNECTIONS[Name],$A130),"")</f>
        <v/>
      </c>
      <c r="C130" s="93" t="str">
        <f t="shared" ref="C130:D130" si="165">IF($B130&lt;&gt;"",C126,"")</f>
        <v/>
      </c>
      <c r="D130" s="93" t="str">
        <f t="shared" si="165"/>
        <v/>
      </c>
      <c r="E130" s="27"/>
      <c r="F130" s="27"/>
      <c r="G130" s="27"/>
      <c r="H130" s="27"/>
      <c r="I130" s="27"/>
      <c r="J130" s="27"/>
      <c r="K130" s="27"/>
      <c r="L130" s="27"/>
      <c r="M130" s="27"/>
      <c r="N130" s="27"/>
      <c r="O130" s="27"/>
      <c r="P130" s="27"/>
      <c r="Q130" s="27"/>
      <c r="R130" s="27"/>
      <c r="S130" s="27"/>
      <c r="T130" s="27"/>
      <c r="U130" s="27"/>
      <c r="V130" s="25"/>
      <c r="W130" s="31" t="e">
        <f>INDEX(TBL_LNG_IMPORTERS_CONNECTIONS[LNGImporterConnectionID],$A130)</f>
        <v>#REF!</v>
      </c>
      <c r="X130" s="31" t="e">
        <f>"LNGImporterCapMin_"&amp;RIGHT($W130,11)</f>
        <v>#REF!</v>
      </c>
    </row>
    <row r="131" spans="1:24" x14ac:dyDescent="0.25">
      <c r="A131" s="94">
        <f t="shared" si="150"/>
        <v>32</v>
      </c>
      <c r="B131" s="116"/>
      <c r="C131" s="93" t="str">
        <f t="shared" ref="C131:D131" si="166">IF($B130&lt;&gt;"",C127,"")</f>
        <v/>
      </c>
      <c r="D131" s="93" t="str">
        <f t="shared" si="166"/>
        <v/>
      </c>
      <c r="E131" s="28"/>
      <c r="F131" s="28"/>
      <c r="G131" s="28"/>
      <c r="H131" s="28"/>
      <c r="I131" s="28"/>
      <c r="J131" s="28"/>
      <c r="K131" s="28"/>
      <c r="L131" s="28"/>
      <c r="M131" s="28"/>
      <c r="N131" s="28"/>
      <c r="O131" s="28"/>
      <c r="P131" s="28"/>
      <c r="Q131" s="28"/>
      <c r="R131" s="28"/>
      <c r="S131" s="28"/>
      <c r="T131" s="28"/>
      <c r="U131" s="28"/>
      <c r="V131" s="26"/>
      <c r="W131" s="31" t="e">
        <f>INDEX(TBL_LNG_IMPORTERS_CONNECTIONS[LNGImporterConnectionID],$A131)</f>
        <v>#REF!</v>
      </c>
      <c r="X131" s="31" t="e">
        <f>"LNGImporterCapMax_"&amp;RIGHT($W131,11)</f>
        <v>#REF!</v>
      </c>
    </row>
    <row r="132" spans="1:24" x14ac:dyDescent="0.25">
      <c r="A132" s="94">
        <f t="shared" si="150"/>
        <v>32</v>
      </c>
      <c r="B132" s="116"/>
      <c r="C132" s="93" t="str">
        <f t="shared" ref="C132:D132" si="167">IF($B130&lt;&gt;"",C128,"")</f>
        <v/>
      </c>
      <c r="D132" s="93" t="str">
        <f t="shared" si="167"/>
        <v/>
      </c>
      <c r="E132" s="27"/>
      <c r="F132" s="27"/>
      <c r="G132" s="27"/>
      <c r="H132" s="27"/>
      <c r="I132" s="27"/>
      <c r="J132" s="27"/>
      <c r="K132" s="27"/>
      <c r="L132" s="27"/>
      <c r="M132" s="27"/>
      <c r="N132" s="27"/>
      <c r="O132" s="27"/>
      <c r="P132" s="27"/>
      <c r="Q132" s="27"/>
      <c r="R132" s="27"/>
      <c r="S132" s="27"/>
      <c r="T132" s="27"/>
      <c r="U132" s="27"/>
      <c r="V132" s="25"/>
      <c r="W132" s="31" t="e">
        <f>INDEX(TBL_LNG_IMPORTERS_CONNECTIONS[LNGImporterConnectionID],$A132)</f>
        <v>#REF!</v>
      </c>
      <c r="X132" s="31" t="e">
        <f>"LNGImporterTariffFixed_"&amp;RIGHT($W132,11)</f>
        <v>#REF!</v>
      </c>
    </row>
    <row r="133" spans="1:24" x14ac:dyDescent="0.25">
      <c r="A133" s="94">
        <f t="shared" si="150"/>
        <v>32</v>
      </c>
      <c r="B133" s="117"/>
      <c r="C133" s="93" t="str">
        <f t="shared" ref="C133:D133" si="168">IF($B130&lt;&gt;"",C129,"")</f>
        <v/>
      </c>
      <c r="D133" s="93" t="str">
        <f t="shared" si="168"/>
        <v/>
      </c>
      <c r="E133" s="28"/>
      <c r="F133" s="28"/>
      <c r="G133" s="28"/>
      <c r="H133" s="28"/>
      <c r="I133" s="28"/>
      <c r="J133" s="28"/>
      <c r="K133" s="28"/>
      <c r="L133" s="28"/>
      <c r="M133" s="28"/>
      <c r="N133" s="28"/>
      <c r="O133" s="28"/>
      <c r="P133" s="28"/>
      <c r="Q133" s="28"/>
      <c r="R133" s="28"/>
      <c r="S133" s="28"/>
      <c r="T133" s="28"/>
      <c r="U133" s="28"/>
      <c r="V133" s="26"/>
      <c r="W133" s="31" t="e">
        <f>INDEX(TBL_LNG_IMPORTERS_CONNECTIONS[LNGImporterConnectionID],$A133)</f>
        <v>#REF!</v>
      </c>
      <c r="X133" s="31" t="e">
        <f>"LNGImporterTariffVar_"&amp;RIGHT($W133,11)</f>
        <v>#REF!</v>
      </c>
    </row>
    <row r="134" spans="1:24" x14ac:dyDescent="0.25">
      <c r="A134" s="94">
        <f t="shared" ref="A134" si="169">$A130+1</f>
        <v>33</v>
      </c>
      <c r="B134" s="115" t="str">
        <f>IFERROR(INDEX(TBL_LNG_IMPORTERS_CONNECTIONS[Name],$A134),"")</f>
        <v/>
      </c>
      <c r="C134" s="93" t="str">
        <f t="shared" ref="C134:D134" si="170">IF($B134&lt;&gt;"",C130,"")</f>
        <v/>
      </c>
      <c r="D134" s="93" t="str">
        <f t="shared" si="170"/>
        <v/>
      </c>
      <c r="E134" s="27"/>
      <c r="F134" s="27"/>
      <c r="G134" s="27"/>
      <c r="H134" s="27"/>
      <c r="I134" s="27"/>
      <c r="J134" s="27"/>
      <c r="K134" s="27"/>
      <c r="L134" s="27"/>
      <c r="M134" s="27"/>
      <c r="N134" s="27"/>
      <c r="O134" s="27"/>
      <c r="P134" s="27"/>
      <c r="Q134" s="27"/>
      <c r="R134" s="27"/>
      <c r="S134" s="27"/>
      <c r="T134" s="27"/>
      <c r="U134" s="27"/>
      <c r="V134" s="25"/>
      <c r="W134" s="31" t="e">
        <f>INDEX(TBL_LNG_IMPORTERS_CONNECTIONS[LNGImporterConnectionID],$A134)</f>
        <v>#REF!</v>
      </c>
      <c r="X134" s="31" t="e">
        <f>"LNGImporterCapMin_"&amp;RIGHT($W134,11)</f>
        <v>#REF!</v>
      </c>
    </row>
    <row r="135" spans="1:24" x14ac:dyDescent="0.25">
      <c r="A135" s="94">
        <f t="shared" si="150"/>
        <v>33</v>
      </c>
      <c r="B135" s="116"/>
      <c r="C135" s="93" t="str">
        <f t="shared" ref="C135:D135" si="171">IF($B134&lt;&gt;"",C131,"")</f>
        <v/>
      </c>
      <c r="D135" s="93" t="str">
        <f t="shared" si="171"/>
        <v/>
      </c>
      <c r="E135" s="28"/>
      <c r="F135" s="28"/>
      <c r="G135" s="28"/>
      <c r="H135" s="28"/>
      <c r="I135" s="28"/>
      <c r="J135" s="28"/>
      <c r="K135" s="28"/>
      <c r="L135" s="28"/>
      <c r="M135" s="28"/>
      <c r="N135" s="28"/>
      <c r="O135" s="28"/>
      <c r="P135" s="28"/>
      <c r="Q135" s="28"/>
      <c r="R135" s="28"/>
      <c r="S135" s="28"/>
      <c r="T135" s="28"/>
      <c r="U135" s="28"/>
      <c r="V135" s="26"/>
      <c r="W135" s="31" t="e">
        <f>INDEX(TBL_LNG_IMPORTERS_CONNECTIONS[LNGImporterConnectionID],$A135)</f>
        <v>#REF!</v>
      </c>
      <c r="X135" s="31" t="e">
        <f>"LNGImporterCapMax_"&amp;RIGHT($W135,11)</f>
        <v>#REF!</v>
      </c>
    </row>
    <row r="136" spans="1:24" x14ac:dyDescent="0.25">
      <c r="A136" s="94">
        <f t="shared" si="150"/>
        <v>33</v>
      </c>
      <c r="B136" s="116"/>
      <c r="C136" s="93" t="str">
        <f t="shared" ref="C136:D136" si="172">IF($B134&lt;&gt;"",C132,"")</f>
        <v/>
      </c>
      <c r="D136" s="93" t="str">
        <f t="shared" si="172"/>
        <v/>
      </c>
      <c r="E136" s="27"/>
      <c r="F136" s="27"/>
      <c r="G136" s="27"/>
      <c r="H136" s="27"/>
      <c r="I136" s="27"/>
      <c r="J136" s="27"/>
      <c r="K136" s="27"/>
      <c r="L136" s="27"/>
      <c r="M136" s="27"/>
      <c r="N136" s="27"/>
      <c r="O136" s="27"/>
      <c r="P136" s="27"/>
      <c r="Q136" s="27"/>
      <c r="R136" s="27"/>
      <c r="S136" s="27"/>
      <c r="T136" s="27"/>
      <c r="U136" s="27"/>
      <c r="V136" s="25"/>
      <c r="W136" s="31" t="e">
        <f>INDEX(TBL_LNG_IMPORTERS_CONNECTIONS[LNGImporterConnectionID],$A136)</f>
        <v>#REF!</v>
      </c>
      <c r="X136" s="31" t="e">
        <f>"LNGImporterTariffFixed_"&amp;RIGHT($W136,11)</f>
        <v>#REF!</v>
      </c>
    </row>
    <row r="137" spans="1:24" x14ac:dyDescent="0.25">
      <c r="A137" s="94">
        <f t="shared" si="150"/>
        <v>33</v>
      </c>
      <c r="B137" s="117"/>
      <c r="C137" s="93" t="str">
        <f t="shared" ref="C137:D137" si="173">IF($B134&lt;&gt;"",C133,"")</f>
        <v/>
      </c>
      <c r="D137" s="93" t="str">
        <f t="shared" si="173"/>
        <v/>
      </c>
      <c r="E137" s="28"/>
      <c r="F137" s="28"/>
      <c r="G137" s="28"/>
      <c r="H137" s="28"/>
      <c r="I137" s="28"/>
      <c r="J137" s="28"/>
      <c r="K137" s="28"/>
      <c r="L137" s="28"/>
      <c r="M137" s="28"/>
      <c r="N137" s="28"/>
      <c r="O137" s="28"/>
      <c r="P137" s="28"/>
      <c r="Q137" s="28"/>
      <c r="R137" s="28"/>
      <c r="S137" s="28"/>
      <c r="T137" s="28"/>
      <c r="U137" s="28"/>
      <c r="V137" s="26"/>
      <c r="W137" s="31" t="e">
        <f>INDEX(TBL_LNG_IMPORTERS_CONNECTIONS[LNGImporterConnectionID],$A137)</f>
        <v>#REF!</v>
      </c>
      <c r="X137" s="31" t="e">
        <f>"LNGImporterTariffVar_"&amp;RIGHT($W137,11)</f>
        <v>#REF!</v>
      </c>
    </row>
    <row r="138" spans="1:24" x14ac:dyDescent="0.25">
      <c r="A138" s="94">
        <f t="shared" ref="A138" si="174">$A134+1</f>
        <v>34</v>
      </c>
      <c r="B138" s="115" t="str">
        <f>IFERROR(INDEX(TBL_LNG_IMPORTERS_CONNECTIONS[Name],$A138),"")</f>
        <v/>
      </c>
      <c r="C138" s="93" t="str">
        <f t="shared" ref="C138:D138" si="175">IF($B138&lt;&gt;"",C134,"")</f>
        <v/>
      </c>
      <c r="D138" s="93" t="str">
        <f t="shared" si="175"/>
        <v/>
      </c>
      <c r="E138" s="27"/>
      <c r="F138" s="27"/>
      <c r="G138" s="27"/>
      <c r="H138" s="27"/>
      <c r="I138" s="27"/>
      <c r="J138" s="27"/>
      <c r="K138" s="27"/>
      <c r="L138" s="27"/>
      <c r="M138" s="27"/>
      <c r="N138" s="27"/>
      <c r="O138" s="27"/>
      <c r="P138" s="27"/>
      <c r="Q138" s="27"/>
      <c r="R138" s="27"/>
      <c r="S138" s="27"/>
      <c r="T138" s="27"/>
      <c r="U138" s="27"/>
      <c r="V138" s="25"/>
      <c r="W138" s="31" t="e">
        <f>INDEX(TBL_LNG_IMPORTERS_CONNECTIONS[LNGImporterConnectionID],$A138)</f>
        <v>#REF!</v>
      </c>
      <c r="X138" s="31" t="e">
        <f>"LNGImporterCapMin_"&amp;RIGHT($W138,11)</f>
        <v>#REF!</v>
      </c>
    </row>
    <row r="139" spans="1:24" x14ac:dyDescent="0.25">
      <c r="A139" s="94">
        <f t="shared" ref="A139:A141" si="176">$A138</f>
        <v>34</v>
      </c>
      <c r="B139" s="116"/>
      <c r="C139" s="93" t="str">
        <f t="shared" ref="C139:D139" si="177">IF($B138&lt;&gt;"",C135,"")</f>
        <v/>
      </c>
      <c r="D139" s="93" t="str">
        <f t="shared" si="177"/>
        <v/>
      </c>
      <c r="E139" s="28"/>
      <c r="F139" s="28"/>
      <c r="G139" s="28"/>
      <c r="H139" s="28"/>
      <c r="I139" s="28"/>
      <c r="J139" s="28"/>
      <c r="K139" s="28"/>
      <c r="L139" s="28"/>
      <c r="M139" s="28"/>
      <c r="N139" s="28"/>
      <c r="O139" s="28"/>
      <c r="P139" s="28"/>
      <c r="Q139" s="28"/>
      <c r="R139" s="28"/>
      <c r="S139" s="28"/>
      <c r="T139" s="28"/>
      <c r="U139" s="28"/>
      <c r="V139" s="26"/>
      <c r="W139" s="31" t="e">
        <f>INDEX(TBL_LNG_IMPORTERS_CONNECTIONS[LNGImporterConnectionID],$A139)</f>
        <v>#REF!</v>
      </c>
      <c r="X139" s="31" t="e">
        <f>"LNGImporterCapMax_"&amp;RIGHT($W139,11)</f>
        <v>#REF!</v>
      </c>
    </row>
    <row r="140" spans="1:24" x14ac:dyDescent="0.25">
      <c r="A140" s="94">
        <f t="shared" si="176"/>
        <v>34</v>
      </c>
      <c r="B140" s="116"/>
      <c r="C140" s="93" t="str">
        <f t="shared" ref="C140:D140" si="178">IF($B138&lt;&gt;"",C136,"")</f>
        <v/>
      </c>
      <c r="D140" s="93" t="str">
        <f t="shared" si="178"/>
        <v/>
      </c>
      <c r="E140" s="27"/>
      <c r="F140" s="27"/>
      <c r="G140" s="27"/>
      <c r="H140" s="27"/>
      <c r="I140" s="27"/>
      <c r="J140" s="27"/>
      <c r="K140" s="27"/>
      <c r="L140" s="27"/>
      <c r="M140" s="27"/>
      <c r="N140" s="27"/>
      <c r="O140" s="27"/>
      <c r="P140" s="27"/>
      <c r="Q140" s="27"/>
      <c r="R140" s="27"/>
      <c r="S140" s="27"/>
      <c r="T140" s="27"/>
      <c r="U140" s="27"/>
      <c r="V140" s="25"/>
      <c r="W140" s="31" t="e">
        <f>INDEX(TBL_LNG_IMPORTERS_CONNECTIONS[LNGImporterConnectionID],$A140)</f>
        <v>#REF!</v>
      </c>
      <c r="X140" s="31" t="e">
        <f>"LNGImporterTariffFixed_"&amp;RIGHT($W140,11)</f>
        <v>#REF!</v>
      </c>
    </row>
    <row r="141" spans="1:24" x14ac:dyDescent="0.25">
      <c r="A141" s="94">
        <f t="shared" si="176"/>
        <v>34</v>
      </c>
      <c r="B141" s="117"/>
      <c r="C141" s="93" t="str">
        <f t="shared" ref="C141:D141" si="179">IF($B138&lt;&gt;"",C137,"")</f>
        <v/>
      </c>
      <c r="D141" s="93" t="str">
        <f t="shared" si="179"/>
        <v/>
      </c>
      <c r="E141" s="28"/>
      <c r="F141" s="28"/>
      <c r="G141" s="28"/>
      <c r="H141" s="28"/>
      <c r="I141" s="28"/>
      <c r="J141" s="28"/>
      <c r="K141" s="28"/>
      <c r="L141" s="28"/>
      <c r="M141" s="28"/>
      <c r="N141" s="28"/>
      <c r="O141" s="28"/>
      <c r="P141" s="28"/>
      <c r="Q141" s="28"/>
      <c r="R141" s="28"/>
      <c r="S141" s="28"/>
      <c r="T141" s="28"/>
      <c r="U141" s="28"/>
      <c r="V141" s="26"/>
      <c r="W141" s="31" t="e">
        <f>INDEX(TBL_LNG_IMPORTERS_CONNECTIONS[LNGImporterConnectionID],$A141)</f>
        <v>#REF!</v>
      </c>
      <c r="X141" s="31" t="e">
        <f>"LNGImporterTariffVar_"&amp;RIGHT($W141,11)</f>
        <v>#REF!</v>
      </c>
    </row>
    <row r="142" spans="1:24" x14ac:dyDescent="0.25">
      <c r="A142" s="94">
        <f t="shared" ref="A142" si="180">$A138+1</f>
        <v>35</v>
      </c>
      <c r="B142" s="115" t="str">
        <f>IFERROR(INDEX(TBL_LNG_IMPORTERS_CONNECTIONS[Name],$A142),"")</f>
        <v/>
      </c>
      <c r="C142" s="93" t="str">
        <f t="shared" ref="C142:D142" si="181">IF($B142&lt;&gt;"",C138,"")</f>
        <v/>
      </c>
      <c r="D142" s="93" t="str">
        <f t="shared" si="181"/>
        <v/>
      </c>
      <c r="E142" s="27"/>
      <c r="F142" s="27"/>
      <c r="G142" s="27"/>
      <c r="H142" s="27"/>
      <c r="I142" s="27"/>
      <c r="J142" s="27"/>
      <c r="K142" s="27"/>
      <c r="L142" s="27"/>
      <c r="M142" s="27"/>
      <c r="N142" s="27"/>
      <c r="O142" s="27"/>
      <c r="P142" s="27"/>
      <c r="Q142" s="27"/>
      <c r="R142" s="27"/>
      <c r="S142" s="27"/>
      <c r="T142" s="27"/>
      <c r="U142" s="27"/>
      <c r="V142" s="25"/>
      <c r="W142" s="31" t="e">
        <f>INDEX(TBL_LNG_IMPORTERS_CONNECTIONS[LNGImporterConnectionID],$A142)</f>
        <v>#REF!</v>
      </c>
      <c r="X142" s="31" t="e">
        <f>"LNGImporterCapMin_"&amp;RIGHT($W142,11)</f>
        <v>#REF!</v>
      </c>
    </row>
    <row r="143" spans="1:24" x14ac:dyDescent="0.25">
      <c r="A143" s="94">
        <f t="shared" ref="A143:A145" si="182">$A142</f>
        <v>35</v>
      </c>
      <c r="B143" s="116"/>
      <c r="C143" s="93" t="str">
        <f t="shared" ref="C143:D143" si="183">IF($B142&lt;&gt;"",C139,"")</f>
        <v/>
      </c>
      <c r="D143" s="93" t="str">
        <f t="shared" si="183"/>
        <v/>
      </c>
      <c r="E143" s="28"/>
      <c r="F143" s="28"/>
      <c r="G143" s="28"/>
      <c r="H143" s="28"/>
      <c r="I143" s="28"/>
      <c r="J143" s="28"/>
      <c r="K143" s="28"/>
      <c r="L143" s="28"/>
      <c r="M143" s="28"/>
      <c r="N143" s="28"/>
      <c r="O143" s="28"/>
      <c r="P143" s="28"/>
      <c r="Q143" s="28"/>
      <c r="R143" s="28"/>
      <c r="S143" s="28"/>
      <c r="T143" s="28"/>
      <c r="U143" s="28"/>
      <c r="V143" s="26"/>
      <c r="W143" s="31" t="e">
        <f>INDEX(TBL_LNG_IMPORTERS_CONNECTIONS[LNGImporterConnectionID],$A143)</f>
        <v>#REF!</v>
      </c>
      <c r="X143" s="31" t="e">
        <f>"LNGImporterCapMax_"&amp;RIGHT($W143,11)</f>
        <v>#REF!</v>
      </c>
    </row>
    <row r="144" spans="1:24" x14ac:dyDescent="0.25">
      <c r="A144" s="94">
        <f t="shared" si="182"/>
        <v>35</v>
      </c>
      <c r="B144" s="116"/>
      <c r="C144" s="93" t="str">
        <f t="shared" ref="C144:D144" si="184">IF($B142&lt;&gt;"",C140,"")</f>
        <v/>
      </c>
      <c r="D144" s="93" t="str">
        <f t="shared" si="184"/>
        <v/>
      </c>
      <c r="E144" s="27"/>
      <c r="F144" s="27"/>
      <c r="G144" s="27"/>
      <c r="H144" s="27"/>
      <c r="I144" s="27"/>
      <c r="J144" s="27"/>
      <c r="K144" s="27"/>
      <c r="L144" s="27"/>
      <c r="M144" s="27"/>
      <c r="N144" s="27"/>
      <c r="O144" s="27"/>
      <c r="P144" s="27"/>
      <c r="Q144" s="27"/>
      <c r="R144" s="27"/>
      <c r="S144" s="27"/>
      <c r="T144" s="27"/>
      <c r="U144" s="27"/>
      <c r="V144" s="25"/>
      <c r="W144" s="31" t="e">
        <f>INDEX(TBL_LNG_IMPORTERS_CONNECTIONS[LNGImporterConnectionID],$A144)</f>
        <v>#REF!</v>
      </c>
      <c r="X144" s="31" t="e">
        <f>"LNGImporterTariffFixed_"&amp;RIGHT($W144,11)</f>
        <v>#REF!</v>
      </c>
    </row>
    <row r="145" spans="1:24" x14ac:dyDescent="0.25">
      <c r="A145" s="94">
        <f t="shared" si="182"/>
        <v>35</v>
      </c>
      <c r="B145" s="117"/>
      <c r="C145" s="93" t="str">
        <f t="shared" ref="C145:D145" si="185">IF($B142&lt;&gt;"",C141,"")</f>
        <v/>
      </c>
      <c r="D145" s="93" t="str">
        <f t="shared" si="185"/>
        <v/>
      </c>
      <c r="E145" s="28"/>
      <c r="F145" s="28"/>
      <c r="G145" s="28"/>
      <c r="H145" s="28"/>
      <c r="I145" s="28"/>
      <c r="J145" s="28"/>
      <c r="K145" s="28"/>
      <c r="L145" s="28"/>
      <c r="M145" s="28"/>
      <c r="N145" s="28"/>
      <c r="O145" s="28"/>
      <c r="P145" s="28"/>
      <c r="Q145" s="28"/>
      <c r="R145" s="28"/>
      <c r="S145" s="28"/>
      <c r="T145" s="28"/>
      <c r="U145" s="28"/>
      <c r="V145" s="26"/>
      <c r="W145" s="31" t="e">
        <f>INDEX(TBL_LNG_IMPORTERS_CONNECTIONS[LNGImporterConnectionID],$A145)</f>
        <v>#REF!</v>
      </c>
      <c r="X145" s="31" t="e">
        <f>"LNGImporterTariffVar_"&amp;RIGHT($W145,11)</f>
        <v>#REF!</v>
      </c>
    </row>
    <row r="146" spans="1:24" x14ac:dyDescent="0.25">
      <c r="A146" s="94">
        <f t="shared" ref="A146" si="186">$A142+1</f>
        <v>36</v>
      </c>
      <c r="B146" s="115" t="str">
        <f>IFERROR(INDEX(TBL_LNG_IMPORTERS_CONNECTIONS[Name],$A146),"")</f>
        <v/>
      </c>
      <c r="C146" s="93" t="str">
        <f t="shared" ref="C146:D146" si="187">IF($B146&lt;&gt;"",C142,"")</f>
        <v/>
      </c>
      <c r="D146" s="93" t="str">
        <f t="shared" si="187"/>
        <v/>
      </c>
      <c r="E146" s="27"/>
      <c r="F146" s="27"/>
      <c r="G146" s="27"/>
      <c r="H146" s="27"/>
      <c r="I146" s="27"/>
      <c r="J146" s="27"/>
      <c r="K146" s="27"/>
      <c r="L146" s="27"/>
      <c r="M146" s="27"/>
      <c r="N146" s="27"/>
      <c r="O146" s="27"/>
      <c r="P146" s="27"/>
      <c r="Q146" s="27"/>
      <c r="R146" s="27"/>
      <c r="S146" s="27"/>
      <c r="T146" s="27"/>
      <c r="U146" s="27"/>
      <c r="V146" s="25"/>
      <c r="W146" s="31" t="e">
        <f>INDEX(TBL_LNG_IMPORTERS_CONNECTIONS[LNGImporterConnectionID],$A146)</f>
        <v>#REF!</v>
      </c>
      <c r="X146" s="31" t="e">
        <f>"LNGImporterCapMin_"&amp;RIGHT($W146,11)</f>
        <v>#REF!</v>
      </c>
    </row>
    <row r="147" spans="1:24" x14ac:dyDescent="0.25">
      <c r="A147" s="94">
        <f t="shared" ref="A147:A149" si="188">$A146</f>
        <v>36</v>
      </c>
      <c r="B147" s="116"/>
      <c r="C147" s="93" t="str">
        <f t="shared" ref="C147:D147" si="189">IF($B146&lt;&gt;"",C143,"")</f>
        <v/>
      </c>
      <c r="D147" s="93" t="str">
        <f t="shared" si="189"/>
        <v/>
      </c>
      <c r="E147" s="28"/>
      <c r="F147" s="28"/>
      <c r="G147" s="28"/>
      <c r="H147" s="28"/>
      <c r="I147" s="28"/>
      <c r="J147" s="28"/>
      <c r="K147" s="28"/>
      <c r="L147" s="28"/>
      <c r="M147" s="28"/>
      <c r="N147" s="28"/>
      <c r="O147" s="28"/>
      <c r="P147" s="28"/>
      <c r="Q147" s="28"/>
      <c r="R147" s="28"/>
      <c r="S147" s="28"/>
      <c r="T147" s="28"/>
      <c r="U147" s="28"/>
      <c r="V147" s="26"/>
      <c r="W147" s="31" t="e">
        <f>INDEX(TBL_LNG_IMPORTERS_CONNECTIONS[LNGImporterConnectionID],$A147)</f>
        <v>#REF!</v>
      </c>
      <c r="X147" s="31" t="e">
        <f>"LNGImporterCapMax_"&amp;RIGHT($W147,11)</f>
        <v>#REF!</v>
      </c>
    </row>
    <row r="148" spans="1:24" x14ac:dyDescent="0.25">
      <c r="A148" s="94">
        <f t="shared" si="188"/>
        <v>36</v>
      </c>
      <c r="B148" s="116"/>
      <c r="C148" s="93" t="str">
        <f t="shared" ref="C148:D148" si="190">IF($B146&lt;&gt;"",C144,"")</f>
        <v/>
      </c>
      <c r="D148" s="93" t="str">
        <f t="shared" si="190"/>
        <v/>
      </c>
      <c r="E148" s="27"/>
      <c r="F148" s="27"/>
      <c r="G148" s="27"/>
      <c r="H148" s="27"/>
      <c r="I148" s="27"/>
      <c r="J148" s="27"/>
      <c r="K148" s="27"/>
      <c r="L148" s="27"/>
      <c r="M148" s="27"/>
      <c r="N148" s="27"/>
      <c r="O148" s="27"/>
      <c r="P148" s="27"/>
      <c r="Q148" s="27"/>
      <c r="R148" s="27"/>
      <c r="S148" s="27"/>
      <c r="T148" s="27"/>
      <c r="U148" s="27"/>
      <c r="V148" s="25"/>
      <c r="W148" s="31" t="e">
        <f>INDEX(TBL_LNG_IMPORTERS_CONNECTIONS[LNGImporterConnectionID],$A148)</f>
        <v>#REF!</v>
      </c>
      <c r="X148" s="31" t="e">
        <f>"LNGImporterTariffFixed_"&amp;RIGHT($W148,11)</f>
        <v>#REF!</v>
      </c>
    </row>
    <row r="149" spans="1:24" x14ac:dyDescent="0.25">
      <c r="A149" s="94">
        <f t="shared" si="188"/>
        <v>36</v>
      </c>
      <c r="B149" s="117"/>
      <c r="C149" s="93" t="str">
        <f t="shared" ref="C149:D149" si="191">IF($B146&lt;&gt;"",C145,"")</f>
        <v/>
      </c>
      <c r="D149" s="93" t="str">
        <f t="shared" si="191"/>
        <v/>
      </c>
      <c r="E149" s="28"/>
      <c r="F149" s="28"/>
      <c r="G149" s="28"/>
      <c r="H149" s="28"/>
      <c r="I149" s="28"/>
      <c r="J149" s="28"/>
      <c r="K149" s="28"/>
      <c r="L149" s="28"/>
      <c r="M149" s="28"/>
      <c r="N149" s="28"/>
      <c r="O149" s="28"/>
      <c r="P149" s="28"/>
      <c r="Q149" s="28"/>
      <c r="R149" s="28"/>
      <c r="S149" s="28"/>
      <c r="T149" s="28"/>
      <c r="U149" s="28"/>
      <c r="V149" s="26"/>
      <c r="W149" s="31" t="e">
        <f>INDEX(TBL_LNG_IMPORTERS_CONNECTIONS[LNGImporterConnectionID],$A149)</f>
        <v>#REF!</v>
      </c>
      <c r="X149" s="31" t="e">
        <f>"LNGImporterTariffVar_"&amp;RIGHT($W149,11)</f>
        <v>#REF!</v>
      </c>
    </row>
    <row r="150" spans="1:24" x14ac:dyDescent="0.25">
      <c r="A150" s="94">
        <f t="shared" ref="A150" si="192">$A146+1</f>
        <v>37</v>
      </c>
      <c r="B150" s="115" t="str">
        <f>IFERROR(INDEX(TBL_LNG_IMPORTERS_CONNECTIONS[Name],$A150),"")</f>
        <v/>
      </c>
      <c r="C150" s="93" t="str">
        <f t="shared" ref="C150:D150" si="193">IF($B150&lt;&gt;"",C146,"")</f>
        <v/>
      </c>
      <c r="D150" s="93" t="str">
        <f t="shared" si="193"/>
        <v/>
      </c>
      <c r="E150" s="27"/>
      <c r="F150" s="27"/>
      <c r="G150" s="27"/>
      <c r="H150" s="27"/>
      <c r="I150" s="27"/>
      <c r="J150" s="27"/>
      <c r="K150" s="27"/>
      <c r="L150" s="27"/>
      <c r="M150" s="27"/>
      <c r="N150" s="27"/>
      <c r="O150" s="27"/>
      <c r="P150" s="27"/>
      <c r="Q150" s="27"/>
      <c r="R150" s="27"/>
      <c r="S150" s="27"/>
      <c r="T150" s="27"/>
      <c r="U150" s="27"/>
      <c r="V150" s="25"/>
      <c r="W150" s="31" t="e">
        <f>INDEX(TBL_LNG_IMPORTERS_CONNECTIONS[LNGImporterConnectionID],$A150)</f>
        <v>#REF!</v>
      </c>
      <c r="X150" s="31" t="e">
        <f>"LNGImporterCapMin_"&amp;RIGHT($W150,11)</f>
        <v>#REF!</v>
      </c>
    </row>
    <row r="151" spans="1:24" x14ac:dyDescent="0.25">
      <c r="A151" s="94">
        <f t="shared" ref="A151:A153" si="194">$A150</f>
        <v>37</v>
      </c>
      <c r="B151" s="116"/>
      <c r="C151" s="93" t="str">
        <f t="shared" ref="C151:D151" si="195">IF($B150&lt;&gt;"",C147,"")</f>
        <v/>
      </c>
      <c r="D151" s="93" t="str">
        <f t="shared" si="195"/>
        <v/>
      </c>
      <c r="E151" s="28"/>
      <c r="F151" s="28"/>
      <c r="G151" s="28"/>
      <c r="H151" s="28"/>
      <c r="I151" s="28"/>
      <c r="J151" s="28"/>
      <c r="K151" s="28"/>
      <c r="L151" s="28"/>
      <c r="M151" s="28"/>
      <c r="N151" s="28"/>
      <c r="O151" s="28"/>
      <c r="P151" s="28"/>
      <c r="Q151" s="28"/>
      <c r="R151" s="28"/>
      <c r="S151" s="28"/>
      <c r="T151" s="28"/>
      <c r="U151" s="28"/>
      <c r="V151" s="26"/>
      <c r="W151" s="31" t="e">
        <f>INDEX(TBL_LNG_IMPORTERS_CONNECTIONS[LNGImporterConnectionID],$A151)</f>
        <v>#REF!</v>
      </c>
      <c r="X151" s="31" t="e">
        <f>"LNGImporterCapMax_"&amp;RIGHT($W151,11)</f>
        <v>#REF!</v>
      </c>
    </row>
    <row r="152" spans="1:24" x14ac:dyDescent="0.25">
      <c r="A152" s="94">
        <f t="shared" si="194"/>
        <v>37</v>
      </c>
      <c r="B152" s="116"/>
      <c r="C152" s="93" t="str">
        <f t="shared" ref="C152:D152" si="196">IF($B150&lt;&gt;"",C148,"")</f>
        <v/>
      </c>
      <c r="D152" s="93" t="str">
        <f t="shared" si="196"/>
        <v/>
      </c>
      <c r="E152" s="27"/>
      <c r="F152" s="27"/>
      <c r="G152" s="27"/>
      <c r="H152" s="27"/>
      <c r="I152" s="27"/>
      <c r="J152" s="27"/>
      <c r="K152" s="27"/>
      <c r="L152" s="27"/>
      <c r="M152" s="27"/>
      <c r="N152" s="27"/>
      <c r="O152" s="27"/>
      <c r="P152" s="27"/>
      <c r="Q152" s="27"/>
      <c r="R152" s="27"/>
      <c r="S152" s="27"/>
      <c r="T152" s="27"/>
      <c r="U152" s="27"/>
      <c r="V152" s="25"/>
      <c r="W152" s="31" t="e">
        <f>INDEX(TBL_LNG_IMPORTERS_CONNECTIONS[LNGImporterConnectionID],$A152)</f>
        <v>#REF!</v>
      </c>
      <c r="X152" s="31" t="e">
        <f>"LNGImporterTariffFixed_"&amp;RIGHT($W152,11)</f>
        <v>#REF!</v>
      </c>
    </row>
    <row r="153" spans="1:24" x14ac:dyDescent="0.25">
      <c r="A153" s="94">
        <f t="shared" si="194"/>
        <v>37</v>
      </c>
      <c r="B153" s="117"/>
      <c r="C153" s="93" t="str">
        <f t="shared" ref="C153:D153" si="197">IF($B150&lt;&gt;"",C149,"")</f>
        <v/>
      </c>
      <c r="D153" s="93" t="str">
        <f t="shared" si="197"/>
        <v/>
      </c>
      <c r="E153" s="28"/>
      <c r="F153" s="28"/>
      <c r="G153" s="28"/>
      <c r="H153" s="28"/>
      <c r="I153" s="28"/>
      <c r="J153" s="28"/>
      <c r="K153" s="28"/>
      <c r="L153" s="28"/>
      <c r="M153" s="28"/>
      <c r="N153" s="28"/>
      <c r="O153" s="28"/>
      <c r="P153" s="28"/>
      <c r="Q153" s="28"/>
      <c r="R153" s="28"/>
      <c r="S153" s="28"/>
      <c r="T153" s="28"/>
      <c r="U153" s="28"/>
      <c r="V153" s="26"/>
      <c r="W153" s="31" t="e">
        <f>INDEX(TBL_LNG_IMPORTERS_CONNECTIONS[LNGImporterConnectionID],$A153)</f>
        <v>#REF!</v>
      </c>
      <c r="X153" s="31" t="e">
        <f>"LNGImporterTariffVar_"&amp;RIGHT($W153,11)</f>
        <v>#REF!</v>
      </c>
    </row>
    <row r="154" spans="1:24" x14ac:dyDescent="0.25">
      <c r="A154" s="94">
        <f t="shared" ref="A154" si="198">$A150+1</f>
        <v>38</v>
      </c>
      <c r="B154" s="115" t="str">
        <f>IFERROR(INDEX(TBL_LNG_IMPORTERS_CONNECTIONS[Name],$A154),"")</f>
        <v/>
      </c>
      <c r="C154" s="93" t="str">
        <f t="shared" ref="C154:D154" si="199">IF($B154&lt;&gt;"",C150,"")</f>
        <v/>
      </c>
      <c r="D154" s="93" t="str">
        <f t="shared" si="199"/>
        <v/>
      </c>
      <c r="E154" s="27"/>
      <c r="F154" s="27"/>
      <c r="G154" s="27"/>
      <c r="H154" s="27"/>
      <c r="I154" s="27"/>
      <c r="J154" s="27"/>
      <c r="K154" s="27"/>
      <c r="L154" s="27"/>
      <c r="M154" s="27"/>
      <c r="N154" s="27"/>
      <c r="O154" s="27"/>
      <c r="P154" s="27"/>
      <c r="Q154" s="27"/>
      <c r="R154" s="27"/>
      <c r="S154" s="27"/>
      <c r="T154" s="27"/>
      <c r="U154" s="27"/>
      <c r="V154" s="25"/>
      <c r="W154" s="31" t="e">
        <f>INDEX(TBL_LNG_IMPORTERS_CONNECTIONS[LNGImporterConnectionID],$A154)</f>
        <v>#REF!</v>
      </c>
      <c r="X154" s="31" t="e">
        <f>"LNGImporterCapMin_"&amp;RIGHT($W154,11)</f>
        <v>#REF!</v>
      </c>
    </row>
    <row r="155" spans="1:24" x14ac:dyDescent="0.25">
      <c r="A155" s="94">
        <f t="shared" ref="A155:A157" si="200">$A154</f>
        <v>38</v>
      </c>
      <c r="B155" s="116"/>
      <c r="C155" s="93" t="str">
        <f t="shared" ref="C155:D155" si="201">IF($B154&lt;&gt;"",C151,"")</f>
        <v/>
      </c>
      <c r="D155" s="93" t="str">
        <f t="shared" si="201"/>
        <v/>
      </c>
      <c r="E155" s="28"/>
      <c r="F155" s="28"/>
      <c r="G155" s="28"/>
      <c r="H155" s="28"/>
      <c r="I155" s="28"/>
      <c r="J155" s="28"/>
      <c r="K155" s="28"/>
      <c r="L155" s="28"/>
      <c r="M155" s="28"/>
      <c r="N155" s="28"/>
      <c r="O155" s="28"/>
      <c r="P155" s="28"/>
      <c r="Q155" s="28"/>
      <c r="R155" s="28"/>
      <c r="S155" s="28"/>
      <c r="T155" s="28"/>
      <c r="U155" s="28"/>
      <c r="V155" s="26"/>
      <c r="W155" s="31" t="e">
        <f>INDEX(TBL_LNG_IMPORTERS_CONNECTIONS[LNGImporterConnectionID],$A155)</f>
        <v>#REF!</v>
      </c>
      <c r="X155" s="31" t="e">
        <f>"LNGImporterCapMax_"&amp;RIGHT($W155,11)</f>
        <v>#REF!</v>
      </c>
    </row>
    <row r="156" spans="1:24" x14ac:dyDescent="0.25">
      <c r="A156" s="94">
        <f t="shared" si="200"/>
        <v>38</v>
      </c>
      <c r="B156" s="116"/>
      <c r="C156" s="93" t="str">
        <f t="shared" ref="C156:D156" si="202">IF($B154&lt;&gt;"",C152,"")</f>
        <v/>
      </c>
      <c r="D156" s="93" t="str">
        <f t="shared" si="202"/>
        <v/>
      </c>
      <c r="E156" s="27"/>
      <c r="F156" s="27"/>
      <c r="G156" s="27"/>
      <c r="H156" s="27"/>
      <c r="I156" s="27"/>
      <c r="J156" s="27"/>
      <c r="K156" s="27"/>
      <c r="L156" s="27"/>
      <c r="M156" s="27"/>
      <c r="N156" s="27"/>
      <c r="O156" s="27"/>
      <c r="P156" s="27"/>
      <c r="Q156" s="27"/>
      <c r="R156" s="27"/>
      <c r="S156" s="27"/>
      <c r="T156" s="27"/>
      <c r="U156" s="27"/>
      <c r="V156" s="25"/>
      <c r="W156" s="31" t="e">
        <f>INDEX(TBL_LNG_IMPORTERS_CONNECTIONS[LNGImporterConnectionID],$A156)</f>
        <v>#REF!</v>
      </c>
      <c r="X156" s="31" t="e">
        <f>"LNGImporterTariffFixed_"&amp;RIGHT($W156,11)</f>
        <v>#REF!</v>
      </c>
    </row>
    <row r="157" spans="1:24" x14ac:dyDescent="0.25">
      <c r="A157" s="94">
        <f t="shared" si="200"/>
        <v>38</v>
      </c>
      <c r="B157" s="117"/>
      <c r="C157" s="93" t="str">
        <f t="shared" ref="C157:D157" si="203">IF($B154&lt;&gt;"",C153,"")</f>
        <v/>
      </c>
      <c r="D157" s="93" t="str">
        <f t="shared" si="203"/>
        <v/>
      </c>
      <c r="E157" s="28"/>
      <c r="F157" s="28"/>
      <c r="G157" s="28"/>
      <c r="H157" s="28"/>
      <c r="I157" s="28"/>
      <c r="J157" s="28"/>
      <c r="K157" s="28"/>
      <c r="L157" s="28"/>
      <c r="M157" s="28"/>
      <c r="N157" s="28"/>
      <c r="O157" s="28"/>
      <c r="P157" s="28"/>
      <c r="Q157" s="28"/>
      <c r="R157" s="28"/>
      <c r="S157" s="28"/>
      <c r="T157" s="28"/>
      <c r="U157" s="28"/>
      <c r="V157" s="26"/>
      <c r="W157" s="31" t="e">
        <f>INDEX(TBL_LNG_IMPORTERS_CONNECTIONS[LNGImporterConnectionID],$A157)</f>
        <v>#REF!</v>
      </c>
      <c r="X157" s="31" t="e">
        <f>"LNGImporterTariffVar_"&amp;RIGHT($W157,11)</f>
        <v>#REF!</v>
      </c>
    </row>
    <row r="158" spans="1:24" x14ac:dyDescent="0.25">
      <c r="A158" s="94">
        <f t="shared" ref="A158" si="204">$A154+1</f>
        <v>39</v>
      </c>
      <c r="B158" s="115" t="str">
        <f>IFERROR(INDEX(TBL_LNG_IMPORTERS_CONNECTIONS[Name],$A158),"")</f>
        <v/>
      </c>
      <c r="C158" s="93" t="str">
        <f t="shared" ref="C158:D158" si="205">IF($B158&lt;&gt;"",C154,"")</f>
        <v/>
      </c>
      <c r="D158" s="93" t="str">
        <f t="shared" si="205"/>
        <v/>
      </c>
      <c r="E158" s="27"/>
      <c r="F158" s="27"/>
      <c r="G158" s="27"/>
      <c r="H158" s="27"/>
      <c r="I158" s="27"/>
      <c r="J158" s="27"/>
      <c r="K158" s="27"/>
      <c r="L158" s="27"/>
      <c r="M158" s="27"/>
      <c r="N158" s="27"/>
      <c r="O158" s="27"/>
      <c r="P158" s="27"/>
      <c r="Q158" s="27"/>
      <c r="R158" s="27"/>
      <c r="S158" s="27"/>
      <c r="T158" s="27"/>
      <c r="U158" s="27"/>
      <c r="V158" s="25"/>
      <c r="W158" s="31" t="e">
        <f>INDEX(TBL_LNG_IMPORTERS_CONNECTIONS[LNGImporterConnectionID],$A158)</f>
        <v>#REF!</v>
      </c>
      <c r="X158" s="31" t="e">
        <f>"LNGImporterCapMin_"&amp;RIGHT($W158,11)</f>
        <v>#REF!</v>
      </c>
    </row>
    <row r="159" spans="1:24" x14ac:dyDescent="0.25">
      <c r="A159" s="94">
        <f t="shared" ref="A159:A177" si="206">$A158</f>
        <v>39</v>
      </c>
      <c r="B159" s="116"/>
      <c r="C159" s="93" t="str">
        <f t="shared" ref="C159:D159" si="207">IF($B158&lt;&gt;"",C155,"")</f>
        <v/>
      </c>
      <c r="D159" s="93" t="str">
        <f t="shared" si="207"/>
        <v/>
      </c>
      <c r="E159" s="28"/>
      <c r="F159" s="28"/>
      <c r="G159" s="28"/>
      <c r="H159" s="28"/>
      <c r="I159" s="28"/>
      <c r="J159" s="28"/>
      <c r="K159" s="28"/>
      <c r="L159" s="28"/>
      <c r="M159" s="28"/>
      <c r="N159" s="28"/>
      <c r="O159" s="28"/>
      <c r="P159" s="28"/>
      <c r="Q159" s="28"/>
      <c r="R159" s="28"/>
      <c r="S159" s="28"/>
      <c r="T159" s="28"/>
      <c r="U159" s="28"/>
      <c r="V159" s="26"/>
      <c r="W159" s="31" t="e">
        <f>INDEX(TBL_LNG_IMPORTERS_CONNECTIONS[LNGImporterConnectionID],$A159)</f>
        <v>#REF!</v>
      </c>
      <c r="X159" s="31" t="e">
        <f>"LNGImporterCapMax_"&amp;RIGHT($W159,11)</f>
        <v>#REF!</v>
      </c>
    </row>
    <row r="160" spans="1:24" x14ac:dyDescent="0.25">
      <c r="A160" s="94">
        <f t="shared" si="206"/>
        <v>39</v>
      </c>
      <c r="B160" s="116"/>
      <c r="C160" s="93" t="str">
        <f t="shared" ref="C160:D160" si="208">IF($B158&lt;&gt;"",C156,"")</f>
        <v/>
      </c>
      <c r="D160" s="93" t="str">
        <f t="shared" si="208"/>
        <v/>
      </c>
      <c r="E160" s="27"/>
      <c r="F160" s="27"/>
      <c r="G160" s="27"/>
      <c r="H160" s="27"/>
      <c r="I160" s="27"/>
      <c r="J160" s="27"/>
      <c r="K160" s="27"/>
      <c r="L160" s="27"/>
      <c r="M160" s="27"/>
      <c r="N160" s="27"/>
      <c r="O160" s="27"/>
      <c r="P160" s="27"/>
      <c r="Q160" s="27"/>
      <c r="R160" s="27"/>
      <c r="S160" s="27"/>
      <c r="T160" s="27"/>
      <c r="U160" s="27"/>
      <c r="V160" s="25"/>
      <c r="W160" s="31" t="e">
        <f>INDEX(TBL_LNG_IMPORTERS_CONNECTIONS[LNGImporterConnectionID],$A160)</f>
        <v>#REF!</v>
      </c>
      <c r="X160" s="31" t="e">
        <f>"LNGImporterTariffFixed_"&amp;RIGHT($W160,11)</f>
        <v>#REF!</v>
      </c>
    </row>
    <row r="161" spans="1:24" x14ac:dyDescent="0.25">
      <c r="A161" s="94">
        <f t="shared" si="206"/>
        <v>39</v>
      </c>
      <c r="B161" s="117"/>
      <c r="C161" s="93" t="str">
        <f t="shared" ref="C161:D161" si="209">IF($B158&lt;&gt;"",C157,"")</f>
        <v/>
      </c>
      <c r="D161" s="93" t="str">
        <f t="shared" si="209"/>
        <v/>
      </c>
      <c r="E161" s="28"/>
      <c r="F161" s="28"/>
      <c r="G161" s="28"/>
      <c r="H161" s="28"/>
      <c r="I161" s="28"/>
      <c r="J161" s="28"/>
      <c r="K161" s="28"/>
      <c r="L161" s="28"/>
      <c r="M161" s="28"/>
      <c r="N161" s="28"/>
      <c r="O161" s="28"/>
      <c r="P161" s="28"/>
      <c r="Q161" s="28"/>
      <c r="R161" s="28"/>
      <c r="S161" s="28"/>
      <c r="T161" s="28"/>
      <c r="U161" s="28"/>
      <c r="V161" s="26"/>
      <c r="W161" s="31" t="e">
        <f>INDEX(TBL_LNG_IMPORTERS_CONNECTIONS[LNGImporterConnectionID],$A161)</f>
        <v>#REF!</v>
      </c>
      <c r="X161" s="31" t="e">
        <f>"LNGImporterTariffVar_"&amp;RIGHT($W161,11)</f>
        <v>#REF!</v>
      </c>
    </row>
    <row r="162" spans="1:24" x14ac:dyDescent="0.25">
      <c r="A162" s="94">
        <f t="shared" ref="A162" si="210">$A158+1</f>
        <v>40</v>
      </c>
      <c r="B162" s="115" t="str">
        <f>IFERROR(INDEX(TBL_LNG_IMPORTERS_CONNECTIONS[Name],$A162),"")</f>
        <v/>
      </c>
      <c r="C162" s="93" t="str">
        <f t="shared" ref="C162:D162" si="211">IF($B162&lt;&gt;"",C158,"")</f>
        <v/>
      </c>
      <c r="D162" s="93" t="str">
        <f t="shared" si="211"/>
        <v/>
      </c>
      <c r="E162" s="27"/>
      <c r="F162" s="27"/>
      <c r="G162" s="27"/>
      <c r="H162" s="27"/>
      <c r="I162" s="27"/>
      <c r="J162" s="27"/>
      <c r="K162" s="27"/>
      <c r="L162" s="27"/>
      <c r="M162" s="27"/>
      <c r="N162" s="27"/>
      <c r="O162" s="27"/>
      <c r="P162" s="27"/>
      <c r="Q162" s="27"/>
      <c r="R162" s="27"/>
      <c r="S162" s="27"/>
      <c r="T162" s="27"/>
      <c r="U162" s="27"/>
      <c r="V162" s="25"/>
      <c r="W162" s="31" t="e">
        <f>INDEX(TBL_LNG_IMPORTERS_CONNECTIONS[LNGImporterConnectionID],$A162)</f>
        <v>#REF!</v>
      </c>
      <c r="X162" s="31" t="e">
        <f>"LNGImporterCapMin_"&amp;RIGHT($W162,11)</f>
        <v>#REF!</v>
      </c>
    </row>
    <row r="163" spans="1:24" x14ac:dyDescent="0.25">
      <c r="A163" s="94">
        <f t="shared" si="206"/>
        <v>40</v>
      </c>
      <c r="B163" s="116"/>
      <c r="C163" s="93" t="str">
        <f t="shared" ref="C163:D163" si="212">IF($B162&lt;&gt;"",C159,"")</f>
        <v/>
      </c>
      <c r="D163" s="93" t="str">
        <f t="shared" si="212"/>
        <v/>
      </c>
      <c r="E163" s="28"/>
      <c r="F163" s="28"/>
      <c r="G163" s="28"/>
      <c r="H163" s="28"/>
      <c r="I163" s="28"/>
      <c r="J163" s="28"/>
      <c r="K163" s="28"/>
      <c r="L163" s="28"/>
      <c r="M163" s="28"/>
      <c r="N163" s="28"/>
      <c r="O163" s="28"/>
      <c r="P163" s="28"/>
      <c r="Q163" s="28"/>
      <c r="R163" s="28"/>
      <c r="S163" s="28"/>
      <c r="T163" s="28"/>
      <c r="U163" s="28"/>
      <c r="V163" s="26"/>
      <c r="W163" s="31" t="e">
        <f>INDEX(TBL_LNG_IMPORTERS_CONNECTIONS[LNGImporterConnectionID],$A163)</f>
        <v>#REF!</v>
      </c>
      <c r="X163" s="31" t="e">
        <f>"LNGImporterCapMax_"&amp;RIGHT($W163,11)</f>
        <v>#REF!</v>
      </c>
    </row>
    <row r="164" spans="1:24" x14ac:dyDescent="0.25">
      <c r="A164" s="94">
        <f t="shared" si="206"/>
        <v>40</v>
      </c>
      <c r="B164" s="116"/>
      <c r="C164" s="93" t="str">
        <f t="shared" ref="C164:D164" si="213">IF($B162&lt;&gt;"",C160,"")</f>
        <v/>
      </c>
      <c r="D164" s="93" t="str">
        <f t="shared" si="213"/>
        <v/>
      </c>
      <c r="E164" s="27"/>
      <c r="F164" s="27"/>
      <c r="G164" s="27"/>
      <c r="H164" s="27"/>
      <c r="I164" s="27"/>
      <c r="J164" s="27"/>
      <c r="K164" s="27"/>
      <c r="L164" s="27"/>
      <c r="M164" s="27"/>
      <c r="N164" s="27"/>
      <c r="O164" s="27"/>
      <c r="P164" s="27"/>
      <c r="Q164" s="27"/>
      <c r="R164" s="27"/>
      <c r="S164" s="27"/>
      <c r="T164" s="27"/>
      <c r="U164" s="27"/>
      <c r="V164" s="25"/>
      <c r="W164" s="31" t="e">
        <f>INDEX(TBL_LNG_IMPORTERS_CONNECTIONS[LNGImporterConnectionID],$A164)</f>
        <v>#REF!</v>
      </c>
      <c r="X164" s="31" t="e">
        <f>"LNGImporterTariffFixed_"&amp;RIGHT($W164,11)</f>
        <v>#REF!</v>
      </c>
    </row>
    <row r="165" spans="1:24" x14ac:dyDescent="0.25">
      <c r="A165" s="94">
        <f t="shared" si="206"/>
        <v>40</v>
      </c>
      <c r="B165" s="117"/>
      <c r="C165" s="93" t="str">
        <f t="shared" ref="C165:D165" si="214">IF($B162&lt;&gt;"",C161,"")</f>
        <v/>
      </c>
      <c r="D165" s="93" t="str">
        <f t="shared" si="214"/>
        <v/>
      </c>
      <c r="E165" s="28"/>
      <c r="F165" s="28"/>
      <c r="G165" s="28"/>
      <c r="H165" s="28"/>
      <c r="I165" s="28"/>
      <c r="J165" s="28"/>
      <c r="K165" s="28"/>
      <c r="L165" s="28"/>
      <c r="M165" s="28"/>
      <c r="N165" s="28"/>
      <c r="O165" s="28"/>
      <c r="P165" s="28"/>
      <c r="Q165" s="28"/>
      <c r="R165" s="28"/>
      <c r="S165" s="28"/>
      <c r="T165" s="28"/>
      <c r="U165" s="28"/>
      <c r="V165" s="26"/>
      <c r="W165" s="31" t="e">
        <f>INDEX(TBL_LNG_IMPORTERS_CONNECTIONS[LNGImporterConnectionID],$A165)</f>
        <v>#REF!</v>
      </c>
      <c r="X165" s="31" t="e">
        <f>"LNGImporterTariffVar_"&amp;RIGHT($W165,11)</f>
        <v>#REF!</v>
      </c>
    </row>
    <row r="166" spans="1:24" x14ac:dyDescent="0.25">
      <c r="A166" s="94">
        <f t="shared" ref="A166" si="215">$A162+1</f>
        <v>41</v>
      </c>
      <c r="B166" s="115" t="str">
        <f>IFERROR(INDEX(TBL_LNG_IMPORTERS_CONNECTIONS[Name],$A166),"")</f>
        <v/>
      </c>
      <c r="C166" s="93" t="str">
        <f t="shared" ref="C166:D166" si="216">IF($B166&lt;&gt;"",C162,"")</f>
        <v/>
      </c>
      <c r="D166" s="93" t="str">
        <f t="shared" si="216"/>
        <v/>
      </c>
      <c r="E166" s="27"/>
      <c r="F166" s="27"/>
      <c r="G166" s="27"/>
      <c r="H166" s="27"/>
      <c r="I166" s="27"/>
      <c r="J166" s="27"/>
      <c r="K166" s="27"/>
      <c r="L166" s="27"/>
      <c r="M166" s="27"/>
      <c r="N166" s="27"/>
      <c r="O166" s="27"/>
      <c r="P166" s="27"/>
      <c r="Q166" s="27"/>
      <c r="R166" s="27"/>
      <c r="S166" s="27"/>
      <c r="T166" s="27"/>
      <c r="U166" s="27"/>
      <c r="V166" s="25"/>
      <c r="W166" s="31" t="e">
        <f>INDEX(TBL_LNG_IMPORTERS_CONNECTIONS[LNGImporterConnectionID],$A166)</f>
        <v>#REF!</v>
      </c>
      <c r="X166" s="31" t="e">
        <f>"LNGImporterCapMin_"&amp;RIGHT($W166,11)</f>
        <v>#REF!</v>
      </c>
    </row>
    <row r="167" spans="1:24" x14ac:dyDescent="0.25">
      <c r="A167" s="94">
        <f t="shared" si="206"/>
        <v>41</v>
      </c>
      <c r="B167" s="116"/>
      <c r="C167" s="93" t="str">
        <f t="shared" ref="C167:D167" si="217">IF($B166&lt;&gt;"",C163,"")</f>
        <v/>
      </c>
      <c r="D167" s="93" t="str">
        <f t="shared" si="217"/>
        <v/>
      </c>
      <c r="E167" s="28"/>
      <c r="F167" s="28"/>
      <c r="G167" s="28"/>
      <c r="H167" s="28"/>
      <c r="I167" s="28"/>
      <c r="J167" s="28"/>
      <c r="K167" s="28"/>
      <c r="L167" s="28"/>
      <c r="M167" s="28"/>
      <c r="N167" s="28"/>
      <c r="O167" s="28"/>
      <c r="P167" s="28"/>
      <c r="Q167" s="28"/>
      <c r="R167" s="28"/>
      <c r="S167" s="28"/>
      <c r="T167" s="28"/>
      <c r="U167" s="28"/>
      <c r="V167" s="26"/>
      <c r="W167" s="31" t="e">
        <f>INDEX(TBL_LNG_IMPORTERS_CONNECTIONS[LNGImporterConnectionID],$A167)</f>
        <v>#REF!</v>
      </c>
      <c r="X167" s="31" t="e">
        <f>"LNGImporterCapMax_"&amp;RIGHT($W167,11)</f>
        <v>#REF!</v>
      </c>
    </row>
    <row r="168" spans="1:24" x14ac:dyDescent="0.25">
      <c r="A168" s="94">
        <f t="shared" si="206"/>
        <v>41</v>
      </c>
      <c r="B168" s="116"/>
      <c r="C168" s="93" t="str">
        <f t="shared" ref="C168:D168" si="218">IF($B166&lt;&gt;"",C164,"")</f>
        <v/>
      </c>
      <c r="D168" s="93" t="str">
        <f t="shared" si="218"/>
        <v/>
      </c>
      <c r="E168" s="27"/>
      <c r="F168" s="27"/>
      <c r="G168" s="27"/>
      <c r="H168" s="27"/>
      <c r="I168" s="27"/>
      <c r="J168" s="27"/>
      <c r="K168" s="27"/>
      <c r="L168" s="27"/>
      <c r="M168" s="27"/>
      <c r="N168" s="27"/>
      <c r="O168" s="27"/>
      <c r="P168" s="27"/>
      <c r="Q168" s="27"/>
      <c r="R168" s="27"/>
      <c r="S168" s="27"/>
      <c r="T168" s="27"/>
      <c r="U168" s="27"/>
      <c r="V168" s="25"/>
      <c r="W168" s="31" t="e">
        <f>INDEX(TBL_LNG_IMPORTERS_CONNECTIONS[LNGImporterConnectionID],$A168)</f>
        <v>#REF!</v>
      </c>
      <c r="X168" s="31" t="e">
        <f>"LNGImporterTariffFixed_"&amp;RIGHT($W168,11)</f>
        <v>#REF!</v>
      </c>
    </row>
    <row r="169" spans="1:24" x14ac:dyDescent="0.25">
      <c r="A169" s="94">
        <f t="shared" si="206"/>
        <v>41</v>
      </c>
      <c r="B169" s="117"/>
      <c r="C169" s="93" t="str">
        <f t="shared" ref="C169:D169" si="219">IF($B166&lt;&gt;"",C165,"")</f>
        <v/>
      </c>
      <c r="D169" s="93" t="str">
        <f t="shared" si="219"/>
        <v/>
      </c>
      <c r="E169" s="28"/>
      <c r="F169" s="28"/>
      <c r="G169" s="28"/>
      <c r="H169" s="28"/>
      <c r="I169" s="28"/>
      <c r="J169" s="28"/>
      <c r="K169" s="28"/>
      <c r="L169" s="28"/>
      <c r="M169" s="28"/>
      <c r="N169" s="28"/>
      <c r="O169" s="28"/>
      <c r="P169" s="28"/>
      <c r="Q169" s="28"/>
      <c r="R169" s="28"/>
      <c r="S169" s="28"/>
      <c r="T169" s="28"/>
      <c r="U169" s="28"/>
      <c r="V169" s="26"/>
      <c r="W169" s="31" t="e">
        <f>INDEX(TBL_LNG_IMPORTERS_CONNECTIONS[LNGImporterConnectionID],$A169)</f>
        <v>#REF!</v>
      </c>
      <c r="X169" s="31" t="e">
        <f>"LNGImporterTariffVar_"&amp;RIGHT($W169,11)</f>
        <v>#REF!</v>
      </c>
    </row>
    <row r="170" spans="1:24" x14ac:dyDescent="0.25">
      <c r="A170" s="94">
        <f t="shared" ref="A170" si="220">$A166+1</f>
        <v>42</v>
      </c>
      <c r="B170" s="115" t="str">
        <f>IFERROR(INDEX(TBL_LNG_IMPORTERS_CONNECTIONS[Name],$A170),"")</f>
        <v/>
      </c>
      <c r="C170" s="93" t="str">
        <f t="shared" ref="C170:D170" si="221">IF($B170&lt;&gt;"",C166,"")</f>
        <v/>
      </c>
      <c r="D170" s="93" t="str">
        <f t="shared" si="221"/>
        <v/>
      </c>
      <c r="E170" s="27"/>
      <c r="F170" s="27"/>
      <c r="G170" s="27"/>
      <c r="H170" s="27"/>
      <c r="I170" s="27"/>
      <c r="J170" s="27"/>
      <c r="K170" s="27"/>
      <c r="L170" s="27"/>
      <c r="M170" s="27"/>
      <c r="N170" s="27"/>
      <c r="O170" s="27"/>
      <c r="P170" s="27"/>
      <c r="Q170" s="27"/>
      <c r="R170" s="27"/>
      <c r="S170" s="27"/>
      <c r="T170" s="27"/>
      <c r="U170" s="27"/>
      <c r="V170" s="25"/>
      <c r="W170" s="31" t="e">
        <f>INDEX(TBL_LNG_IMPORTERS_CONNECTIONS[LNGImporterConnectionID],$A170)</f>
        <v>#REF!</v>
      </c>
      <c r="X170" s="31" t="e">
        <f>"LNGImporterCapMin_"&amp;RIGHT($W170,11)</f>
        <v>#REF!</v>
      </c>
    </row>
    <row r="171" spans="1:24" x14ac:dyDescent="0.25">
      <c r="A171" s="94">
        <f t="shared" si="206"/>
        <v>42</v>
      </c>
      <c r="B171" s="116"/>
      <c r="C171" s="93" t="str">
        <f t="shared" ref="C171:D171" si="222">IF($B170&lt;&gt;"",C167,"")</f>
        <v/>
      </c>
      <c r="D171" s="93" t="str">
        <f t="shared" si="222"/>
        <v/>
      </c>
      <c r="E171" s="28"/>
      <c r="F171" s="28"/>
      <c r="G171" s="28"/>
      <c r="H171" s="28"/>
      <c r="I171" s="28"/>
      <c r="J171" s="28"/>
      <c r="K171" s="28"/>
      <c r="L171" s="28"/>
      <c r="M171" s="28"/>
      <c r="N171" s="28"/>
      <c r="O171" s="28"/>
      <c r="P171" s="28"/>
      <c r="Q171" s="28"/>
      <c r="R171" s="28"/>
      <c r="S171" s="28"/>
      <c r="T171" s="28"/>
      <c r="U171" s="28"/>
      <c r="V171" s="26"/>
      <c r="W171" s="31" t="e">
        <f>INDEX(TBL_LNG_IMPORTERS_CONNECTIONS[LNGImporterConnectionID],$A171)</f>
        <v>#REF!</v>
      </c>
      <c r="X171" s="31" t="e">
        <f>"LNGImporterCapMax_"&amp;RIGHT($W171,11)</f>
        <v>#REF!</v>
      </c>
    </row>
    <row r="172" spans="1:24" x14ac:dyDescent="0.25">
      <c r="A172" s="94">
        <f t="shared" si="206"/>
        <v>42</v>
      </c>
      <c r="B172" s="116"/>
      <c r="C172" s="93" t="str">
        <f t="shared" ref="C172:D172" si="223">IF($B170&lt;&gt;"",C168,"")</f>
        <v/>
      </c>
      <c r="D172" s="93" t="str">
        <f t="shared" si="223"/>
        <v/>
      </c>
      <c r="E172" s="27"/>
      <c r="F172" s="27"/>
      <c r="G172" s="27"/>
      <c r="H172" s="27"/>
      <c r="I172" s="27"/>
      <c r="J172" s="27"/>
      <c r="K172" s="27"/>
      <c r="L172" s="27"/>
      <c r="M172" s="27"/>
      <c r="N172" s="27"/>
      <c r="O172" s="27"/>
      <c r="P172" s="27"/>
      <c r="Q172" s="27"/>
      <c r="R172" s="27"/>
      <c r="S172" s="27"/>
      <c r="T172" s="27"/>
      <c r="U172" s="27"/>
      <c r="V172" s="25"/>
      <c r="W172" s="31" t="e">
        <f>INDEX(TBL_LNG_IMPORTERS_CONNECTIONS[LNGImporterConnectionID],$A172)</f>
        <v>#REF!</v>
      </c>
      <c r="X172" s="31" t="e">
        <f>"LNGImporterTariffFixed_"&amp;RIGHT($W172,11)</f>
        <v>#REF!</v>
      </c>
    </row>
    <row r="173" spans="1:24" x14ac:dyDescent="0.25">
      <c r="A173" s="94">
        <f t="shared" si="206"/>
        <v>42</v>
      </c>
      <c r="B173" s="117"/>
      <c r="C173" s="93" t="str">
        <f t="shared" ref="C173:D173" si="224">IF($B170&lt;&gt;"",C169,"")</f>
        <v/>
      </c>
      <c r="D173" s="93" t="str">
        <f t="shared" si="224"/>
        <v/>
      </c>
      <c r="E173" s="28"/>
      <c r="F173" s="28"/>
      <c r="G173" s="28"/>
      <c r="H173" s="28"/>
      <c r="I173" s="28"/>
      <c r="J173" s="28"/>
      <c r="K173" s="28"/>
      <c r="L173" s="28"/>
      <c r="M173" s="28"/>
      <c r="N173" s="28"/>
      <c r="O173" s="28"/>
      <c r="P173" s="28"/>
      <c r="Q173" s="28"/>
      <c r="R173" s="28"/>
      <c r="S173" s="28"/>
      <c r="T173" s="28"/>
      <c r="U173" s="28"/>
      <c r="V173" s="26"/>
      <c r="W173" s="31" t="e">
        <f>INDEX(TBL_LNG_IMPORTERS_CONNECTIONS[LNGImporterConnectionID],$A173)</f>
        <v>#REF!</v>
      </c>
      <c r="X173" s="31" t="e">
        <f>"LNGImporterTariffVar_"&amp;RIGHT($W173,11)</f>
        <v>#REF!</v>
      </c>
    </row>
    <row r="174" spans="1:24" x14ac:dyDescent="0.25">
      <c r="A174" s="94">
        <f t="shared" ref="A174" si="225">$A170+1</f>
        <v>43</v>
      </c>
      <c r="B174" s="115" t="str">
        <f>IFERROR(INDEX(TBL_LNG_IMPORTERS_CONNECTIONS[Name],$A174),"")</f>
        <v/>
      </c>
      <c r="C174" s="93" t="str">
        <f t="shared" ref="C174:D174" si="226">IF($B174&lt;&gt;"",C170,"")</f>
        <v/>
      </c>
      <c r="D174" s="93" t="str">
        <f t="shared" si="226"/>
        <v/>
      </c>
      <c r="E174" s="27"/>
      <c r="F174" s="27"/>
      <c r="G174" s="27"/>
      <c r="H174" s="27"/>
      <c r="I174" s="27"/>
      <c r="J174" s="27"/>
      <c r="K174" s="27"/>
      <c r="L174" s="27"/>
      <c r="M174" s="27"/>
      <c r="N174" s="27"/>
      <c r="O174" s="27"/>
      <c r="P174" s="27"/>
      <c r="Q174" s="27"/>
      <c r="R174" s="27"/>
      <c r="S174" s="27"/>
      <c r="T174" s="27"/>
      <c r="U174" s="27"/>
      <c r="V174" s="25"/>
      <c r="W174" s="31" t="e">
        <f>INDEX(TBL_LNG_IMPORTERS_CONNECTIONS[LNGImporterConnectionID],$A174)</f>
        <v>#REF!</v>
      </c>
      <c r="X174" s="31" t="e">
        <f>"LNGImporterCapMin_"&amp;RIGHT($W174,11)</f>
        <v>#REF!</v>
      </c>
    </row>
    <row r="175" spans="1:24" x14ac:dyDescent="0.25">
      <c r="A175" s="94">
        <f t="shared" si="206"/>
        <v>43</v>
      </c>
      <c r="B175" s="116"/>
      <c r="C175" s="93" t="str">
        <f t="shared" ref="C175:D175" si="227">IF($B174&lt;&gt;"",C171,"")</f>
        <v/>
      </c>
      <c r="D175" s="93" t="str">
        <f t="shared" si="227"/>
        <v/>
      </c>
      <c r="E175" s="28"/>
      <c r="F175" s="28"/>
      <c r="G175" s="28"/>
      <c r="H175" s="28"/>
      <c r="I175" s="28"/>
      <c r="J175" s="28"/>
      <c r="K175" s="28"/>
      <c r="L175" s="28"/>
      <c r="M175" s="28"/>
      <c r="N175" s="28"/>
      <c r="O175" s="28"/>
      <c r="P175" s="28"/>
      <c r="Q175" s="28"/>
      <c r="R175" s="28"/>
      <c r="S175" s="28"/>
      <c r="T175" s="28"/>
      <c r="U175" s="28"/>
      <c r="V175" s="26"/>
      <c r="W175" s="31" t="e">
        <f>INDEX(TBL_LNG_IMPORTERS_CONNECTIONS[LNGImporterConnectionID],$A175)</f>
        <v>#REF!</v>
      </c>
      <c r="X175" s="31" t="e">
        <f>"LNGImporterCapMax_"&amp;RIGHT($W175,11)</f>
        <v>#REF!</v>
      </c>
    </row>
    <row r="176" spans="1:24" x14ac:dyDescent="0.25">
      <c r="A176" s="94">
        <f t="shared" si="206"/>
        <v>43</v>
      </c>
      <c r="B176" s="116"/>
      <c r="C176" s="93" t="str">
        <f t="shared" ref="C176:D176" si="228">IF($B174&lt;&gt;"",C172,"")</f>
        <v/>
      </c>
      <c r="D176" s="93" t="str">
        <f t="shared" si="228"/>
        <v/>
      </c>
      <c r="E176" s="27"/>
      <c r="F176" s="27"/>
      <c r="G176" s="27"/>
      <c r="H176" s="27"/>
      <c r="I176" s="27"/>
      <c r="J176" s="27"/>
      <c r="K176" s="27"/>
      <c r="L176" s="27"/>
      <c r="M176" s="27"/>
      <c r="N176" s="27"/>
      <c r="O176" s="27"/>
      <c r="P176" s="27"/>
      <c r="Q176" s="27"/>
      <c r="R176" s="27"/>
      <c r="S176" s="27"/>
      <c r="T176" s="27"/>
      <c r="U176" s="27"/>
      <c r="V176" s="25"/>
      <c r="W176" s="31" t="e">
        <f>INDEX(TBL_LNG_IMPORTERS_CONNECTIONS[LNGImporterConnectionID],$A176)</f>
        <v>#REF!</v>
      </c>
      <c r="X176" s="31" t="e">
        <f>"LNGImporterTariffFixed_"&amp;RIGHT($W176,11)</f>
        <v>#REF!</v>
      </c>
    </row>
    <row r="177" spans="1:24" x14ac:dyDescent="0.25">
      <c r="A177" s="94">
        <f t="shared" si="206"/>
        <v>43</v>
      </c>
      <c r="B177" s="117"/>
      <c r="C177" s="93" t="str">
        <f t="shared" ref="C177:D177" si="229">IF($B174&lt;&gt;"",C173,"")</f>
        <v/>
      </c>
      <c r="D177" s="93" t="str">
        <f t="shared" si="229"/>
        <v/>
      </c>
      <c r="E177" s="28"/>
      <c r="F177" s="28"/>
      <c r="G177" s="28"/>
      <c r="H177" s="28"/>
      <c r="I177" s="28"/>
      <c r="J177" s="28"/>
      <c r="K177" s="28"/>
      <c r="L177" s="28"/>
      <c r="M177" s="28"/>
      <c r="N177" s="28"/>
      <c r="O177" s="28"/>
      <c r="P177" s="28"/>
      <c r="Q177" s="28"/>
      <c r="R177" s="28"/>
      <c r="S177" s="28"/>
      <c r="T177" s="28"/>
      <c r="U177" s="28"/>
      <c r="V177" s="26"/>
      <c r="W177" s="31" t="e">
        <f>INDEX(TBL_LNG_IMPORTERS_CONNECTIONS[LNGImporterConnectionID],$A177)</f>
        <v>#REF!</v>
      </c>
      <c r="X177" s="31" t="e">
        <f>"LNGImporterTariffVar_"&amp;RIGHT($W177,11)</f>
        <v>#REF!</v>
      </c>
    </row>
    <row r="178" spans="1:24" x14ac:dyDescent="0.25">
      <c r="A178" s="94">
        <f t="shared" ref="A178" si="230">$A174+1</f>
        <v>44</v>
      </c>
      <c r="B178" s="115" t="str">
        <f>IFERROR(INDEX(TBL_LNG_IMPORTERS_CONNECTIONS[Name],$A178),"")</f>
        <v/>
      </c>
      <c r="C178" s="93" t="str">
        <f t="shared" ref="C178:D178" si="231">IF($B178&lt;&gt;"",C174,"")</f>
        <v/>
      </c>
      <c r="D178" s="93" t="str">
        <f t="shared" si="231"/>
        <v/>
      </c>
      <c r="E178" s="27"/>
      <c r="F178" s="27"/>
      <c r="G178" s="27"/>
      <c r="H178" s="27"/>
      <c r="I178" s="27"/>
      <c r="J178" s="27"/>
      <c r="K178" s="27"/>
      <c r="L178" s="27"/>
      <c r="M178" s="27"/>
      <c r="N178" s="27"/>
      <c r="O178" s="27"/>
      <c r="P178" s="27"/>
      <c r="Q178" s="27"/>
      <c r="R178" s="27"/>
      <c r="S178" s="27"/>
      <c r="T178" s="27"/>
      <c r="U178" s="27"/>
      <c r="V178" s="25"/>
      <c r="W178" s="31" t="e">
        <f>INDEX(TBL_LNG_IMPORTERS_CONNECTIONS[LNGImporterConnectionID],$A178)</f>
        <v>#REF!</v>
      </c>
      <c r="X178" s="31" t="e">
        <f>"LNGImporterCapMin_"&amp;RIGHT($W178,11)</f>
        <v>#REF!</v>
      </c>
    </row>
    <row r="179" spans="1:24" x14ac:dyDescent="0.25">
      <c r="A179" s="94">
        <f t="shared" ref="A179:A181" si="232">$A178</f>
        <v>44</v>
      </c>
      <c r="B179" s="116"/>
      <c r="C179" s="93" t="str">
        <f t="shared" ref="C179:D179" si="233">IF($B178&lt;&gt;"",C175,"")</f>
        <v/>
      </c>
      <c r="D179" s="93" t="str">
        <f t="shared" si="233"/>
        <v/>
      </c>
      <c r="E179" s="28"/>
      <c r="F179" s="28"/>
      <c r="G179" s="28"/>
      <c r="H179" s="28"/>
      <c r="I179" s="28"/>
      <c r="J179" s="28"/>
      <c r="K179" s="28"/>
      <c r="L179" s="28"/>
      <c r="M179" s="28"/>
      <c r="N179" s="28"/>
      <c r="O179" s="28"/>
      <c r="P179" s="28"/>
      <c r="Q179" s="28"/>
      <c r="R179" s="28"/>
      <c r="S179" s="28"/>
      <c r="T179" s="28"/>
      <c r="U179" s="28"/>
      <c r="V179" s="26"/>
      <c r="W179" s="31" t="e">
        <f>INDEX(TBL_LNG_IMPORTERS_CONNECTIONS[LNGImporterConnectionID],$A179)</f>
        <v>#REF!</v>
      </c>
      <c r="X179" s="31" t="e">
        <f>"LNGImporterCapMax_"&amp;RIGHT($W179,11)</f>
        <v>#REF!</v>
      </c>
    </row>
    <row r="180" spans="1:24" x14ac:dyDescent="0.25">
      <c r="A180" s="94">
        <f t="shared" si="232"/>
        <v>44</v>
      </c>
      <c r="B180" s="116"/>
      <c r="C180" s="93" t="str">
        <f t="shared" ref="C180:D180" si="234">IF($B178&lt;&gt;"",C176,"")</f>
        <v/>
      </c>
      <c r="D180" s="93" t="str">
        <f t="shared" si="234"/>
        <v/>
      </c>
      <c r="E180" s="27"/>
      <c r="F180" s="27"/>
      <c r="G180" s="27"/>
      <c r="H180" s="27"/>
      <c r="I180" s="27"/>
      <c r="J180" s="27"/>
      <c r="K180" s="27"/>
      <c r="L180" s="27"/>
      <c r="M180" s="27"/>
      <c r="N180" s="27"/>
      <c r="O180" s="27"/>
      <c r="P180" s="27"/>
      <c r="Q180" s="27"/>
      <c r="R180" s="27"/>
      <c r="S180" s="27"/>
      <c r="T180" s="27"/>
      <c r="U180" s="27"/>
      <c r="V180" s="25"/>
      <c r="W180" s="31" t="e">
        <f>INDEX(TBL_LNG_IMPORTERS_CONNECTIONS[LNGImporterConnectionID],$A180)</f>
        <v>#REF!</v>
      </c>
      <c r="X180" s="31" t="e">
        <f>"LNGImporterTariffFixed_"&amp;RIGHT($W180,11)</f>
        <v>#REF!</v>
      </c>
    </row>
    <row r="181" spans="1:24" x14ac:dyDescent="0.25">
      <c r="A181" s="94">
        <f t="shared" si="232"/>
        <v>44</v>
      </c>
      <c r="B181" s="117"/>
      <c r="C181" s="93" t="str">
        <f t="shared" ref="C181:D181" si="235">IF($B178&lt;&gt;"",C177,"")</f>
        <v/>
      </c>
      <c r="D181" s="93" t="str">
        <f t="shared" si="235"/>
        <v/>
      </c>
      <c r="E181" s="28"/>
      <c r="F181" s="28"/>
      <c r="G181" s="28"/>
      <c r="H181" s="28"/>
      <c r="I181" s="28"/>
      <c r="J181" s="28"/>
      <c r="K181" s="28"/>
      <c r="L181" s="28"/>
      <c r="M181" s="28"/>
      <c r="N181" s="28"/>
      <c r="O181" s="28"/>
      <c r="P181" s="28"/>
      <c r="Q181" s="28"/>
      <c r="R181" s="28"/>
      <c r="S181" s="28"/>
      <c r="T181" s="28"/>
      <c r="U181" s="28"/>
      <c r="V181" s="26"/>
      <c r="W181" s="31" t="e">
        <f>INDEX(TBL_LNG_IMPORTERS_CONNECTIONS[LNGImporterConnectionID],$A181)</f>
        <v>#REF!</v>
      </c>
      <c r="X181" s="31" t="e">
        <f>"LNGImporterTariffVar_"&amp;RIGHT($W181,11)</f>
        <v>#REF!</v>
      </c>
    </row>
    <row r="182" spans="1:24" x14ac:dyDescent="0.25">
      <c r="A182" s="94">
        <f t="shared" ref="A182" si="236">$A178+1</f>
        <v>45</v>
      </c>
      <c r="B182" s="115" t="str">
        <f>IFERROR(INDEX(TBL_LNG_IMPORTERS_CONNECTIONS[Name],$A182),"")</f>
        <v/>
      </c>
      <c r="C182" s="93" t="str">
        <f t="shared" ref="C182:D182" si="237">IF($B182&lt;&gt;"",C178,"")</f>
        <v/>
      </c>
      <c r="D182" s="93" t="str">
        <f t="shared" si="237"/>
        <v/>
      </c>
      <c r="E182" s="27"/>
      <c r="F182" s="27"/>
      <c r="G182" s="27"/>
      <c r="H182" s="27"/>
      <c r="I182" s="27"/>
      <c r="J182" s="27"/>
      <c r="K182" s="27"/>
      <c r="L182" s="27"/>
      <c r="M182" s="27"/>
      <c r="N182" s="27"/>
      <c r="O182" s="27"/>
      <c r="P182" s="27"/>
      <c r="Q182" s="27"/>
      <c r="R182" s="27"/>
      <c r="S182" s="27"/>
      <c r="T182" s="27"/>
      <c r="U182" s="27"/>
      <c r="V182" s="25"/>
      <c r="W182" s="31" t="e">
        <f>INDEX(TBL_LNG_IMPORTERS_CONNECTIONS[LNGImporterConnectionID],$A182)</f>
        <v>#REF!</v>
      </c>
      <c r="X182" s="31" t="e">
        <f>"LNGImporterCapMin_"&amp;RIGHT($W182,11)</f>
        <v>#REF!</v>
      </c>
    </row>
    <row r="183" spans="1:24" x14ac:dyDescent="0.25">
      <c r="A183" s="94">
        <f t="shared" ref="A183:A185" si="238">$A182</f>
        <v>45</v>
      </c>
      <c r="B183" s="116"/>
      <c r="C183" s="93" t="str">
        <f t="shared" ref="C183:D183" si="239">IF($B182&lt;&gt;"",C179,"")</f>
        <v/>
      </c>
      <c r="D183" s="93" t="str">
        <f t="shared" si="239"/>
        <v/>
      </c>
      <c r="E183" s="28"/>
      <c r="F183" s="28"/>
      <c r="G183" s="28"/>
      <c r="H183" s="28"/>
      <c r="I183" s="28"/>
      <c r="J183" s="28"/>
      <c r="K183" s="28"/>
      <c r="L183" s="28"/>
      <c r="M183" s="28"/>
      <c r="N183" s="28"/>
      <c r="O183" s="28"/>
      <c r="P183" s="28"/>
      <c r="Q183" s="28"/>
      <c r="R183" s="28"/>
      <c r="S183" s="28"/>
      <c r="T183" s="28"/>
      <c r="U183" s="28"/>
      <c r="V183" s="26"/>
      <c r="W183" s="31" t="e">
        <f>INDEX(TBL_LNG_IMPORTERS_CONNECTIONS[LNGImporterConnectionID],$A183)</f>
        <v>#REF!</v>
      </c>
      <c r="X183" s="31" t="e">
        <f>"LNGImporterCapMax_"&amp;RIGHT($W183,11)</f>
        <v>#REF!</v>
      </c>
    </row>
    <row r="184" spans="1:24" x14ac:dyDescent="0.25">
      <c r="A184" s="94">
        <f t="shared" si="238"/>
        <v>45</v>
      </c>
      <c r="B184" s="116"/>
      <c r="C184" s="93" t="str">
        <f t="shared" ref="C184:D184" si="240">IF($B182&lt;&gt;"",C180,"")</f>
        <v/>
      </c>
      <c r="D184" s="93" t="str">
        <f t="shared" si="240"/>
        <v/>
      </c>
      <c r="E184" s="27"/>
      <c r="F184" s="27"/>
      <c r="G184" s="27"/>
      <c r="H184" s="27"/>
      <c r="I184" s="27"/>
      <c r="J184" s="27"/>
      <c r="K184" s="27"/>
      <c r="L184" s="27"/>
      <c r="M184" s="27"/>
      <c r="N184" s="27"/>
      <c r="O184" s="27"/>
      <c r="P184" s="27"/>
      <c r="Q184" s="27"/>
      <c r="R184" s="27"/>
      <c r="S184" s="27"/>
      <c r="T184" s="27"/>
      <c r="U184" s="27"/>
      <c r="V184" s="25"/>
      <c r="W184" s="31" t="e">
        <f>INDEX(TBL_LNG_IMPORTERS_CONNECTIONS[LNGImporterConnectionID],$A184)</f>
        <v>#REF!</v>
      </c>
      <c r="X184" s="31" t="e">
        <f>"LNGImporterTariffFixed_"&amp;RIGHT($W184,11)</f>
        <v>#REF!</v>
      </c>
    </row>
    <row r="185" spans="1:24" x14ac:dyDescent="0.25">
      <c r="A185" s="94">
        <f t="shared" si="238"/>
        <v>45</v>
      </c>
      <c r="B185" s="117"/>
      <c r="C185" s="93" t="str">
        <f t="shared" ref="C185:D185" si="241">IF($B182&lt;&gt;"",C181,"")</f>
        <v/>
      </c>
      <c r="D185" s="93" t="str">
        <f t="shared" si="241"/>
        <v/>
      </c>
      <c r="E185" s="28"/>
      <c r="F185" s="28"/>
      <c r="G185" s="28"/>
      <c r="H185" s="28"/>
      <c r="I185" s="28"/>
      <c r="J185" s="28"/>
      <c r="K185" s="28"/>
      <c r="L185" s="28"/>
      <c r="M185" s="28"/>
      <c r="N185" s="28"/>
      <c r="O185" s="28"/>
      <c r="P185" s="28"/>
      <c r="Q185" s="28"/>
      <c r="R185" s="28"/>
      <c r="S185" s="28"/>
      <c r="T185" s="28"/>
      <c r="U185" s="28"/>
      <c r="V185" s="26"/>
      <c r="W185" s="31" t="e">
        <f>INDEX(TBL_LNG_IMPORTERS_CONNECTIONS[LNGImporterConnectionID],$A185)</f>
        <v>#REF!</v>
      </c>
      <c r="X185" s="31" t="e">
        <f>"LNGImporterTariffVar_"&amp;RIGHT($W185,11)</f>
        <v>#REF!</v>
      </c>
    </row>
    <row r="186" spans="1:24" x14ac:dyDescent="0.25">
      <c r="A186" s="94">
        <f t="shared" ref="A186" si="242">$A182+1</f>
        <v>46</v>
      </c>
      <c r="B186" s="115" t="str">
        <f>IFERROR(INDEX(TBL_LNG_IMPORTERS_CONNECTIONS[Name],$A186),"")</f>
        <v/>
      </c>
      <c r="C186" s="93" t="str">
        <f t="shared" ref="C186:D186" si="243">IF($B186&lt;&gt;"",C182,"")</f>
        <v/>
      </c>
      <c r="D186" s="93" t="str">
        <f t="shared" si="243"/>
        <v/>
      </c>
      <c r="E186" s="27"/>
      <c r="F186" s="27"/>
      <c r="G186" s="27"/>
      <c r="H186" s="27"/>
      <c r="I186" s="27"/>
      <c r="J186" s="27"/>
      <c r="K186" s="27"/>
      <c r="L186" s="27"/>
      <c r="M186" s="27"/>
      <c r="N186" s="27"/>
      <c r="O186" s="27"/>
      <c r="P186" s="27"/>
      <c r="Q186" s="27"/>
      <c r="R186" s="27"/>
      <c r="S186" s="27"/>
      <c r="T186" s="27"/>
      <c r="U186" s="27"/>
      <c r="V186" s="25"/>
      <c r="W186" s="31" t="e">
        <f>INDEX(TBL_LNG_IMPORTERS_CONNECTIONS[LNGImporterConnectionID],$A186)</f>
        <v>#REF!</v>
      </c>
      <c r="X186" s="31" t="e">
        <f>"LNGImporterCapMin_"&amp;RIGHT($W186,11)</f>
        <v>#REF!</v>
      </c>
    </row>
    <row r="187" spans="1:24" x14ac:dyDescent="0.25">
      <c r="A187" s="94">
        <f t="shared" ref="A187:A189" si="244">$A186</f>
        <v>46</v>
      </c>
      <c r="B187" s="116"/>
      <c r="C187" s="93" t="str">
        <f t="shared" ref="C187:D187" si="245">IF($B186&lt;&gt;"",C183,"")</f>
        <v/>
      </c>
      <c r="D187" s="93" t="str">
        <f t="shared" si="245"/>
        <v/>
      </c>
      <c r="E187" s="28"/>
      <c r="F187" s="28"/>
      <c r="G187" s="28"/>
      <c r="H187" s="28"/>
      <c r="I187" s="28"/>
      <c r="J187" s="28"/>
      <c r="K187" s="28"/>
      <c r="L187" s="28"/>
      <c r="M187" s="28"/>
      <c r="N187" s="28"/>
      <c r="O187" s="28"/>
      <c r="P187" s="28"/>
      <c r="Q187" s="28"/>
      <c r="R187" s="28"/>
      <c r="S187" s="28"/>
      <c r="T187" s="28"/>
      <c r="U187" s="28"/>
      <c r="V187" s="26"/>
      <c r="W187" s="31" t="e">
        <f>INDEX(TBL_LNG_IMPORTERS_CONNECTIONS[LNGImporterConnectionID],$A187)</f>
        <v>#REF!</v>
      </c>
      <c r="X187" s="31" t="e">
        <f>"LNGImporterCapMax_"&amp;RIGHT($W187,11)</f>
        <v>#REF!</v>
      </c>
    </row>
    <row r="188" spans="1:24" x14ac:dyDescent="0.25">
      <c r="A188" s="94">
        <f t="shared" si="244"/>
        <v>46</v>
      </c>
      <c r="B188" s="116"/>
      <c r="C188" s="93" t="str">
        <f t="shared" ref="C188:D188" si="246">IF($B186&lt;&gt;"",C184,"")</f>
        <v/>
      </c>
      <c r="D188" s="93" t="str">
        <f t="shared" si="246"/>
        <v/>
      </c>
      <c r="E188" s="27"/>
      <c r="F188" s="27"/>
      <c r="G188" s="27"/>
      <c r="H188" s="27"/>
      <c r="I188" s="27"/>
      <c r="J188" s="27"/>
      <c r="K188" s="27"/>
      <c r="L188" s="27"/>
      <c r="M188" s="27"/>
      <c r="N188" s="27"/>
      <c r="O188" s="27"/>
      <c r="P188" s="27"/>
      <c r="Q188" s="27"/>
      <c r="R188" s="27"/>
      <c r="S188" s="27"/>
      <c r="T188" s="27"/>
      <c r="U188" s="27"/>
      <c r="V188" s="25"/>
      <c r="W188" s="31" t="e">
        <f>INDEX(TBL_LNG_IMPORTERS_CONNECTIONS[LNGImporterConnectionID],$A188)</f>
        <v>#REF!</v>
      </c>
      <c r="X188" s="31" t="e">
        <f>"LNGImporterTariffFixed_"&amp;RIGHT($W188,11)</f>
        <v>#REF!</v>
      </c>
    </row>
    <row r="189" spans="1:24" x14ac:dyDescent="0.25">
      <c r="A189" s="94">
        <f t="shared" si="244"/>
        <v>46</v>
      </c>
      <c r="B189" s="117"/>
      <c r="C189" s="93" t="str">
        <f t="shared" ref="C189:D189" si="247">IF($B186&lt;&gt;"",C185,"")</f>
        <v/>
      </c>
      <c r="D189" s="93" t="str">
        <f t="shared" si="247"/>
        <v/>
      </c>
      <c r="E189" s="28"/>
      <c r="F189" s="28"/>
      <c r="G189" s="28"/>
      <c r="H189" s="28"/>
      <c r="I189" s="28"/>
      <c r="J189" s="28"/>
      <c r="K189" s="28"/>
      <c r="L189" s="28"/>
      <c r="M189" s="28"/>
      <c r="N189" s="28"/>
      <c r="O189" s="28"/>
      <c r="P189" s="28"/>
      <c r="Q189" s="28"/>
      <c r="R189" s="28"/>
      <c r="S189" s="28"/>
      <c r="T189" s="28"/>
      <c r="U189" s="28"/>
      <c r="V189" s="26"/>
      <c r="W189" s="31" t="e">
        <f>INDEX(TBL_LNG_IMPORTERS_CONNECTIONS[LNGImporterConnectionID],$A189)</f>
        <v>#REF!</v>
      </c>
      <c r="X189" s="31" t="e">
        <f>"LNGImporterTariffVar_"&amp;RIGHT($W189,11)</f>
        <v>#REF!</v>
      </c>
    </row>
    <row r="190" spans="1:24" x14ac:dyDescent="0.25">
      <c r="A190" s="94">
        <f t="shared" ref="A190" si="248">$A186+1</f>
        <v>47</v>
      </c>
      <c r="B190" s="115" t="str">
        <f>IFERROR(INDEX(TBL_LNG_IMPORTERS_CONNECTIONS[Name],$A190),"")</f>
        <v/>
      </c>
      <c r="C190" s="93" t="str">
        <f t="shared" ref="C190:D190" si="249">IF($B190&lt;&gt;"",C186,"")</f>
        <v/>
      </c>
      <c r="D190" s="93" t="str">
        <f t="shared" si="249"/>
        <v/>
      </c>
      <c r="E190" s="27"/>
      <c r="F190" s="27"/>
      <c r="G190" s="27"/>
      <c r="H190" s="27"/>
      <c r="I190" s="27"/>
      <c r="J190" s="27"/>
      <c r="K190" s="27"/>
      <c r="L190" s="27"/>
      <c r="M190" s="27"/>
      <c r="N190" s="27"/>
      <c r="O190" s="27"/>
      <c r="P190" s="27"/>
      <c r="Q190" s="27"/>
      <c r="R190" s="27"/>
      <c r="S190" s="27"/>
      <c r="T190" s="27"/>
      <c r="U190" s="27"/>
      <c r="V190" s="25"/>
      <c r="W190" s="31" t="e">
        <f>INDEX(TBL_LNG_IMPORTERS_CONNECTIONS[LNGImporterConnectionID],$A190)</f>
        <v>#REF!</v>
      </c>
      <c r="X190" s="31" t="e">
        <f>"LNGImporterCapMin_"&amp;RIGHT($W190,11)</f>
        <v>#REF!</v>
      </c>
    </row>
    <row r="191" spans="1:24" x14ac:dyDescent="0.25">
      <c r="A191" s="94">
        <f t="shared" ref="A191:A193" si="250">$A190</f>
        <v>47</v>
      </c>
      <c r="B191" s="116"/>
      <c r="C191" s="93" t="str">
        <f t="shared" ref="C191:D191" si="251">IF($B190&lt;&gt;"",C187,"")</f>
        <v/>
      </c>
      <c r="D191" s="93" t="str">
        <f t="shared" si="251"/>
        <v/>
      </c>
      <c r="E191" s="28"/>
      <c r="F191" s="28"/>
      <c r="G191" s="28"/>
      <c r="H191" s="28"/>
      <c r="I191" s="28"/>
      <c r="J191" s="28"/>
      <c r="K191" s="28"/>
      <c r="L191" s="28"/>
      <c r="M191" s="28"/>
      <c r="N191" s="28"/>
      <c r="O191" s="28"/>
      <c r="P191" s="28"/>
      <c r="Q191" s="28"/>
      <c r="R191" s="28"/>
      <c r="S191" s="28"/>
      <c r="T191" s="28"/>
      <c r="U191" s="28"/>
      <c r="V191" s="26"/>
      <c r="W191" s="31" t="e">
        <f>INDEX(TBL_LNG_IMPORTERS_CONNECTIONS[LNGImporterConnectionID],$A191)</f>
        <v>#REF!</v>
      </c>
      <c r="X191" s="31" t="e">
        <f>"LNGImporterCapMax_"&amp;RIGHT($W191,11)</f>
        <v>#REF!</v>
      </c>
    </row>
    <row r="192" spans="1:24" x14ac:dyDescent="0.25">
      <c r="A192" s="94">
        <f t="shared" si="250"/>
        <v>47</v>
      </c>
      <c r="B192" s="116"/>
      <c r="C192" s="93" t="str">
        <f t="shared" ref="C192:D192" si="252">IF($B190&lt;&gt;"",C188,"")</f>
        <v/>
      </c>
      <c r="D192" s="93" t="str">
        <f t="shared" si="252"/>
        <v/>
      </c>
      <c r="E192" s="27"/>
      <c r="F192" s="27"/>
      <c r="G192" s="27"/>
      <c r="H192" s="27"/>
      <c r="I192" s="27"/>
      <c r="J192" s="27"/>
      <c r="K192" s="27"/>
      <c r="L192" s="27"/>
      <c r="M192" s="27"/>
      <c r="N192" s="27"/>
      <c r="O192" s="27"/>
      <c r="P192" s="27"/>
      <c r="Q192" s="27"/>
      <c r="R192" s="27"/>
      <c r="S192" s="27"/>
      <c r="T192" s="27"/>
      <c r="U192" s="27"/>
      <c r="V192" s="25"/>
      <c r="W192" s="31" t="e">
        <f>INDEX(TBL_LNG_IMPORTERS_CONNECTIONS[LNGImporterConnectionID],$A192)</f>
        <v>#REF!</v>
      </c>
      <c r="X192" s="31" t="e">
        <f>"LNGImporterTariffFixed_"&amp;RIGHT($W192,11)</f>
        <v>#REF!</v>
      </c>
    </row>
    <row r="193" spans="1:24" x14ac:dyDescent="0.25">
      <c r="A193" s="94">
        <f t="shared" si="250"/>
        <v>47</v>
      </c>
      <c r="B193" s="117"/>
      <c r="C193" s="93" t="str">
        <f t="shared" ref="C193:D193" si="253">IF($B190&lt;&gt;"",C189,"")</f>
        <v/>
      </c>
      <c r="D193" s="93" t="str">
        <f t="shared" si="253"/>
        <v/>
      </c>
      <c r="E193" s="28"/>
      <c r="F193" s="28"/>
      <c r="G193" s="28"/>
      <c r="H193" s="28"/>
      <c r="I193" s="28"/>
      <c r="J193" s="28"/>
      <c r="K193" s="28"/>
      <c r="L193" s="28"/>
      <c r="M193" s="28"/>
      <c r="N193" s="28"/>
      <c r="O193" s="28"/>
      <c r="P193" s="28"/>
      <c r="Q193" s="28"/>
      <c r="R193" s="28"/>
      <c r="S193" s="28"/>
      <c r="T193" s="28"/>
      <c r="U193" s="28"/>
      <c r="V193" s="26"/>
      <c r="W193" s="31" t="e">
        <f>INDEX(TBL_LNG_IMPORTERS_CONNECTIONS[LNGImporterConnectionID],$A193)</f>
        <v>#REF!</v>
      </c>
      <c r="X193" s="31" t="e">
        <f>"LNGImporterTariffVar_"&amp;RIGHT($W193,11)</f>
        <v>#REF!</v>
      </c>
    </row>
    <row r="194" spans="1:24" x14ac:dyDescent="0.25">
      <c r="A194" s="94">
        <f t="shared" ref="A194" si="254">$A190+1</f>
        <v>48</v>
      </c>
      <c r="B194" s="115" t="str">
        <f>IFERROR(INDEX(TBL_LNG_IMPORTERS_CONNECTIONS[Name],$A194),"")</f>
        <v/>
      </c>
      <c r="C194" s="93" t="str">
        <f t="shared" ref="C194:D194" si="255">IF($B194&lt;&gt;"",C190,"")</f>
        <v/>
      </c>
      <c r="D194" s="93" t="str">
        <f t="shared" si="255"/>
        <v/>
      </c>
      <c r="E194" s="27"/>
      <c r="F194" s="27"/>
      <c r="G194" s="27"/>
      <c r="H194" s="27"/>
      <c r="I194" s="27"/>
      <c r="J194" s="27"/>
      <c r="K194" s="27"/>
      <c r="L194" s="27"/>
      <c r="M194" s="27"/>
      <c r="N194" s="27"/>
      <c r="O194" s="27"/>
      <c r="P194" s="27"/>
      <c r="Q194" s="27"/>
      <c r="R194" s="27"/>
      <c r="S194" s="27"/>
      <c r="T194" s="27"/>
      <c r="U194" s="27"/>
      <c r="V194" s="25"/>
      <c r="W194" s="31" t="e">
        <f>INDEX(TBL_LNG_IMPORTERS_CONNECTIONS[LNGImporterConnectionID],$A194)</f>
        <v>#REF!</v>
      </c>
      <c r="X194" s="31" t="e">
        <f>"LNGImporterCapMin_"&amp;RIGHT($W194,11)</f>
        <v>#REF!</v>
      </c>
    </row>
    <row r="195" spans="1:24" x14ac:dyDescent="0.25">
      <c r="A195" s="94">
        <f t="shared" ref="A195:A197" si="256">$A194</f>
        <v>48</v>
      </c>
      <c r="B195" s="116"/>
      <c r="C195" s="93" t="str">
        <f t="shared" ref="C195:D195" si="257">IF($B194&lt;&gt;"",C191,"")</f>
        <v/>
      </c>
      <c r="D195" s="93" t="str">
        <f t="shared" si="257"/>
        <v/>
      </c>
      <c r="E195" s="28"/>
      <c r="F195" s="28"/>
      <c r="G195" s="28"/>
      <c r="H195" s="28"/>
      <c r="I195" s="28"/>
      <c r="J195" s="28"/>
      <c r="K195" s="28"/>
      <c r="L195" s="28"/>
      <c r="M195" s="28"/>
      <c r="N195" s="28"/>
      <c r="O195" s="28"/>
      <c r="P195" s="28"/>
      <c r="Q195" s="28"/>
      <c r="R195" s="28"/>
      <c r="S195" s="28"/>
      <c r="T195" s="28"/>
      <c r="U195" s="28"/>
      <c r="V195" s="26"/>
      <c r="W195" s="31" t="e">
        <f>INDEX(TBL_LNG_IMPORTERS_CONNECTIONS[LNGImporterConnectionID],$A195)</f>
        <v>#REF!</v>
      </c>
      <c r="X195" s="31" t="e">
        <f>"LNGImporterCapMax_"&amp;RIGHT($W195,11)</f>
        <v>#REF!</v>
      </c>
    </row>
    <row r="196" spans="1:24" x14ac:dyDescent="0.25">
      <c r="A196" s="94">
        <f t="shared" si="256"/>
        <v>48</v>
      </c>
      <c r="B196" s="116"/>
      <c r="C196" s="93" t="str">
        <f t="shared" ref="C196:D196" si="258">IF($B194&lt;&gt;"",C192,"")</f>
        <v/>
      </c>
      <c r="D196" s="93" t="str">
        <f t="shared" si="258"/>
        <v/>
      </c>
      <c r="E196" s="27"/>
      <c r="F196" s="27"/>
      <c r="G196" s="27"/>
      <c r="H196" s="27"/>
      <c r="I196" s="27"/>
      <c r="J196" s="27"/>
      <c r="K196" s="27"/>
      <c r="L196" s="27"/>
      <c r="M196" s="27"/>
      <c r="N196" s="27"/>
      <c r="O196" s="27"/>
      <c r="P196" s="27"/>
      <c r="Q196" s="27"/>
      <c r="R196" s="27"/>
      <c r="S196" s="27"/>
      <c r="T196" s="27"/>
      <c r="U196" s="27"/>
      <c r="V196" s="25"/>
      <c r="W196" s="31" t="e">
        <f>INDEX(TBL_LNG_IMPORTERS_CONNECTIONS[LNGImporterConnectionID],$A196)</f>
        <v>#REF!</v>
      </c>
      <c r="X196" s="31" t="e">
        <f>"LNGImporterTariffFixed_"&amp;RIGHT($W196,11)</f>
        <v>#REF!</v>
      </c>
    </row>
    <row r="197" spans="1:24" x14ac:dyDescent="0.25">
      <c r="A197" s="94">
        <f t="shared" si="256"/>
        <v>48</v>
      </c>
      <c r="B197" s="117"/>
      <c r="C197" s="93" t="str">
        <f t="shared" ref="C197:D197" si="259">IF($B194&lt;&gt;"",C193,"")</f>
        <v/>
      </c>
      <c r="D197" s="93" t="str">
        <f t="shared" si="259"/>
        <v/>
      </c>
      <c r="E197" s="28"/>
      <c r="F197" s="28"/>
      <c r="G197" s="28"/>
      <c r="H197" s="28"/>
      <c r="I197" s="28"/>
      <c r="J197" s="28"/>
      <c r="K197" s="28"/>
      <c r="L197" s="28"/>
      <c r="M197" s="28"/>
      <c r="N197" s="28"/>
      <c r="O197" s="28"/>
      <c r="P197" s="28"/>
      <c r="Q197" s="28"/>
      <c r="R197" s="28"/>
      <c r="S197" s="28"/>
      <c r="T197" s="28"/>
      <c r="U197" s="28"/>
      <c r="V197" s="26"/>
      <c r="W197" s="31" t="e">
        <f>INDEX(TBL_LNG_IMPORTERS_CONNECTIONS[LNGImporterConnectionID],$A197)</f>
        <v>#REF!</v>
      </c>
      <c r="X197" s="31" t="e">
        <f>"LNGImporterTariffVar_"&amp;RIGHT($W197,11)</f>
        <v>#REF!</v>
      </c>
    </row>
    <row r="198" spans="1:24" x14ac:dyDescent="0.25">
      <c r="A198" s="94">
        <f t="shared" ref="A198" si="260">$A194+1</f>
        <v>49</v>
      </c>
      <c r="B198" s="115" t="str">
        <f>IFERROR(INDEX(TBL_LNG_IMPORTERS_CONNECTIONS[Name],$A198),"")</f>
        <v/>
      </c>
      <c r="C198" s="93" t="str">
        <f t="shared" ref="C198:D198" si="261">IF($B198&lt;&gt;"",C194,"")</f>
        <v/>
      </c>
      <c r="D198" s="93" t="str">
        <f t="shared" si="261"/>
        <v/>
      </c>
      <c r="E198" s="27"/>
      <c r="F198" s="27"/>
      <c r="G198" s="27"/>
      <c r="H198" s="27"/>
      <c r="I198" s="27"/>
      <c r="J198" s="27"/>
      <c r="K198" s="27"/>
      <c r="L198" s="27"/>
      <c r="M198" s="27"/>
      <c r="N198" s="27"/>
      <c r="O198" s="27"/>
      <c r="P198" s="27"/>
      <c r="Q198" s="27"/>
      <c r="R198" s="27"/>
      <c r="S198" s="27"/>
      <c r="T198" s="27"/>
      <c r="U198" s="27"/>
      <c r="V198" s="25"/>
      <c r="W198" s="31" t="e">
        <f>INDEX(TBL_LNG_IMPORTERS_CONNECTIONS[LNGImporterConnectionID],$A198)</f>
        <v>#REF!</v>
      </c>
      <c r="X198" s="31" t="e">
        <f>"LNGImporterCapMin_"&amp;RIGHT($W198,11)</f>
        <v>#REF!</v>
      </c>
    </row>
    <row r="199" spans="1:24" x14ac:dyDescent="0.25">
      <c r="A199" s="94">
        <f t="shared" ref="A199:A217" si="262">$A198</f>
        <v>49</v>
      </c>
      <c r="B199" s="116"/>
      <c r="C199" s="93" t="str">
        <f t="shared" ref="C199:D199" si="263">IF($B198&lt;&gt;"",C195,"")</f>
        <v/>
      </c>
      <c r="D199" s="93" t="str">
        <f t="shared" si="263"/>
        <v/>
      </c>
      <c r="E199" s="28"/>
      <c r="F199" s="28"/>
      <c r="G199" s="28"/>
      <c r="H199" s="28"/>
      <c r="I199" s="28"/>
      <c r="J199" s="28"/>
      <c r="K199" s="28"/>
      <c r="L199" s="28"/>
      <c r="M199" s="28"/>
      <c r="N199" s="28"/>
      <c r="O199" s="28"/>
      <c r="P199" s="28"/>
      <c r="Q199" s="28"/>
      <c r="R199" s="28"/>
      <c r="S199" s="28"/>
      <c r="T199" s="28"/>
      <c r="U199" s="28"/>
      <c r="V199" s="26"/>
      <c r="W199" s="31" t="e">
        <f>INDEX(TBL_LNG_IMPORTERS_CONNECTIONS[LNGImporterConnectionID],$A199)</f>
        <v>#REF!</v>
      </c>
      <c r="X199" s="31" t="e">
        <f>"LNGImporterCapMax_"&amp;RIGHT($W199,11)</f>
        <v>#REF!</v>
      </c>
    </row>
    <row r="200" spans="1:24" x14ac:dyDescent="0.25">
      <c r="A200" s="94">
        <f t="shared" si="262"/>
        <v>49</v>
      </c>
      <c r="B200" s="116"/>
      <c r="C200" s="93" t="str">
        <f t="shared" ref="C200:D200" si="264">IF($B198&lt;&gt;"",C196,"")</f>
        <v/>
      </c>
      <c r="D200" s="93" t="str">
        <f t="shared" si="264"/>
        <v/>
      </c>
      <c r="E200" s="27"/>
      <c r="F200" s="27"/>
      <c r="G200" s="27"/>
      <c r="H200" s="27"/>
      <c r="I200" s="27"/>
      <c r="J200" s="27"/>
      <c r="K200" s="27"/>
      <c r="L200" s="27"/>
      <c r="M200" s="27"/>
      <c r="N200" s="27"/>
      <c r="O200" s="27"/>
      <c r="P200" s="27"/>
      <c r="Q200" s="27"/>
      <c r="R200" s="27"/>
      <c r="S200" s="27"/>
      <c r="T200" s="27"/>
      <c r="U200" s="27"/>
      <c r="V200" s="25"/>
      <c r="W200" s="31" t="e">
        <f>INDEX(TBL_LNG_IMPORTERS_CONNECTIONS[LNGImporterConnectionID],$A200)</f>
        <v>#REF!</v>
      </c>
      <c r="X200" s="31" t="e">
        <f>"LNGImporterTariffFixed_"&amp;RIGHT($W200,11)</f>
        <v>#REF!</v>
      </c>
    </row>
    <row r="201" spans="1:24" x14ac:dyDescent="0.25">
      <c r="A201" s="94">
        <f t="shared" si="262"/>
        <v>49</v>
      </c>
      <c r="B201" s="117"/>
      <c r="C201" s="93" t="str">
        <f t="shared" ref="C201:D201" si="265">IF($B198&lt;&gt;"",C197,"")</f>
        <v/>
      </c>
      <c r="D201" s="93" t="str">
        <f t="shared" si="265"/>
        <v/>
      </c>
      <c r="E201" s="28"/>
      <c r="F201" s="28"/>
      <c r="G201" s="28"/>
      <c r="H201" s="28"/>
      <c r="I201" s="28"/>
      <c r="J201" s="28"/>
      <c r="K201" s="28"/>
      <c r="L201" s="28"/>
      <c r="M201" s="28"/>
      <c r="N201" s="28"/>
      <c r="O201" s="28"/>
      <c r="P201" s="28"/>
      <c r="Q201" s="28"/>
      <c r="R201" s="28"/>
      <c r="S201" s="28"/>
      <c r="T201" s="28"/>
      <c r="U201" s="28"/>
      <c r="V201" s="26"/>
      <c r="W201" s="31" t="e">
        <f>INDEX(TBL_LNG_IMPORTERS_CONNECTIONS[LNGImporterConnectionID],$A201)</f>
        <v>#REF!</v>
      </c>
      <c r="X201" s="31" t="e">
        <f>"LNGImporterTariffVar_"&amp;RIGHT($W201,11)</f>
        <v>#REF!</v>
      </c>
    </row>
    <row r="202" spans="1:24" x14ac:dyDescent="0.25">
      <c r="A202" s="94">
        <f t="shared" ref="A202" si="266">$A198+1</f>
        <v>50</v>
      </c>
      <c r="B202" s="115" t="str">
        <f>IFERROR(INDEX(TBL_LNG_IMPORTERS_CONNECTIONS[Name],$A202),"")</f>
        <v/>
      </c>
      <c r="C202" s="93" t="str">
        <f t="shared" ref="C202:D202" si="267">IF($B202&lt;&gt;"",C198,"")</f>
        <v/>
      </c>
      <c r="D202" s="93" t="str">
        <f t="shared" si="267"/>
        <v/>
      </c>
      <c r="E202" s="27"/>
      <c r="F202" s="27"/>
      <c r="G202" s="27"/>
      <c r="H202" s="27"/>
      <c r="I202" s="27"/>
      <c r="J202" s="27"/>
      <c r="K202" s="27"/>
      <c r="L202" s="27"/>
      <c r="M202" s="27"/>
      <c r="N202" s="27"/>
      <c r="O202" s="27"/>
      <c r="P202" s="27"/>
      <c r="Q202" s="27"/>
      <c r="R202" s="27"/>
      <c r="S202" s="27"/>
      <c r="T202" s="27"/>
      <c r="U202" s="27"/>
      <c r="V202" s="25"/>
      <c r="W202" s="31" t="e">
        <f>INDEX(TBL_LNG_IMPORTERS_CONNECTIONS[LNGImporterConnectionID],$A202)</f>
        <v>#REF!</v>
      </c>
      <c r="X202" s="31" t="e">
        <f>"LNGImporterCapMin_"&amp;RIGHT($W202,11)</f>
        <v>#REF!</v>
      </c>
    </row>
    <row r="203" spans="1:24" x14ac:dyDescent="0.25">
      <c r="A203" s="94">
        <f t="shared" si="262"/>
        <v>50</v>
      </c>
      <c r="B203" s="116"/>
      <c r="C203" s="93" t="str">
        <f t="shared" ref="C203:D203" si="268">IF($B202&lt;&gt;"",C199,"")</f>
        <v/>
      </c>
      <c r="D203" s="93" t="str">
        <f t="shared" si="268"/>
        <v/>
      </c>
      <c r="E203" s="28"/>
      <c r="F203" s="28"/>
      <c r="G203" s="28"/>
      <c r="H203" s="28"/>
      <c r="I203" s="28"/>
      <c r="J203" s="28"/>
      <c r="K203" s="28"/>
      <c r="L203" s="28"/>
      <c r="M203" s="28"/>
      <c r="N203" s="28"/>
      <c r="O203" s="28"/>
      <c r="P203" s="28"/>
      <c r="Q203" s="28"/>
      <c r="R203" s="28"/>
      <c r="S203" s="28"/>
      <c r="T203" s="28"/>
      <c r="U203" s="28"/>
      <c r="V203" s="26"/>
      <c r="W203" s="31" t="e">
        <f>INDEX(TBL_LNG_IMPORTERS_CONNECTIONS[LNGImporterConnectionID],$A203)</f>
        <v>#REF!</v>
      </c>
      <c r="X203" s="31" t="e">
        <f>"LNGImporterCapMax_"&amp;RIGHT($W203,11)</f>
        <v>#REF!</v>
      </c>
    </row>
    <row r="204" spans="1:24" x14ac:dyDescent="0.25">
      <c r="A204" s="94">
        <f t="shared" si="262"/>
        <v>50</v>
      </c>
      <c r="B204" s="116"/>
      <c r="C204" s="93" t="str">
        <f t="shared" ref="C204:D204" si="269">IF($B202&lt;&gt;"",C200,"")</f>
        <v/>
      </c>
      <c r="D204" s="93" t="str">
        <f t="shared" si="269"/>
        <v/>
      </c>
      <c r="E204" s="27"/>
      <c r="F204" s="27"/>
      <c r="G204" s="27"/>
      <c r="H204" s="27"/>
      <c r="I204" s="27"/>
      <c r="J204" s="27"/>
      <c r="K204" s="27"/>
      <c r="L204" s="27"/>
      <c r="M204" s="27"/>
      <c r="N204" s="27"/>
      <c r="O204" s="27"/>
      <c r="P204" s="27"/>
      <c r="Q204" s="27"/>
      <c r="R204" s="27"/>
      <c r="S204" s="27"/>
      <c r="T204" s="27"/>
      <c r="U204" s="27"/>
      <c r="V204" s="25"/>
      <c r="W204" s="31" t="e">
        <f>INDEX(TBL_LNG_IMPORTERS_CONNECTIONS[LNGImporterConnectionID],$A204)</f>
        <v>#REF!</v>
      </c>
      <c r="X204" s="31" t="e">
        <f>"LNGImporterTariffFixed_"&amp;RIGHT($W204,11)</f>
        <v>#REF!</v>
      </c>
    </row>
    <row r="205" spans="1:24" x14ac:dyDescent="0.25">
      <c r="A205" s="94">
        <f t="shared" si="262"/>
        <v>50</v>
      </c>
      <c r="B205" s="117"/>
      <c r="C205" s="93" t="str">
        <f t="shared" ref="C205:D205" si="270">IF($B202&lt;&gt;"",C201,"")</f>
        <v/>
      </c>
      <c r="D205" s="93" t="str">
        <f t="shared" si="270"/>
        <v/>
      </c>
      <c r="E205" s="28"/>
      <c r="F205" s="28"/>
      <c r="G205" s="28"/>
      <c r="H205" s="28"/>
      <c r="I205" s="28"/>
      <c r="J205" s="28"/>
      <c r="K205" s="28"/>
      <c r="L205" s="28"/>
      <c r="M205" s="28"/>
      <c r="N205" s="28"/>
      <c r="O205" s="28"/>
      <c r="P205" s="28"/>
      <c r="Q205" s="28"/>
      <c r="R205" s="28"/>
      <c r="S205" s="28"/>
      <c r="T205" s="28"/>
      <c r="U205" s="28"/>
      <c r="V205" s="26"/>
      <c r="W205" s="31" t="e">
        <f>INDEX(TBL_LNG_IMPORTERS_CONNECTIONS[LNGImporterConnectionID],$A205)</f>
        <v>#REF!</v>
      </c>
      <c r="X205" s="31" t="e">
        <f>"LNGImporterTariffVar_"&amp;RIGHT($W205,11)</f>
        <v>#REF!</v>
      </c>
    </row>
    <row r="206" spans="1:24" x14ac:dyDescent="0.25">
      <c r="A206" s="94">
        <f t="shared" ref="A206" si="271">$A202+1</f>
        <v>51</v>
      </c>
      <c r="B206" s="115" t="str">
        <f>IFERROR(INDEX(TBL_LNG_IMPORTERS_CONNECTIONS[Name],$A206),"")</f>
        <v/>
      </c>
      <c r="C206" s="93" t="str">
        <f t="shared" ref="C206:D206" si="272">IF($B206&lt;&gt;"",C202,"")</f>
        <v/>
      </c>
      <c r="D206" s="93" t="str">
        <f t="shared" si="272"/>
        <v/>
      </c>
      <c r="E206" s="27"/>
      <c r="F206" s="27"/>
      <c r="G206" s="27"/>
      <c r="H206" s="27"/>
      <c r="I206" s="27"/>
      <c r="J206" s="27"/>
      <c r="K206" s="27"/>
      <c r="L206" s="27"/>
      <c r="M206" s="27"/>
      <c r="N206" s="27"/>
      <c r="O206" s="27"/>
      <c r="P206" s="27"/>
      <c r="Q206" s="27"/>
      <c r="R206" s="27"/>
      <c r="S206" s="27"/>
      <c r="T206" s="27"/>
      <c r="U206" s="27"/>
      <c r="V206" s="25"/>
      <c r="W206" s="31" t="e">
        <f>INDEX(TBL_LNG_IMPORTERS_CONNECTIONS[LNGImporterConnectionID],$A206)</f>
        <v>#REF!</v>
      </c>
      <c r="X206" s="31" t="e">
        <f>"LNGImporterCapMin_"&amp;RIGHT($W206,11)</f>
        <v>#REF!</v>
      </c>
    </row>
    <row r="207" spans="1:24" x14ac:dyDescent="0.25">
      <c r="A207" s="94">
        <f t="shared" si="262"/>
        <v>51</v>
      </c>
      <c r="B207" s="116"/>
      <c r="C207" s="93" t="str">
        <f t="shared" ref="C207:D207" si="273">IF($B206&lt;&gt;"",C203,"")</f>
        <v/>
      </c>
      <c r="D207" s="93" t="str">
        <f t="shared" si="273"/>
        <v/>
      </c>
      <c r="E207" s="28"/>
      <c r="F207" s="28"/>
      <c r="G207" s="28"/>
      <c r="H207" s="28"/>
      <c r="I207" s="28"/>
      <c r="J207" s="28"/>
      <c r="K207" s="28"/>
      <c r="L207" s="28"/>
      <c r="M207" s="28"/>
      <c r="N207" s="28"/>
      <c r="O207" s="28"/>
      <c r="P207" s="28"/>
      <c r="Q207" s="28"/>
      <c r="R207" s="28"/>
      <c r="S207" s="28"/>
      <c r="T207" s="28"/>
      <c r="U207" s="28"/>
      <c r="V207" s="26"/>
      <c r="W207" s="31" t="e">
        <f>INDEX(TBL_LNG_IMPORTERS_CONNECTIONS[LNGImporterConnectionID],$A207)</f>
        <v>#REF!</v>
      </c>
      <c r="X207" s="31" t="e">
        <f>"LNGImporterCapMax_"&amp;RIGHT($W207,11)</f>
        <v>#REF!</v>
      </c>
    </row>
    <row r="208" spans="1:24" x14ac:dyDescent="0.25">
      <c r="A208" s="94">
        <f t="shared" si="262"/>
        <v>51</v>
      </c>
      <c r="B208" s="116"/>
      <c r="C208" s="93" t="str">
        <f t="shared" ref="C208:D208" si="274">IF($B206&lt;&gt;"",C204,"")</f>
        <v/>
      </c>
      <c r="D208" s="93" t="str">
        <f t="shared" si="274"/>
        <v/>
      </c>
      <c r="E208" s="27"/>
      <c r="F208" s="27"/>
      <c r="G208" s="27"/>
      <c r="H208" s="27"/>
      <c r="I208" s="27"/>
      <c r="J208" s="27"/>
      <c r="K208" s="27"/>
      <c r="L208" s="27"/>
      <c r="M208" s="27"/>
      <c r="N208" s="27"/>
      <c r="O208" s="27"/>
      <c r="P208" s="27"/>
      <c r="Q208" s="27"/>
      <c r="R208" s="27"/>
      <c r="S208" s="27"/>
      <c r="T208" s="27"/>
      <c r="U208" s="27"/>
      <c r="V208" s="25"/>
      <c r="W208" s="31" t="e">
        <f>INDEX(TBL_LNG_IMPORTERS_CONNECTIONS[LNGImporterConnectionID],$A208)</f>
        <v>#REF!</v>
      </c>
      <c r="X208" s="31" t="e">
        <f>"LNGImporterTariffFixed_"&amp;RIGHT($W208,11)</f>
        <v>#REF!</v>
      </c>
    </row>
    <row r="209" spans="1:24" x14ac:dyDescent="0.25">
      <c r="A209" s="94">
        <f t="shared" si="262"/>
        <v>51</v>
      </c>
      <c r="B209" s="117"/>
      <c r="C209" s="93" t="str">
        <f t="shared" ref="C209:D209" si="275">IF($B206&lt;&gt;"",C205,"")</f>
        <v/>
      </c>
      <c r="D209" s="93" t="str">
        <f t="shared" si="275"/>
        <v/>
      </c>
      <c r="E209" s="28"/>
      <c r="F209" s="28"/>
      <c r="G209" s="28"/>
      <c r="H209" s="28"/>
      <c r="I209" s="28"/>
      <c r="J209" s="28"/>
      <c r="K209" s="28"/>
      <c r="L209" s="28"/>
      <c r="M209" s="28"/>
      <c r="N209" s="28"/>
      <c r="O209" s="28"/>
      <c r="P209" s="28"/>
      <c r="Q209" s="28"/>
      <c r="R209" s="28"/>
      <c r="S209" s="28"/>
      <c r="T209" s="28"/>
      <c r="U209" s="28"/>
      <c r="V209" s="26"/>
      <c r="W209" s="31" t="e">
        <f>INDEX(TBL_LNG_IMPORTERS_CONNECTIONS[LNGImporterConnectionID],$A209)</f>
        <v>#REF!</v>
      </c>
      <c r="X209" s="31" t="e">
        <f>"LNGImporterTariffVar_"&amp;RIGHT($W209,11)</f>
        <v>#REF!</v>
      </c>
    </row>
    <row r="210" spans="1:24" x14ac:dyDescent="0.25">
      <c r="A210" s="94">
        <f t="shared" ref="A210" si="276">$A206+1</f>
        <v>52</v>
      </c>
      <c r="B210" s="115" t="str">
        <f>IFERROR(INDEX(TBL_LNG_IMPORTERS_CONNECTIONS[Name],$A210),"")</f>
        <v/>
      </c>
      <c r="C210" s="93" t="str">
        <f t="shared" ref="C210:D210" si="277">IF($B210&lt;&gt;"",C206,"")</f>
        <v/>
      </c>
      <c r="D210" s="93" t="str">
        <f t="shared" si="277"/>
        <v/>
      </c>
      <c r="E210" s="27"/>
      <c r="F210" s="27"/>
      <c r="G210" s="27"/>
      <c r="H210" s="27"/>
      <c r="I210" s="27"/>
      <c r="J210" s="27"/>
      <c r="K210" s="27"/>
      <c r="L210" s="27"/>
      <c r="M210" s="27"/>
      <c r="N210" s="27"/>
      <c r="O210" s="27"/>
      <c r="P210" s="27"/>
      <c r="Q210" s="27"/>
      <c r="R210" s="27"/>
      <c r="S210" s="27"/>
      <c r="T210" s="27"/>
      <c r="U210" s="27"/>
      <c r="V210" s="25"/>
      <c r="W210" s="31" t="e">
        <f>INDEX(TBL_LNG_IMPORTERS_CONNECTIONS[LNGImporterConnectionID],$A210)</f>
        <v>#REF!</v>
      </c>
      <c r="X210" s="31" t="e">
        <f>"LNGImporterCapMin_"&amp;RIGHT($W210,11)</f>
        <v>#REF!</v>
      </c>
    </row>
    <row r="211" spans="1:24" x14ac:dyDescent="0.25">
      <c r="A211" s="94">
        <f t="shared" si="262"/>
        <v>52</v>
      </c>
      <c r="B211" s="116"/>
      <c r="C211" s="93" t="str">
        <f t="shared" ref="C211:D211" si="278">IF($B210&lt;&gt;"",C207,"")</f>
        <v/>
      </c>
      <c r="D211" s="93" t="str">
        <f t="shared" si="278"/>
        <v/>
      </c>
      <c r="E211" s="28"/>
      <c r="F211" s="28"/>
      <c r="G211" s="28"/>
      <c r="H211" s="28"/>
      <c r="I211" s="28"/>
      <c r="J211" s="28"/>
      <c r="K211" s="28"/>
      <c r="L211" s="28"/>
      <c r="M211" s="28"/>
      <c r="N211" s="28"/>
      <c r="O211" s="28"/>
      <c r="P211" s="28"/>
      <c r="Q211" s="28"/>
      <c r="R211" s="28"/>
      <c r="S211" s="28"/>
      <c r="T211" s="28"/>
      <c r="U211" s="28"/>
      <c r="V211" s="26"/>
      <c r="W211" s="31" t="e">
        <f>INDEX(TBL_LNG_IMPORTERS_CONNECTIONS[LNGImporterConnectionID],$A211)</f>
        <v>#REF!</v>
      </c>
      <c r="X211" s="31" t="e">
        <f>"LNGImporterCapMax_"&amp;RIGHT($W211,11)</f>
        <v>#REF!</v>
      </c>
    </row>
    <row r="212" spans="1:24" x14ac:dyDescent="0.25">
      <c r="A212" s="94">
        <f t="shared" si="262"/>
        <v>52</v>
      </c>
      <c r="B212" s="116"/>
      <c r="C212" s="93" t="str">
        <f t="shared" ref="C212:D212" si="279">IF($B210&lt;&gt;"",C208,"")</f>
        <v/>
      </c>
      <c r="D212" s="93" t="str">
        <f t="shared" si="279"/>
        <v/>
      </c>
      <c r="E212" s="27"/>
      <c r="F212" s="27"/>
      <c r="G212" s="27"/>
      <c r="H212" s="27"/>
      <c r="I212" s="27"/>
      <c r="J212" s="27"/>
      <c r="K212" s="27"/>
      <c r="L212" s="27"/>
      <c r="M212" s="27"/>
      <c r="N212" s="27"/>
      <c r="O212" s="27"/>
      <c r="P212" s="27"/>
      <c r="Q212" s="27"/>
      <c r="R212" s="27"/>
      <c r="S212" s="27"/>
      <c r="T212" s="27"/>
      <c r="U212" s="27"/>
      <c r="V212" s="25"/>
      <c r="W212" s="31" t="e">
        <f>INDEX(TBL_LNG_IMPORTERS_CONNECTIONS[LNGImporterConnectionID],$A212)</f>
        <v>#REF!</v>
      </c>
      <c r="X212" s="31" t="e">
        <f>"LNGImporterTariffFixed_"&amp;RIGHT($W212,11)</f>
        <v>#REF!</v>
      </c>
    </row>
    <row r="213" spans="1:24" x14ac:dyDescent="0.25">
      <c r="A213" s="94">
        <f t="shared" si="262"/>
        <v>52</v>
      </c>
      <c r="B213" s="117"/>
      <c r="C213" s="93" t="str">
        <f t="shared" ref="C213:D213" si="280">IF($B210&lt;&gt;"",C209,"")</f>
        <v/>
      </c>
      <c r="D213" s="93" t="str">
        <f t="shared" si="280"/>
        <v/>
      </c>
      <c r="E213" s="28"/>
      <c r="F213" s="28"/>
      <c r="G213" s="28"/>
      <c r="H213" s="28"/>
      <c r="I213" s="28"/>
      <c r="J213" s="28"/>
      <c r="K213" s="28"/>
      <c r="L213" s="28"/>
      <c r="M213" s="28"/>
      <c r="N213" s="28"/>
      <c r="O213" s="28"/>
      <c r="P213" s="28"/>
      <c r="Q213" s="28"/>
      <c r="R213" s="28"/>
      <c r="S213" s="28"/>
      <c r="T213" s="28"/>
      <c r="U213" s="28"/>
      <c r="V213" s="26"/>
      <c r="W213" s="31" t="e">
        <f>INDEX(TBL_LNG_IMPORTERS_CONNECTIONS[LNGImporterConnectionID],$A213)</f>
        <v>#REF!</v>
      </c>
      <c r="X213" s="31" t="e">
        <f>"LNGImporterTariffVar_"&amp;RIGHT($W213,11)</f>
        <v>#REF!</v>
      </c>
    </row>
    <row r="214" spans="1:24" x14ac:dyDescent="0.25">
      <c r="A214" s="94">
        <f t="shared" ref="A214" si="281">$A210+1</f>
        <v>53</v>
      </c>
      <c r="B214" s="115" t="str">
        <f>IFERROR(INDEX(TBL_LNG_IMPORTERS_CONNECTIONS[Name],$A214),"")</f>
        <v/>
      </c>
      <c r="C214" s="93" t="str">
        <f t="shared" ref="C214:D214" si="282">IF($B214&lt;&gt;"",C210,"")</f>
        <v/>
      </c>
      <c r="D214" s="93" t="str">
        <f t="shared" si="282"/>
        <v/>
      </c>
      <c r="E214" s="27"/>
      <c r="F214" s="27"/>
      <c r="G214" s="27"/>
      <c r="H214" s="27"/>
      <c r="I214" s="27"/>
      <c r="J214" s="27"/>
      <c r="K214" s="27"/>
      <c r="L214" s="27"/>
      <c r="M214" s="27"/>
      <c r="N214" s="27"/>
      <c r="O214" s="27"/>
      <c r="P214" s="27"/>
      <c r="Q214" s="27"/>
      <c r="R214" s="27"/>
      <c r="S214" s="27"/>
      <c r="T214" s="27"/>
      <c r="U214" s="27"/>
      <c r="V214" s="25"/>
      <c r="W214" s="31" t="e">
        <f>INDEX(TBL_LNG_IMPORTERS_CONNECTIONS[LNGImporterConnectionID],$A214)</f>
        <v>#REF!</v>
      </c>
      <c r="X214" s="31" t="e">
        <f>"LNGImporterCapMin_"&amp;RIGHT($W214,11)</f>
        <v>#REF!</v>
      </c>
    </row>
    <row r="215" spans="1:24" x14ac:dyDescent="0.25">
      <c r="A215" s="94">
        <f t="shared" si="262"/>
        <v>53</v>
      </c>
      <c r="B215" s="116"/>
      <c r="C215" s="93" t="str">
        <f t="shared" ref="C215:D215" si="283">IF($B214&lt;&gt;"",C211,"")</f>
        <v/>
      </c>
      <c r="D215" s="93" t="str">
        <f t="shared" si="283"/>
        <v/>
      </c>
      <c r="E215" s="28"/>
      <c r="F215" s="28"/>
      <c r="G215" s="28"/>
      <c r="H215" s="28"/>
      <c r="I215" s="28"/>
      <c r="J215" s="28"/>
      <c r="K215" s="28"/>
      <c r="L215" s="28"/>
      <c r="M215" s="28"/>
      <c r="N215" s="28"/>
      <c r="O215" s="28"/>
      <c r="P215" s="28"/>
      <c r="Q215" s="28"/>
      <c r="R215" s="28"/>
      <c r="S215" s="28"/>
      <c r="T215" s="28"/>
      <c r="U215" s="28"/>
      <c r="V215" s="26"/>
      <c r="W215" s="31" t="e">
        <f>INDEX(TBL_LNG_IMPORTERS_CONNECTIONS[LNGImporterConnectionID],$A215)</f>
        <v>#REF!</v>
      </c>
      <c r="X215" s="31" t="e">
        <f>"LNGImporterCapMax_"&amp;RIGHT($W215,11)</f>
        <v>#REF!</v>
      </c>
    </row>
    <row r="216" spans="1:24" x14ac:dyDescent="0.25">
      <c r="A216" s="94">
        <f t="shared" si="262"/>
        <v>53</v>
      </c>
      <c r="B216" s="116"/>
      <c r="C216" s="93" t="str">
        <f t="shared" ref="C216:D216" si="284">IF($B214&lt;&gt;"",C212,"")</f>
        <v/>
      </c>
      <c r="D216" s="93" t="str">
        <f t="shared" si="284"/>
        <v/>
      </c>
      <c r="E216" s="27"/>
      <c r="F216" s="27"/>
      <c r="G216" s="27"/>
      <c r="H216" s="27"/>
      <c r="I216" s="27"/>
      <c r="J216" s="27"/>
      <c r="K216" s="27"/>
      <c r="L216" s="27"/>
      <c r="M216" s="27"/>
      <c r="N216" s="27"/>
      <c r="O216" s="27"/>
      <c r="P216" s="27"/>
      <c r="Q216" s="27"/>
      <c r="R216" s="27"/>
      <c r="S216" s="27"/>
      <c r="T216" s="27"/>
      <c r="U216" s="27"/>
      <c r="V216" s="25"/>
      <c r="W216" s="31" t="e">
        <f>INDEX(TBL_LNG_IMPORTERS_CONNECTIONS[LNGImporterConnectionID],$A216)</f>
        <v>#REF!</v>
      </c>
      <c r="X216" s="31" t="e">
        <f>"LNGImporterTariffFixed_"&amp;RIGHT($W216,11)</f>
        <v>#REF!</v>
      </c>
    </row>
    <row r="217" spans="1:24" x14ac:dyDescent="0.25">
      <c r="A217" s="94">
        <f t="shared" si="262"/>
        <v>53</v>
      </c>
      <c r="B217" s="117"/>
      <c r="C217" s="93" t="str">
        <f t="shared" ref="C217:D217" si="285">IF($B214&lt;&gt;"",C213,"")</f>
        <v/>
      </c>
      <c r="D217" s="93" t="str">
        <f t="shared" si="285"/>
        <v/>
      </c>
      <c r="E217" s="28"/>
      <c r="F217" s="28"/>
      <c r="G217" s="28"/>
      <c r="H217" s="28"/>
      <c r="I217" s="28"/>
      <c r="J217" s="28"/>
      <c r="K217" s="28"/>
      <c r="L217" s="28"/>
      <c r="M217" s="28"/>
      <c r="N217" s="28"/>
      <c r="O217" s="28"/>
      <c r="P217" s="28"/>
      <c r="Q217" s="28"/>
      <c r="R217" s="28"/>
      <c r="S217" s="28"/>
      <c r="T217" s="28"/>
      <c r="U217" s="28"/>
      <c r="V217" s="26"/>
      <c r="W217" s="31" t="e">
        <f>INDEX(TBL_LNG_IMPORTERS_CONNECTIONS[LNGImporterConnectionID],$A217)</f>
        <v>#REF!</v>
      </c>
      <c r="X217" s="31" t="e">
        <f>"LNGImporterTariffVar_"&amp;RIGHT($W217,11)</f>
        <v>#REF!</v>
      </c>
    </row>
    <row r="218" spans="1:24" x14ac:dyDescent="0.25">
      <c r="A218" s="94">
        <f t="shared" ref="A218" si="286">$A214+1</f>
        <v>54</v>
      </c>
      <c r="B218" s="115" t="str">
        <f>IFERROR(INDEX(TBL_LNG_IMPORTERS_CONNECTIONS[Name],$A218),"")</f>
        <v/>
      </c>
      <c r="C218" s="93" t="str">
        <f t="shared" ref="C218:D218" si="287">IF($B218&lt;&gt;"",C214,"")</f>
        <v/>
      </c>
      <c r="D218" s="93" t="str">
        <f t="shared" si="287"/>
        <v/>
      </c>
      <c r="E218" s="27"/>
      <c r="F218" s="27"/>
      <c r="G218" s="27"/>
      <c r="H218" s="27"/>
      <c r="I218" s="27"/>
      <c r="J218" s="27"/>
      <c r="K218" s="27"/>
      <c r="L218" s="27"/>
      <c r="M218" s="27"/>
      <c r="N218" s="27"/>
      <c r="O218" s="27"/>
      <c r="P218" s="27"/>
      <c r="Q218" s="27"/>
      <c r="R218" s="27"/>
      <c r="S218" s="27"/>
      <c r="T218" s="27"/>
      <c r="U218" s="27"/>
      <c r="V218" s="25"/>
      <c r="W218" s="31" t="e">
        <f>INDEX(TBL_LNG_IMPORTERS_CONNECTIONS[LNGImporterConnectionID],$A218)</f>
        <v>#REF!</v>
      </c>
      <c r="X218" s="31" t="e">
        <f>"LNGImporterCapMin_"&amp;RIGHT($W218,11)</f>
        <v>#REF!</v>
      </c>
    </row>
    <row r="219" spans="1:24" x14ac:dyDescent="0.25">
      <c r="A219" s="94">
        <f t="shared" ref="A219:A221" si="288">$A218</f>
        <v>54</v>
      </c>
      <c r="B219" s="116"/>
      <c r="C219" s="93" t="str">
        <f t="shared" ref="C219:D219" si="289">IF($B218&lt;&gt;"",C215,"")</f>
        <v/>
      </c>
      <c r="D219" s="93" t="str">
        <f t="shared" si="289"/>
        <v/>
      </c>
      <c r="E219" s="28"/>
      <c r="F219" s="28"/>
      <c r="G219" s="28"/>
      <c r="H219" s="28"/>
      <c r="I219" s="28"/>
      <c r="J219" s="28"/>
      <c r="K219" s="28"/>
      <c r="L219" s="28"/>
      <c r="M219" s="28"/>
      <c r="N219" s="28"/>
      <c r="O219" s="28"/>
      <c r="P219" s="28"/>
      <c r="Q219" s="28"/>
      <c r="R219" s="28"/>
      <c r="S219" s="28"/>
      <c r="T219" s="28"/>
      <c r="U219" s="28"/>
      <c r="V219" s="26"/>
      <c r="W219" s="31" t="e">
        <f>INDEX(TBL_LNG_IMPORTERS_CONNECTIONS[LNGImporterConnectionID],$A219)</f>
        <v>#REF!</v>
      </c>
      <c r="X219" s="31" t="e">
        <f>"LNGImporterCapMax_"&amp;RIGHT($W219,11)</f>
        <v>#REF!</v>
      </c>
    </row>
    <row r="220" spans="1:24" x14ac:dyDescent="0.25">
      <c r="A220" s="94">
        <f t="shared" si="288"/>
        <v>54</v>
      </c>
      <c r="B220" s="116"/>
      <c r="C220" s="93" t="str">
        <f t="shared" ref="C220:D220" si="290">IF($B218&lt;&gt;"",C216,"")</f>
        <v/>
      </c>
      <c r="D220" s="93" t="str">
        <f t="shared" si="290"/>
        <v/>
      </c>
      <c r="E220" s="27"/>
      <c r="F220" s="27"/>
      <c r="G220" s="27"/>
      <c r="H220" s="27"/>
      <c r="I220" s="27"/>
      <c r="J220" s="27"/>
      <c r="K220" s="27"/>
      <c r="L220" s="27"/>
      <c r="M220" s="27"/>
      <c r="N220" s="27"/>
      <c r="O220" s="27"/>
      <c r="P220" s="27"/>
      <c r="Q220" s="27"/>
      <c r="R220" s="27"/>
      <c r="S220" s="27"/>
      <c r="T220" s="27"/>
      <c r="U220" s="27"/>
      <c r="V220" s="25"/>
      <c r="W220" s="31" t="e">
        <f>INDEX(TBL_LNG_IMPORTERS_CONNECTIONS[LNGImporterConnectionID],$A220)</f>
        <v>#REF!</v>
      </c>
      <c r="X220" s="31" t="e">
        <f>"LNGImporterTariffFixed_"&amp;RIGHT($W220,11)</f>
        <v>#REF!</v>
      </c>
    </row>
    <row r="221" spans="1:24" x14ac:dyDescent="0.25">
      <c r="A221" s="94">
        <f t="shared" si="288"/>
        <v>54</v>
      </c>
      <c r="B221" s="117"/>
      <c r="C221" s="93" t="str">
        <f t="shared" ref="C221:D221" si="291">IF($B218&lt;&gt;"",C217,"")</f>
        <v/>
      </c>
      <c r="D221" s="93" t="str">
        <f t="shared" si="291"/>
        <v/>
      </c>
      <c r="E221" s="28"/>
      <c r="F221" s="28"/>
      <c r="G221" s="28"/>
      <c r="H221" s="28"/>
      <c r="I221" s="28"/>
      <c r="J221" s="28"/>
      <c r="K221" s="28"/>
      <c r="L221" s="28"/>
      <c r="M221" s="28"/>
      <c r="N221" s="28"/>
      <c r="O221" s="28"/>
      <c r="P221" s="28"/>
      <c r="Q221" s="28"/>
      <c r="R221" s="28"/>
      <c r="S221" s="28"/>
      <c r="T221" s="28"/>
      <c r="U221" s="28"/>
      <c r="V221" s="26"/>
      <c r="W221" s="31" t="e">
        <f>INDEX(TBL_LNG_IMPORTERS_CONNECTIONS[LNGImporterConnectionID],$A221)</f>
        <v>#REF!</v>
      </c>
      <c r="X221" s="31" t="e">
        <f>"LNGImporterTariffVar_"&amp;RIGHT($W221,11)</f>
        <v>#REF!</v>
      </c>
    </row>
    <row r="222" spans="1:24" x14ac:dyDescent="0.25">
      <c r="A222" s="94">
        <f t="shared" ref="A222" si="292">$A218+1</f>
        <v>55</v>
      </c>
      <c r="B222" s="115" t="str">
        <f>IFERROR(INDEX(TBL_LNG_IMPORTERS_CONNECTIONS[Name],$A222),"")</f>
        <v/>
      </c>
      <c r="C222" s="93" t="str">
        <f t="shared" ref="C222:D222" si="293">IF($B222&lt;&gt;"",C218,"")</f>
        <v/>
      </c>
      <c r="D222" s="93" t="str">
        <f t="shared" si="293"/>
        <v/>
      </c>
      <c r="E222" s="27"/>
      <c r="F222" s="27"/>
      <c r="G222" s="27"/>
      <c r="H222" s="27"/>
      <c r="I222" s="27"/>
      <c r="J222" s="27"/>
      <c r="K222" s="27"/>
      <c r="L222" s="27"/>
      <c r="M222" s="27"/>
      <c r="N222" s="27"/>
      <c r="O222" s="27"/>
      <c r="P222" s="27"/>
      <c r="Q222" s="27"/>
      <c r="R222" s="27"/>
      <c r="S222" s="27"/>
      <c r="T222" s="27"/>
      <c r="U222" s="27"/>
      <c r="V222" s="25"/>
      <c r="W222" s="31" t="e">
        <f>INDEX(TBL_LNG_IMPORTERS_CONNECTIONS[LNGImporterConnectionID],$A222)</f>
        <v>#REF!</v>
      </c>
      <c r="X222" s="31" t="e">
        <f>"LNGImporterCapMin_"&amp;RIGHT($W222,11)</f>
        <v>#REF!</v>
      </c>
    </row>
    <row r="223" spans="1:24" x14ac:dyDescent="0.25">
      <c r="A223" s="94">
        <f t="shared" ref="A223:A225" si="294">$A222</f>
        <v>55</v>
      </c>
      <c r="B223" s="116"/>
      <c r="C223" s="93" t="str">
        <f t="shared" ref="C223:D223" si="295">IF($B222&lt;&gt;"",C219,"")</f>
        <v/>
      </c>
      <c r="D223" s="93" t="str">
        <f t="shared" si="295"/>
        <v/>
      </c>
      <c r="E223" s="28"/>
      <c r="F223" s="28"/>
      <c r="G223" s="28"/>
      <c r="H223" s="28"/>
      <c r="I223" s="28"/>
      <c r="J223" s="28"/>
      <c r="K223" s="28"/>
      <c r="L223" s="28"/>
      <c r="M223" s="28"/>
      <c r="N223" s="28"/>
      <c r="O223" s="28"/>
      <c r="P223" s="28"/>
      <c r="Q223" s="28"/>
      <c r="R223" s="28"/>
      <c r="S223" s="28"/>
      <c r="T223" s="28"/>
      <c r="U223" s="28"/>
      <c r="V223" s="26"/>
      <c r="W223" s="31" t="e">
        <f>INDEX(TBL_LNG_IMPORTERS_CONNECTIONS[LNGImporterConnectionID],$A223)</f>
        <v>#REF!</v>
      </c>
      <c r="X223" s="31" t="e">
        <f>"LNGImporterCapMax_"&amp;RIGHT($W223,11)</f>
        <v>#REF!</v>
      </c>
    </row>
    <row r="224" spans="1:24" x14ac:dyDescent="0.25">
      <c r="A224" s="94">
        <f t="shared" si="294"/>
        <v>55</v>
      </c>
      <c r="B224" s="116"/>
      <c r="C224" s="93" t="str">
        <f t="shared" ref="C224:D224" si="296">IF($B222&lt;&gt;"",C220,"")</f>
        <v/>
      </c>
      <c r="D224" s="93" t="str">
        <f t="shared" si="296"/>
        <v/>
      </c>
      <c r="E224" s="27"/>
      <c r="F224" s="27"/>
      <c r="G224" s="27"/>
      <c r="H224" s="27"/>
      <c r="I224" s="27"/>
      <c r="J224" s="27"/>
      <c r="K224" s="27"/>
      <c r="L224" s="27"/>
      <c r="M224" s="27"/>
      <c r="N224" s="27"/>
      <c r="O224" s="27"/>
      <c r="P224" s="27"/>
      <c r="Q224" s="27"/>
      <c r="R224" s="27"/>
      <c r="S224" s="27"/>
      <c r="T224" s="27"/>
      <c r="U224" s="27"/>
      <c r="V224" s="25"/>
      <c r="W224" s="31" t="e">
        <f>INDEX(TBL_LNG_IMPORTERS_CONNECTIONS[LNGImporterConnectionID],$A224)</f>
        <v>#REF!</v>
      </c>
      <c r="X224" s="31" t="e">
        <f>"LNGImporterTariffFixed_"&amp;RIGHT($W224,11)</f>
        <v>#REF!</v>
      </c>
    </row>
    <row r="225" spans="1:24" x14ac:dyDescent="0.25">
      <c r="A225" s="94">
        <f t="shared" si="294"/>
        <v>55</v>
      </c>
      <c r="B225" s="117"/>
      <c r="C225" s="93" t="str">
        <f t="shared" ref="C225:D225" si="297">IF($B222&lt;&gt;"",C221,"")</f>
        <v/>
      </c>
      <c r="D225" s="93" t="str">
        <f t="shared" si="297"/>
        <v/>
      </c>
      <c r="E225" s="28"/>
      <c r="F225" s="28"/>
      <c r="G225" s="28"/>
      <c r="H225" s="28"/>
      <c r="I225" s="28"/>
      <c r="J225" s="28"/>
      <c r="K225" s="28"/>
      <c r="L225" s="28"/>
      <c r="M225" s="28"/>
      <c r="N225" s="28"/>
      <c r="O225" s="28"/>
      <c r="P225" s="28"/>
      <c r="Q225" s="28"/>
      <c r="R225" s="28"/>
      <c r="S225" s="28"/>
      <c r="T225" s="28"/>
      <c r="U225" s="28"/>
      <c r="V225" s="26"/>
      <c r="W225" s="31" t="e">
        <f>INDEX(TBL_LNG_IMPORTERS_CONNECTIONS[LNGImporterConnectionID],$A225)</f>
        <v>#REF!</v>
      </c>
      <c r="X225" s="31" t="e">
        <f>"LNGImporterTariffVar_"&amp;RIGHT($W225,11)</f>
        <v>#REF!</v>
      </c>
    </row>
    <row r="226" spans="1:24" x14ac:dyDescent="0.25">
      <c r="A226" s="94">
        <f t="shared" ref="A226" si="298">$A222+1</f>
        <v>56</v>
      </c>
      <c r="B226" s="115" t="str">
        <f>IFERROR(INDEX(TBL_LNG_IMPORTERS_CONNECTIONS[Name],$A226),"")</f>
        <v/>
      </c>
      <c r="C226" s="93" t="str">
        <f t="shared" ref="C226:D226" si="299">IF($B226&lt;&gt;"",C222,"")</f>
        <v/>
      </c>
      <c r="D226" s="93" t="str">
        <f t="shared" si="299"/>
        <v/>
      </c>
      <c r="E226" s="27"/>
      <c r="F226" s="27"/>
      <c r="G226" s="27"/>
      <c r="H226" s="27"/>
      <c r="I226" s="27"/>
      <c r="J226" s="27"/>
      <c r="K226" s="27"/>
      <c r="L226" s="27"/>
      <c r="M226" s="27"/>
      <c r="N226" s="27"/>
      <c r="O226" s="27"/>
      <c r="P226" s="27"/>
      <c r="Q226" s="27"/>
      <c r="R226" s="27"/>
      <c r="S226" s="27"/>
      <c r="T226" s="27"/>
      <c r="U226" s="27"/>
      <c r="V226" s="25"/>
      <c r="W226" s="31" t="e">
        <f>INDEX(TBL_LNG_IMPORTERS_CONNECTIONS[LNGImporterConnectionID],$A226)</f>
        <v>#REF!</v>
      </c>
      <c r="X226" s="31" t="e">
        <f>"LNGImporterCapMin_"&amp;RIGHT($W226,11)</f>
        <v>#REF!</v>
      </c>
    </row>
    <row r="227" spans="1:24" x14ac:dyDescent="0.25">
      <c r="A227" s="94">
        <f t="shared" ref="A227:A229" si="300">$A226</f>
        <v>56</v>
      </c>
      <c r="B227" s="116"/>
      <c r="C227" s="93" t="str">
        <f t="shared" ref="C227:D227" si="301">IF($B226&lt;&gt;"",C223,"")</f>
        <v/>
      </c>
      <c r="D227" s="93" t="str">
        <f t="shared" si="301"/>
        <v/>
      </c>
      <c r="E227" s="28"/>
      <c r="F227" s="28"/>
      <c r="G227" s="28"/>
      <c r="H227" s="28"/>
      <c r="I227" s="28"/>
      <c r="J227" s="28"/>
      <c r="K227" s="28"/>
      <c r="L227" s="28"/>
      <c r="M227" s="28"/>
      <c r="N227" s="28"/>
      <c r="O227" s="28"/>
      <c r="P227" s="28"/>
      <c r="Q227" s="28"/>
      <c r="R227" s="28"/>
      <c r="S227" s="28"/>
      <c r="T227" s="28"/>
      <c r="U227" s="28"/>
      <c r="V227" s="26"/>
      <c r="W227" s="31" t="e">
        <f>INDEX(TBL_LNG_IMPORTERS_CONNECTIONS[LNGImporterConnectionID],$A227)</f>
        <v>#REF!</v>
      </c>
      <c r="X227" s="31" t="e">
        <f>"LNGImporterCapMax_"&amp;RIGHT($W227,11)</f>
        <v>#REF!</v>
      </c>
    </row>
    <row r="228" spans="1:24" x14ac:dyDescent="0.25">
      <c r="A228" s="94">
        <f t="shared" si="300"/>
        <v>56</v>
      </c>
      <c r="B228" s="116"/>
      <c r="C228" s="93" t="str">
        <f t="shared" ref="C228:D228" si="302">IF($B226&lt;&gt;"",C224,"")</f>
        <v/>
      </c>
      <c r="D228" s="93" t="str">
        <f t="shared" si="302"/>
        <v/>
      </c>
      <c r="E228" s="27"/>
      <c r="F228" s="27"/>
      <c r="G228" s="27"/>
      <c r="H228" s="27"/>
      <c r="I228" s="27"/>
      <c r="J228" s="27"/>
      <c r="K228" s="27"/>
      <c r="L228" s="27"/>
      <c r="M228" s="27"/>
      <c r="N228" s="27"/>
      <c r="O228" s="27"/>
      <c r="P228" s="27"/>
      <c r="Q228" s="27"/>
      <c r="R228" s="27"/>
      <c r="S228" s="27"/>
      <c r="T228" s="27"/>
      <c r="U228" s="27"/>
      <c r="V228" s="25"/>
      <c r="W228" s="31" t="e">
        <f>INDEX(TBL_LNG_IMPORTERS_CONNECTIONS[LNGImporterConnectionID],$A228)</f>
        <v>#REF!</v>
      </c>
      <c r="X228" s="31" t="e">
        <f>"LNGImporterTariffFixed_"&amp;RIGHT($W228,11)</f>
        <v>#REF!</v>
      </c>
    </row>
    <row r="229" spans="1:24" x14ac:dyDescent="0.25">
      <c r="A229" s="94">
        <f t="shared" si="300"/>
        <v>56</v>
      </c>
      <c r="B229" s="117"/>
      <c r="C229" s="93" t="str">
        <f t="shared" ref="C229:D229" si="303">IF($B226&lt;&gt;"",C225,"")</f>
        <v/>
      </c>
      <c r="D229" s="93" t="str">
        <f t="shared" si="303"/>
        <v/>
      </c>
      <c r="E229" s="28"/>
      <c r="F229" s="28"/>
      <c r="G229" s="28"/>
      <c r="H229" s="28"/>
      <c r="I229" s="28"/>
      <c r="J229" s="28"/>
      <c r="K229" s="28"/>
      <c r="L229" s="28"/>
      <c r="M229" s="28"/>
      <c r="N229" s="28"/>
      <c r="O229" s="28"/>
      <c r="P229" s="28"/>
      <c r="Q229" s="28"/>
      <c r="R229" s="28"/>
      <c r="S229" s="28"/>
      <c r="T229" s="28"/>
      <c r="U229" s="28"/>
      <c r="V229" s="26"/>
      <c r="W229" s="31" t="e">
        <f>INDEX(TBL_LNG_IMPORTERS_CONNECTIONS[LNGImporterConnectionID],$A229)</f>
        <v>#REF!</v>
      </c>
      <c r="X229" s="31" t="e">
        <f>"LNGImporterTariffVar_"&amp;RIGHT($W229,11)</f>
        <v>#REF!</v>
      </c>
    </row>
    <row r="230" spans="1:24" x14ac:dyDescent="0.25">
      <c r="A230" s="94">
        <f t="shared" ref="A230" si="304">$A226+1</f>
        <v>57</v>
      </c>
      <c r="B230" s="115" t="str">
        <f>IFERROR(INDEX(TBL_LNG_IMPORTERS_CONNECTIONS[Name],$A230),"")</f>
        <v/>
      </c>
      <c r="C230" s="93" t="str">
        <f t="shared" ref="C230:D230" si="305">IF($B230&lt;&gt;"",C226,"")</f>
        <v/>
      </c>
      <c r="D230" s="93" t="str">
        <f t="shared" si="305"/>
        <v/>
      </c>
      <c r="E230" s="27"/>
      <c r="F230" s="27"/>
      <c r="G230" s="27"/>
      <c r="H230" s="27"/>
      <c r="I230" s="27"/>
      <c r="J230" s="27"/>
      <c r="K230" s="27"/>
      <c r="L230" s="27"/>
      <c r="M230" s="27"/>
      <c r="N230" s="27"/>
      <c r="O230" s="27"/>
      <c r="P230" s="27"/>
      <c r="Q230" s="27"/>
      <c r="R230" s="27"/>
      <c r="S230" s="27"/>
      <c r="T230" s="27"/>
      <c r="U230" s="27"/>
      <c r="V230" s="25"/>
      <c r="W230" s="31" t="e">
        <f>INDEX(TBL_LNG_IMPORTERS_CONNECTIONS[LNGImporterConnectionID],$A230)</f>
        <v>#REF!</v>
      </c>
      <c r="X230" s="31" t="e">
        <f>"LNGImporterCapMin_"&amp;RIGHT($W230,11)</f>
        <v>#REF!</v>
      </c>
    </row>
    <row r="231" spans="1:24" x14ac:dyDescent="0.25">
      <c r="A231" s="94">
        <f t="shared" ref="A231:A233" si="306">$A230</f>
        <v>57</v>
      </c>
      <c r="B231" s="116"/>
      <c r="C231" s="93" t="str">
        <f t="shared" ref="C231:D231" si="307">IF($B230&lt;&gt;"",C227,"")</f>
        <v/>
      </c>
      <c r="D231" s="93" t="str">
        <f t="shared" si="307"/>
        <v/>
      </c>
      <c r="E231" s="28"/>
      <c r="F231" s="28"/>
      <c r="G231" s="28"/>
      <c r="H231" s="28"/>
      <c r="I231" s="28"/>
      <c r="J231" s="28"/>
      <c r="K231" s="28"/>
      <c r="L231" s="28"/>
      <c r="M231" s="28"/>
      <c r="N231" s="28"/>
      <c r="O231" s="28"/>
      <c r="P231" s="28"/>
      <c r="Q231" s="28"/>
      <c r="R231" s="28"/>
      <c r="S231" s="28"/>
      <c r="T231" s="28"/>
      <c r="U231" s="28"/>
      <c r="V231" s="26"/>
      <c r="W231" s="31" t="e">
        <f>INDEX(TBL_LNG_IMPORTERS_CONNECTIONS[LNGImporterConnectionID],$A231)</f>
        <v>#REF!</v>
      </c>
      <c r="X231" s="31" t="e">
        <f>"LNGImporterCapMax_"&amp;RIGHT($W231,11)</f>
        <v>#REF!</v>
      </c>
    </row>
    <row r="232" spans="1:24" x14ac:dyDescent="0.25">
      <c r="A232" s="94">
        <f t="shared" si="306"/>
        <v>57</v>
      </c>
      <c r="B232" s="116"/>
      <c r="C232" s="93" t="str">
        <f t="shared" ref="C232:D232" si="308">IF($B230&lt;&gt;"",C228,"")</f>
        <v/>
      </c>
      <c r="D232" s="93" t="str">
        <f t="shared" si="308"/>
        <v/>
      </c>
      <c r="E232" s="27"/>
      <c r="F232" s="27"/>
      <c r="G232" s="27"/>
      <c r="H232" s="27"/>
      <c r="I232" s="27"/>
      <c r="J232" s="27"/>
      <c r="K232" s="27"/>
      <c r="L232" s="27"/>
      <c r="M232" s="27"/>
      <c r="N232" s="27"/>
      <c r="O232" s="27"/>
      <c r="P232" s="27"/>
      <c r="Q232" s="27"/>
      <c r="R232" s="27"/>
      <c r="S232" s="27"/>
      <c r="T232" s="27"/>
      <c r="U232" s="27"/>
      <c r="V232" s="25"/>
      <c r="W232" s="31" t="e">
        <f>INDEX(TBL_LNG_IMPORTERS_CONNECTIONS[LNGImporterConnectionID],$A232)</f>
        <v>#REF!</v>
      </c>
      <c r="X232" s="31" t="e">
        <f>"LNGImporterTariffFixed_"&amp;RIGHT($W232,11)</f>
        <v>#REF!</v>
      </c>
    </row>
    <row r="233" spans="1:24" x14ac:dyDescent="0.25">
      <c r="A233" s="94">
        <f t="shared" si="306"/>
        <v>57</v>
      </c>
      <c r="B233" s="117"/>
      <c r="C233" s="93" t="str">
        <f t="shared" ref="C233:D233" si="309">IF($B230&lt;&gt;"",C229,"")</f>
        <v/>
      </c>
      <c r="D233" s="93" t="str">
        <f t="shared" si="309"/>
        <v/>
      </c>
      <c r="E233" s="28"/>
      <c r="F233" s="28"/>
      <c r="G233" s="28"/>
      <c r="H233" s="28"/>
      <c r="I233" s="28"/>
      <c r="J233" s="28"/>
      <c r="K233" s="28"/>
      <c r="L233" s="28"/>
      <c r="M233" s="28"/>
      <c r="N233" s="28"/>
      <c r="O233" s="28"/>
      <c r="P233" s="28"/>
      <c r="Q233" s="28"/>
      <c r="R233" s="28"/>
      <c r="S233" s="28"/>
      <c r="T233" s="28"/>
      <c r="U233" s="28"/>
      <c r="V233" s="26"/>
      <c r="W233" s="31" t="e">
        <f>INDEX(TBL_LNG_IMPORTERS_CONNECTIONS[LNGImporterConnectionID],$A233)</f>
        <v>#REF!</v>
      </c>
      <c r="X233" s="31" t="e">
        <f>"LNGImporterTariffVar_"&amp;RIGHT($W233,11)</f>
        <v>#REF!</v>
      </c>
    </row>
    <row r="234" spans="1:24" x14ac:dyDescent="0.25">
      <c r="A234" s="94">
        <f t="shared" ref="A234" si="310">$A230+1</f>
        <v>58</v>
      </c>
      <c r="B234" s="115" t="str">
        <f>IFERROR(INDEX(TBL_LNG_IMPORTERS_CONNECTIONS[Name],$A234),"")</f>
        <v/>
      </c>
      <c r="C234" s="93" t="str">
        <f t="shared" ref="C234:D234" si="311">IF($B234&lt;&gt;"",C230,"")</f>
        <v/>
      </c>
      <c r="D234" s="93" t="str">
        <f t="shared" si="311"/>
        <v/>
      </c>
      <c r="E234" s="27"/>
      <c r="F234" s="27"/>
      <c r="G234" s="27"/>
      <c r="H234" s="27"/>
      <c r="I234" s="27"/>
      <c r="J234" s="27"/>
      <c r="K234" s="27"/>
      <c r="L234" s="27"/>
      <c r="M234" s="27"/>
      <c r="N234" s="27"/>
      <c r="O234" s="27"/>
      <c r="P234" s="27"/>
      <c r="Q234" s="27"/>
      <c r="R234" s="27"/>
      <c r="S234" s="27"/>
      <c r="T234" s="27"/>
      <c r="U234" s="27"/>
      <c r="V234" s="25"/>
      <c r="W234" s="31" t="e">
        <f>INDEX(TBL_LNG_IMPORTERS_CONNECTIONS[LNGImporterConnectionID],$A234)</f>
        <v>#REF!</v>
      </c>
      <c r="X234" s="31" t="e">
        <f>"LNGImporterCapMin_"&amp;RIGHT($W234,11)</f>
        <v>#REF!</v>
      </c>
    </row>
    <row r="235" spans="1:24" x14ac:dyDescent="0.25">
      <c r="A235" s="94">
        <f t="shared" ref="A235:A237" si="312">$A234</f>
        <v>58</v>
      </c>
      <c r="B235" s="116"/>
      <c r="C235" s="93" t="str">
        <f t="shared" ref="C235:D235" si="313">IF($B234&lt;&gt;"",C231,"")</f>
        <v/>
      </c>
      <c r="D235" s="93" t="str">
        <f t="shared" si="313"/>
        <v/>
      </c>
      <c r="E235" s="28"/>
      <c r="F235" s="28"/>
      <c r="G235" s="28"/>
      <c r="H235" s="28"/>
      <c r="I235" s="28"/>
      <c r="J235" s="28"/>
      <c r="K235" s="28"/>
      <c r="L235" s="28"/>
      <c r="M235" s="28"/>
      <c r="N235" s="28"/>
      <c r="O235" s="28"/>
      <c r="P235" s="28"/>
      <c r="Q235" s="28"/>
      <c r="R235" s="28"/>
      <c r="S235" s="28"/>
      <c r="T235" s="28"/>
      <c r="U235" s="28"/>
      <c r="V235" s="26"/>
      <c r="W235" s="31" t="e">
        <f>INDEX(TBL_LNG_IMPORTERS_CONNECTIONS[LNGImporterConnectionID],$A235)</f>
        <v>#REF!</v>
      </c>
      <c r="X235" s="31" t="e">
        <f>"LNGImporterCapMax_"&amp;RIGHT($W235,11)</f>
        <v>#REF!</v>
      </c>
    </row>
    <row r="236" spans="1:24" x14ac:dyDescent="0.25">
      <c r="A236" s="94">
        <f t="shared" si="312"/>
        <v>58</v>
      </c>
      <c r="B236" s="116"/>
      <c r="C236" s="93" t="str">
        <f t="shared" ref="C236:D236" si="314">IF($B234&lt;&gt;"",C232,"")</f>
        <v/>
      </c>
      <c r="D236" s="93" t="str">
        <f t="shared" si="314"/>
        <v/>
      </c>
      <c r="E236" s="27"/>
      <c r="F236" s="27"/>
      <c r="G236" s="27"/>
      <c r="H236" s="27"/>
      <c r="I236" s="27"/>
      <c r="J236" s="27"/>
      <c r="K236" s="27"/>
      <c r="L236" s="27"/>
      <c r="M236" s="27"/>
      <c r="N236" s="27"/>
      <c r="O236" s="27"/>
      <c r="P236" s="27"/>
      <c r="Q236" s="27"/>
      <c r="R236" s="27"/>
      <c r="S236" s="27"/>
      <c r="T236" s="27"/>
      <c r="U236" s="27"/>
      <c r="V236" s="25"/>
      <c r="W236" s="31" t="e">
        <f>INDEX(TBL_LNG_IMPORTERS_CONNECTIONS[LNGImporterConnectionID],$A236)</f>
        <v>#REF!</v>
      </c>
      <c r="X236" s="31" t="e">
        <f>"LNGImporterTariffFixed_"&amp;RIGHT($W236,11)</f>
        <v>#REF!</v>
      </c>
    </row>
    <row r="237" spans="1:24" x14ac:dyDescent="0.25">
      <c r="A237" s="94">
        <f t="shared" si="312"/>
        <v>58</v>
      </c>
      <c r="B237" s="117"/>
      <c r="C237" s="93" t="str">
        <f t="shared" ref="C237:D237" si="315">IF($B234&lt;&gt;"",C233,"")</f>
        <v/>
      </c>
      <c r="D237" s="93" t="str">
        <f t="shared" si="315"/>
        <v/>
      </c>
      <c r="E237" s="28"/>
      <c r="F237" s="28"/>
      <c r="G237" s="28"/>
      <c r="H237" s="28"/>
      <c r="I237" s="28"/>
      <c r="J237" s="28"/>
      <c r="K237" s="28"/>
      <c r="L237" s="28"/>
      <c r="M237" s="28"/>
      <c r="N237" s="28"/>
      <c r="O237" s="28"/>
      <c r="P237" s="28"/>
      <c r="Q237" s="28"/>
      <c r="R237" s="28"/>
      <c r="S237" s="28"/>
      <c r="T237" s="28"/>
      <c r="U237" s="28"/>
      <c r="V237" s="26"/>
      <c r="W237" s="31" t="e">
        <f>INDEX(TBL_LNG_IMPORTERS_CONNECTIONS[LNGImporterConnectionID],$A237)</f>
        <v>#REF!</v>
      </c>
      <c r="X237" s="31" t="e">
        <f>"LNGImporterTariffVar_"&amp;RIGHT($W237,11)</f>
        <v>#REF!</v>
      </c>
    </row>
    <row r="238" spans="1:24" x14ac:dyDescent="0.25">
      <c r="A238" s="94">
        <f t="shared" ref="A238" si="316">$A234+1</f>
        <v>59</v>
      </c>
      <c r="B238" s="115" t="str">
        <f>IFERROR(INDEX(TBL_LNG_IMPORTERS_CONNECTIONS[Name],$A238),"")</f>
        <v/>
      </c>
      <c r="C238" s="93" t="str">
        <f t="shared" ref="C238:D238" si="317">IF($B238&lt;&gt;"",C234,"")</f>
        <v/>
      </c>
      <c r="D238" s="93" t="str">
        <f t="shared" si="317"/>
        <v/>
      </c>
      <c r="E238" s="27"/>
      <c r="F238" s="27"/>
      <c r="G238" s="27"/>
      <c r="H238" s="27"/>
      <c r="I238" s="27"/>
      <c r="J238" s="27"/>
      <c r="K238" s="27"/>
      <c r="L238" s="27"/>
      <c r="M238" s="27"/>
      <c r="N238" s="27"/>
      <c r="O238" s="27"/>
      <c r="P238" s="27"/>
      <c r="Q238" s="27"/>
      <c r="R238" s="27"/>
      <c r="S238" s="27"/>
      <c r="T238" s="27"/>
      <c r="U238" s="27"/>
      <c r="V238" s="25"/>
      <c r="W238" s="31" t="e">
        <f>INDEX(TBL_LNG_IMPORTERS_CONNECTIONS[LNGImporterConnectionID],$A238)</f>
        <v>#REF!</v>
      </c>
      <c r="X238" s="31" t="e">
        <f>"LNGImporterCapMin_"&amp;RIGHT($W238,11)</f>
        <v>#REF!</v>
      </c>
    </row>
    <row r="239" spans="1:24" x14ac:dyDescent="0.25">
      <c r="A239" s="94">
        <f t="shared" ref="A239:A257" si="318">$A238</f>
        <v>59</v>
      </c>
      <c r="B239" s="116"/>
      <c r="C239" s="93" t="str">
        <f t="shared" ref="C239:D239" si="319">IF($B238&lt;&gt;"",C235,"")</f>
        <v/>
      </c>
      <c r="D239" s="93" t="str">
        <f t="shared" si="319"/>
        <v/>
      </c>
      <c r="E239" s="28"/>
      <c r="F239" s="28"/>
      <c r="G239" s="28"/>
      <c r="H239" s="28"/>
      <c r="I239" s="28"/>
      <c r="J239" s="28"/>
      <c r="K239" s="28"/>
      <c r="L239" s="28"/>
      <c r="M239" s="28"/>
      <c r="N239" s="28"/>
      <c r="O239" s="28"/>
      <c r="P239" s="28"/>
      <c r="Q239" s="28"/>
      <c r="R239" s="28"/>
      <c r="S239" s="28"/>
      <c r="T239" s="28"/>
      <c r="U239" s="28"/>
      <c r="V239" s="26"/>
      <c r="W239" s="31" t="e">
        <f>INDEX(TBL_LNG_IMPORTERS_CONNECTIONS[LNGImporterConnectionID],$A239)</f>
        <v>#REF!</v>
      </c>
      <c r="X239" s="31" t="e">
        <f>"LNGImporterCapMax_"&amp;RIGHT($W239,11)</f>
        <v>#REF!</v>
      </c>
    </row>
    <row r="240" spans="1:24" x14ac:dyDescent="0.25">
      <c r="A240" s="94">
        <f t="shared" si="318"/>
        <v>59</v>
      </c>
      <c r="B240" s="116"/>
      <c r="C240" s="93" t="str">
        <f t="shared" ref="C240:D240" si="320">IF($B238&lt;&gt;"",C236,"")</f>
        <v/>
      </c>
      <c r="D240" s="93" t="str">
        <f t="shared" si="320"/>
        <v/>
      </c>
      <c r="E240" s="27"/>
      <c r="F240" s="27"/>
      <c r="G240" s="27"/>
      <c r="H240" s="27"/>
      <c r="I240" s="27"/>
      <c r="J240" s="27"/>
      <c r="K240" s="27"/>
      <c r="L240" s="27"/>
      <c r="M240" s="27"/>
      <c r="N240" s="27"/>
      <c r="O240" s="27"/>
      <c r="P240" s="27"/>
      <c r="Q240" s="27"/>
      <c r="R240" s="27"/>
      <c r="S240" s="27"/>
      <c r="T240" s="27"/>
      <c r="U240" s="27"/>
      <c r="V240" s="25"/>
      <c r="W240" s="31" t="e">
        <f>INDEX(TBL_LNG_IMPORTERS_CONNECTIONS[LNGImporterConnectionID],$A240)</f>
        <v>#REF!</v>
      </c>
      <c r="X240" s="31" t="e">
        <f>"LNGImporterTariffFixed_"&amp;RIGHT($W240,11)</f>
        <v>#REF!</v>
      </c>
    </row>
    <row r="241" spans="1:24" x14ac:dyDescent="0.25">
      <c r="A241" s="94">
        <f t="shared" si="318"/>
        <v>59</v>
      </c>
      <c r="B241" s="117"/>
      <c r="C241" s="93" t="str">
        <f t="shared" ref="C241:D241" si="321">IF($B238&lt;&gt;"",C237,"")</f>
        <v/>
      </c>
      <c r="D241" s="93" t="str">
        <f t="shared" si="321"/>
        <v/>
      </c>
      <c r="E241" s="28"/>
      <c r="F241" s="28"/>
      <c r="G241" s="28"/>
      <c r="H241" s="28"/>
      <c r="I241" s="28"/>
      <c r="J241" s="28"/>
      <c r="K241" s="28"/>
      <c r="L241" s="28"/>
      <c r="M241" s="28"/>
      <c r="N241" s="28"/>
      <c r="O241" s="28"/>
      <c r="P241" s="28"/>
      <c r="Q241" s="28"/>
      <c r="R241" s="28"/>
      <c r="S241" s="28"/>
      <c r="T241" s="28"/>
      <c r="U241" s="28"/>
      <c r="V241" s="26"/>
      <c r="W241" s="31" t="e">
        <f>INDEX(TBL_LNG_IMPORTERS_CONNECTIONS[LNGImporterConnectionID],$A241)</f>
        <v>#REF!</v>
      </c>
      <c r="X241" s="31" t="e">
        <f>"LNGImporterTariffVar_"&amp;RIGHT($W241,11)</f>
        <v>#REF!</v>
      </c>
    </row>
    <row r="242" spans="1:24" x14ac:dyDescent="0.25">
      <c r="A242" s="94">
        <f t="shared" ref="A242" si="322">$A238+1</f>
        <v>60</v>
      </c>
      <c r="B242" s="115" t="str">
        <f>IFERROR(INDEX(TBL_LNG_IMPORTERS_CONNECTIONS[Name],$A242),"")</f>
        <v/>
      </c>
      <c r="C242" s="93" t="str">
        <f t="shared" ref="C242:D242" si="323">IF($B242&lt;&gt;"",C238,"")</f>
        <v/>
      </c>
      <c r="D242" s="93" t="str">
        <f t="shared" si="323"/>
        <v/>
      </c>
      <c r="E242" s="27"/>
      <c r="F242" s="27"/>
      <c r="G242" s="27"/>
      <c r="H242" s="27"/>
      <c r="I242" s="27"/>
      <c r="J242" s="27"/>
      <c r="K242" s="27"/>
      <c r="L242" s="27"/>
      <c r="M242" s="27"/>
      <c r="N242" s="27"/>
      <c r="O242" s="27"/>
      <c r="P242" s="27"/>
      <c r="Q242" s="27"/>
      <c r="R242" s="27"/>
      <c r="S242" s="27"/>
      <c r="T242" s="27"/>
      <c r="U242" s="27"/>
      <c r="V242" s="25"/>
      <c r="W242" s="31" t="e">
        <f>INDEX(TBL_LNG_IMPORTERS_CONNECTIONS[LNGImporterConnectionID],$A242)</f>
        <v>#REF!</v>
      </c>
      <c r="X242" s="31" t="e">
        <f>"LNGImporterCapMin_"&amp;RIGHT($W242,11)</f>
        <v>#REF!</v>
      </c>
    </row>
    <row r="243" spans="1:24" x14ac:dyDescent="0.25">
      <c r="A243" s="94">
        <f t="shared" si="318"/>
        <v>60</v>
      </c>
      <c r="B243" s="116"/>
      <c r="C243" s="93" t="str">
        <f t="shared" ref="C243:D243" si="324">IF($B242&lt;&gt;"",C239,"")</f>
        <v/>
      </c>
      <c r="D243" s="93" t="str">
        <f t="shared" si="324"/>
        <v/>
      </c>
      <c r="E243" s="28"/>
      <c r="F243" s="28"/>
      <c r="G243" s="28"/>
      <c r="H243" s="28"/>
      <c r="I243" s="28"/>
      <c r="J243" s="28"/>
      <c r="K243" s="28"/>
      <c r="L243" s="28"/>
      <c r="M243" s="28"/>
      <c r="N243" s="28"/>
      <c r="O243" s="28"/>
      <c r="P243" s="28"/>
      <c r="Q243" s="28"/>
      <c r="R243" s="28"/>
      <c r="S243" s="28"/>
      <c r="T243" s="28"/>
      <c r="U243" s="28"/>
      <c r="V243" s="26"/>
      <c r="W243" s="31" t="e">
        <f>INDEX(TBL_LNG_IMPORTERS_CONNECTIONS[LNGImporterConnectionID],$A243)</f>
        <v>#REF!</v>
      </c>
      <c r="X243" s="31" t="e">
        <f>"LNGImporterCapMax_"&amp;RIGHT($W243,11)</f>
        <v>#REF!</v>
      </c>
    </row>
    <row r="244" spans="1:24" x14ac:dyDescent="0.25">
      <c r="A244" s="94">
        <f t="shared" si="318"/>
        <v>60</v>
      </c>
      <c r="B244" s="116"/>
      <c r="C244" s="93" t="str">
        <f t="shared" ref="C244:D244" si="325">IF($B242&lt;&gt;"",C240,"")</f>
        <v/>
      </c>
      <c r="D244" s="93" t="str">
        <f t="shared" si="325"/>
        <v/>
      </c>
      <c r="E244" s="27"/>
      <c r="F244" s="27"/>
      <c r="G244" s="27"/>
      <c r="H244" s="27"/>
      <c r="I244" s="27"/>
      <c r="J244" s="27"/>
      <c r="K244" s="27"/>
      <c r="L244" s="27"/>
      <c r="M244" s="27"/>
      <c r="N244" s="27"/>
      <c r="O244" s="27"/>
      <c r="P244" s="27"/>
      <c r="Q244" s="27"/>
      <c r="R244" s="27"/>
      <c r="S244" s="27"/>
      <c r="T244" s="27"/>
      <c r="U244" s="27"/>
      <c r="V244" s="25"/>
      <c r="W244" s="31" t="e">
        <f>INDEX(TBL_LNG_IMPORTERS_CONNECTIONS[LNGImporterConnectionID],$A244)</f>
        <v>#REF!</v>
      </c>
      <c r="X244" s="31" t="e">
        <f>"LNGImporterTariffFixed_"&amp;RIGHT($W244,11)</f>
        <v>#REF!</v>
      </c>
    </row>
    <row r="245" spans="1:24" x14ac:dyDescent="0.25">
      <c r="A245" s="94">
        <f t="shared" si="318"/>
        <v>60</v>
      </c>
      <c r="B245" s="117"/>
      <c r="C245" s="93" t="str">
        <f t="shared" ref="C245:D245" si="326">IF($B242&lt;&gt;"",C241,"")</f>
        <v/>
      </c>
      <c r="D245" s="93" t="str">
        <f t="shared" si="326"/>
        <v/>
      </c>
      <c r="E245" s="28"/>
      <c r="F245" s="28"/>
      <c r="G245" s="28"/>
      <c r="H245" s="28"/>
      <c r="I245" s="28"/>
      <c r="J245" s="28"/>
      <c r="K245" s="28"/>
      <c r="L245" s="28"/>
      <c r="M245" s="28"/>
      <c r="N245" s="28"/>
      <c r="O245" s="28"/>
      <c r="P245" s="28"/>
      <c r="Q245" s="28"/>
      <c r="R245" s="28"/>
      <c r="S245" s="28"/>
      <c r="T245" s="28"/>
      <c r="U245" s="28"/>
      <c r="V245" s="26"/>
      <c r="W245" s="31" t="e">
        <f>INDEX(TBL_LNG_IMPORTERS_CONNECTIONS[LNGImporterConnectionID],$A245)</f>
        <v>#REF!</v>
      </c>
      <c r="X245" s="31" t="e">
        <f>"LNGImporterTariffVar_"&amp;RIGHT($W245,11)</f>
        <v>#REF!</v>
      </c>
    </row>
    <row r="246" spans="1:24" x14ac:dyDescent="0.25">
      <c r="A246" s="94">
        <f t="shared" ref="A246" si="327">$A242+1</f>
        <v>61</v>
      </c>
      <c r="B246" s="115" t="str">
        <f>IFERROR(INDEX(TBL_LNG_IMPORTERS_CONNECTIONS[Name],$A246),"")</f>
        <v/>
      </c>
      <c r="C246" s="93" t="str">
        <f t="shared" ref="C246:D246" si="328">IF($B246&lt;&gt;"",C242,"")</f>
        <v/>
      </c>
      <c r="D246" s="93" t="str">
        <f t="shared" si="328"/>
        <v/>
      </c>
      <c r="E246" s="27"/>
      <c r="F246" s="27"/>
      <c r="G246" s="27"/>
      <c r="H246" s="27"/>
      <c r="I246" s="27"/>
      <c r="J246" s="27"/>
      <c r="K246" s="27"/>
      <c r="L246" s="27"/>
      <c r="M246" s="27"/>
      <c r="N246" s="27"/>
      <c r="O246" s="27"/>
      <c r="P246" s="27"/>
      <c r="Q246" s="27"/>
      <c r="R246" s="27"/>
      <c r="S246" s="27"/>
      <c r="T246" s="27"/>
      <c r="U246" s="27"/>
      <c r="V246" s="25"/>
      <c r="W246" s="31" t="e">
        <f>INDEX(TBL_LNG_IMPORTERS_CONNECTIONS[LNGImporterConnectionID],$A246)</f>
        <v>#REF!</v>
      </c>
      <c r="X246" s="31" t="e">
        <f>"LNGImporterCapMin_"&amp;RIGHT($W246,11)</f>
        <v>#REF!</v>
      </c>
    </row>
    <row r="247" spans="1:24" x14ac:dyDescent="0.25">
      <c r="A247" s="94">
        <f t="shared" si="318"/>
        <v>61</v>
      </c>
      <c r="B247" s="116"/>
      <c r="C247" s="93" t="str">
        <f t="shared" ref="C247:D247" si="329">IF($B246&lt;&gt;"",C243,"")</f>
        <v/>
      </c>
      <c r="D247" s="93" t="str">
        <f t="shared" si="329"/>
        <v/>
      </c>
      <c r="E247" s="28"/>
      <c r="F247" s="28"/>
      <c r="G247" s="28"/>
      <c r="H247" s="28"/>
      <c r="I247" s="28"/>
      <c r="J247" s="28"/>
      <c r="K247" s="28"/>
      <c r="L247" s="28"/>
      <c r="M247" s="28"/>
      <c r="N247" s="28"/>
      <c r="O247" s="28"/>
      <c r="P247" s="28"/>
      <c r="Q247" s="28"/>
      <c r="R247" s="28"/>
      <c r="S247" s="28"/>
      <c r="T247" s="28"/>
      <c r="U247" s="28"/>
      <c r="V247" s="26"/>
      <c r="W247" s="31" t="e">
        <f>INDEX(TBL_LNG_IMPORTERS_CONNECTIONS[LNGImporterConnectionID],$A247)</f>
        <v>#REF!</v>
      </c>
      <c r="X247" s="31" t="e">
        <f>"LNGImporterCapMax_"&amp;RIGHT($W247,11)</f>
        <v>#REF!</v>
      </c>
    </row>
    <row r="248" spans="1:24" x14ac:dyDescent="0.25">
      <c r="A248" s="94">
        <f t="shared" si="318"/>
        <v>61</v>
      </c>
      <c r="B248" s="116"/>
      <c r="C248" s="93" t="str">
        <f t="shared" ref="C248:D248" si="330">IF($B246&lt;&gt;"",C244,"")</f>
        <v/>
      </c>
      <c r="D248" s="93" t="str">
        <f t="shared" si="330"/>
        <v/>
      </c>
      <c r="E248" s="27"/>
      <c r="F248" s="27"/>
      <c r="G248" s="27"/>
      <c r="H248" s="27"/>
      <c r="I248" s="27"/>
      <c r="J248" s="27"/>
      <c r="K248" s="27"/>
      <c r="L248" s="27"/>
      <c r="M248" s="27"/>
      <c r="N248" s="27"/>
      <c r="O248" s="27"/>
      <c r="P248" s="27"/>
      <c r="Q248" s="27"/>
      <c r="R248" s="27"/>
      <c r="S248" s="27"/>
      <c r="T248" s="27"/>
      <c r="U248" s="27"/>
      <c r="V248" s="25"/>
      <c r="W248" s="31" t="e">
        <f>INDEX(TBL_LNG_IMPORTERS_CONNECTIONS[LNGImporterConnectionID],$A248)</f>
        <v>#REF!</v>
      </c>
      <c r="X248" s="31" t="e">
        <f>"LNGImporterTariffFixed_"&amp;RIGHT($W248,11)</f>
        <v>#REF!</v>
      </c>
    </row>
    <row r="249" spans="1:24" x14ac:dyDescent="0.25">
      <c r="A249" s="94">
        <f t="shared" si="318"/>
        <v>61</v>
      </c>
      <c r="B249" s="117"/>
      <c r="C249" s="93" t="str">
        <f t="shared" ref="C249:D249" si="331">IF($B246&lt;&gt;"",C245,"")</f>
        <v/>
      </c>
      <c r="D249" s="93" t="str">
        <f t="shared" si="331"/>
        <v/>
      </c>
      <c r="E249" s="28"/>
      <c r="F249" s="28"/>
      <c r="G249" s="28"/>
      <c r="H249" s="28"/>
      <c r="I249" s="28"/>
      <c r="J249" s="28"/>
      <c r="K249" s="28"/>
      <c r="L249" s="28"/>
      <c r="M249" s="28"/>
      <c r="N249" s="28"/>
      <c r="O249" s="28"/>
      <c r="P249" s="28"/>
      <c r="Q249" s="28"/>
      <c r="R249" s="28"/>
      <c r="S249" s="28"/>
      <c r="T249" s="28"/>
      <c r="U249" s="28"/>
      <c r="V249" s="26"/>
      <c r="W249" s="31" t="e">
        <f>INDEX(TBL_LNG_IMPORTERS_CONNECTIONS[LNGImporterConnectionID],$A249)</f>
        <v>#REF!</v>
      </c>
      <c r="X249" s="31" t="e">
        <f>"LNGImporterTariffVar_"&amp;RIGHT($W249,11)</f>
        <v>#REF!</v>
      </c>
    </row>
    <row r="250" spans="1:24" x14ac:dyDescent="0.25">
      <c r="A250" s="94">
        <f t="shared" ref="A250" si="332">$A246+1</f>
        <v>62</v>
      </c>
      <c r="B250" s="115" t="str">
        <f>IFERROR(INDEX(TBL_LNG_IMPORTERS_CONNECTIONS[Name],$A250),"")</f>
        <v/>
      </c>
      <c r="C250" s="93" t="str">
        <f t="shared" ref="C250:D250" si="333">IF($B250&lt;&gt;"",C246,"")</f>
        <v/>
      </c>
      <c r="D250" s="93" t="str">
        <f t="shared" si="333"/>
        <v/>
      </c>
      <c r="E250" s="27"/>
      <c r="F250" s="27"/>
      <c r="G250" s="27"/>
      <c r="H250" s="27"/>
      <c r="I250" s="27"/>
      <c r="J250" s="27"/>
      <c r="K250" s="27"/>
      <c r="L250" s="27"/>
      <c r="M250" s="27"/>
      <c r="N250" s="27"/>
      <c r="O250" s="27"/>
      <c r="P250" s="27"/>
      <c r="Q250" s="27"/>
      <c r="R250" s="27"/>
      <c r="S250" s="27"/>
      <c r="T250" s="27"/>
      <c r="U250" s="27"/>
      <c r="V250" s="25"/>
      <c r="W250" s="31" t="e">
        <f>INDEX(TBL_LNG_IMPORTERS_CONNECTIONS[LNGImporterConnectionID],$A250)</f>
        <v>#REF!</v>
      </c>
      <c r="X250" s="31" t="e">
        <f>"LNGImporterCapMin_"&amp;RIGHT($W250,11)</f>
        <v>#REF!</v>
      </c>
    </row>
    <row r="251" spans="1:24" x14ac:dyDescent="0.25">
      <c r="A251" s="94">
        <f t="shared" si="318"/>
        <v>62</v>
      </c>
      <c r="B251" s="116"/>
      <c r="C251" s="93" t="str">
        <f t="shared" ref="C251:D251" si="334">IF($B250&lt;&gt;"",C247,"")</f>
        <v/>
      </c>
      <c r="D251" s="93" t="str">
        <f t="shared" si="334"/>
        <v/>
      </c>
      <c r="E251" s="28"/>
      <c r="F251" s="28"/>
      <c r="G251" s="28"/>
      <c r="H251" s="28"/>
      <c r="I251" s="28"/>
      <c r="J251" s="28"/>
      <c r="K251" s="28"/>
      <c r="L251" s="28"/>
      <c r="M251" s="28"/>
      <c r="N251" s="28"/>
      <c r="O251" s="28"/>
      <c r="P251" s="28"/>
      <c r="Q251" s="28"/>
      <c r="R251" s="28"/>
      <c r="S251" s="28"/>
      <c r="T251" s="28"/>
      <c r="U251" s="28"/>
      <c r="V251" s="26"/>
      <c r="W251" s="31" t="e">
        <f>INDEX(TBL_LNG_IMPORTERS_CONNECTIONS[LNGImporterConnectionID],$A251)</f>
        <v>#REF!</v>
      </c>
      <c r="X251" s="31" t="e">
        <f>"LNGImporterCapMax_"&amp;RIGHT($W251,11)</f>
        <v>#REF!</v>
      </c>
    </row>
    <row r="252" spans="1:24" x14ac:dyDescent="0.25">
      <c r="A252" s="94">
        <f t="shared" si="318"/>
        <v>62</v>
      </c>
      <c r="B252" s="116"/>
      <c r="C252" s="93" t="str">
        <f t="shared" ref="C252:D252" si="335">IF($B250&lt;&gt;"",C248,"")</f>
        <v/>
      </c>
      <c r="D252" s="93" t="str">
        <f t="shared" si="335"/>
        <v/>
      </c>
      <c r="E252" s="27"/>
      <c r="F252" s="27"/>
      <c r="G252" s="27"/>
      <c r="H252" s="27"/>
      <c r="I252" s="27"/>
      <c r="J252" s="27"/>
      <c r="K252" s="27"/>
      <c r="L252" s="27"/>
      <c r="M252" s="27"/>
      <c r="N252" s="27"/>
      <c r="O252" s="27"/>
      <c r="P252" s="27"/>
      <c r="Q252" s="27"/>
      <c r="R252" s="27"/>
      <c r="S252" s="27"/>
      <c r="T252" s="27"/>
      <c r="U252" s="27"/>
      <c r="V252" s="25"/>
      <c r="W252" s="31" t="e">
        <f>INDEX(TBL_LNG_IMPORTERS_CONNECTIONS[LNGImporterConnectionID],$A252)</f>
        <v>#REF!</v>
      </c>
      <c r="X252" s="31" t="e">
        <f>"LNGImporterTariffFixed_"&amp;RIGHT($W252,11)</f>
        <v>#REF!</v>
      </c>
    </row>
    <row r="253" spans="1:24" x14ac:dyDescent="0.25">
      <c r="A253" s="94">
        <f t="shared" si="318"/>
        <v>62</v>
      </c>
      <c r="B253" s="117"/>
      <c r="C253" s="93" t="str">
        <f t="shared" ref="C253:D253" si="336">IF($B250&lt;&gt;"",C249,"")</f>
        <v/>
      </c>
      <c r="D253" s="93" t="str">
        <f t="shared" si="336"/>
        <v/>
      </c>
      <c r="E253" s="28"/>
      <c r="F253" s="28"/>
      <c r="G253" s="28"/>
      <c r="H253" s="28"/>
      <c r="I253" s="28"/>
      <c r="J253" s="28"/>
      <c r="K253" s="28"/>
      <c r="L253" s="28"/>
      <c r="M253" s="28"/>
      <c r="N253" s="28"/>
      <c r="O253" s="28"/>
      <c r="P253" s="28"/>
      <c r="Q253" s="28"/>
      <c r="R253" s="28"/>
      <c r="S253" s="28"/>
      <c r="T253" s="28"/>
      <c r="U253" s="28"/>
      <c r="V253" s="26"/>
      <c r="W253" s="31" t="e">
        <f>INDEX(TBL_LNG_IMPORTERS_CONNECTIONS[LNGImporterConnectionID],$A253)</f>
        <v>#REF!</v>
      </c>
      <c r="X253" s="31" t="e">
        <f>"LNGImporterTariffVar_"&amp;RIGHT($W253,11)</f>
        <v>#REF!</v>
      </c>
    </row>
    <row r="254" spans="1:24" x14ac:dyDescent="0.25">
      <c r="A254" s="94">
        <f t="shared" ref="A254" si="337">$A250+1</f>
        <v>63</v>
      </c>
      <c r="B254" s="115" t="str">
        <f>IFERROR(INDEX(TBL_LNG_IMPORTERS_CONNECTIONS[Name],$A254),"")</f>
        <v/>
      </c>
      <c r="C254" s="93" t="str">
        <f t="shared" ref="C254:D254" si="338">IF($B254&lt;&gt;"",C250,"")</f>
        <v/>
      </c>
      <c r="D254" s="93" t="str">
        <f t="shared" si="338"/>
        <v/>
      </c>
      <c r="E254" s="27"/>
      <c r="F254" s="27"/>
      <c r="G254" s="27"/>
      <c r="H254" s="27"/>
      <c r="I254" s="27"/>
      <c r="J254" s="27"/>
      <c r="K254" s="27"/>
      <c r="L254" s="27"/>
      <c r="M254" s="27"/>
      <c r="N254" s="27"/>
      <c r="O254" s="27"/>
      <c r="P254" s="27"/>
      <c r="Q254" s="27"/>
      <c r="R254" s="27"/>
      <c r="S254" s="27"/>
      <c r="T254" s="27"/>
      <c r="U254" s="27"/>
      <c r="V254" s="25"/>
      <c r="W254" s="31" t="e">
        <f>INDEX(TBL_LNG_IMPORTERS_CONNECTIONS[LNGImporterConnectionID],$A254)</f>
        <v>#REF!</v>
      </c>
      <c r="X254" s="31" t="e">
        <f>"LNGImporterCapMin_"&amp;RIGHT($W254,11)</f>
        <v>#REF!</v>
      </c>
    </row>
    <row r="255" spans="1:24" x14ac:dyDescent="0.25">
      <c r="A255" s="94">
        <f t="shared" si="318"/>
        <v>63</v>
      </c>
      <c r="B255" s="116"/>
      <c r="C255" s="93" t="str">
        <f t="shared" ref="C255:D255" si="339">IF($B254&lt;&gt;"",C251,"")</f>
        <v/>
      </c>
      <c r="D255" s="93" t="str">
        <f t="shared" si="339"/>
        <v/>
      </c>
      <c r="E255" s="28"/>
      <c r="F255" s="28"/>
      <c r="G255" s="28"/>
      <c r="H255" s="28"/>
      <c r="I255" s="28"/>
      <c r="J255" s="28"/>
      <c r="K255" s="28"/>
      <c r="L255" s="28"/>
      <c r="M255" s="28"/>
      <c r="N255" s="28"/>
      <c r="O255" s="28"/>
      <c r="P255" s="28"/>
      <c r="Q255" s="28"/>
      <c r="R255" s="28"/>
      <c r="S255" s="28"/>
      <c r="T255" s="28"/>
      <c r="U255" s="28"/>
      <c r="V255" s="26"/>
      <c r="W255" s="31" t="e">
        <f>INDEX(TBL_LNG_IMPORTERS_CONNECTIONS[LNGImporterConnectionID],$A255)</f>
        <v>#REF!</v>
      </c>
      <c r="X255" s="31" t="e">
        <f>"LNGImporterCapMax_"&amp;RIGHT($W255,11)</f>
        <v>#REF!</v>
      </c>
    </row>
    <row r="256" spans="1:24" x14ac:dyDescent="0.25">
      <c r="A256" s="94">
        <f t="shared" si="318"/>
        <v>63</v>
      </c>
      <c r="B256" s="116"/>
      <c r="C256" s="93" t="str">
        <f t="shared" ref="C256:D256" si="340">IF($B254&lt;&gt;"",C252,"")</f>
        <v/>
      </c>
      <c r="D256" s="93" t="str">
        <f t="shared" si="340"/>
        <v/>
      </c>
      <c r="E256" s="27"/>
      <c r="F256" s="27"/>
      <c r="G256" s="27"/>
      <c r="H256" s="27"/>
      <c r="I256" s="27"/>
      <c r="J256" s="27"/>
      <c r="K256" s="27"/>
      <c r="L256" s="27"/>
      <c r="M256" s="27"/>
      <c r="N256" s="27"/>
      <c r="O256" s="27"/>
      <c r="P256" s="27"/>
      <c r="Q256" s="27"/>
      <c r="R256" s="27"/>
      <c r="S256" s="27"/>
      <c r="T256" s="27"/>
      <c r="U256" s="27"/>
      <c r="V256" s="25"/>
      <c r="W256" s="31" t="e">
        <f>INDEX(TBL_LNG_IMPORTERS_CONNECTIONS[LNGImporterConnectionID],$A256)</f>
        <v>#REF!</v>
      </c>
      <c r="X256" s="31" t="e">
        <f>"LNGImporterTariffFixed_"&amp;RIGHT($W256,11)</f>
        <v>#REF!</v>
      </c>
    </row>
    <row r="257" spans="1:24" x14ac:dyDescent="0.25">
      <c r="A257" s="94">
        <f t="shared" si="318"/>
        <v>63</v>
      </c>
      <c r="B257" s="117"/>
      <c r="C257" s="93" t="str">
        <f t="shared" ref="C257:D257" si="341">IF($B254&lt;&gt;"",C253,"")</f>
        <v/>
      </c>
      <c r="D257" s="93" t="str">
        <f t="shared" si="341"/>
        <v/>
      </c>
      <c r="E257" s="28"/>
      <c r="F257" s="28"/>
      <c r="G257" s="28"/>
      <c r="H257" s="28"/>
      <c r="I257" s="28"/>
      <c r="J257" s="28"/>
      <c r="K257" s="28"/>
      <c r="L257" s="28"/>
      <c r="M257" s="28"/>
      <c r="N257" s="28"/>
      <c r="O257" s="28"/>
      <c r="P257" s="28"/>
      <c r="Q257" s="28"/>
      <c r="R257" s="28"/>
      <c r="S257" s="28"/>
      <c r="T257" s="28"/>
      <c r="U257" s="28"/>
      <c r="V257" s="26"/>
      <c r="W257" s="31" t="e">
        <f>INDEX(TBL_LNG_IMPORTERS_CONNECTIONS[LNGImporterConnectionID],$A257)</f>
        <v>#REF!</v>
      </c>
      <c r="X257" s="31" t="e">
        <f>"LNGImporterTariffVar_"&amp;RIGHT($W257,11)</f>
        <v>#REF!</v>
      </c>
    </row>
    <row r="258" spans="1:24" x14ac:dyDescent="0.25">
      <c r="A258" s="94">
        <f t="shared" ref="A258" si="342">$A254+1</f>
        <v>64</v>
      </c>
      <c r="B258" s="115" t="str">
        <f>IFERROR(INDEX(TBL_LNG_IMPORTERS_CONNECTIONS[Name],$A258),"")</f>
        <v/>
      </c>
      <c r="C258" s="93" t="str">
        <f t="shared" ref="C258:D258" si="343">IF($B258&lt;&gt;"",C254,"")</f>
        <v/>
      </c>
      <c r="D258" s="93" t="str">
        <f t="shared" si="343"/>
        <v/>
      </c>
      <c r="E258" s="27"/>
      <c r="F258" s="27"/>
      <c r="G258" s="27"/>
      <c r="H258" s="27"/>
      <c r="I258" s="27"/>
      <c r="J258" s="27"/>
      <c r="K258" s="27"/>
      <c r="L258" s="27"/>
      <c r="M258" s="27"/>
      <c r="N258" s="27"/>
      <c r="O258" s="27"/>
      <c r="P258" s="27"/>
      <c r="Q258" s="27"/>
      <c r="R258" s="27"/>
      <c r="S258" s="27"/>
      <c r="T258" s="27"/>
      <c r="U258" s="27"/>
      <c r="V258" s="25"/>
      <c r="W258" s="31" t="e">
        <f>INDEX(TBL_LNG_IMPORTERS_CONNECTIONS[LNGImporterConnectionID],$A258)</f>
        <v>#REF!</v>
      </c>
      <c r="X258" s="31" t="e">
        <f>"LNGImporterCapMin_"&amp;RIGHT($W258,11)</f>
        <v>#REF!</v>
      </c>
    </row>
    <row r="259" spans="1:24" x14ac:dyDescent="0.25">
      <c r="A259" s="94">
        <f t="shared" ref="A259:A261" si="344">$A258</f>
        <v>64</v>
      </c>
      <c r="B259" s="116"/>
      <c r="C259" s="93" t="str">
        <f t="shared" ref="C259:D259" si="345">IF($B258&lt;&gt;"",C255,"")</f>
        <v/>
      </c>
      <c r="D259" s="93" t="str">
        <f t="shared" si="345"/>
        <v/>
      </c>
      <c r="E259" s="28"/>
      <c r="F259" s="28"/>
      <c r="G259" s="28"/>
      <c r="H259" s="28"/>
      <c r="I259" s="28"/>
      <c r="J259" s="28"/>
      <c r="K259" s="28"/>
      <c r="L259" s="28"/>
      <c r="M259" s="28"/>
      <c r="N259" s="28"/>
      <c r="O259" s="28"/>
      <c r="P259" s="28"/>
      <c r="Q259" s="28"/>
      <c r="R259" s="28"/>
      <c r="S259" s="28"/>
      <c r="T259" s="28"/>
      <c r="U259" s="28"/>
      <c r="V259" s="26"/>
      <c r="W259" s="31" t="e">
        <f>INDEX(TBL_LNG_IMPORTERS_CONNECTIONS[LNGImporterConnectionID],$A259)</f>
        <v>#REF!</v>
      </c>
      <c r="X259" s="31" t="e">
        <f>"LNGImporterCapMax_"&amp;RIGHT($W259,11)</f>
        <v>#REF!</v>
      </c>
    </row>
    <row r="260" spans="1:24" x14ac:dyDescent="0.25">
      <c r="A260" s="94">
        <f t="shared" si="344"/>
        <v>64</v>
      </c>
      <c r="B260" s="116"/>
      <c r="C260" s="93" t="str">
        <f t="shared" ref="C260:D260" si="346">IF($B258&lt;&gt;"",C256,"")</f>
        <v/>
      </c>
      <c r="D260" s="93" t="str">
        <f t="shared" si="346"/>
        <v/>
      </c>
      <c r="E260" s="27"/>
      <c r="F260" s="27"/>
      <c r="G260" s="27"/>
      <c r="H260" s="27"/>
      <c r="I260" s="27"/>
      <c r="J260" s="27"/>
      <c r="K260" s="27"/>
      <c r="L260" s="27"/>
      <c r="M260" s="27"/>
      <c r="N260" s="27"/>
      <c r="O260" s="27"/>
      <c r="P260" s="27"/>
      <c r="Q260" s="27"/>
      <c r="R260" s="27"/>
      <c r="S260" s="27"/>
      <c r="T260" s="27"/>
      <c r="U260" s="27"/>
      <c r="V260" s="25"/>
      <c r="W260" s="31" t="e">
        <f>INDEX(TBL_LNG_IMPORTERS_CONNECTIONS[LNGImporterConnectionID],$A260)</f>
        <v>#REF!</v>
      </c>
      <c r="X260" s="31" t="e">
        <f>"LNGImporterTariffFixed_"&amp;RIGHT($W260,11)</f>
        <v>#REF!</v>
      </c>
    </row>
    <row r="261" spans="1:24" x14ac:dyDescent="0.25">
      <c r="A261" s="94">
        <f t="shared" si="344"/>
        <v>64</v>
      </c>
      <c r="B261" s="117"/>
      <c r="C261" s="93" t="str">
        <f t="shared" ref="C261:D261" si="347">IF($B258&lt;&gt;"",C257,"")</f>
        <v/>
      </c>
      <c r="D261" s="93" t="str">
        <f t="shared" si="347"/>
        <v/>
      </c>
      <c r="E261" s="28"/>
      <c r="F261" s="28"/>
      <c r="G261" s="28"/>
      <c r="H261" s="28"/>
      <c r="I261" s="28"/>
      <c r="J261" s="28"/>
      <c r="K261" s="28"/>
      <c r="L261" s="28"/>
      <c r="M261" s="28"/>
      <c r="N261" s="28"/>
      <c r="O261" s="28"/>
      <c r="P261" s="28"/>
      <c r="Q261" s="28"/>
      <c r="R261" s="28"/>
      <c r="S261" s="28"/>
      <c r="T261" s="28"/>
      <c r="U261" s="28"/>
      <c r="V261" s="26"/>
      <c r="W261" s="31" t="e">
        <f>INDEX(TBL_LNG_IMPORTERS_CONNECTIONS[LNGImporterConnectionID],$A261)</f>
        <v>#REF!</v>
      </c>
      <c r="X261" s="31" t="e">
        <f>"LNGImporterTariffVar_"&amp;RIGHT($W261,11)</f>
        <v>#REF!</v>
      </c>
    </row>
    <row r="262" spans="1:24" x14ac:dyDescent="0.25">
      <c r="A262" s="94">
        <f t="shared" ref="A262" si="348">$A258+1</f>
        <v>65</v>
      </c>
      <c r="B262" s="115" t="str">
        <f>IFERROR(INDEX(TBL_LNG_IMPORTERS_CONNECTIONS[Name],$A262),"")</f>
        <v/>
      </c>
      <c r="C262" s="93" t="str">
        <f t="shared" ref="C262:D262" si="349">IF($B262&lt;&gt;"",C258,"")</f>
        <v/>
      </c>
      <c r="D262" s="93" t="str">
        <f t="shared" si="349"/>
        <v/>
      </c>
      <c r="E262" s="27"/>
      <c r="F262" s="27"/>
      <c r="G262" s="27"/>
      <c r="H262" s="27"/>
      <c r="I262" s="27"/>
      <c r="J262" s="27"/>
      <c r="K262" s="27"/>
      <c r="L262" s="27"/>
      <c r="M262" s="27"/>
      <c r="N262" s="27"/>
      <c r="O262" s="27"/>
      <c r="P262" s="27"/>
      <c r="Q262" s="27"/>
      <c r="R262" s="27"/>
      <c r="S262" s="27"/>
      <c r="T262" s="27"/>
      <c r="U262" s="27"/>
      <c r="V262" s="25"/>
      <c r="W262" s="31" t="e">
        <f>INDEX(TBL_LNG_IMPORTERS_CONNECTIONS[LNGImporterConnectionID],$A262)</f>
        <v>#REF!</v>
      </c>
      <c r="X262" s="31" t="e">
        <f>"LNGImporterCapMin_"&amp;RIGHT($W262,11)</f>
        <v>#REF!</v>
      </c>
    </row>
    <row r="263" spans="1:24" x14ac:dyDescent="0.25">
      <c r="A263" s="94">
        <f t="shared" ref="A263:A265" si="350">$A262</f>
        <v>65</v>
      </c>
      <c r="B263" s="116"/>
      <c r="C263" s="93" t="str">
        <f t="shared" ref="C263:D263" si="351">IF($B262&lt;&gt;"",C259,"")</f>
        <v/>
      </c>
      <c r="D263" s="93" t="str">
        <f t="shared" si="351"/>
        <v/>
      </c>
      <c r="E263" s="28"/>
      <c r="F263" s="28"/>
      <c r="G263" s="28"/>
      <c r="H263" s="28"/>
      <c r="I263" s="28"/>
      <c r="J263" s="28"/>
      <c r="K263" s="28"/>
      <c r="L263" s="28"/>
      <c r="M263" s="28"/>
      <c r="N263" s="28"/>
      <c r="O263" s="28"/>
      <c r="P263" s="28"/>
      <c r="Q263" s="28"/>
      <c r="R263" s="28"/>
      <c r="S263" s="28"/>
      <c r="T263" s="28"/>
      <c r="U263" s="28"/>
      <c r="V263" s="26"/>
      <c r="W263" s="31" t="e">
        <f>INDEX(TBL_LNG_IMPORTERS_CONNECTIONS[LNGImporterConnectionID],$A263)</f>
        <v>#REF!</v>
      </c>
      <c r="X263" s="31" t="e">
        <f>"LNGImporterCapMax_"&amp;RIGHT($W263,11)</f>
        <v>#REF!</v>
      </c>
    </row>
    <row r="264" spans="1:24" x14ac:dyDescent="0.25">
      <c r="A264" s="94">
        <f t="shared" si="350"/>
        <v>65</v>
      </c>
      <c r="B264" s="116"/>
      <c r="C264" s="93" t="str">
        <f t="shared" ref="C264:D264" si="352">IF($B262&lt;&gt;"",C260,"")</f>
        <v/>
      </c>
      <c r="D264" s="93" t="str">
        <f t="shared" si="352"/>
        <v/>
      </c>
      <c r="E264" s="27"/>
      <c r="F264" s="27"/>
      <c r="G264" s="27"/>
      <c r="H264" s="27"/>
      <c r="I264" s="27"/>
      <c r="J264" s="27"/>
      <c r="K264" s="27"/>
      <c r="L264" s="27"/>
      <c r="M264" s="27"/>
      <c r="N264" s="27"/>
      <c r="O264" s="27"/>
      <c r="P264" s="27"/>
      <c r="Q264" s="27"/>
      <c r="R264" s="27"/>
      <c r="S264" s="27"/>
      <c r="T264" s="27"/>
      <c r="U264" s="27"/>
      <c r="V264" s="25"/>
      <c r="W264" s="31" t="e">
        <f>INDEX(TBL_LNG_IMPORTERS_CONNECTIONS[LNGImporterConnectionID],$A264)</f>
        <v>#REF!</v>
      </c>
      <c r="X264" s="31" t="e">
        <f>"LNGImporterTariffFixed_"&amp;RIGHT($W264,11)</f>
        <v>#REF!</v>
      </c>
    </row>
    <row r="265" spans="1:24" x14ac:dyDescent="0.25">
      <c r="A265" s="94">
        <f t="shared" si="350"/>
        <v>65</v>
      </c>
      <c r="B265" s="117"/>
      <c r="C265" s="93" t="str">
        <f t="shared" ref="C265:D265" si="353">IF($B262&lt;&gt;"",C261,"")</f>
        <v/>
      </c>
      <c r="D265" s="93" t="str">
        <f t="shared" si="353"/>
        <v/>
      </c>
      <c r="E265" s="28"/>
      <c r="F265" s="28"/>
      <c r="G265" s="28"/>
      <c r="H265" s="28"/>
      <c r="I265" s="28"/>
      <c r="J265" s="28"/>
      <c r="K265" s="28"/>
      <c r="L265" s="28"/>
      <c r="M265" s="28"/>
      <c r="N265" s="28"/>
      <c r="O265" s="28"/>
      <c r="P265" s="28"/>
      <c r="Q265" s="28"/>
      <c r="R265" s="28"/>
      <c r="S265" s="28"/>
      <c r="T265" s="28"/>
      <c r="U265" s="28"/>
      <c r="V265" s="26"/>
      <c r="W265" s="31" t="e">
        <f>INDEX(TBL_LNG_IMPORTERS_CONNECTIONS[LNGImporterConnectionID],$A265)</f>
        <v>#REF!</v>
      </c>
      <c r="X265" s="31" t="e">
        <f>"LNGImporterTariffVar_"&amp;RIGHT($W265,11)</f>
        <v>#REF!</v>
      </c>
    </row>
    <row r="266" spans="1:24" x14ac:dyDescent="0.25">
      <c r="A266" s="94">
        <f t="shared" ref="A266" si="354">$A262+1</f>
        <v>66</v>
      </c>
      <c r="B266" s="115" t="str">
        <f>IFERROR(INDEX(TBL_LNG_IMPORTERS_CONNECTIONS[Name],$A266),"")</f>
        <v/>
      </c>
      <c r="C266" s="93" t="str">
        <f t="shared" ref="C266:D266" si="355">IF($B266&lt;&gt;"",C262,"")</f>
        <v/>
      </c>
      <c r="D266" s="93" t="str">
        <f t="shared" si="355"/>
        <v/>
      </c>
      <c r="E266" s="27"/>
      <c r="F266" s="27"/>
      <c r="G266" s="27"/>
      <c r="H266" s="27"/>
      <c r="I266" s="27"/>
      <c r="J266" s="27"/>
      <c r="K266" s="27"/>
      <c r="L266" s="27"/>
      <c r="M266" s="27"/>
      <c r="N266" s="27"/>
      <c r="O266" s="27"/>
      <c r="P266" s="27"/>
      <c r="Q266" s="27"/>
      <c r="R266" s="27"/>
      <c r="S266" s="27"/>
      <c r="T266" s="27"/>
      <c r="U266" s="27"/>
      <c r="V266" s="25"/>
      <c r="W266" s="31" t="e">
        <f>INDEX(TBL_LNG_IMPORTERS_CONNECTIONS[LNGImporterConnectionID],$A266)</f>
        <v>#REF!</v>
      </c>
      <c r="X266" s="31" t="e">
        <f>"LNGImporterCapMin_"&amp;RIGHT($W266,11)</f>
        <v>#REF!</v>
      </c>
    </row>
    <row r="267" spans="1:24" x14ac:dyDescent="0.25">
      <c r="A267" s="94">
        <f t="shared" ref="A267:A269" si="356">$A266</f>
        <v>66</v>
      </c>
      <c r="B267" s="116"/>
      <c r="C267" s="93" t="str">
        <f t="shared" ref="C267:D267" si="357">IF($B266&lt;&gt;"",C263,"")</f>
        <v/>
      </c>
      <c r="D267" s="93" t="str">
        <f t="shared" si="357"/>
        <v/>
      </c>
      <c r="E267" s="28"/>
      <c r="F267" s="28"/>
      <c r="G267" s="28"/>
      <c r="H267" s="28"/>
      <c r="I267" s="28"/>
      <c r="J267" s="28"/>
      <c r="K267" s="28"/>
      <c r="L267" s="28"/>
      <c r="M267" s="28"/>
      <c r="N267" s="28"/>
      <c r="O267" s="28"/>
      <c r="P267" s="28"/>
      <c r="Q267" s="28"/>
      <c r="R267" s="28"/>
      <c r="S267" s="28"/>
      <c r="T267" s="28"/>
      <c r="U267" s="28"/>
      <c r="V267" s="26"/>
      <c r="W267" s="31" t="e">
        <f>INDEX(TBL_LNG_IMPORTERS_CONNECTIONS[LNGImporterConnectionID],$A267)</f>
        <v>#REF!</v>
      </c>
      <c r="X267" s="31" t="e">
        <f>"LNGImporterCapMax_"&amp;RIGHT($W267,11)</f>
        <v>#REF!</v>
      </c>
    </row>
    <row r="268" spans="1:24" x14ac:dyDescent="0.25">
      <c r="A268" s="94">
        <f t="shared" si="356"/>
        <v>66</v>
      </c>
      <c r="B268" s="116"/>
      <c r="C268" s="93" t="str">
        <f t="shared" ref="C268:D268" si="358">IF($B266&lt;&gt;"",C264,"")</f>
        <v/>
      </c>
      <c r="D268" s="93" t="str">
        <f t="shared" si="358"/>
        <v/>
      </c>
      <c r="E268" s="27"/>
      <c r="F268" s="27"/>
      <c r="G268" s="27"/>
      <c r="H268" s="27"/>
      <c r="I268" s="27"/>
      <c r="J268" s="27"/>
      <c r="K268" s="27"/>
      <c r="L268" s="27"/>
      <c r="M268" s="27"/>
      <c r="N268" s="27"/>
      <c r="O268" s="27"/>
      <c r="P268" s="27"/>
      <c r="Q268" s="27"/>
      <c r="R268" s="27"/>
      <c r="S268" s="27"/>
      <c r="T268" s="27"/>
      <c r="U268" s="27"/>
      <c r="V268" s="25"/>
      <c r="W268" s="31" t="e">
        <f>INDEX(TBL_LNG_IMPORTERS_CONNECTIONS[LNGImporterConnectionID],$A268)</f>
        <v>#REF!</v>
      </c>
      <c r="X268" s="31" t="e">
        <f>"LNGImporterTariffFixed_"&amp;RIGHT($W268,11)</f>
        <v>#REF!</v>
      </c>
    </row>
    <row r="269" spans="1:24" x14ac:dyDescent="0.25">
      <c r="A269" s="94">
        <f t="shared" si="356"/>
        <v>66</v>
      </c>
      <c r="B269" s="117"/>
      <c r="C269" s="93" t="str">
        <f t="shared" ref="C269:D269" si="359">IF($B266&lt;&gt;"",C265,"")</f>
        <v/>
      </c>
      <c r="D269" s="93" t="str">
        <f t="shared" si="359"/>
        <v/>
      </c>
      <c r="E269" s="28"/>
      <c r="F269" s="28"/>
      <c r="G269" s="28"/>
      <c r="H269" s="28"/>
      <c r="I269" s="28"/>
      <c r="J269" s="28"/>
      <c r="K269" s="28"/>
      <c r="L269" s="28"/>
      <c r="M269" s="28"/>
      <c r="N269" s="28"/>
      <c r="O269" s="28"/>
      <c r="P269" s="28"/>
      <c r="Q269" s="28"/>
      <c r="R269" s="28"/>
      <c r="S269" s="28"/>
      <c r="T269" s="28"/>
      <c r="U269" s="28"/>
      <c r="V269" s="26"/>
      <c r="W269" s="31" t="e">
        <f>INDEX(TBL_LNG_IMPORTERS_CONNECTIONS[LNGImporterConnectionID],$A269)</f>
        <v>#REF!</v>
      </c>
      <c r="X269" s="31" t="e">
        <f>"LNGImporterTariffVar_"&amp;RIGHT($W269,11)</f>
        <v>#REF!</v>
      </c>
    </row>
    <row r="270" spans="1:24" x14ac:dyDescent="0.25">
      <c r="A270" s="94">
        <f t="shared" ref="A270" si="360">$A266+1</f>
        <v>67</v>
      </c>
      <c r="B270" s="115" t="str">
        <f>IFERROR(INDEX(TBL_LNG_IMPORTERS_CONNECTIONS[Name],$A270),"")</f>
        <v/>
      </c>
      <c r="C270" s="93" t="str">
        <f t="shared" ref="C270:D270" si="361">IF($B270&lt;&gt;"",C266,"")</f>
        <v/>
      </c>
      <c r="D270" s="93" t="str">
        <f t="shared" si="361"/>
        <v/>
      </c>
      <c r="E270" s="27"/>
      <c r="F270" s="27"/>
      <c r="G270" s="27"/>
      <c r="H270" s="27"/>
      <c r="I270" s="27"/>
      <c r="J270" s="27"/>
      <c r="K270" s="27"/>
      <c r="L270" s="27"/>
      <c r="M270" s="27"/>
      <c r="N270" s="27"/>
      <c r="O270" s="27"/>
      <c r="P270" s="27"/>
      <c r="Q270" s="27"/>
      <c r="R270" s="27"/>
      <c r="S270" s="27"/>
      <c r="T270" s="27"/>
      <c r="U270" s="27"/>
      <c r="V270" s="25"/>
      <c r="W270" s="31" t="e">
        <f>INDEX(TBL_LNG_IMPORTERS_CONNECTIONS[LNGImporterConnectionID],$A270)</f>
        <v>#REF!</v>
      </c>
      <c r="X270" s="31" t="e">
        <f>"LNGImporterCapMin_"&amp;RIGHT($W270,11)</f>
        <v>#REF!</v>
      </c>
    </row>
    <row r="271" spans="1:24" x14ac:dyDescent="0.25">
      <c r="A271" s="94">
        <f t="shared" ref="A271:A273" si="362">$A270</f>
        <v>67</v>
      </c>
      <c r="B271" s="116"/>
      <c r="C271" s="93" t="str">
        <f t="shared" ref="C271:D271" si="363">IF($B270&lt;&gt;"",C267,"")</f>
        <v/>
      </c>
      <c r="D271" s="93" t="str">
        <f t="shared" si="363"/>
        <v/>
      </c>
      <c r="E271" s="28"/>
      <c r="F271" s="28"/>
      <c r="G271" s="28"/>
      <c r="H271" s="28"/>
      <c r="I271" s="28"/>
      <c r="J271" s="28"/>
      <c r="K271" s="28"/>
      <c r="L271" s="28"/>
      <c r="M271" s="28"/>
      <c r="N271" s="28"/>
      <c r="O271" s="28"/>
      <c r="P271" s="28"/>
      <c r="Q271" s="28"/>
      <c r="R271" s="28"/>
      <c r="S271" s="28"/>
      <c r="T271" s="28"/>
      <c r="U271" s="28"/>
      <c r="V271" s="26"/>
      <c r="W271" s="31" t="e">
        <f>INDEX(TBL_LNG_IMPORTERS_CONNECTIONS[LNGImporterConnectionID],$A271)</f>
        <v>#REF!</v>
      </c>
      <c r="X271" s="31" t="e">
        <f>"LNGImporterCapMax_"&amp;RIGHT($W271,11)</f>
        <v>#REF!</v>
      </c>
    </row>
    <row r="272" spans="1:24" x14ac:dyDescent="0.25">
      <c r="A272" s="94">
        <f t="shared" si="362"/>
        <v>67</v>
      </c>
      <c r="B272" s="116"/>
      <c r="C272" s="93" t="str">
        <f t="shared" ref="C272:D272" si="364">IF($B270&lt;&gt;"",C268,"")</f>
        <v/>
      </c>
      <c r="D272" s="93" t="str">
        <f t="shared" si="364"/>
        <v/>
      </c>
      <c r="E272" s="27"/>
      <c r="F272" s="27"/>
      <c r="G272" s="27"/>
      <c r="H272" s="27"/>
      <c r="I272" s="27"/>
      <c r="J272" s="27"/>
      <c r="K272" s="27"/>
      <c r="L272" s="27"/>
      <c r="M272" s="27"/>
      <c r="N272" s="27"/>
      <c r="O272" s="27"/>
      <c r="P272" s="27"/>
      <c r="Q272" s="27"/>
      <c r="R272" s="27"/>
      <c r="S272" s="27"/>
      <c r="T272" s="27"/>
      <c r="U272" s="27"/>
      <c r="V272" s="25"/>
      <c r="W272" s="31" t="e">
        <f>INDEX(TBL_LNG_IMPORTERS_CONNECTIONS[LNGImporterConnectionID],$A272)</f>
        <v>#REF!</v>
      </c>
      <c r="X272" s="31" t="e">
        <f>"LNGImporterTariffFixed_"&amp;RIGHT($W272,11)</f>
        <v>#REF!</v>
      </c>
    </row>
    <row r="273" spans="1:24" x14ac:dyDescent="0.25">
      <c r="A273" s="94">
        <f t="shared" si="362"/>
        <v>67</v>
      </c>
      <c r="B273" s="117"/>
      <c r="C273" s="93" t="str">
        <f t="shared" ref="C273:D273" si="365">IF($B270&lt;&gt;"",C269,"")</f>
        <v/>
      </c>
      <c r="D273" s="93" t="str">
        <f t="shared" si="365"/>
        <v/>
      </c>
      <c r="E273" s="28"/>
      <c r="F273" s="28"/>
      <c r="G273" s="28"/>
      <c r="H273" s="28"/>
      <c r="I273" s="28"/>
      <c r="J273" s="28"/>
      <c r="K273" s="28"/>
      <c r="L273" s="28"/>
      <c r="M273" s="28"/>
      <c r="N273" s="28"/>
      <c r="O273" s="28"/>
      <c r="P273" s="28"/>
      <c r="Q273" s="28"/>
      <c r="R273" s="28"/>
      <c r="S273" s="28"/>
      <c r="T273" s="28"/>
      <c r="U273" s="28"/>
      <c r="V273" s="26"/>
      <c r="W273" s="31" t="e">
        <f>INDEX(TBL_LNG_IMPORTERS_CONNECTIONS[LNGImporterConnectionID],$A273)</f>
        <v>#REF!</v>
      </c>
      <c r="X273" s="31" t="e">
        <f>"LNGImporterTariffVar_"&amp;RIGHT($W273,11)</f>
        <v>#REF!</v>
      </c>
    </row>
    <row r="274" spans="1:24" x14ac:dyDescent="0.25">
      <c r="A274" s="94">
        <f t="shared" ref="A274" si="366">$A270+1</f>
        <v>68</v>
      </c>
      <c r="B274" s="115" t="str">
        <f>IFERROR(INDEX(TBL_LNG_IMPORTERS_CONNECTIONS[Name],$A274),"")</f>
        <v/>
      </c>
      <c r="C274" s="93" t="str">
        <f t="shared" ref="C274:D274" si="367">IF($B274&lt;&gt;"",C270,"")</f>
        <v/>
      </c>
      <c r="D274" s="93" t="str">
        <f t="shared" si="367"/>
        <v/>
      </c>
      <c r="E274" s="27"/>
      <c r="F274" s="27"/>
      <c r="G274" s="27"/>
      <c r="H274" s="27"/>
      <c r="I274" s="27"/>
      <c r="J274" s="27"/>
      <c r="K274" s="27"/>
      <c r="L274" s="27"/>
      <c r="M274" s="27"/>
      <c r="N274" s="27"/>
      <c r="O274" s="27"/>
      <c r="P274" s="27"/>
      <c r="Q274" s="27"/>
      <c r="R274" s="27"/>
      <c r="S274" s="27"/>
      <c r="T274" s="27"/>
      <c r="U274" s="27"/>
      <c r="V274" s="25"/>
      <c r="W274" s="31" t="e">
        <f>INDEX(TBL_LNG_IMPORTERS_CONNECTIONS[LNGImporterConnectionID],$A274)</f>
        <v>#REF!</v>
      </c>
      <c r="X274" s="31" t="e">
        <f>"LNGImporterCapMin_"&amp;RIGHT($W274,11)</f>
        <v>#REF!</v>
      </c>
    </row>
    <row r="275" spans="1:24" x14ac:dyDescent="0.25">
      <c r="A275" s="94">
        <f t="shared" ref="A275:A277" si="368">$A274</f>
        <v>68</v>
      </c>
      <c r="B275" s="116"/>
      <c r="C275" s="93" t="str">
        <f t="shared" ref="C275:D275" si="369">IF($B274&lt;&gt;"",C271,"")</f>
        <v/>
      </c>
      <c r="D275" s="93" t="str">
        <f t="shared" si="369"/>
        <v/>
      </c>
      <c r="E275" s="28"/>
      <c r="F275" s="28"/>
      <c r="G275" s="28"/>
      <c r="H275" s="28"/>
      <c r="I275" s="28"/>
      <c r="J275" s="28"/>
      <c r="K275" s="28"/>
      <c r="L275" s="28"/>
      <c r="M275" s="28"/>
      <c r="N275" s="28"/>
      <c r="O275" s="28"/>
      <c r="P275" s="28"/>
      <c r="Q275" s="28"/>
      <c r="R275" s="28"/>
      <c r="S275" s="28"/>
      <c r="T275" s="28"/>
      <c r="U275" s="28"/>
      <c r="V275" s="26"/>
      <c r="W275" s="31" t="e">
        <f>INDEX(TBL_LNG_IMPORTERS_CONNECTIONS[LNGImporterConnectionID],$A275)</f>
        <v>#REF!</v>
      </c>
      <c r="X275" s="31" t="e">
        <f>"LNGImporterCapMax_"&amp;RIGHT($W275,11)</f>
        <v>#REF!</v>
      </c>
    </row>
    <row r="276" spans="1:24" x14ac:dyDescent="0.25">
      <c r="A276" s="94">
        <f t="shared" si="368"/>
        <v>68</v>
      </c>
      <c r="B276" s="116"/>
      <c r="C276" s="93" t="str">
        <f t="shared" ref="C276:D276" si="370">IF($B274&lt;&gt;"",C272,"")</f>
        <v/>
      </c>
      <c r="D276" s="93" t="str">
        <f t="shared" si="370"/>
        <v/>
      </c>
      <c r="E276" s="27"/>
      <c r="F276" s="27"/>
      <c r="G276" s="27"/>
      <c r="H276" s="27"/>
      <c r="I276" s="27"/>
      <c r="J276" s="27"/>
      <c r="K276" s="27"/>
      <c r="L276" s="27"/>
      <c r="M276" s="27"/>
      <c r="N276" s="27"/>
      <c r="O276" s="27"/>
      <c r="P276" s="27"/>
      <c r="Q276" s="27"/>
      <c r="R276" s="27"/>
      <c r="S276" s="27"/>
      <c r="T276" s="27"/>
      <c r="U276" s="27"/>
      <c r="V276" s="25"/>
      <c r="W276" s="31" t="e">
        <f>INDEX(TBL_LNG_IMPORTERS_CONNECTIONS[LNGImporterConnectionID],$A276)</f>
        <v>#REF!</v>
      </c>
      <c r="X276" s="31" t="e">
        <f>"LNGImporterTariffFixed_"&amp;RIGHT($W276,11)</f>
        <v>#REF!</v>
      </c>
    </row>
    <row r="277" spans="1:24" x14ac:dyDescent="0.25">
      <c r="A277" s="94">
        <f t="shared" si="368"/>
        <v>68</v>
      </c>
      <c r="B277" s="117"/>
      <c r="C277" s="93" t="str">
        <f t="shared" ref="C277:D277" si="371">IF($B274&lt;&gt;"",C273,"")</f>
        <v/>
      </c>
      <c r="D277" s="93" t="str">
        <f t="shared" si="371"/>
        <v/>
      </c>
      <c r="E277" s="28"/>
      <c r="F277" s="28"/>
      <c r="G277" s="28"/>
      <c r="H277" s="28"/>
      <c r="I277" s="28"/>
      <c r="J277" s="28"/>
      <c r="K277" s="28"/>
      <c r="L277" s="28"/>
      <c r="M277" s="28"/>
      <c r="N277" s="28"/>
      <c r="O277" s="28"/>
      <c r="P277" s="28"/>
      <c r="Q277" s="28"/>
      <c r="R277" s="28"/>
      <c r="S277" s="28"/>
      <c r="T277" s="28"/>
      <c r="U277" s="28"/>
      <c r="V277" s="26"/>
      <c r="W277" s="31" t="e">
        <f>INDEX(TBL_LNG_IMPORTERS_CONNECTIONS[LNGImporterConnectionID],$A277)</f>
        <v>#REF!</v>
      </c>
      <c r="X277" s="31" t="e">
        <f>"LNGImporterTariffVar_"&amp;RIGHT($W277,11)</f>
        <v>#REF!</v>
      </c>
    </row>
    <row r="278" spans="1:24" x14ac:dyDescent="0.25">
      <c r="A278" s="94">
        <f t="shared" ref="A278" si="372">$A274+1</f>
        <v>69</v>
      </c>
      <c r="B278" s="115" t="str">
        <f>IFERROR(INDEX(TBL_LNG_IMPORTERS_CONNECTIONS[Name],$A278),"")</f>
        <v/>
      </c>
      <c r="C278" s="93" t="str">
        <f t="shared" ref="C278:D278" si="373">IF($B278&lt;&gt;"",C274,"")</f>
        <v/>
      </c>
      <c r="D278" s="93" t="str">
        <f t="shared" si="373"/>
        <v/>
      </c>
      <c r="E278" s="27"/>
      <c r="F278" s="27"/>
      <c r="G278" s="27"/>
      <c r="H278" s="27"/>
      <c r="I278" s="27"/>
      <c r="J278" s="27"/>
      <c r="K278" s="27"/>
      <c r="L278" s="27"/>
      <c r="M278" s="27"/>
      <c r="N278" s="27"/>
      <c r="O278" s="27"/>
      <c r="P278" s="27"/>
      <c r="Q278" s="27"/>
      <c r="R278" s="27"/>
      <c r="S278" s="27"/>
      <c r="T278" s="27"/>
      <c r="U278" s="27"/>
      <c r="V278" s="25"/>
      <c r="W278" s="31" t="e">
        <f>INDEX(TBL_LNG_IMPORTERS_CONNECTIONS[LNGImporterConnectionID],$A278)</f>
        <v>#REF!</v>
      </c>
      <c r="X278" s="31" t="e">
        <f>"LNGImporterCapMin_"&amp;RIGHT($W278,11)</f>
        <v>#REF!</v>
      </c>
    </row>
    <row r="279" spans="1:24" x14ac:dyDescent="0.25">
      <c r="A279" s="94">
        <f t="shared" ref="A279:A297" si="374">$A278</f>
        <v>69</v>
      </c>
      <c r="B279" s="116"/>
      <c r="C279" s="93" t="str">
        <f t="shared" ref="C279:D279" si="375">IF($B278&lt;&gt;"",C275,"")</f>
        <v/>
      </c>
      <c r="D279" s="93" t="str">
        <f t="shared" si="375"/>
        <v/>
      </c>
      <c r="E279" s="28"/>
      <c r="F279" s="28"/>
      <c r="G279" s="28"/>
      <c r="H279" s="28"/>
      <c r="I279" s="28"/>
      <c r="J279" s="28"/>
      <c r="K279" s="28"/>
      <c r="L279" s="28"/>
      <c r="M279" s="28"/>
      <c r="N279" s="28"/>
      <c r="O279" s="28"/>
      <c r="P279" s="28"/>
      <c r="Q279" s="28"/>
      <c r="R279" s="28"/>
      <c r="S279" s="28"/>
      <c r="T279" s="28"/>
      <c r="U279" s="28"/>
      <c r="V279" s="26"/>
      <c r="W279" s="31" t="e">
        <f>INDEX(TBL_LNG_IMPORTERS_CONNECTIONS[LNGImporterConnectionID],$A279)</f>
        <v>#REF!</v>
      </c>
      <c r="X279" s="31" t="e">
        <f>"LNGImporterCapMax_"&amp;RIGHT($W279,11)</f>
        <v>#REF!</v>
      </c>
    </row>
    <row r="280" spans="1:24" x14ac:dyDescent="0.25">
      <c r="A280" s="94">
        <f t="shared" si="374"/>
        <v>69</v>
      </c>
      <c r="B280" s="116"/>
      <c r="C280" s="93" t="str">
        <f t="shared" ref="C280:D280" si="376">IF($B278&lt;&gt;"",C276,"")</f>
        <v/>
      </c>
      <c r="D280" s="93" t="str">
        <f t="shared" si="376"/>
        <v/>
      </c>
      <c r="E280" s="27"/>
      <c r="F280" s="27"/>
      <c r="G280" s="27"/>
      <c r="H280" s="27"/>
      <c r="I280" s="27"/>
      <c r="J280" s="27"/>
      <c r="K280" s="27"/>
      <c r="L280" s="27"/>
      <c r="M280" s="27"/>
      <c r="N280" s="27"/>
      <c r="O280" s="27"/>
      <c r="P280" s="27"/>
      <c r="Q280" s="27"/>
      <c r="R280" s="27"/>
      <c r="S280" s="27"/>
      <c r="T280" s="27"/>
      <c r="U280" s="27"/>
      <c r="V280" s="25"/>
      <c r="W280" s="31" t="e">
        <f>INDEX(TBL_LNG_IMPORTERS_CONNECTIONS[LNGImporterConnectionID],$A280)</f>
        <v>#REF!</v>
      </c>
      <c r="X280" s="31" t="e">
        <f>"LNGImporterTariffFixed_"&amp;RIGHT($W280,11)</f>
        <v>#REF!</v>
      </c>
    </row>
    <row r="281" spans="1:24" x14ac:dyDescent="0.25">
      <c r="A281" s="94">
        <f t="shared" si="374"/>
        <v>69</v>
      </c>
      <c r="B281" s="117"/>
      <c r="C281" s="93" t="str">
        <f t="shared" ref="C281:D281" si="377">IF($B278&lt;&gt;"",C277,"")</f>
        <v/>
      </c>
      <c r="D281" s="93" t="str">
        <f t="shared" si="377"/>
        <v/>
      </c>
      <c r="E281" s="28"/>
      <c r="F281" s="28"/>
      <c r="G281" s="28"/>
      <c r="H281" s="28"/>
      <c r="I281" s="28"/>
      <c r="J281" s="28"/>
      <c r="K281" s="28"/>
      <c r="L281" s="28"/>
      <c r="M281" s="28"/>
      <c r="N281" s="28"/>
      <c r="O281" s="28"/>
      <c r="P281" s="28"/>
      <c r="Q281" s="28"/>
      <c r="R281" s="28"/>
      <c r="S281" s="28"/>
      <c r="T281" s="28"/>
      <c r="U281" s="28"/>
      <c r="V281" s="26"/>
      <c r="W281" s="31" t="e">
        <f>INDEX(TBL_LNG_IMPORTERS_CONNECTIONS[LNGImporterConnectionID],$A281)</f>
        <v>#REF!</v>
      </c>
      <c r="X281" s="31" t="e">
        <f>"LNGImporterTariffVar_"&amp;RIGHT($W281,11)</f>
        <v>#REF!</v>
      </c>
    </row>
    <row r="282" spans="1:24" x14ac:dyDescent="0.25">
      <c r="A282" s="94">
        <f t="shared" ref="A282" si="378">$A278+1</f>
        <v>70</v>
      </c>
      <c r="B282" s="115" t="str">
        <f>IFERROR(INDEX(TBL_LNG_IMPORTERS_CONNECTIONS[Name],$A282),"")</f>
        <v/>
      </c>
      <c r="C282" s="93" t="str">
        <f t="shared" ref="C282:D282" si="379">IF($B282&lt;&gt;"",C278,"")</f>
        <v/>
      </c>
      <c r="D282" s="93" t="str">
        <f t="shared" si="379"/>
        <v/>
      </c>
      <c r="E282" s="27"/>
      <c r="F282" s="27"/>
      <c r="G282" s="27"/>
      <c r="H282" s="27"/>
      <c r="I282" s="27"/>
      <c r="J282" s="27"/>
      <c r="K282" s="27"/>
      <c r="L282" s="27"/>
      <c r="M282" s="27"/>
      <c r="N282" s="27"/>
      <c r="O282" s="27"/>
      <c r="P282" s="27"/>
      <c r="Q282" s="27"/>
      <c r="R282" s="27"/>
      <c r="S282" s="27"/>
      <c r="T282" s="27"/>
      <c r="U282" s="27"/>
      <c r="V282" s="25"/>
      <c r="W282" s="31" t="e">
        <f>INDEX(TBL_LNG_IMPORTERS_CONNECTIONS[LNGImporterConnectionID],$A282)</f>
        <v>#REF!</v>
      </c>
      <c r="X282" s="31" t="e">
        <f>"LNGImporterCapMin_"&amp;RIGHT($W282,11)</f>
        <v>#REF!</v>
      </c>
    </row>
    <row r="283" spans="1:24" x14ac:dyDescent="0.25">
      <c r="A283" s="94">
        <f t="shared" si="374"/>
        <v>70</v>
      </c>
      <c r="B283" s="116"/>
      <c r="C283" s="93" t="str">
        <f t="shared" ref="C283:D283" si="380">IF($B282&lt;&gt;"",C279,"")</f>
        <v/>
      </c>
      <c r="D283" s="93" t="str">
        <f t="shared" si="380"/>
        <v/>
      </c>
      <c r="E283" s="28"/>
      <c r="F283" s="28"/>
      <c r="G283" s="28"/>
      <c r="H283" s="28"/>
      <c r="I283" s="28"/>
      <c r="J283" s="28"/>
      <c r="K283" s="28"/>
      <c r="L283" s="28"/>
      <c r="M283" s="28"/>
      <c r="N283" s="28"/>
      <c r="O283" s="28"/>
      <c r="P283" s="28"/>
      <c r="Q283" s="28"/>
      <c r="R283" s="28"/>
      <c r="S283" s="28"/>
      <c r="T283" s="28"/>
      <c r="U283" s="28"/>
      <c r="V283" s="26"/>
      <c r="W283" s="31" t="e">
        <f>INDEX(TBL_LNG_IMPORTERS_CONNECTIONS[LNGImporterConnectionID],$A283)</f>
        <v>#REF!</v>
      </c>
      <c r="X283" s="31" t="e">
        <f>"LNGImporterCapMax_"&amp;RIGHT($W283,11)</f>
        <v>#REF!</v>
      </c>
    </row>
    <row r="284" spans="1:24" x14ac:dyDescent="0.25">
      <c r="A284" s="94">
        <f t="shared" si="374"/>
        <v>70</v>
      </c>
      <c r="B284" s="116"/>
      <c r="C284" s="93" t="str">
        <f t="shared" ref="C284:D284" si="381">IF($B282&lt;&gt;"",C280,"")</f>
        <v/>
      </c>
      <c r="D284" s="93" t="str">
        <f t="shared" si="381"/>
        <v/>
      </c>
      <c r="E284" s="27"/>
      <c r="F284" s="27"/>
      <c r="G284" s="27"/>
      <c r="H284" s="27"/>
      <c r="I284" s="27"/>
      <c r="J284" s="27"/>
      <c r="K284" s="27"/>
      <c r="L284" s="27"/>
      <c r="M284" s="27"/>
      <c r="N284" s="27"/>
      <c r="O284" s="27"/>
      <c r="P284" s="27"/>
      <c r="Q284" s="27"/>
      <c r="R284" s="27"/>
      <c r="S284" s="27"/>
      <c r="T284" s="27"/>
      <c r="U284" s="27"/>
      <c r="V284" s="25"/>
      <c r="W284" s="31" t="e">
        <f>INDEX(TBL_LNG_IMPORTERS_CONNECTIONS[LNGImporterConnectionID],$A284)</f>
        <v>#REF!</v>
      </c>
      <c r="X284" s="31" t="e">
        <f>"LNGImporterTariffFixed_"&amp;RIGHT($W284,11)</f>
        <v>#REF!</v>
      </c>
    </row>
    <row r="285" spans="1:24" x14ac:dyDescent="0.25">
      <c r="A285" s="94">
        <f t="shared" si="374"/>
        <v>70</v>
      </c>
      <c r="B285" s="117"/>
      <c r="C285" s="93" t="str">
        <f t="shared" ref="C285:D285" si="382">IF($B282&lt;&gt;"",C281,"")</f>
        <v/>
      </c>
      <c r="D285" s="93" t="str">
        <f t="shared" si="382"/>
        <v/>
      </c>
      <c r="E285" s="28"/>
      <c r="F285" s="28"/>
      <c r="G285" s="28"/>
      <c r="H285" s="28"/>
      <c r="I285" s="28"/>
      <c r="J285" s="28"/>
      <c r="K285" s="28"/>
      <c r="L285" s="28"/>
      <c r="M285" s="28"/>
      <c r="N285" s="28"/>
      <c r="O285" s="28"/>
      <c r="P285" s="28"/>
      <c r="Q285" s="28"/>
      <c r="R285" s="28"/>
      <c r="S285" s="28"/>
      <c r="T285" s="28"/>
      <c r="U285" s="28"/>
      <c r="V285" s="26"/>
      <c r="W285" s="31" t="e">
        <f>INDEX(TBL_LNG_IMPORTERS_CONNECTIONS[LNGImporterConnectionID],$A285)</f>
        <v>#REF!</v>
      </c>
      <c r="X285" s="31" t="e">
        <f>"LNGImporterTariffVar_"&amp;RIGHT($W285,11)</f>
        <v>#REF!</v>
      </c>
    </row>
    <row r="286" spans="1:24" x14ac:dyDescent="0.25">
      <c r="A286" s="94">
        <f t="shared" ref="A286" si="383">$A282+1</f>
        <v>71</v>
      </c>
      <c r="B286" s="115" t="str">
        <f>IFERROR(INDEX(TBL_LNG_IMPORTERS_CONNECTIONS[Name],$A286),"")</f>
        <v/>
      </c>
      <c r="C286" s="93" t="str">
        <f t="shared" ref="C286:D286" si="384">IF($B286&lt;&gt;"",C282,"")</f>
        <v/>
      </c>
      <c r="D286" s="93" t="str">
        <f t="shared" si="384"/>
        <v/>
      </c>
      <c r="E286" s="27"/>
      <c r="F286" s="27"/>
      <c r="G286" s="27"/>
      <c r="H286" s="27"/>
      <c r="I286" s="27"/>
      <c r="J286" s="27"/>
      <c r="K286" s="27"/>
      <c r="L286" s="27"/>
      <c r="M286" s="27"/>
      <c r="N286" s="27"/>
      <c r="O286" s="27"/>
      <c r="P286" s="27"/>
      <c r="Q286" s="27"/>
      <c r="R286" s="27"/>
      <c r="S286" s="27"/>
      <c r="T286" s="27"/>
      <c r="U286" s="27"/>
      <c r="V286" s="25"/>
      <c r="W286" s="31" t="e">
        <f>INDEX(TBL_LNG_IMPORTERS_CONNECTIONS[LNGImporterConnectionID],$A286)</f>
        <v>#REF!</v>
      </c>
      <c r="X286" s="31" t="e">
        <f>"LNGImporterCapMin_"&amp;RIGHT($W286,11)</f>
        <v>#REF!</v>
      </c>
    </row>
    <row r="287" spans="1:24" x14ac:dyDescent="0.25">
      <c r="A287" s="94">
        <f t="shared" si="374"/>
        <v>71</v>
      </c>
      <c r="B287" s="116"/>
      <c r="C287" s="93" t="str">
        <f t="shared" ref="C287:D287" si="385">IF($B286&lt;&gt;"",C283,"")</f>
        <v/>
      </c>
      <c r="D287" s="93" t="str">
        <f t="shared" si="385"/>
        <v/>
      </c>
      <c r="E287" s="28"/>
      <c r="F287" s="28"/>
      <c r="G287" s="28"/>
      <c r="H287" s="28"/>
      <c r="I287" s="28"/>
      <c r="J287" s="28"/>
      <c r="K287" s="28"/>
      <c r="L287" s="28"/>
      <c r="M287" s="28"/>
      <c r="N287" s="28"/>
      <c r="O287" s="28"/>
      <c r="P287" s="28"/>
      <c r="Q287" s="28"/>
      <c r="R287" s="28"/>
      <c r="S287" s="28"/>
      <c r="T287" s="28"/>
      <c r="U287" s="28"/>
      <c r="V287" s="26"/>
      <c r="W287" s="31" t="e">
        <f>INDEX(TBL_LNG_IMPORTERS_CONNECTIONS[LNGImporterConnectionID],$A287)</f>
        <v>#REF!</v>
      </c>
      <c r="X287" s="31" t="e">
        <f>"LNGImporterCapMax_"&amp;RIGHT($W287,11)</f>
        <v>#REF!</v>
      </c>
    </row>
    <row r="288" spans="1:24" x14ac:dyDescent="0.25">
      <c r="A288" s="94">
        <f t="shared" si="374"/>
        <v>71</v>
      </c>
      <c r="B288" s="116"/>
      <c r="C288" s="93" t="str">
        <f t="shared" ref="C288:D288" si="386">IF($B286&lt;&gt;"",C284,"")</f>
        <v/>
      </c>
      <c r="D288" s="93" t="str">
        <f t="shared" si="386"/>
        <v/>
      </c>
      <c r="E288" s="27"/>
      <c r="F288" s="27"/>
      <c r="G288" s="27"/>
      <c r="H288" s="27"/>
      <c r="I288" s="27"/>
      <c r="J288" s="27"/>
      <c r="K288" s="27"/>
      <c r="L288" s="27"/>
      <c r="M288" s="27"/>
      <c r="N288" s="27"/>
      <c r="O288" s="27"/>
      <c r="P288" s="27"/>
      <c r="Q288" s="27"/>
      <c r="R288" s="27"/>
      <c r="S288" s="27"/>
      <c r="T288" s="27"/>
      <c r="U288" s="27"/>
      <c r="V288" s="25"/>
      <c r="W288" s="31" t="e">
        <f>INDEX(TBL_LNG_IMPORTERS_CONNECTIONS[LNGImporterConnectionID],$A288)</f>
        <v>#REF!</v>
      </c>
      <c r="X288" s="31" t="e">
        <f>"LNGImporterTariffFixed_"&amp;RIGHT($W288,11)</f>
        <v>#REF!</v>
      </c>
    </row>
    <row r="289" spans="1:24" x14ac:dyDescent="0.25">
      <c r="A289" s="94">
        <f t="shared" si="374"/>
        <v>71</v>
      </c>
      <c r="B289" s="117"/>
      <c r="C289" s="93" t="str">
        <f t="shared" ref="C289:D289" si="387">IF($B286&lt;&gt;"",C285,"")</f>
        <v/>
      </c>
      <c r="D289" s="93" t="str">
        <f t="shared" si="387"/>
        <v/>
      </c>
      <c r="E289" s="28"/>
      <c r="F289" s="28"/>
      <c r="G289" s="28"/>
      <c r="H289" s="28"/>
      <c r="I289" s="28"/>
      <c r="J289" s="28"/>
      <c r="K289" s="28"/>
      <c r="L289" s="28"/>
      <c r="M289" s="28"/>
      <c r="N289" s="28"/>
      <c r="O289" s="28"/>
      <c r="P289" s="28"/>
      <c r="Q289" s="28"/>
      <c r="R289" s="28"/>
      <c r="S289" s="28"/>
      <c r="T289" s="28"/>
      <c r="U289" s="28"/>
      <c r="V289" s="26"/>
      <c r="W289" s="31" t="e">
        <f>INDEX(TBL_LNG_IMPORTERS_CONNECTIONS[LNGImporterConnectionID],$A289)</f>
        <v>#REF!</v>
      </c>
      <c r="X289" s="31" t="e">
        <f>"LNGImporterTariffVar_"&amp;RIGHT($W289,11)</f>
        <v>#REF!</v>
      </c>
    </row>
    <row r="290" spans="1:24" x14ac:dyDescent="0.25">
      <c r="A290" s="94">
        <f t="shared" ref="A290" si="388">$A286+1</f>
        <v>72</v>
      </c>
      <c r="B290" s="115" t="str">
        <f>IFERROR(INDEX(TBL_LNG_IMPORTERS_CONNECTIONS[Name],$A290),"")</f>
        <v/>
      </c>
      <c r="C290" s="93" t="str">
        <f t="shared" ref="C290:D290" si="389">IF($B290&lt;&gt;"",C286,"")</f>
        <v/>
      </c>
      <c r="D290" s="93" t="str">
        <f t="shared" si="389"/>
        <v/>
      </c>
      <c r="E290" s="27"/>
      <c r="F290" s="27"/>
      <c r="G290" s="27"/>
      <c r="H290" s="27"/>
      <c r="I290" s="27"/>
      <c r="J290" s="27"/>
      <c r="K290" s="27"/>
      <c r="L290" s="27"/>
      <c r="M290" s="27"/>
      <c r="N290" s="27"/>
      <c r="O290" s="27"/>
      <c r="P290" s="27"/>
      <c r="Q290" s="27"/>
      <c r="R290" s="27"/>
      <c r="S290" s="27"/>
      <c r="T290" s="27"/>
      <c r="U290" s="27"/>
      <c r="V290" s="25"/>
      <c r="W290" s="31" t="e">
        <f>INDEX(TBL_LNG_IMPORTERS_CONNECTIONS[LNGImporterConnectionID],$A290)</f>
        <v>#REF!</v>
      </c>
      <c r="X290" s="31" t="e">
        <f>"LNGImporterCapMin_"&amp;RIGHT($W290,11)</f>
        <v>#REF!</v>
      </c>
    </row>
    <row r="291" spans="1:24" x14ac:dyDescent="0.25">
      <c r="A291" s="94">
        <f t="shared" si="374"/>
        <v>72</v>
      </c>
      <c r="B291" s="116"/>
      <c r="C291" s="93" t="str">
        <f t="shared" ref="C291:D291" si="390">IF($B290&lt;&gt;"",C287,"")</f>
        <v/>
      </c>
      <c r="D291" s="93" t="str">
        <f t="shared" si="390"/>
        <v/>
      </c>
      <c r="E291" s="28"/>
      <c r="F291" s="28"/>
      <c r="G291" s="28"/>
      <c r="H291" s="28"/>
      <c r="I291" s="28"/>
      <c r="J291" s="28"/>
      <c r="K291" s="28"/>
      <c r="L291" s="28"/>
      <c r="M291" s="28"/>
      <c r="N291" s="28"/>
      <c r="O291" s="28"/>
      <c r="P291" s="28"/>
      <c r="Q291" s="28"/>
      <c r="R291" s="28"/>
      <c r="S291" s="28"/>
      <c r="T291" s="28"/>
      <c r="U291" s="28"/>
      <c r="V291" s="26"/>
      <c r="W291" s="31" t="e">
        <f>INDEX(TBL_LNG_IMPORTERS_CONNECTIONS[LNGImporterConnectionID],$A291)</f>
        <v>#REF!</v>
      </c>
      <c r="X291" s="31" t="e">
        <f>"LNGImporterCapMax_"&amp;RIGHT($W291,11)</f>
        <v>#REF!</v>
      </c>
    </row>
    <row r="292" spans="1:24" x14ac:dyDescent="0.25">
      <c r="A292" s="94">
        <f t="shared" si="374"/>
        <v>72</v>
      </c>
      <c r="B292" s="116"/>
      <c r="C292" s="93" t="str">
        <f t="shared" ref="C292:D292" si="391">IF($B290&lt;&gt;"",C288,"")</f>
        <v/>
      </c>
      <c r="D292" s="93" t="str">
        <f t="shared" si="391"/>
        <v/>
      </c>
      <c r="E292" s="27"/>
      <c r="F292" s="27"/>
      <c r="G292" s="27"/>
      <c r="H292" s="27"/>
      <c r="I292" s="27"/>
      <c r="J292" s="27"/>
      <c r="K292" s="27"/>
      <c r="L292" s="27"/>
      <c r="M292" s="27"/>
      <c r="N292" s="27"/>
      <c r="O292" s="27"/>
      <c r="P292" s="27"/>
      <c r="Q292" s="27"/>
      <c r="R292" s="27"/>
      <c r="S292" s="27"/>
      <c r="T292" s="27"/>
      <c r="U292" s="27"/>
      <c r="V292" s="25"/>
      <c r="W292" s="31" t="e">
        <f>INDEX(TBL_LNG_IMPORTERS_CONNECTIONS[LNGImporterConnectionID],$A292)</f>
        <v>#REF!</v>
      </c>
      <c r="X292" s="31" t="e">
        <f>"LNGImporterTariffFixed_"&amp;RIGHT($W292,11)</f>
        <v>#REF!</v>
      </c>
    </row>
    <row r="293" spans="1:24" x14ac:dyDescent="0.25">
      <c r="A293" s="94">
        <f t="shared" si="374"/>
        <v>72</v>
      </c>
      <c r="B293" s="117"/>
      <c r="C293" s="93" t="str">
        <f t="shared" ref="C293:D293" si="392">IF($B290&lt;&gt;"",C289,"")</f>
        <v/>
      </c>
      <c r="D293" s="93" t="str">
        <f t="shared" si="392"/>
        <v/>
      </c>
      <c r="E293" s="28"/>
      <c r="F293" s="28"/>
      <c r="G293" s="28"/>
      <c r="H293" s="28"/>
      <c r="I293" s="28"/>
      <c r="J293" s="28"/>
      <c r="K293" s="28"/>
      <c r="L293" s="28"/>
      <c r="M293" s="28"/>
      <c r="N293" s="28"/>
      <c r="O293" s="28"/>
      <c r="P293" s="28"/>
      <c r="Q293" s="28"/>
      <c r="R293" s="28"/>
      <c r="S293" s="28"/>
      <c r="T293" s="28"/>
      <c r="U293" s="28"/>
      <c r="V293" s="26"/>
      <c r="W293" s="31" t="e">
        <f>INDEX(TBL_LNG_IMPORTERS_CONNECTIONS[LNGImporterConnectionID],$A293)</f>
        <v>#REF!</v>
      </c>
      <c r="X293" s="31" t="e">
        <f>"LNGImporterTariffVar_"&amp;RIGHT($W293,11)</f>
        <v>#REF!</v>
      </c>
    </row>
    <row r="294" spans="1:24" x14ac:dyDescent="0.25">
      <c r="A294" s="94">
        <f t="shared" ref="A294" si="393">$A290+1</f>
        <v>73</v>
      </c>
      <c r="B294" s="115" t="str">
        <f>IFERROR(INDEX(TBL_LNG_IMPORTERS_CONNECTIONS[Name],$A294),"")</f>
        <v/>
      </c>
      <c r="C294" s="93" t="str">
        <f t="shared" ref="C294:D294" si="394">IF($B294&lt;&gt;"",C290,"")</f>
        <v/>
      </c>
      <c r="D294" s="93" t="str">
        <f t="shared" si="394"/>
        <v/>
      </c>
      <c r="E294" s="27"/>
      <c r="F294" s="27"/>
      <c r="G294" s="27"/>
      <c r="H294" s="27"/>
      <c r="I294" s="27"/>
      <c r="J294" s="27"/>
      <c r="K294" s="27"/>
      <c r="L294" s="27"/>
      <c r="M294" s="27"/>
      <c r="N294" s="27"/>
      <c r="O294" s="27"/>
      <c r="P294" s="27"/>
      <c r="Q294" s="27"/>
      <c r="R294" s="27"/>
      <c r="S294" s="27"/>
      <c r="T294" s="27"/>
      <c r="U294" s="27"/>
      <c r="V294" s="25"/>
      <c r="W294" s="31" t="e">
        <f>INDEX(TBL_LNG_IMPORTERS_CONNECTIONS[LNGImporterConnectionID],$A294)</f>
        <v>#REF!</v>
      </c>
      <c r="X294" s="31" t="e">
        <f>"LNGImporterCapMin_"&amp;RIGHT($W294,11)</f>
        <v>#REF!</v>
      </c>
    </row>
    <row r="295" spans="1:24" x14ac:dyDescent="0.25">
      <c r="A295" s="94">
        <f t="shared" si="374"/>
        <v>73</v>
      </c>
      <c r="B295" s="116"/>
      <c r="C295" s="93" t="str">
        <f t="shared" ref="C295:D295" si="395">IF($B294&lt;&gt;"",C291,"")</f>
        <v/>
      </c>
      <c r="D295" s="93" t="str">
        <f t="shared" si="395"/>
        <v/>
      </c>
      <c r="E295" s="28"/>
      <c r="F295" s="28"/>
      <c r="G295" s="28"/>
      <c r="H295" s="28"/>
      <c r="I295" s="28"/>
      <c r="J295" s="28"/>
      <c r="K295" s="28"/>
      <c r="L295" s="28"/>
      <c r="M295" s="28"/>
      <c r="N295" s="28"/>
      <c r="O295" s="28"/>
      <c r="P295" s="28"/>
      <c r="Q295" s="28"/>
      <c r="R295" s="28"/>
      <c r="S295" s="28"/>
      <c r="T295" s="28"/>
      <c r="U295" s="28"/>
      <c r="V295" s="26"/>
      <c r="W295" s="31" t="e">
        <f>INDEX(TBL_LNG_IMPORTERS_CONNECTIONS[LNGImporterConnectionID],$A295)</f>
        <v>#REF!</v>
      </c>
      <c r="X295" s="31" t="e">
        <f>"LNGImporterCapMax_"&amp;RIGHT($W295,11)</f>
        <v>#REF!</v>
      </c>
    </row>
    <row r="296" spans="1:24" x14ac:dyDescent="0.25">
      <c r="A296" s="94">
        <f t="shared" si="374"/>
        <v>73</v>
      </c>
      <c r="B296" s="116"/>
      <c r="C296" s="93" t="str">
        <f t="shared" ref="C296:D296" si="396">IF($B294&lt;&gt;"",C292,"")</f>
        <v/>
      </c>
      <c r="D296" s="93" t="str">
        <f t="shared" si="396"/>
        <v/>
      </c>
      <c r="E296" s="27"/>
      <c r="F296" s="27"/>
      <c r="G296" s="27"/>
      <c r="H296" s="27"/>
      <c r="I296" s="27"/>
      <c r="J296" s="27"/>
      <c r="K296" s="27"/>
      <c r="L296" s="27"/>
      <c r="M296" s="27"/>
      <c r="N296" s="27"/>
      <c r="O296" s="27"/>
      <c r="P296" s="27"/>
      <c r="Q296" s="27"/>
      <c r="R296" s="27"/>
      <c r="S296" s="27"/>
      <c r="T296" s="27"/>
      <c r="U296" s="27"/>
      <c r="V296" s="25"/>
      <c r="W296" s="31" t="e">
        <f>INDEX(TBL_LNG_IMPORTERS_CONNECTIONS[LNGImporterConnectionID],$A296)</f>
        <v>#REF!</v>
      </c>
      <c r="X296" s="31" t="e">
        <f>"LNGImporterTariffFixed_"&amp;RIGHT($W296,11)</f>
        <v>#REF!</v>
      </c>
    </row>
    <row r="297" spans="1:24" x14ac:dyDescent="0.25">
      <c r="A297" s="94">
        <f t="shared" si="374"/>
        <v>73</v>
      </c>
      <c r="B297" s="117"/>
      <c r="C297" s="93" t="str">
        <f t="shared" ref="C297:D297" si="397">IF($B294&lt;&gt;"",C293,"")</f>
        <v/>
      </c>
      <c r="D297" s="93" t="str">
        <f t="shared" si="397"/>
        <v/>
      </c>
      <c r="E297" s="28"/>
      <c r="F297" s="28"/>
      <c r="G297" s="28"/>
      <c r="H297" s="28"/>
      <c r="I297" s="28"/>
      <c r="J297" s="28"/>
      <c r="K297" s="28"/>
      <c r="L297" s="28"/>
      <c r="M297" s="28"/>
      <c r="N297" s="28"/>
      <c r="O297" s="28"/>
      <c r="P297" s="28"/>
      <c r="Q297" s="28"/>
      <c r="R297" s="28"/>
      <c r="S297" s="28"/>
      <c r="T297" s="28"/>
      <c r="U297" s="28"/>
      <c r="V297" s="26"/>
      <c r="W297" s="31" t="e">
        <f>INDEX(TBL_LNG_IMPORTERS_CONNECTIONS[LNGImporterConnectionID],$A297)</f>
        <v>#REF!</v>
      </c>
      <c r="X297" s="31" t="e">
        <f>"LNGImporterTariffVar_"&amp;RIGHT($W297,11)</f>
        <v>#REF!</v>
      </c>
    </row>
    <row r="298" spans="1:24" x14ac:dyDescent="0.25">
      <c r="A298" s="94">
        <f t="shared" ref="A298" si="398">$A294+1</f>
        <v>74</v>
      </c>
      <c r="B298" s="115" t="str">
        <f>IFERROR(INDEX(TBL_LNG_IMPORTERS_CONNECTIONS[Name],$A298),"")</f>
        <v/>
      </c>
      <c r="C298" s="93" t="str">
        <f t="shared" ref="C298:D298" si="399">IF($B298&lt;&gt;"",C294,"")</f>
        <v/>
      </c>
      <c r="D298" s="93" t="str">
        <f t="shared" si="399"/>
        <v/>
      </c>
      <c r="E298" s="27"/>
      <c r="F298" s="27"/>
      <c r="G298" s="27"/>
      <c r="H298" s="27"/>
      <c r="I298" s="27"/>
      <c r="J298" s="27"/>
      <c r="K298" s="27"/>
      <c r="L298" s="27"/>
      <c r="M298" s="27"/>
      <c r="N298" s="27"/>
      <c r="O298" s="27"/>
      <c r="P298" s="27"/>
      <c r="Q298" s="27"/>
      <c r="R298" s="27"/>
      <c r="S298" s="27"/>
      <c r="T298" s="27"/>
      <c r="U298" s="27"/>
      <c r="V298" s="25"/>
      <c r="W298" s="31" t="e">
        <f>INDEX(TBL_LNG_IMPORTERS_CONNECTIONS[LNGImporterConnectionID],$A298)</f>
        <v>#REF!</v>
      </c>
      <c r="X298" s="31" t="e">
        <f>"LNGImporterCapMin_"&amp;RIGHT($W298,11)</f>
        <v>#REF!</v>
      </c>
    </row>
    <row r="299" spans="1:24" x14ac:dyDescent="0.25">
      <c r="A299" s="94">
        <f t="shared" ref="A299:A301" si="400">$A298</f>
        <v>74</v>
      </c>
      <c r="B299" s="116"/>
      <c r="C299" s="93" t="str">
        <f t="shared" ref="C299:D299" si="401">IF($B298&lt;&gt;"",C295,"")</f>
        <v/>
      </c>
      <c r="D299" s="93" t="str">
        <f t="shared" si="401"/>
        <v/>
      </c>
      <c r="E299" s="28"/>
      <c r="F299" s="28"/>
      <c r="G299" s="28"/>
      <c r="H299" s="28"/>
      <c r="I299" s="28"/>
      <c r="J299" s="28"/>
      <c r="K299" s="28"/>
      <c r="L299" s="28"/>
      <c r="M299" s="28"/>
      <c r="N299" s="28"/>
      <c r="O299" s="28"/>
      <c r="P299" s="28"/>
      <c r="Q299" s="28"/>
      <c r="R299" s="28"/>
      <c r="S299" s="28"/>
      <c r="T299" s="28"/>
      <c r="U299" s="28"/>
      <c r="V299" s="26"/>
      <c r="W299" s="31" t="e">
        <f>INDEX(TBL_LNG_IMPORTERS_CONNECTIONS[LNGImporterConnectionID],$A299)</f>
        <v>#REF!</v>
      </c>
      <c r="X299" s="31" t="e">
        <f>"LNGImporterCapMax_"&amp;RIGHT($W299,11)</f>
        <v>#REF!</v>
      </c>
    </row>
    <row r="300" spans="1:24" x14ac:dyDescent="0.25">
      <c r="A300" s="94">
        <f t="shared" si="400"/>
        <v>74</v>
      </c>
      <c r="B300" s="116"/>
      <c r="C300" s="93" t="str">
        <f t="shared" ref="C300:D300" si="402">IF($B298&lt;&gt;"",C296,"")</f>
        <v/>
      </c>
      <c r="D300" s="93" t="str">
        <f t="shared" si="402"/>
        <v/>
      </c>
      <c r="E300" s="27"/>
      <c r="F300" s="27"/>
      <c r="G300" s="27"/>
      <c r="H300" s="27"/>
      <c r="I300" s="27"/>
      <c r="J300" s="27"/>
      <c r="K300" s="27"/>
      <c r="L300" s="27"/>
      <c r="M300" s="27"/>
      <c r="N300" s="27"/>
      <c r="O300" s="27"/>
      <c r="P300" s="27"/>
      <c r="Q300" s="27"/>
      <c r="R300" s="27"/>
      <c r="S300" s="27"/>
      <c r="T300" s="27"/>
      <c r="U300" s="27"/>
      <c r="V300" s="25"/>
      <c r="W300" s="31" t="e">
        <f>INDEX(TBL_LNG_IMPORTERS_CONNECTIONS[LNGImporterConnectionID],$A300)</f>
        <v>#REF!</v>
      </c>
      <c r="X300" s="31" t="e">
        <f>"LNGImporterTariffFixed_"&amp;RIGHT($W300,11)</f>
        <v>#REF!</v>
      </c>
    </row>
    <row r="301" spans="1:24" x14ac:dyDescent="0.25">
      <c r="A301" s="94">
        <f t="shared" si="400"/>
        <v>74</v>
      </c>
      <c r="B301" s="117"/>
      <c r="C301" s="93" t="str">
        <f t="shared" ref="C301:D301" si="403">IF($B298&lt;&gt;"",C297,"")</f>
        <v/>
      </c>
      <c r="D301" s="93" t="str">
        <f t="shared" si="403"/>
        <v/>
      </c>
      <c r="E301" s="28"/>
      <c r="F301" s="28"/>
      <c r="G301" s="28"/>
      <c r="H301" s="28"/>
      <c r="I301" s="28"/>
      <c r="J301" s="28"/>
      <c r="K301" s="28"/>
      <c r="L301" s="28"/>
      <c r="M301" s="28"/>
      <c r="N301" s="28"/>
      <c r="O301" s="28"/>
      <c r="P301" s="28"/>
      <c r="Q301" s="28"/>
      <c r="R301" s="28"/>
      <c r="S301" s="28"/>
      <c r="T301" s="28"/>
      <c r="U301" s="28"/>
      <c r="V301" s="26"/>
      <c r="W301" s="31" t="e">
        <f>INDEX(TBL_LNG_IMPORTERS_CONNECTIONS[LNGImporterConnectionID],$A301)</f>
        <v>#REF!</v>
      </c>
      <c r="X301" s="31" t="e">
        <f>"LNGImporterTariffVar_"&amp;RIGHT($W301,11)</f>
        <v>#REF!</v>
      </c>
    </row>
    <row r="302" spans="1:24" x14ac:dyDescent="0.25">
      <c r="A302" s="94">
        <f t="shared" ref="A302" si="404">$A298+1</f>
        <v>75</v>
      </c>
      <c r="B302" s="115" t="str">
        <f>IFERROR(INDEX(TBL_LNG_IMPORTERS_CONNECTIONS[Name],$A302),"")</f>
        <v/>
      </c>
      <c r="C302" s="93" t="str">
        <f t="shared" ref="C302:D302" si="405">IF($B302&lt;&gt;"",C298,"")</f>
        <v/>
      </c>
      <c r="D302" s="93" t="str">
        <f t="shared" si="405"/>
        <v/>
      </c>
      <c r="E302" s="27"/>
      <c r="F302" s="27"/>
      <c r="G302" s="27"/>
      <c r="H302" s="27"/>
      <c r="I302" s="27"/>
      <c r="J302" s="27"/>
      <c r="K302" s="27"/>
      <c r="L302" s="27"/>
      <c r="M302" s="27"/>
      <c r="N302" s="27"/>
      <c r="O302" s="27"/>
      <c r="P302" s="27"/>
      <c r="Q302" s="27"/>
      <c r="R302" s="27"/>
      <c r="S302" s="27"/>
      <c r="T302" s="27"/>
      <c r="U302" s="27"/>
      <c r="V302" s="25"/>
      <c r="W302" s="31" t="e">
        <f>INDEX(TBL_LNG_IMPORTERS_CONNECTIONS[LNGImporterConnectionID],$A302)</f>
        <v>#REF!</v>
      </c>
      <c r="X302" s="31" t="e">
        <f>"LNGImporterCapMin_"&amp;RIGHT($W302,11)</f>
        <v>#REF!</v>
      </c>
    </row>
    <row r="303" spans="1:24" x14ac:dyDescent="0.25">
      <c r="A303" s="94">
        <f t="shared" ref="A303:A305" si="406">$A302</f>
        <v>75</v>
      </c>
      <c r="B303" s="116"/>
      <c r="C303" s="93" t="str">
        <f t="shared" ref="C303:D303" si="407">IF($B302&lt;&gt;"",C299,"")</f>
        <v/>
      </c>
      <c r="D303" s="93" t="str">
        <f t="shared" si="407"/>
        <v/>
      </c>
      <c r="E303" s="28"/>
      <c r="F303" s="28"/>
      <c r="G303" s="28"/>
      <c r="H303" s="28"/>
      <c r="I303" s="28"/>
      <c r="J303" s="28"/>
      <c r="K303" s="28"/>
      <c r="L303" s="28"/>
      <c r="M303" s="28"/>
      <c r="N303" s="28"/>
      <c r="O303" s="28"/>
      <c r="P303" s="28"/>
      <c r="Q303" s="28"/>
      <c r="R303" s="28"/>
      <c r="S303" s="28"/>
      <c r="T303" s="28"/>
      <c r="U303" s="28"/>
      <c r="V303" s="26"/>
      <c r="W303" s="31" t="e">
        <f>INDEX(TBL_LNG_IMPORTERS_CONNECTIONS[LNGImporterConnectionID],$A303)</f>
        <v>#REF!</v>
      </c>
      <c r="X303" s="31" t="e">
        <f>"LNGImporterCapMax_"&amp;RIGHT($W303,11)</f>
        <v>#REF!</v>
      </c>
    </row>
    <row r="304" spans="1:24" x14ac:dyDescent="0.25">
      <c r="A304" s="94">
        <f t="shared" si="406"/>
        <v>75</v>
      </c>
      <c r="B304" s="116"/>
      <c r="C304" s="93" t="str">
        <f t="shared" ref="C304:D304" si="408">IF($B302&lt;&gt;"",C300,"")</f>
        <v/>
      </c>
      <c r="D304" s="93" t="str">
        <f t="shared" si="408"/>
        <v/>
      </c>
      <c r="E304" s="27"/>
      <c r="F304" s="27"/>
      <c r="G304" s="27"/>
      <c r="H304" s="27"/>
      <c r="I304" s="27"/>
      <c r="J304" s="27"/>
      <c r="K304" s="27"/>
      <c r="L304" s="27"/>
      <c r="M304" s="27"/>
      <c r="N304" s="27"/>
      <c r="O304" s="27"/>
      <c r="P304" s="27"/>
      <c r="Q304" s="27"/>
      <c r="R304" s="27"/>
      <c r="S304" s="27"/>
      <c r="T304" s="27"/>
      <c r="U304" s="27"/>
      <c r="V304" s="25"/>
      <c r="W304" s="31" t="e">
        <f>INDEX(TBL_LNG_IMPORTERS_CONNECTIONS[LNGImporterConnectionID],$A304)</f>
        <v>#REF!</v>
      </c>
      <c r="X304" s="31" t="e">
        <f>"LNGImporterTariffFixed_"&amp;RIGHT($W304,11)</f>
        <v>#REF!</v>
      </c>
    </row>
    <row r="305" spans="1:24" x14ac:dyDescent="0.25">
      <c r="A305" s="94">
        <f t="shared" si="406"/>
        <v>75</v>
      </c>
      <c r="B305" s="117"/>
      <c r="C305" s="93" t="str">
        <f t="shared" ref="C305:D305" si="409">IF($B302&lt;&gt;"",C301,"")</f>
        <v/>
      </c>
      <c r="D305" s="93" t="str">
        <f t="shared" si="409"/>
        <v/>
      </c>
      <c r="E305" s="28"/>
      <c r="F305" s="28"/>
      <c r="G305" s="28"/>
      <c r="H305" s="28"/>
      <c r="I305" s="28"/>
      <c r="J305" s="28"/>
      <c r="K305" s="28"/>
      <c r="L305" s="28"/>
      <c r="M305" s="28"/>
      <c r="N305" s="28"/>
      <c r="O305" s="28"/>
      <c r="P305" s="28"/>
      <c r="Q305" s="28"/>
      <c r="R305" s="28"/>
      <c r="S305" s="28"/>
      <c r="T305" s="28"/>
      <c r="U305" s="28"/>
      <c r="V305" s="26"/>
      <c r="W305" s="31" t="e">
        <f>INDEX(TBL_LNG_IMPORTERS_CONNECTIONS[LNGImporterConnectionID],$A305)</f>
        <v>#REF!</v>
      </c>
      <c r="X305" s="31" t="e">
        <f>"LNGImporterTariffVar_"&amp;RIGHT($W305,11)</f>
        <v>#REF!</v>
      </c>
    </row>
    <row r="306" spans="1:24" x14ac:dyDescent="0.25">
      <c r="A306" s="94">
        <f t="shared" ref="A306" si="410">$A302+1</f>
        <v>76</v>
      </c>
      <c r="B306" s="115" t="str">
        <f>IFERROR(INDEX(TBL_LNG_IMPORTERS_CONNECTIONS[Name],$A306),"")</f>
        <v/>
      </c>
      <c r="C306" s="93" t="str">
        <f t="shared" ref="C306:D306" si="411">IF($B306&lt;&gt;"",C302,"")</f>
        <v/>
      </c>
      <c r="D306" s="93" t="str">
        <f t="shared" si="411"/>
        <v/>
      </c>
      <c r="E306" s="27"/>
      <c r="F306" s="27"/>
      <c r="G306" s="27"/>
      <c r="H306" s="27"/>
      <c r="I306" s="27"/>
      <c r="J306" s="27"/>
      <c r="K306" s="27"/>
      <c r="L306" s="27"/>
      <c r="M306" s="27"/>
      <c r="N306" s="27"/>
      <c r="O306" s="27"/>
      <c r="P306" s="27"/>
      <c r="Q306" s="27"/>
      <c r="R306" s="27"/>
      <c r="S306" s="27"/>
      <c r="T306" s="27"/>
      <c r="U306" s="27"/>
      <c r="V306" s="25"/>
      <c r="W306" s="31" t="e">
        <f>INDEX(TBL_LNG_IMPORTERS_CONNECTIONS[LNGImporterConnectionID],$A306)</f>
        <v>#REF!</v>
      </c>
      <c r="X306" s="31" t="e">
        <f>"LNGImporterCapMin_"&amp;RIGHT($W306,11)</f>
        <v>#REF!</v>
      </c>
    </row>
    <row r="307" spans="1:24" x14ac:dyDescent="0.25">
      <c r="A307" s="94">
        <f t="shared" ref="A307:A309" si="412">$A306</f>
        <v>76</v>
      </c>
      <c r="B307" s="116"/>
      <c r="C307" s="93" t="str">
        <f t="shared" ref="C307:D307" si="413">IF($B306&lt;&gt;"",C303,"")</f>
        <v/>
      </c>
      <c r="D307" s="93" t="str">
        <f t="shared" si="413"/>
        <v/>
      </c>
      <c r="E307" s="28"/>
      <c r="F307" s="28"/>
      <c r="G307" s="28"/>
      <c r="H307" s="28"/>
      <c r="I307" s="28"/>
      <c r="J307" s="28"/>
      <c r="K307" s="28"/>
      <c r="L307" s="28"/>
      <c r="M307" s="28"/>
      <c r="N307" s="28"/>
      <c r="O307" s="28"/>
      <c r="P307" s="28"/>
      <c r="Q307" s="28"/>
      <c r="R307" s="28"/>
      <c r="S307" s="28"/>
      <c r="T307" s="28"/>
      <c r="U307" s="28"/>
      <c r="V307" s="26"/>
      <c r="W307" s="31" t="e">
        <f>INDEX(TBL_LNG_IMPORTERS_CONNECTIONS[LNGImporterConnectionID],$A307)</f>
        <v>#REF!</v>
      </c>
      <c r="X307" s="31" t="e">
        <f>"LNGImporterCapMax_"&amp;RIGHT($W307,11)</f>
        <v>#REF!</v>
      </c>
    </row>
    <row r="308" spans="1:24" x14ac:dyDescent="0.25">
      <c r="A308" s="94">
        <f t="shared" si="412"/>
        <v>76</v>
      </c>
      <c r="B308" s="116"/>
      <c r="C308" s="93" t="str">
        <f t="shared" ref="C308:D308" si="414">IF($B306&lt;&gt;"",C304,"")</f>
        <v/>
      </c>
      <c r="D308" s="93" t="str">
        <f t="shared" si="414"/>
        <v/>
      </c>
      <c r="E308" s="27"/>
      <c r="F308" s="27"/>
      <c r="G308" s="27"/>
      <c r="H308" s="27"/>
      <c r="I308" s="27"/>
      <c r="J308" s="27"/>
      <c r="K308" s="27"/>
      <c r="L308" s="27"/>
      <c r="M308" s="27"/>
      <c r="N308" s="27"/>
      <c r="O308" s="27"/>
      <c r="P308" s="27"/>
      <c r="Q308" s="27"/>
      <c r="R308" s="27"/>
      <c r="S308" s="27"/>
      <c r="T308" s="27"/>
      <c r="U308" s="27"/>
      <c r="V308" s="25"/>
      <c r="W308" s="31" t="e">
        <f>INDEX(TBL_LNG_IMPORTERS_CONNECTIONS[LNGImporterConnectionID],$A308)</f>
        <v>#REF!</v>
      </c>
      <c r="X308" s="31" t="e">
        <f>"LNGImporterTariffFixed_"&amp;RIGHT($W308,11)</f>
        <v>#REF!</v>
      </c>
    </row>
    <row r="309" spans="1:24" x14ac:dyDescent="0.25">
      <c r="A309" s="94">
        <f t="shared" si="412"/>
        <v>76</v>
      </c>
      <c r="B309" s="117"/>
      <c r="C309" s="93" t="str">
        <f t="shared" ref="C309:D309" si="415">IF($B306&lt;&gt;"",C305,"")</f>
        <v/>
      </c>
      <c r="D309" s="93" t="str">
        <f t="shared" si="415"/>
        <v/>
      </c>
      <c r="E309" s="28"/>
      <c r="F309" s="28"/>
      <c r="G309" s="28"/>
      <c r="H309" s="28"/>
      <c r="I309" s="28"/>
      <c r="J309" s="28"/>
      <c r="K309" s="28"/>
      <c r="L309" s="28"/>
      <c r="M309" s="28"/>
      <c r="N309" s="28"/>
      <c r="O309" s="28"/>
      <c r="P309" s="28"/>
      <c r="Q309" s="28"/>
      <c r="R309" s="28"/>
      <c r="S309" s="28"/>
      <c r="T309" s="28"/>
      <c r="U309" s="28"/>
      <c r="V309" s="26"/>
      <c r="W309" s="31" t="e">
        <f>INDEX(TBL_LNG_IMPORTERS_CONNECTIONS[LNGImporterConnectionID],$A309)</f>
        <v>#REF!</v>
      </c>
      <c r="X309" s="31" t="e">
        <f>"LNGImporterTariffVar_"&amp;RIGHT($W309,11)</f>
        <v>#REF!</v>
      </c>
    </row>
    <row r="310" spans="1:24" x14ac:dyDescent="0.25">
      <c r="A310" s="94">
        <f t="shared" ref="A310" si="416">$A306+1</f>
        <v>77</v>
      </c>
      <c r="B310" s="115" t="str">
        <f>IFERROR(INDEX(TBL_LNG_IMPORTERS_CONNECTIONS[Name],$A310),"")</f>
        <v/>
      </c>
      <c r="C310" s="93" t="str">
        <f t="shared" ref="C310:D310" si="417">IF($B310&lt;&gt;"",C306,"")</f>
        <v/>
      </c>
      <c r="D310" s="93" t="str">
        <f t="shared" si="417"/>
        <v/>
      </c>
      <c r="E310" s="27"/>
      <c r="F310" s="27"/>
      <c r="G310" s="27"/>
      <c r="H310" s="27"/>
      <c r="I310" s="27"/>
      <c r="J310" s="27"/>
      <c r="K310" s="27"/>
      <c r="L310" s="27"/>
      <c r="M310" s="27"/>
      <c r="N310" s="27"/>
      <c r="O310" s="27"/>
      <c r="P310" s="27"/>
      <c r="Q310" s="27"/>
      <c r="R310" s="27"/>
      <c r="S310" s="27"/>
      <c r="T310" s="27"/>
      <c r="U310" s="27"/>
      <c r="V310" s="25"/>
      <c r="W310" s="31" t="e">
        <f>INDEX(TBL_LNG_IMPORTERS_CONNECTIONS[LNGImporterConnectionID],$A310)</f>
        <v>#REF!</v>
      </c>
      <c r="X310" s="31" t="e">
        <f>"LNGImporterCapMin_"&amp;RIGHT($W310,11)</f>
        <v>#REF!</v>
      </c>
    </row>
    <row r="311" spans="1:24" x14ac:dyDescent="0.25">
      <c r="A311" s="94">
        <f t="shared" ref="A311:A313" si="418">$A310</f>
        <v>77</v>
      </c>
      <c r="B311" s="116"/>
      <c r="C311" s="93" t="str">
        <f t="shared" ref="C311:D311" si="419">IF($B310&lt;&gt;"",C307,"")</f>
        <v/>
      </c>
      <c r="D311" s="93" t="str">
        <f t="shared" si="419"/>
        <v/>
      </c>
      <c r="E311" s="28"/>
      <c r="F311" s="28"/>
      <c r="G311" s="28"/>
      <c r="H311" s="28"/>
      <c r="I311" s="28"/>
      <c r="J311" s="28"/>
      <c r="K311" s="28"/>
      <c r="L311" s="28"/>
      <c r="M311" s="28"/>
      <c r="N311" s="28"/>
      <c r="O311" s="28"/>
      <c r="P311" s="28"/>
      <c r="Q311" s="28"/>
      <c r="R311" s="28"/>
      <c r="S311" s="28"/>
      <c r="T311" s="28"/>
      <c r="U311" s="28"/>
      <c r="V311" s="26"/>
      <c r="W311" s="31" t="e">
        <f>INDEX(TBL_LNG_IMPORTERS_CONNECTIONS[LNGImporterConnectionID],$A311)</f>
        <v>#REF!</v>
      </c>
      <c r="X311" s="31" t="e">
        <f>"LNGImporterCapMax_"&amp;RIGHT($W311,11)</f>
        <v>#REF!</v>
      </c>
    </row>
    <row r="312" spans="1:24" x14ac:dyDescent="0.25">
      <c r="A312" s="94">
        <f t="shared" si="418"/>
        <v>77</v>
      </c>
      <c r="B312" s="116"/>
      <c r="C312" s="93" t="str">
        <f t="shared" ref="C312:D312" si="420">IF($B310&lt;&gt;"",C308,"")</f>
        <v/>
      </c>
      <c r="D312" s="93" t="str">
        <f t="shared" si="420"/>
        <v/>
      </c>
      <c r="E312" s="27"/>
      <c r="F312" s="27"/>
      <c r="G312" s="27"/>
      <c r="H312" s="27"/>
      <c r="I312" s="27"/>
      <c r="J312" s="27"/>
      <c r="K312" s="27"/>
      <c r="L312" s="27"/>
      <c r="M312" s="27"/>
      <c r="N312" s="27"/>
      <c r="O312" s="27"/>
      <c r="P312" s="27"/>
      <c r="Q312" s="27"/>
      <c r="R312" s="27"/>
      <c r="S312" s="27"/>
      <c r="T312" s="27"/>
      <c r="U312" s="27"/>
      <c r="V312" s="25"/>
      <c r="W312" s="31" t="e">
        <f>INDEX(TBL_LNG_IMPORTERS_CONNECTIONS[LNGImporterConnectionID],$A312)</f>
        <v>#REF!</v>
      </c>
      <c r="X312" s="31" t="e">
        <f>"LNGImporterTariffFixed_"&amp;RIGHT($W312,11)</f>
        <v>#REF!</v>
      </c>
    </row>
    <row r="313" spans="1:24" x14ac:dyDescent="0.25">
      <c r="A313" s="94">
        <f t="shared" si="418"/>
        <v>77</v>
      </c>
      <c r="B313" s="117"/>
      <c r="C313" s="93" t="str">
        <f t="shared" ref="C313:D313" si="421">IF($B310&lt;&gt;"",C309,"")</f>
        <v/>
      </c>
      <c r="D313" s="93" t="str">
        <f t="shared" si="421"/>
        <v/>
      </c>
      <c r="E313" s="28"/>
      <c r="F313" s="28"/>
      <c r="G313" s="28"/>
      <c r="H313" s="28"/>
      <c r="I313" s="28"/>
      <c r="J313" s="28"/>
      <c r="K313" s="28"/>
      <c r="L313" s="28"/>
      <c r="M313" s="28"/>
      <c r="N313" s="28"/>
      <c r="O313" s="28"/>
      <c r="P313" s="28"/>
      <c r="Q313" s="28"/>
      <c r="R313" s="28"/>
      <c r="S313" s="28"/>
      <c r="T313" s="28"/>
      <c r="U313" s="28"/>
      <c r="V313" s="26"/>
      <c r="W313" s="31" t="e">
        <f>INDEX(TBL_LNG_IMPORTERS_CONNECTIONS[LNGImporterConnectionID],$A313)</f>
        <v>#REF!</v>
      </c>
      <c r="X313" s="31" t="e">
        <f>"LNGImporterTariffVar_"&amp;RIGHT($W313,11)</f>
        <v>#REF!</v>
      </c>
    </row>
    <row r="314" spans="1:24" x14ac:dyDescent="0.25">
      <c r="A314" s="94">
        <f t="shared" ref="A314" si="422">$A310+1</f>
        <v>78</v>
      </c>
      <c r="B314" s="115" t="str">
        <f>IFERROR(INDEX(TBL_LNG_IMPORTERS_CONNECTIONS[Name],$A314),"")</f>
        <v/>
      </c>
      <c r="C314" s="93" t="str">
        <f t="shared" ref="C314:D314" si="423">IF($B314&lt;&gt;"",C310,"")</f>
        <v/>
      </c>
      <c r="D314" s="93" t="str">
        <f t="shared" si="423"/>
        <v/>
      </c>
      <c r="E314" s="27"/>
      <c r="F314" s="27"/>
      <c r="G314" s="27"/>
      <c r="H314" s="27"/>
      <c r="I314" s="27"/>
      <c r="J314" s="27"/>
      <c r="K314" s="27"/>
      <c r="L314" s="27"/>
      <c r="M314" s="27"/>
      <c r="N314" s="27"/>
      <c r="O314" s="27"/>
      <c r="P314" s="27"/>
      <c r="Q314" s="27"/>
      <c r="R314" s="27"/>
      <c r="S314" s="27"/>
      <c r="T314" s="27"/>
      <c r="U314" s="27"/>
      <c r="V314" s="25"/>
      <c r="W314" s="31" t="e">
        <f>INDEX(TBL_LNG_IMPORTERS_CONNECTIONS[LNGImporterConnectionID],$A314)</f>
        <v>#REF!</v>
      </c>
      <c r="X314" s="31" t="e">
        <f>"LNGImporterCapMin_"&amp;RIGHT($W314,11)</f>
        <v>#REF!</v>
      </c>
    </row>
    <row r="315" spans="1:24" x14ac:dyDescent="0.25">
      <c r="A315" s="94">
        <f t="shared" ref="A315:A317" si="424">$A314</f>
        <v>78</v>
      </c>
      <c r="B315" s="116"/>
      <c r="C315" s="93" t="str">
        <f t="shared" ref="C315:D315" si="425">IF($B314&lt;&gt;"",C311,"")</f>
        <v/>
      </c>
      <c r="D315" s="93" t="str">
        <f t="shared" si="425"/>
        <v/>
      </c>
      <c r="E315" s="28"/>
      <c r="F315" s="28"/>
      <c r="G315" s="28"/>
      <c r="H315" s="28"/>
      <c r="I315" s="28"/>
      <c r="J315" s="28"/>
      <c r="K315" s="28"/>
      <c r="L315" s="28"/>
      <c r="M315" s="28"/>
      <c r="N315" s="28"/>
      <c r="O315" s="28"/>
      <c r="P315" s="28"/>
      <c r="Q315" s="28"/>
      <c r="R315" s="28"/>
      <c r="S315" s="28"/>
      <c r="T315" s="28"/>
      <c r="U315" s="28"/>
      <c r="V315" s="26"/>
      <c r="W315" s="31" t="e">
        <f>INDEX(TBL_LNG_IMPORTERS_CONNECTIONS[LNGImporterConnectionID],$A315)</f>
        <v>#REF!</v>
      </c>
      <c r="X315" s="31" t="e">
        <f>"LNGImporterCapMax_"&amp;RIGHT($W315,11)</f>
        <v>#REF!</v>
      </c>
    </row>
    <row r="316" spans="1:24" x14ac:dyDescent="0.25">
      <c r="A316" s="94">
        <f t="shared" si="424"/>
        <v>78</v>
      </c>
      <c r="B316" s="116"/>
      <c r="C316" s="93" t="str">
        <f t="shared" ref="C316:D316" si="426">IF($B314&lt;&gt;"",C312,"")</f>
        <v/>
      </c>
      <c r="D316" s="93" t="str">
        <f t="shared" si="426"/>
        <v/>
      </c>
      <c r="E316" s="27"/>
      <c r="F316" s="27"/>
      <c r="G316" s="27"/>
      <c r="H316" s="27"/>
      <c r="I316" s="27"/>
      <c r="J316" s="27"/>
      <c r="K316" s="27"/>
      <c r="L316" s="27"/>
      <c r="M316" s="27"/>
      <c r="N316" s="27"/>
      <c r="O316" s="27"/>
      <c r="P316" s="27"/>
      <c r="Q316" s="27"/>
      <c r="R316" s="27"/>
      <c r="S316" s="27"/>
      <c r="T316" s="27"/>
      <c r="U316" s="27"/>
      <c r="V316" s="25"/>
      <c r="W316" s="31" t="e">
        <f>INDEX(TBL_LNG_IMPORTERS_CONNECTIONS[LNGImporterConnectionID],$A316)</f>
        <v>#REF!</v>
      </c>
      <c r="X316" s="31" t="e">
        <f>"LNGImporterTariffFixed_"&amp;RIGHT($W316,11)</f>
        <v>#REF!</v>
      </c>
    </row>
    <row r="317" spans="1:24" x14ac:dyDescent="0.25">
      <c r="A317" s="94">
        <f t="shared" si="424"/>
        <v>78</v>
      </c>
      <c r="B317" s="117"/>
      <c r="C317" s="93" t="str">
        <f t="shared" ref="C317:D317" si="427">IF($B314&lt;&gt;"",C313,"")</f>
        <v/>
      </c>
      <c r="D317" s="93" t="str">
        <f t="shared" si="427"/>
        <v/>
      </c>
      <c r="E317" s="28"/>
      <c r="F317" s="28"/>
      <c r="G317" s="28"/>
      <c r="H317" s="28"/>
      <c r="I317" s="28"/>
      <c r="J317" s="28"/>
      <c r="K317" s="28"/>
      <c r="L317" s="28"/>
      <c r="M317" s="28"/>
      <c r="N317" s="28"/>
      <c r="O317" s="28"/>
      <c r="P317" s="28"/>
      <c r="Q317" s="28"/>
      <c r="R317" s="28"/>
      <c r="S317" s="28"/>
      <c r="T317" s="28"/>
      <c r="U317" s="28"/>
      <c r="V317" s="26"/>
      <c r="W317" s="31" t="e">
        <f>INDEX(TBL_LNG_IMPORTERS_CONNECTIONS[LNGImporterConnectionID],$A317)</f>
        <v>#REF!</v>
      </c>
      <c r="X317" s="31" t="e">
        <f>"LNGImporterTariffVar_"&amp;RIGHT($W317,11)</f>
        <v>#REF!</v>
      </c>
    </row>
    <row r="318" spans="1:24" x14ac:dyDescent="0.25">
      <c r="A318" s="94">
        <f t="shared" ref="A318" si="428">$A314+1</f>
        <v>79</v>
      </c>
      <c r="B318" s="115" t="str">
        <f>IFERROR(INDEX(TBL_LNG_IMPORTERS_CONNECTIONS[Name],$A318),"")</f>
        <v/>
      </c>
      <c r="C318" s="93" t="str">
        <f t="shared" ref="C318:D318" si="429">IF($B318&lt;&gt;"",C314,"")</f>
        <v/>
      </c>
      <c r="D318" s="93" t="str">
        <f t="shared" si="429"/>
        <v/>
      </c>
      <c r="E318" s="27"/>
      <c r="F318" s="27"/>
      <c r="G318" s="27"/>
      <c r="H318" s="27"/>
      <c r="I318" s="27"/>
      <c r="J318" s="27"/>
      <c r="K318" s="27"/>
      <c r="L318" s="27"/>
      <c r="M318" s="27"/>
      <c r="N318" s="27"/>
      <c r="O318" s="27"/>
      <c r="P318" s="27"/>
      <c r="Q318" s="27"/>
      <c r="R318" s="27"/>
      <c r="S318" s="27"/>
      <c r="T318" s="27"/>
      <c r="U318" s="27"/>
      <c r="V318" s="25"/>
      <c r="W318" s="31" t="e">
        <f>INDEX(TBL_LNG_IMPORTERS_CONNECTIONS[LNGImporterConnectionID],$A318)</f>
        <v>#REF!</v>
      </c>
      <c r="X318" s="31" t="e">
        <f>"LNGImporterCapMin_"&amp;RIGHT($W318,11)</f>
        <v>#REF!</v>
      </c>
    </row>
    <row r="319" spans="1:24" x14ac:dyDescent="0.25">
      <c r="A319" s="94">
        <f t="shared" ref="A319:A337" si="430">$A318</f>
        <v>79</v>
      </c>
      <c r="B319" s="116"/>
      <c r="C319" s="93" t="str">
        <f t="shared" ref="C319:D319" si="431">IF($B318&lt;&gt;"",C315,"")</f>
        <v/>
      </c>
      <c r="D319" s="93" t="str">
        <f t="shared" si="431"/>
        <v/>
      </c>
      <c r="E319" s="28"/>
      <c r="F319" s="28"/>
      <c r="G319" s="28"/>
      <c r="H319" s="28"/>
      <c r="I319" s="28"/>
      <c r="J319" s="28"/>
      <c r="K319" s="28"/>
      <c r="L319" s="28"/>
      <c r="M319" s="28"/>
      <c r="N319" s="28"/>
      <c r="O319" s="28"/>
      <c r="P319" s="28"/>
      <c r="Q319" s="28"/>
      <c r="R319" s="28"/>
      <c r="S319" s="28"/>
      <c r="T319" s="28"/>
      <c r="U319" s="28"/>
      <c r="V319" s="26"/>
      <c r="W319" s="31" t="e">
        <f>INDEX(TBL_LNG_IMPORTERS_CONNECTIONS[LNGImporterConnectionID],$A319)</f>
        <v>#REF!</v>
      </c>
      <c r="X319" s="31" t="e">
        <f>"LNGImporterCapMax_"&amp;RIGHT($W319,11)</f>
        <v>#REF!</v>
      </c>
    </row>
    <row r="320" spans="1:24" x14ac:dyDescent="0.25">
      <c r="A320" s="94">
        <f t="shared" si="430"/>
        <v>79</v>
      </c>
      <c r="B320" s="116"/>
      <c r="C320" s="93" t="str">
        <f t="shared" ref="C320:D320" si="432">IF($B318&lt;&gt;"",C316,"")</f>
        <v/>
      </c>
      <c r="D320" s="93" t="str">
        <f t="shared" si="432"/>
        <v/>
      </c>
      <c r="E320" s="27"/>
      <c r="F320" s="27"/>
      <c r="G320" s="27"/>
      <c r="H320" s="27"/>
      <c r="I320" s="27"/>
      <c r="J320" s="27"/>
      <c r="K320" s="27"/>
      <c r="L320" s="27"/>
      <c r="M320" s="27"/>
      <c r="N320" s="27"/>
      <c r="O320" s="27"/>
      <c r="P320" s="27"/>
      <c r="Q320" s="27"/>
      <c r="R320" s="27"/>
      <c r="S320" s="27"/>
      <c r="T320" s="27"/>
      <c r="U320" s="27"/>
      <c r="V320" s="25"/>
      <c r="W320" s="31" t="e">
        <f>INDEX(TBL_LNG_IMPORTERS_CONNECTIONS[LNGImporterConnectionID],$A320)</f>
        <v>#REF!</v>
      </c>
      <c r="X320" s="31" t="e">
        <f>"LNGImporterTariffFixed_"&amp;RIGHT($W320,11)</f>
        <v>#REF!</v>
      </c>
    </row>
    <row r="321" spans="1:24" x14ac:dyDescent="0.25">
      <c r="A321" s="94">
        <f t="shared" si="430"/>
        <v>79</v>
      </c>
      <c r="B321" s="117"/>
      <c r="C321" s="93" t="str">
        <f t="shared" ref="C321:D321" si="433">IF($B318&lt;&gt;"",C317,"")</f>
        <v/>
      </c>
      <c r="D321" s="93" t="str">
        <f t="shared" si="433"/>
        <v/>
      </c>
      <c r="E321" s="28"/>
      <c r="F321" s="28"/>
      <c r="G321" s="28"/>
      <c r="H321" s="28"/>
      <c r="I321" s="28"/>
      <c r="J321" s="28"/>
      <c r="K321" s="28"/>
      <c r="L321" s="28"/>
      <c r="M321" s="28"/>
      <c r="N321" s="28"/>
      <c r="O321" s="28"/>
      <c r="P321" s="28"/>
      <c r="Q321" s="28"/>
      <c r="R321" s="28"/>
      <c r="S321" s="28"/>
      <c r="T321" s="28"/>
      <c r="U321" s="28"/>
      <c r="V321" s="26"/>
      <c r="W321" s="31" t="e">
        <f>INDEX(TBL_LNG_IMPORTERS_CONNECTIONS[LNGImporterConnectionID],$A321)</f>
        <v>#REF!</v>
      </c>
      <c r="X321" s="31" t="e">
        <f>"LNGImporterTariffVar_"&amp;RIGHT($W321,11)</f>
        <v>#REF!</v>
      </c>
    </row>
    <row r="322" spans="1:24" x14ac:dyDescent="0.25">
      <c r="A322" s="94">
        <f t="shared" ref="A322" si="434">$A318+1</f>
        <v>80</v>
      </c>
      <c r="B322" s="115" t="str">
        <f>IFERROR(INDEX(TBL_LNG_IMPORTERS_CONNECTIONS[Name],$A322),"")</f>
        <v/>
      </c>
      <c r="C322" s="93" t="str">
        <f t="shared" ref="C322:D322" si="435">IF($B322&lt;&gt;"",C318,"")</f>
        <v/>
      </c>
      <c r="D322" s="93" t="str">
        <f t="shared" si="435"/>
        <v/>
      </c>
      <c r="E322" s="27"/>
      <c r="F322" s="27"/>
      <c r="G322" s="27"/>
      <c r="H322" s="27"/>
      <c r="I322" s="27"/>
      <c r="J322" s="27"/>
      <c r="K322" s="27"/>
      <c r="L322" s="27"/>
      <c r="M322" s="27"/>
      <c r="N322" s="27"/>
      <c r="O322" s="27"/>
      <c r="P322" s="27"/>
      <c r="Q322" s="27"/>
      <c r="R322" s="27"/>
      <c r="S322" s="27"/>
      <c r="T322" s="27"/>
      <c r="U322" s="27"/>
      <c r="V322" s="25"/>
      <c r="W322" s="31" t="e">
        <f>INDEX(TBL_LNG_IMPORTERS_CONNECTIONS[LNGImporterConnectionID],$A322)</f>
        <v>#REF!</v>
      </c>
      <c r="X322" s="31" t="e">
        <f>"LNGImporterCapMin_"&amp;RIGHT($W322,11)</f>
        <v>#REF!</v>
      </c>
    </row>
    <row r="323" spans="1:24" x14ac:dyDescent="0.25">
      <c r="A323" s="94">
        <f t="shared" si="430"/>
        <v>80</v>
      </c>
      <c r="B323" s="116"/>
      <c r="C323" s="93" t="str">
        <f t="shared" ref="C323:D323" si="436">IF($B322&lt;&gt;"",C319,"")</f>
        <v/>
      </c>
      <c r="D323" s="93" t="str">
        <f t="shared" si="436"/>
        <v/>
      </c>
      <c r="E323" s="28"/>
      <c r="F323" s="28"/>
      <c r="G323" s="28"/>
      <c r="H323" s="28"/>
      <c r="I323" s="28"/>
      <c r="J323" s="28"/>
      <c r="K323" s="28"/>
      <c r="L323" s="28"/>
      <c r="M323" s="28"/>
      <c r="N323" s="28"/>
      <c r="O323" s="28"/>
      <c r="P323" s="28"/>
      <c r="Q323" s="28"/>
      <c r="R323" s="28"/>
      <c r="S323" s="28"/>
      <c r="T323" s="28"/>
      <c r="U323" s="28"/>
      <c r="V323" s="26"/>
      <c r="W323" s="31" t="e">
        <f>INDEX(TBL_LNG_IMPORTERS_CONNECTIONS[LNGImporterConnectionID],$A323)</f>
        <v>#REF!</v>
      </c>
      <c r="X323" s="31" t="e">
        <f>"LNGImporterCapMax_"&amp;RIGHT($W323,11)</f>
        <v>#REF!</v>
      </c>
    </row>
    <row r="324" spans="1:24" x14ac:dyDescent="0.25">
      <c r="A324" s="94">
        <f t="shared" si="430"/>
        <v>80</v>
      </c>
      <c r="B324" s="116"/>
      <c r="C324" s="93" t="str">
        <f t="shared" ref="C324:D324" si="437">IF($B322&lt;&gt;"",C320,"")</f>
        <v/>
      </c>
      <c r="D324" s="93" t="str">
        <f t="shared" si="437"/>
        <v/>
      </c>
      <c r="E324" s="27"/>
      <c r="F324" s="27"/>
      <c r="G324" s="27"/>
      <c r="H324" s="27"/>
      <c r="I324" s="27"/>
      <c r="J324" s="27"/>
      <c r="K324" s="27"/>
      <c r="L324" s="27"/>
      <c r="M324" s="27"/>
      <c r="N324" s="27"/>
      <c r="O324" s="27"/>
      <c r="P324" s="27"/>
      <c r="Q324" s="27"/>
      <c r="R324" s="27"/>
      <c r="S324" s="27"/>
      <c r="T324" s="27"/>
      <c r="U324" s="27"/>
      <c r="V324" s="25"/>
      <c r="W324" s="31" t="e">
        <f>INDEX(TBL_LNG_IMPORTERS_CONNECTIONS[LNGImporterConnectionID],$A324)</f>
        <v>#REF!</v>
      </c>
      <c r="X324" s="31" t="e">
        <f>"LNGImporterTariffFixed_"&amp;RIGHT($W324,11)</f>
        <v>#REF!</v>
      </c>
    </row>
    <row r="325" spans="1:24" x14ac:dyDescent="0.25">
      <c r="A325" s="94">
        <f t="shared" si="430"/>
        <v>80</v>
      </c>
      <c r="B325" s="117"/>
      <c r="C325" s="93" t="str">
        <f t="shared" ref="C325:D325" si="438">IF($B322&lt;&gt;"",C321,"")</f>
        <v/>
      </c>
      <c r="D325" s="93" t="str">
        <f t="shared" si="438"/>
        <v/>
      </c>
      <c r="E325" s="28"/>
      <c r="F325" s="28"/>
      <c r="G325" s="28"/>
      <c r="H325" s="28"/>
      <c r="I325" s="28"/>
      <c r="J325" s="28"/>
      <c r="K325" s="28"/>
      <c r="L325" s="28"/>
      <c r="M325" s="28"/>
      <c r="N325" s="28"/>
      <c r="O325" s="28"/>
      <c r="P325" s="28"/>
      <c r="Q325" s="28"/>
      <c r="R325" s="28"/>
      <c r="S325" s="28"/>
      <c r="T325" s="28"/>
      <c r="U325" s="28"/>
      <c r="V325" s="26"/>
      <c r="W325" s="31" t="e">
        <f>INDEX(TBL_LNG_IMPORTERS_CONNECTIONS[LNGImporterConnectionID],$A325)</f>
        <v>#REF!</v>
      </c>
      <c r="X325" s="31" t="e">
        <f>"LNGImporterTariffVar_"&amp;RIGHT($W325,11)</f>
        <v>#REF!</v>
      </c>
    </row>
    <row r="326" spans="1:24" x14ac:dyDescent="0.25">
      <c r="A326" s="94">
        <f t="shared" ref="A326" si="439">$A322+1</f>
        <v>81</v>
      </c>
      <c r="B326" s="115" t="str">
        <f>IFERROR(INDEX(TBL_LNG_IMPORTERS_CONNECTIONS[Name],$A326),"")</f>
        <v/>
      </c>
      <c r="C326" s="93" t="str">
        <f t="shared" ref="C326:D326" si="440">IF($B326&lt;&gt;"",C322,"")</f>
        <v/>
      </c>
      <c r="D326" s="93" t="str">
        <f t="shared" si="440"/>
        <v/>
      </c>
      <c r="E326" s="27"/>
      <c r="F326" s="27"/>
      <c r="G326" s="27"/>
      <c r="H326" s="27"/>
      <c r="I326" s="27"/>
      <c r="J326" s="27"/>
      <c r="K326" s="27"/>
      <c r="L326" s="27"/>
      <c r="M326" s="27"/>
      <c r="N326" s="27"/>
      <c r="O326" s="27"/>
      <c r="P326" s="27"/>
      <c r="Q326" s="27"/>
      <c r="R326" s="27"/>
      <c r="S326" s="27"/>
      <c r="T326" s="27"/>
      <c r="U326" s="27"/>
      <c r="V326" s="25"/>
      <c r="W326" s="31" t="e">
        <f>INDEX(TBL_LNG_IMPORTERS_CONNECTIONS[LNGImporterConnectionID],$A326)</f>
        <v>#REF!</v>
      </c>
      <c r="X326" s="31" t="e">
        <f>"LNGImporterCapMin_"&amp;RIGHT($W326,11)</f>
        <v>#REF!</v>
      </c>
    </row>
    <row r="327" spans="1:24" x14ac:dyDescent="0.25">
      <c r="A327" s="94">
        <f t="shared" si="430"/>
        <v>81</v>
      </c>
      <c r="B327" s="116"/>
      <c r="C327" s="93" t="str">
        <f t="shared" ref="C327:D327" si="441">IF($B326&lt;&gt;"",C323,"")</f>
        <v/>
      </c>
      <c r="D327" s="93" t="str">
        <f t="shared" si="441"/>
        <v/>
      </c>
      <c r="E327" s="28"/>
      <c r="F327" s="28"/>
      <c r="G327" s="28"/>
      <c r="H327" s="28"/>
      <c r="I327" s="28"/>
      <c r="J327" s="28"/>
      <c r="K327" s="28"/>
      <c r="L327" s="28"/>
      <c r="M327" s="28"/>
      <c r="N327" s="28"/>
      <c r="O327" s="28"/>
      <c r="P327" s="28"/>
      <c r="Q327" s="28"/>
      <c r="R327" s="28"/>
      <c r="S327" s="28"/>
      <c r="T327" s="28"/>
      <c r="U327" s="28"/>
      <c r="V327" s="26"/>
      <c r="W327" s="31" t="e">
        <f>INDEX(TBL_LNG_IMPORTERS_CONNECTIONS[LNGImporterConnectionID],$A327)</f>
        <v>#REF!</v>
      </c>
      <c r="X327" s="31" t="e">
        <f>"LNGImporterCapMax_"&amp;RIGHT($W327,11)</f>
        <v>#REF!</v>
      </c>
    </row>
    <row r="328" spans="1:24" x14ac:dyDescent="0.25">
      <c r="A328" s="94">
        <f t="shared" si="430"/>
        <v>81</v>
      </c>
      <c r="B328" s="116"/>
      <c r="C328" s="93" t="str">
        <f t="shared" ref="C328:D328" si="442">IF($B326&lt;&gt;"",C324,"")</f>
        <v/>
      </c>
      <c r="D328" s="93" t="str">
        <f t="shared" si="442"/>
        <v/>
      </c>
      <c r="E328" s="27"/>
      <c r="F328" s="27"/>
      <c r="G328" s="27"/>
      <c r="H328" s="27"/>
      <c r="I328" s="27"/>
      <c r="J328" s="27"/>
      <c r="K328" s="27"/>
      <c r="L328" s="27"/>
      <c r="M328" s="27"/>
      <c r="N328" s="27"/>
      <c r="O328" s="27"/>
      <c r="P328" s="27"/>
      <c r="Q328" s="27"/>
      <c r="R328" s="27"/>
      <c r="S328" s="27"/>
      <c r="T328" s="27"/>
      <c r="U328" s="27"/>
      <c r="V328" s="25"/>
      <c r="W328" s="31" t="e">
        <f>INDEX(TBL_LNG_IMPORTERS_CONNECTIONS[LNGImporterConnectionID],$A328)</f>
        <v>#REF!</v>
      </c>
      <c r="X328" s="31" t="e">
        <f>"LNGImporterTariffFixed_"&amp;RIGHT($W328,11)</f>
        <v>#REF!</v>
      </c>
    </row>
    <row r="329" spans="1:24" x14ac:dyDescent="0.25">
      <c r="A329" s="94">
        <f t="shared" si="430"/>
        <v>81</v>
      </c>
      <c r="B329" s="117"/>
      <c r="C329" s="93" t="str">
        <f t="shared" ref="C329:D329" si="443">IF($B326&lt;&gt;"",C325,"")</f>
        <v/>
      </c>
      <c r="D329" s="93" t="str">
        <f t="shared" si="443"/>
        <v/>
      </c>
      <c r="E329" s="28"/>
      <c r="F329" s="28"/>
      <c r="G329" s="28"/>
      <c r="H329" s="28"/>
      <c r="I329" s="28"/>
      <c r="J329" s="28"/>
      <c r="K329" s="28"/>
      <c r="L329" s="28"/>
      <c r="M329" s="28"/>
      <c r="N329" s="28"/>
      <c r="O329" s="28"/>
      <c r="P329" s="28"/>
      <c r="Q329" s="28"/>
      <c r="R329" s="28"/>
      <c r="S329" s="28"/>
      <c r="T329" s="28"/>
      <c r="U329" s="28"/>
      <c r="V329" s="26"/>
      <c r="W329" s="31" t="e">
        <f>INDEX(TBL_LNG_IMPORTERS_CONNECTIONS[LNGImporterConnectionID],$A329)</f>
        <v>#REF!</v>
      </c>
      <c r="X329" s="31" t="e">
        <f>"LNGImporterTariffVar_"&amp;RIGHT($W329,11)</f>
        <v>#REF!</v>
      </c>
    </row>
    <row r="330" spans="1:24" x14ac:dyDescent="0.25">
      <c r="A330" s="94">
        <f t="shared" ref="A330" si="444">$A326+1</f>
        <v>82</v>
      </c>
      <c r="B330" s="115" t="str">
        <f>IFERROR(INDEX(TBL_LNG_IMPORTERS_CONNECTIONS[Name],$A330),"")</f>
        <v/>
      </c>
      <c r="C330" s="93" t="str">
        <f t="shared" ref="C330:D330" si="445">IF($B330&lt;&gt;"",C326,"")</f>
        <v/>
      </c>
      <c r="D330" s="93" t="str">
        <f t="shared" si="445"/>
        <v/>
      </c>
      <c r="E330" s="27"/>
      <c r="F330" s="27"/>
      <c r="G330" s="27"/>
      <c r="H330" s="27"/>
      <c r="I330" s="27"/>
      <c r="J330" s="27"/>
      <c r="K330" s="27"/>
      <c r="L330" s="27"/>
      <c r="M330" s="27"/>
      <c r="N330" s="27"/>
      <c r="O330" s="27"/>
      <c r="P330" s="27"/>
      <c r="Q330" s="27"/>
      <c r="R330" s="27"/>
      <c r="S330" s="27"/>
      <c r="T330" s="27"/>
      <c r="U330" s="27"/>
      <c r="V330" s="25"/>
      <c r="W330" s="31" t="e">
        <f>INDEX(TBL_LNG_IMPORTERS_CONNECTIONS[LNGImporterConnectionID],$A330)</f>
        <v>#REF!</v>
      </c>
      <c r="X330" s="31" t="e">
        <f>"LNGImporterCapMin_"&amp;RIGHT($W330,11)</f>
        <v>#REF!</v>
      </c>
    </row>
    <row r="331" spans="1:24" x14ac:dyDescent="0.25">
      <c r="A331" s="94">
        <f t="shared" si="430"/>
        <v>82</v>
      </c>
      <c r="B331" s="116"/>
      <c r="C331" s="93" t="str">
        <f t="shared" ref="C331:D331" si="446">IF($B330&lt;&gt;"",C327,"")</f>
        <v/>
      </c>
      <c r="D331" s="93" t="str">
        <f t="shared" si="446"/>
        <v/>
      </c>
      <c r="E331" s="28"/>
      <c r="F331" s="28"/>
      <c r="G331" s="28"/>
      <c r="H331" s="28"/>
      <c r="I331" s="28"/>
      <c r="J331" s="28"/>
      <c r="K331" s="28"/>
      <c r="L331" s="28"/>
      <c r="M331" s="28"/>
      <c r="N331" s="28"/>
      <c r="O331" s="28"/>
      <c r="P331" s="28"/>
      <c r="Q331" s="28"/>
      <c r="R331" s="28"/>
      <c r="S331" s="28"/>
      <c r="T331" s="28"/>
      <c r="U331" s="28"/>
      <c r="V331" s="26"/>
      <c r="W331" s="31" t="e">
        <f>INDEX(TBL_LNG_IMPORTERS_CONNECTIONS[LNGImporterConnectionID],$A331)</f>
        <v>#REF!</v>
      </c>
      <c r="X331" s="31" t="e">
        <f>"LNGImporterCapMax_"&amp;RIGHT($W331,11)</f>
        <v>#REF!</v>
      </c>
    </row>
    <row r="332" spans="1:24" x14ac:dyDescent="0.25">
      <c r="A332" s="94">
        <f t="shared" si="430"/>
        <v>82</v>
      </c>
      <c r="B332" s="116"/>
      <c r="C332" s="93" t="str">
        <f t="shared" ref="C332:D332" si="447">IF($B330&lt;&gt;"",C328,"")</f>
        <v/>
      </c>
      <c r="D332" s="93" t="str">
        <f t="shared" si="447"/>
        <v/>
      </c>
      <c r="E332" s="27"/>
      <c r="F332" s="27"/>
      <c r="G332" s="27"/>
      <c r="H332" s="27"/>
      <c r="I332" s="27"/>
      <c r="J332" s="27"/>
      <c r="K332" s="27"/>
      <c r="L332" s="27"/>
      <c r="M332" s="27"/>
      <c r="N332" s="27"/>
      <c r="O332" s="27"/>
      <c r="P332" s="27"/>
      <c r="Q332" s="27"/>
      <c r="R332" s="27"/>
      <c r="S332" s="27"/>
      <c r="T332" s="27"/>
      <c r="U332" s="27"/>
      <c r="V332" s="25"/>
      <c r="W332" s="31" t="e">
        <f>INDEX(TBL_LNG_IMPORTERS_CONNECTIONS[LNGImporterConnectionID],$A332)</f>
        <v>#REF!</v>
      </c>
      <c r="X332" s="31" t="e">
        <f>"LNGImporterTariffFixed_"&amp;RIGHT($W332,11)</f>
        <v>#REF!</v>
      </c>
    </row>
    <row r="333" spans="1:24" x14ac:dyDescent="0.25">
      <c r="A333" s="94">
        <f t="shared" si="430"/>
        <v>82</v>
      </c>
      <c r="B333" s="117"/>
      <c r="C333" s="93" t="str">
        <f t="shared" ref="C333:D333" si="448">IF($B330&lt;&gt;"",C329,"")</f>
        <v/>
      </c>
      <c r="D333" s="93" t="str">
        <f t="shared" si="448"/>
        <v/>
      </c>
      <c r="E333" s="28"/>
      <c r="F333" s="28"/>
      <c r="G333" s="28"/>
      <c r="H333" s="28"/>
      <c r="I333" s="28"/>
      <c r="J333" s="28"/>
      <c r="K333" s="28"/>
      <c r="L333" s="28"/>
      <c r="M333" s="28"/>
      <c r="N333" s="28"/>
      <c r="O333" s="28"/>
      <c r="P333" s="28"/>
      <c r="Q333" s="28"/>
      <c r="R333" s="28"/>
      <c r="S333" s="28"/>
      <c r="T333" s="28"/>
      <c r="U333" s="28"/>
      <c r="V333" s="26"/>
      <c r="W333" s="31" t="e">
        <f>INDEX(TBL_LNG_IMPORTERS_CONNECTIONS[LNGImporterConnectionID],$A333)</f>
        <v>#REF!</v>
      </c>
      <c r="X333" s="31" t="e">
        <f>"LNGImporterTariffVar_"&amp;RIGHT($W333,11)</f>
        <v>#REF!</v>
      </c>
    </row>
    <row r="334" spans="1:24" x14ac:dyDescent="0.25">
      <c r="A334" s="94">
        <f t="shared" ref="A334" si="449">$A330+1</f>
        <v>83</v>
      </c>
      <c r="B334" s="115" t="str">
        <f>IFERROR(INDEX(TBL_LNG_IMPORTERS_CONNECTIONS[Name],$A334),"")</f>
        <v/>
      </c>
      <c r="C334" s="93" t="str">
        <f t="shared" ref="C334:D334" si="450">IF($B334&lt;&gt;"",C330,"")</f>
        <v/>
      </c>
      <c r="D334" s="93" t="str">
        <f t="shared" si="450"/>
        <v/>
      </c>
      <c r="E334" s="27"/>
      <c r="F334" s="27"/>
      <c r="G334" s="27"/>
      <c r="H334" s="27"/>
      <c r="I334" s="27"/>
      <c r="J334" s="27"/>
      <c r="K334" s="27"/>
      <c r="L334" s="27"/>
      <c r="M334" s="27"/>
      <c r="N334" s="27"/>
      <c r="O334" s="27"/>
      <c r="P334" s="27"/>
      <c r="Q334" s="27"/>
      <c r="R334" s="27"/>
      <c r="S334" s="27"/>
      <c r="T334" s="27"/>
      <c r="U334" s="27"/>
      <c r="V334" s="25"/>
      <c r="W334" s="31" t="e">
        <f>INDEX(TBL_LNG_IMPORTERS_CONNECTIONS[LNGImporterConnectionID],$A334)</f>
        <v>#REF!</v>
      </c>
      <c r="X334" s="31" t="e">
        <f>"LNGImporterCapMin_"&amp;RIGHT($W334,11)</f>
        <v>#REF!</v>
      </c>
    </row>
    <row r="335" spans="1:24" x14ac:dyDescent="0.25">
      <c r="A335" s="94">
        <f t="shared" si="430"/>
        <v>83</v>
      </c>
      <c r="B335" s="116"/>
      <c r="C335" s="93" t="str">
        <f t="shared" ref="C335:D335" si="451">IF($B334&lt;&gt;"",C331,"")</f>
        <v/>
      </c>
      <c r="D335" s="93" t="str">
        <f t="shared" si="451"/>
        <v/>
      </c>
      <c r="E335" s="28"/>
      <c r="F335" s="28"/>
      <c r="G335" s="28"/>
      <c r="H335" s="28"/>
      <c r="I335" s="28"/>
      <c r="J335" s="28"/>
      <c r="K335" s="28"/>
      <c r="L335" s="28"/>
      <c r="M335" s="28"/>
      <c r="N335" s="28"/>
      <c r="O335" s="28"/>
      <c r="P335" s="28"/>
      <c r="Q335" s="28"/>
      <c r="R335" s="28"/>
      <c r="S335" s="28"/>
      <c r="T335" s="28"/>
      <c r="U335" s="28"/>
      <c r="V335" s="26"/>
      <c r="W335" s="31" t="e">
        <f>INDEX(TBL_LNG_IMPORTERS_CONNECTIONS[LNGImporterConnectionID],$A335)</f>
        <v>#REF!</v>
      </c>
      <c r="X335" s="31" t="e">
        <f>"LNGImporterCapMax_"&amp;RIGHT($W335,11)</f>
        <v>#REF!</v>
      </c>
    </row>
    <row r="336" spans="1:24" x14ac:dyDescent="0.25">
      <c r="A336" s="94">
        <f t="shared" si="430"/>
        <v>83</v>
      </c>
      <c r="B336" s="116"/>
      <c r="C336" s="93" t="str">
        <f t="shared" ref="C336:D336" si="452">IF($B334&lt;&gt;"",C332,"")</f>
        <v/>
      </c>
      <c r="D336" s="93" t="str">
        <f t="shared" si="452"/>
        <v/>
      </c>
      <c r="E336" s="27"/>
      <c r="F336" s="27"/>
      <c r="G336" s="27"/>
      <c r="H336" s="27"/>
      <c r="I336" s="27"/>
      <c r="J336" s="27"/>
      <c r="K336" s="27"/>
      <c r="L336" s="27"/>
      <c r="M336" s="27"/>
      <c r="N336" s="27"/>
      <c r="O336" s="27"/>
      <c r="P336" s="27"/>
      <c r="Q336" s="27"/>
      <c r="R336" s="27"/>
      <c r="S336" s="27"/>
      <c r="T336" s="27"/>
      <c r="U336" s="27"/>
      <c r="V336" s="25"/>
      <c r="W336" s="31" t="e">
        <f>INDEX(TBL_LNG_IMPORTERS_CONNECTIONS[LNGImporterConnectionID],$A336)</f>
        <v>#REF!</v>
      </c>
      <c r="X336" s="31" t="e">
        <f>"LNGImporterTariffFixed_"&amp;RIGHT($W336,11)</f>
        <v>#REF!</v>
      </c>
    </row>
    <row r="337" spans="1:24" x14ac:dyDescent="0.25">
      <c r="A337" s="94">
        <f t="shared" si="430"/>
        <v>83</v>
      </c>
      <c r="B337" s="117"/>
      <c r="C337" s="93" t="str">
        <f t="shared" ref="C337:D337" si="453">IF($B334&lt;&gt;"",C333,"")</f>
        <v/>
      </c>
      <c r="D337" s="93" t="str">
        <f t="shared" si="453"/>
        <v/>
      </c>
      <c r="E337" s="28"/>
      <c r="F337" s="28"/>
      <c r="G337" s="28"/>
      <c r="H337" s="28"/>
      <c r="I337" s="28"/>
      <c r="J337" s="28"/>
      <c r="K337" s="28"/>
      <c r="L337" s="28"/>
      <c r="M337" s="28"/>
      <c r="N337" s="28"/>
      <c r="O337" s="28"/>
      <c r="P337" s="28"/>
      <c r="Q337" s="28"/>
      <c r="R337" s="28"/>
      <c r="S337" s="28"/>
      <c r="T337" s="28"/>
      <c r="U337" s="28"/>
      <c r="V337" s="26"/>
      <c r="W337" s="31" t="e">
        <f>INDEX(TBL_LNG_IMPORTERS_CONNECTIONS[LNGImporterConnectionID],$A337)</f>
        <v>#REF!</v>
      </c>
      <c r="X337" s="31" t="e">
        <f>"LNGImporterTariffVar_"&amp;RIGHT($W337,11)</f>
        <v>#REF!</v>
      </c>
    </row>
    <row r="338" spans="1:24" x14ac:dyDescent="0.25">
      <c r="A338" s="94">
        <f t="shared" ref="A338" si="454">$A334+1</f>
        <v>84</v>
      </c>
      <c r="B338" s="115" t="str">
        <f>IFERROR(INDEX(TBL_LNG_IMPORTERS_CONNECTIONS[Name],$A338),"")</f>
        <v/>
      </c>
      <c r="C338" s="93" t="str">
        <f t="shared" ref="C338:D338" si="455">IF($B338&lt;&gt;"",C334,"")</f>
        <v/>
      </c>
      <c r="D338" s="93" t="str">
        <f t="shared" si="455"/>
        <v/>
      </c>
      <c r="E338" s="27"/>
      <c r="F338" s="27"/>
      <c r="G338" s="27"/>
      <c r="H338" s="27"/>
      <c r="I338" s="27"/>
      <c r="J338" s="27"/>
      <c r="K338" s="27"/>
      <c r="L338" s="27"/>
      <c r="M338" s="27"/>
      <c r="N338" s="27"/>
      <c r="O338" s="27"/>
      <c r="P338" s="27"/>
      <c r="Q338" s="27"/>
      <c r="R338" s="27"/>
      <c r="S338" s="27"/>
      <c r="T338" s="27"/>
      <c r="U338" s="27"/>
      <c r="V338" s="25"/>
      <c r="W338" s="31" t="e">
        <f>INDEX(TBL_LNG_IMPORTERS_CONNECTIONS[LNGImporterConnectionID],$A338)</f>
        <v>#REF!</v>
      </c>
      <c r="X338" s="31" t="e">
        <f>"LNGImporterCapMin_"&amp;RIGHT($W338,11)</f>
        <v>#REF!</v>
      </c>
    </row>
    <row r="339" spans="1:24" x14ac:dyDescent="0.25">
      <c r="A339" s="94">
        <f t="shared" ref="A339:A341" si="456">$A338</f>
        <v>84</v>
      </c>
      <c r="B339" s="116"/>
      <c r="C339" s="93" t="str">
        <f t="shared" ref="C339:D339" si="457">IF($B338&lt;&gt;"",C335,"")</f>
        <v/>
      </c>
      <c r="D339" s="93" t="str">
        <f t="shared" si="457"/>
        <v/>
      </c>
      <c r="E339" s="28"/>
      <c r="F339" s="28"/>
      <c r="G339" s="28"/>
      <c r="H339" s="28"/>
      <c r="I339" s="28"/>
      <c r="J339" s="28"/>
      <c r="K339" s="28"/>
      <c r="L339" s="28"/>
      <c r="M339" s="28"/>
      <c r="N339" s="28"/>
      <c r="O339" s="28"/>
      <c r="P339" s="28"/>
      <c r="Q339" s="28"/>
      <c r="R339" s="28"/>
      <c r="S339" s="28"/>
      <c r="T339" s="28"/>
      <c r="U339" s="28"/>
      <c r="V339" s="26"/>
      <c r="W339" s="31" t="e">
        <f>INDEX(TBL_LNG_IMPORTERS_CONNECTIONS[LNGImporterConnectionID],$A339)</f>
        <v>#REF!</v>
      </c>
      <c r="X339" s="31" t="e">
        <f>"LNGImporterCapMax_"&amp;RIGHT($W339,11)</f>
        <v>#REF!</v>
      </c>
    </row>
    <row r="340" spans="1:24" x14ac:dyDescent="0.25">
      <c r="A340" s="94">
        <f t="shared" si="456"/>
        <v>84</v>
      </c>
      <c r="B340" s="116"/>
      <c r="C340" s="93" t="str">
        <f t="shared" ref="C340:D340" si="458">IF($B338&lt;&gt;"",C336,"")</f>
        <v/>
      </c>
      <c r="D340" s="93" t="str">
        <f t="shared" si="458"/>
        <v/>
      </c>
      <c r="E340" s="27"/>
      <c r="F340" s="27"/>
      <c r="G340" s="27"/>
      <c r="H340" s="27"/>
      <c r="I340" s="27"/>
      <c r="J340" s="27"/>
      <c r="K340" s="27"/>
      <c r="L340" s="27"/>
      <c r="M340" s="27"/>
      <c r="N340" s="27"/>
      <c r="O340" s="27"/>
      <c r="P340" s="27"/>
      <c r="Q340" s="27"/>
      <c r="R340" s="27"/>
      <c r="S340" s="27"/>
      <c r="T340" s="27"/>
      <c r="U340" s="27"/>
      <c r="V340" s="25"/>
      <c r="W340" s="31" t="e">
        <f>INDEX(TBL_LNG_IMPORTERS_CONNECTIONS[LNGImporterConnectionID],$A340)</f>
        <v>#REF!</v>
      </c>
      <c r="X340" s="31" t="e">
        <f>"LNGImporterTariffFixed_"&amp;RIGHT($W340,11)</f>
        <v>#REF!</v>
      </c>
    </row>
    <row r="341" spans="1:24" x14ac:dyDescent="0.25">
      <c r="A341" s="94">
        <f t="shared" si="456"/>
        <v>84</v>
      </c>
      <c r="B341" s="117"/>
      <c r="C341" s="93" t="str">
        <f t="shared" ref="C341:D341" si="459">IF($B338&lt;&gt;"",C337,"")</f>
        <v/>
      </c>
      <c r="D341" s="93" t="str">
        <f t="shared" si="459"/>
        <v/>
      </c>
      <c r="E341" s="28"/>
      <c r="F341" s="28"/>
      <c r="G341" s="28"/>
      <c r="H341" s="28"/>
      <c r="I341" s="28"/>
      <c r="J341" s="28"/>
      <c r="K341" s="28"/>
      <c r="L341" s="28"/>
      <c r="M341" s="28"/>
      <c r="N341" s="28"/>
      <c r="O341" s="28"/>
      <c r="P341" s="28"/>
      <c r="Q341" s="28"/>
      <c r="R341" s="28"/>
      <c r="S341" s="28"/>
      <c r="T341" s="28"/>
      <c r="U341" s="28"/>
      <c r="V341" s="26"/>
      <c r="W341" s="31" t="e">
        <f>INDEX(TBL_LNG_IMPORTERS_CONNECTIONS[LNGImporterConnectionID],$A341)</f>
        <v>#REF!</v>
      </c>
      <c r="X341" s="31" t="e">
        <f>"LNGImporterTariffVar_"&amp;RIGHT($W341,11)</f>
        <v>#REF!</v>
      </c>
    </row>
    <row r="342" spans="1:24" x14ac:dyDescent="0.25">
      <c r="A342" s="94">
        <f t="shared" ref="A342" si="460">$A338+1</f>
        <v>85</v>
      </c>
      <c r="B342" s="115" t="str">
        <f>IFERROR(INDEX(TBL_LNG_IMPORTERS_CONNECTIONS[Name],$A342),"")</f>
        <v/>
      </c>
      <c r="C342" s="93" t="str">
        <f t="shared" ref="C342:D342" si="461">IF($B342&lt;&gt;"",C338,"")</f>
        <v/>
      </c>
      <c r="D342" s="93" t="str">
        <f t="shared" si="461"/>
        <v/>
      </c>
      <c r="E342" s="27"/>
      <c r="F342" s="27"/>
      <c r="G342" s="27"/>
      <c r="H342" s="27"/>
      <c r="I342" s="27"/>
      <c r="J342" s="27"/>
      <c r="K342" s="27"/>
      <c r="L342" s="27"/>
      <c r="M342" s="27"/>
      <c r="N342" s="27"/>
      <c r="O342" s="27"/>
      <c r="P342" s="27"/>
      <c r="Q342" s="27"/>
      <c r="R342" s="27"/>
      <c r="S342" s="27"/>
      <c r="T342" s="27"/>
      <c r="U342" s="27"/>
      <c r="V342" s="25"/>
      <c r="W342" s="31" t="e">
        <f>INDEX(TBL_LNG_IMPORTERS_CONNECTIONS[LNGImporterConnectionID],$A342)</f>
        <v>#REF!</v>
      </c>
      <c r="X342" s="31" t="e">
        <f>"LNGImporterCapMin_"&amp;RIGHT($W342,11)</f>
        <v>#REF!</v>
      </c>
    </row>
    <row r="343" spans="1:24" x14ac:dyDescent="0.25">
      <c r="A343" s="94">
        <f t="shared" ref="A343:A345" si="462">$A342</f>
        <v>85</v>
      </c>
      <c r="B343" s="116"/>
      <c r="C343" s="93" t="str">
        <f t="shared" ref="C343:D343" si="463">IF($B342&lt;&gt;"",C339,"")</f>
        <v/>
      </c>
      <c r="D343" s="93" t="str">
        <f t="shared" si="463"/>
        <v/>
      </c>
      <c r="E343" s="28"/>
      <c r="F343" s="28"/>
      <c r="G343" s="28"/>
      <c r="H343" s="28"/>
      <c r="I343" s="28"/>
      <c r="J343" s="28"/>
      <c r="K343" s="28"/>
      <c r="L343" s="28"/>
      <c r="M343" s="28"/>
      <c r="N343" s="28"/>
      <c r="O343" s="28"/>
      <c r="P343" s="28"/>
      <c r="Q343" s="28"/>
      <c r="R343" s="28"/>
      <c r="S343" s="28"/>
      <c r="T343" s="28"/>
      <c r="U343" s="28"/>
      <c r="V343" s="26"/>
      <c r="W343" s="31" t="e">
        <f>INDEX(TBL_LNG_IMPORTERS_CONNECTIONS[LNGImporterConnectionID],$A343)</f>
        <v>#REF!</v>
      </c>
      <c r="X343" s="31" t="e">
        <f>"LNGImporterCapMax_"&amp;RIGHT($W343,11)</f>
        <v>#REF!</v>
      </c>
    </row>
    <row r="344" spans="1:24" x14ac:dyDescent="0.25">
      <c r="A344" s="94">
        <f t="shared" si="462"/>
        <v>85</v>
      </c>
      <c r="B344" s="116"/>
      <c r="C344" s="93" t="str">
        <f t="shared" ref="C344:D344" si="464">IF($B342&lt;&gt;"",C340,"")</f>
        <v/>
      </c>
      <c r="D344" s="93" t="str">
        <f t="shared" si="464"/>
        <v/>
      </c>
      <c r="E344" s="27"/>
      <c r="F344" s="27"/>
      <c r="G344" s="27"/>
      <c r="H344" s="27"/>
      <c r="I344" s="27"/>
      <c r="J344" s="27"/>
      <c r="K344" s="27"/>
      <c r="L344" s="27"/>
      <c r="M344" s="27"/>
      <c r="N344" s="27"/>
      <c r="O344" s="27"/>
      <c r="P344" s="27"/>
      <c r="Q344" s="27"/>
      <c r="R344" s="27"/>
      <c r="S344" s="27"/>
      <c r="T344" s="27"/>
      <c r="U344" s="27"/>
      <c r="V344" s="25"/>
      <c r="W344" s="31" t="e">
        <f>INDEX(TBL_LNG_IMPORTERS_CONNECTIONS[LNGImporterConnectionID],$A344)</f>
        <v>#REF!</v>
      </c>
      <c r="X344" s="31" t="e">
        <f>"LNGImporterTariffFixed_"&amp;RIGHT($W344,11)</f>
        <v>#REF!</v>
      </c>
    </row>
    <row r="345" spans="1:24" x14ac:dyDescent="0.25">
      <c r="A345" s="94">
        <f t="shared" si="462"/>
        <v>85</v>
      </c>
      <c r="B345" s="117"/>
      <c r="C345" s="93" t="str">
        <f t="shared" ref="C345:D345" si="465">IF($B342&lt;&gt;"",C341,"")</f>
        <v/>
      </c>
      <c r="D345" s="93" t="str">
        <f t="shared" si="465"/>
        <v/>
      </c>
      <c r="E345" s="28"/>
      <c r="F345" s="28"/>
      <c r="G345" s="28"/>
      <c r="H345" s="28"/>
      <c r="I345" s="28"/>
      <c r="J345" s="28"/>
      <c r="K345" s="28"/>
      <c r="L345" s="28"/>
      <c r="M345" s="28"/>
      <c r="N345" s="28"/>
      <c r="O345" s="28"/>
      <c r="P345" s="28"/>
      <c r="Q345" s="28"/>
      <c r="R345" s="28"/>
      <c r="S345" s="28"/>
      <c r="T345" s="28"/>
      <c r="U345" s="28"/>
      <c r="V345" s="26"/>
      <c r="W345" s="31" t="e">
        <f>INDEX(TBL_LNG_IMPORTERS_CONNECTIONS[LNGImporterConnectionID],$A345)</f>
        <v>#REF!</v>
      </c>
      <c r="X345" s="31" t="e">
        <f>"LNGImporterTariffVar_"&amp;RIGHT($W345,11)</f>
        <v>#REF!</v>
      </c>
    </row>
    <row r="346" spans="1:24" x14ac:dyDescent="0.25">
      <c r="A346" s="94">
        <f t="shared" ref="A346" si="466">$A342+1</f>
        <v>86</v>
      </c>
      <c r="B346" s="115" t="str">
        <f>IFERROR(INDEX(TBL_LNG_IMPORTERS_CONNECTIONS[Name],$A346),"")</f>
        <v/>
      </c>
      <c r="C346" s="93" t="str">
        <f t="shared" ref="C346:D346" si="467">IF($B346&lt;&gt;"",C342,"")</f>
        <v/>
      </c>
      <c r="D346" s="93" t="str">
        <f t="shared" si="467"/>
        <v/>
      </c>
      <c r="E346" s="27"/>
      <c r="F346" s="27"/>
      <c r="G346" s="27"/>
      <c r="H346" s="27"/>
      <c r="I346" s="27"/>
      <c r="J346" s="27"/>
      <c r="K346" s="27"/>
      <c r="L346" s="27"/>
      <c r="M346" s="27"/>
      <c r="N346" s="27"/>
      <c r="O346" s="27"/>
      <c r="P346" s="27"/>
      <c r="Q346" s="27"/>
      <c r="R346" s="27"/>
      <c r="S346" s="27"/>
      <c r="T346" s="27"/>
      <c r="U346" s="27"/>
      <c r="V346" s="25"/>
      <c r="W346" s="31" t="e">
        <f>INDEX(TBL_LNG_IMPORTERS_CONNECTIONS[LNGImporterConnectionID],$A346)</f>
        <v>#REF!</v>
      </c>
      <c r="X346" s="31" t="e">
        <f>"LNGImporterCapMin_"&amp;RIGHT($W346,11)</f>
        <v>#REF!</v>
      </c>
    </row>
    <row r="347" spans="1:24" x14ac:dyDescent="0.25">
      <c r="A347" s="94">
        <f t="shared" ref="A347:A349" si="468">$A346</f>
        <v>86</v>
      </c>
      <c r="B347" s="116"/>
      <c r="C347" s="93" t="str">
        <f t="shared" ref="C347:D347" si="469">IF($B346&lt;&gt;"",C343,"")</f>
        <v/>
      </c>
      <c r="D347" s="93" t="str">
        <f t="shared" si="469"/>
        <v/>
      </c>
      <c r="E347" s="28"/>
      <c r="F347" s="28"/>
      <c r="G347" s="28"/>
      <c r="H347" s="28"/>
      <c r="I347" s="28"/>
      <c r="J347" s="28"/>
      <c r="K347" s="28"/>
      <c r="L347" s="28"/>
      <c r="M347" s="28"/>
      <c r="N347" s="28"/>
      <c r="O347" s="28"/>
      <c r="P347" s="28"/>
      <c r="Q347" s="28"/>
      <c r="R347" s="28"/>
      <c r="S347" s="28"/>
      <c r="T347" s="28"/>
      <c r="U347" s="28"/>
      <c r="V347" s="26"/>
      <c r="W347" s="31" t="e">
        <f>INDEX(TBL_LNG_IMPORTERS_CONNECTIONS[LNGImporterConnectionID],$A347)</f>
        <v>#REF!</v>
      </c>
      <c r="X347" s="31" t="e">
        <f>"LNGImporterCapMax_"&amp;RIGHT($W347,11)</f>
        <v>#REF!</v>
      </c>
    </row>
    <row r="348" spans="1:24" x14ac:dyDescent="0.25">
      <c r="A348" s="94">
        <f t="shared" si="468"/>
        <v>86</v>
      </c>
      <c r="B348" s="116"/>
      <c r="C348" s="93" t="str">
        <f t="shared" ref="C348:D348" si="470">IF($B346&lt;&gt;"",C344,"")</f>
        <v/>
      </c>
      <c r="D348" s="93" t="str">
        <f t="shared" si="470"/>
        <v/>
      </c>
      <c r="E348" s="27"/>
      <c r="F348" s="27"/>
      <c r="G348" s="27"/>
      <c r="H348" s="27"/>
      <c r="I348" s="27"/>
      <c r="J348" s="27"/>
      <c r="K348" s="27"/>
      <c r="L348" s="27"/>
      <c r="M348" s="27"/>
      <c r="N348" s="27"/>
      <c r="O348" s="27"/>
      <c r="P348" s="27"/>
      <c r="Q348" s="27"/>
      <c r="R348" s="27"/>
      <c r="S348" s="27"/>
      <c r="T348" s="27"/>
      <c r="U348" s="27"/>
      <c r="V348" s="25"/>
      <c r="W348" s="31" t="e">
        <f>INDEX(TBL_LNG_IMPORTERS_CONNECTIONS[LNGImporterConnectionID],$A348)</f>
        <v>#REF!</v>
      </c>
      <c r="X348" s="31" t="e">
        <f>"LNGImporterTariffFixed_"&amp;RIGHT($W348,11)</f>
        <v>#REF!</v>
      </c>
    </row>
    <row r="349" spans="1:24" x14ac:dyDescent="0.25">
      <c r="A349" s="94">
        <f t="shared" si="468"/>
        <v>86</v>
      </c>
      <c r="B349" s="117"/>
      <c r="C349" s="93" t="str">
        <f t="shared" ref="C349:D349" si="471">IF($B346&lt;&gt;"",C345,"")</f>
        <v/>
      </c>
      <c r="D349" s="93" t="str">
        <f t="shared" si="471"/>
        <v/>
      </c>
      <c r="E349" s="28"/>
      <c r="F349" s="28"/>
      <c r="G349" s="28"/>
      <c r="H349" s="28"/>
      <c r="I349" s="28"/>
      <c r="J349" s="28"/>
      <c r="K349" s="28"/>
      <c r="L349" s="28"/>
      <c r="M349" s="28"/>
      <c r="N349" s="28"/>
      <c r="O349" s="28"/>
      <c r="P349" s="28"/>
      <c r="Q349" s="28"/>
      <c r="R349" s="28"/>
      <c r="S349" s="28"/>
      <c r="T349" s="28"/>
      <c r="U349" s="28"/>
      <c r="V349" s="26"/>
      <c r="W349" s="31" t="e">
        <f>INDEX(TBL_LNG_IMPORTERS_CONNECTIONS[LNGImporterConnectionID],$A349)</f>
        <v>#REF!</v>
      </c>
      <c r="X349" s="31" t="e">
        <f>"LNGImporterTariffVar_"&amp;RIGHT($W349,11)</f>
        <v>#REF!</v>
      </c>
    </row>
    <row r="350" spans="1:24" x14ac:dyDescent="0.25">
      <c r="A350" s="94">
        <f t="shared" ref="A350" si="472">$A346+1</f>
        <v>87</v>
      </c>
      <c r="B350" s="115" t="str">
        <f>IFERROR(INDEX(TBL_LNG_IMPORTERS_CONNECTIONS[Name],$A350),"")</f>
        <v/>
      </c>
      <c r="C350" s="93" t="str">
        <f t="shared" ref="C350:D350" si="473">IF($B350&lt;&gt;"",C346,"")</f>
        <v/>
      </c>
      <c r="D350" s="93" t="str">
        <f t="shared" si="473"/>
        <v/>
      </c>
      <c r="E350" s="27"/>
      <c r="F350" s="27"/>
      <c r="G350" s="27"/>
      <c r="H350" s="27"/>
      <c r="I350" s="27"/>
      <c r="J350" s="27"/>
      <c r="K350" s="27"/>
      <c r="L350" s="27"/>
      <c r="M350" s="27"/>
      <c r="N350" s="27"/>
      <c r="O350" s="27"/>
      <c r="P350" s="27"/>
      <c r="Q350" s="27"/>
      <c r="R350" s="27"/>
      <c r="S350" s="27"/>
      <c r="T350" s="27"/>
      <c r="U350" s="27"/>
      <c r="V350" s="25"/>
      <c r="W350" s="31" t="e">
        <f>INDEX(TBL_LNG_IMPORTERS_CONNECTIONS[LNGImporterConnectionID],$A350)</f>
        <v>#REF!</v>
      </c>
      <c r="X350" s="31" t="e">
        <f>"LNGImporterCapMin_"&amp;RIGHT($W350,11)</f>
        <v>#REF!</v>
      </c>
    </row>
    <row r="351" spans="1:24" x14ac:dyDescent="0.25">
      <c r="A351" s="94">
        <f t="shared" ref="A351:A353" si="474">$A350</f>
        <v>87</v>
      </c>
      <c r="B351" s="116"/>
      <c r="C351" s="93" t="str">
        <f t="shared" ref="C351:D351" si="475">IF($B350&lt;&gt;"",C347,"")</f>
        <v/>
      </c>
      <c r="D351" s="93" t="str">
        <f t="shared" si="475"/>
        <v/>
      </c>
      <c r="E351" s="28"/>
      <c r="F351" s="28"/>
      <c r="G351" s="28"/>
      <c r="H351" s="28"/>
      <c r="I351" s="28"/>
      <c r="J351" s="28"/>
      <c r="K351" s="28"/>
      <c r="L351" s="28"/>
      <c r="M351" s="28"/>
      <c r="N351" s="28"/>
      <c r="O351" s="28"/>
      <c r="P351" s="28"/>
      <c r="Q351" s="28"/>
      <c r="R351" s="28"/>
      <c r="S351" s="28"/>
      <c r="T351" s="28"/>
      <c r="U351" s="28"/>
      <c r="V351" s="26"/>
      <c r="W351" s="31" t="e">
        <f>INDEX(TBL_LNG_IMPORTERS_CONNECTIONS[LNGImporterConnectionID],$A351)</f>
        <v>#REF!</v>
      </c>
      <c r="X351" s="31" t="e">
        <f>"LNGImporterCapMax_"&amp;RIGHT($W351,11)</f>
        <v>#REF!</v>
      </c>
    </row>
    <row r="352" spans="1:24" x14ac:dyDescent="0.25">
      <c r="A352" s="94">
        <f t="shared" si="474"/>
        <v>87</v>
      </c>
      <c r="B352" s="116"/>
      <c r="C352" s="93" t="str">
        <f t="shared" ref="C352:D352" si="476">IF($B350&lt;&gt;"",C348,"")</f>
        <v/>
      </c>
      <c r="D352" s="93" t="str">
        <f t="shared" si="476"/>
        <v/>
      </c>
      <c r="E352" s="27"/>
      <c r="F352" s="27"/>
      <c r="G352" s="27"/>
      <c r="H352" s="27"/>
      <c r="I352" s="27"/>
      <c r="J352" s="27"/>
      <c r="K352" s="27"/>
      <c r="L352" s="27"/>
      <c r="M352" s="27"/>
      <c r="N352" s="27"/>
      <c r="O352" s="27"/>
      <c r="P352" s="27"/>
      <c r="Q352" s="27"/>
      <c r="R352" s="27"/>
      <c r="S352" s="27"/>
      <c r="T352" s="27"/>
      <c r="U352" s="27"/>
      <c r="V352" s="25"/>
      <c r="W352" s="31" t="e">
        <f>INDEX(TBL_LNG_IMPORTERS_CONNECTIONS[LNGImporterConnectionID],$A352)</f>
        <v>#REF!</v>
      </c>
      <c r="X352" s="31" t="e">
        <f>"LNGImporterTariffFixed_"&amp;RIGHT($W352,11)</f>
        <v>#REF!</v>
      </c>
    </row>
    <row r="353" spans="1:24" x14ac:dyDescent="0.25">
      <c r="A353" s="94">
        <f t="shared" si="474"/>
        <v>87</v>
      </c>
      <c r="B353" s="117"/>
      <c r="C353" s="93" t="str">
        <f t="shared" ref="C353:D353" si="477">IF($B350&lt;&gt;"",C349,"")</f>
        <v/>
      </c>
      <c r="D353" s="93" t="str">
        <f t="shared" si="477"/>
        <v/>
      </c>
      <c r="E353" s="28"/>
      <c r="F353" s="28"/>
      <c r="G353" s="28"/>
      <c r="H353" s="28"/>
      <c r="I353" s="28"/>
      <c r="J353" s="28"/>
      <c r="K353" s="28"/>
      <c r="L353" s="28"/>
      <c r="M353" s="28"/>
      <c r="N353" s="28"/>
      <c r="O353" s="28"/>
      <c r="P353" s="28"/>
      <c r="Q353" s="28"/>
      <c r="R353" s="28"/>
      <c r="S353" s="28"/>
      <c r="T353" s="28"/>
      <c r="U353" s="28"/>
      <c r="V353" s="26"/>
      <c r="W353" s="31" t="e">
        <f>INDEX(TBL_LNG_IMPORTERS_CONNECTIONS[LNGImporterConnectionID],$A353)</f>
        <v>#REF!</v>
      </c>
      <c r="X353" s="31" t="e">
        <f>"LNGImporterTariffVar_"&amp;RIGHT($W353,11)</f>
        <v>#REF!</v>
      </c>
    </row>
    <row r="354" spans="1:24" x14ac:dyDescent="0.25">
      <c r="A354" s="94">
        <f t="shared" ref="A354" si="478">$A350+1</f>
        <v>88</v>
      </c>
      <c r="B354" s="115" t="str">
        <f>IFERROR(INDEX(TBL_LNG_IMPORTERS_CONNECTIONS[Name],$A354),"")</f>
        <v/>
      </c>
      <c r="C354" s="93" t="str">
        <f t="shared" ref="C354:D354" si="479">IF($B354&lt;&gt;"",C350,"")</f>
        <v/>
      </c>
      <c r="D354" s="93" t="str">
        <f t="shared" si="479"/>
        <v/>
      </c>
      <c r="E354" s="27"/>
      <c r="F354" s="27"/>
      <c r="G354" s="27"/>
      <c r="H354" s="27"/>
      <c r="I354" s="27"/>
      <c r="J354" s="27"/>
      <c r="K354" s="27"/>
      <c r="L354" s="27"/>
      <c r="M354" s="27"/>
      <c r="N354" s="27"/>
      <c r="O354" s="27"/>
      <c r="P354" s="27"/>
      <c r="Q354" s="27"/>
      <c r="R354" s="27"/>
      <c r="S354" s="27"/>
      <c r="T354" s="27"/>
      <c r="U354" s="27"/>
      <c r="V354" s="25"/>
      <c r="W354" s="31" t="e">
        <f>INDEX(TBL_LNG_IMPORTERS_CONNECTIONS[LNGImporterConnectionID],$A354)</f>
        <v>#REF!</v>
      </c>
      <c r="X354" s="31" t="e">
        <f>"LNGImporterCapMin_"&amp;RIGHT($W354,11)</f>
        <v>#REF!</v>
      </c>
    </row>
    <row r="355" spans="1:24" x14ac:dyDescent="0.25">
      <c r="A355" s="94">
        <f t="shared" ref="A355:A357" si="480">$A354</f>
        <v>88</v>
      </c>
      <c r="B355" s="116"/>
      <c r="C355" s="93" t="str">
        <f t="shared" ref="C355:D355" si="481">IF($B354&lt;&gt;"",C351,"")</f>
        <v/>
      </c>
      <c r="D355" s="93" t="str">
        <f t="shared" si="481"/>
        <v/>
      </c>
      <c r="E355" s="28"/>
      <c r="F355" s="28"/>
      <c r="G355" s="28"/>
      <c r="H355" s="28"/>
      <c r="I355" s="28"/>
      <c r="J355" s="28"/>
      <c r="K355" s="28"/>
      <c r="L355" s="28"/>
      <c r="M355" s="28"/>
      <c r="N355" s="28"/>
      <c r="O355" s="28"/>
      <c r="P355" s="28"/>
      <c r="Q355" s="28"/>
      <c r="R355" s="28"/>
      <c r="S355" s="28"/>
      <c r="T355" s="28"/>
      <c r="U355" s="28"/>
      <c r="V355" s="26"/>
      <c r="W355" s="31" t="e">
        <f>INDEX(TBL_LNG_IMPORTERS_CONNECTIONS[LNGImporterConnectionID],$A355)</f>
        <v>#REF!</v>
      </c>
      <c r="X355" s="31" t="e">
        <f>"LNGImporterCapMax_"&amp;RIGHT($W355,11)</f>
        <v>#REF!</v>
      </c>
    </row>
    <row r="356" spans="1:24" x14ac:dyDescent="0.25">
      <c r="A356" s="94">
        <f t="shared" si="480"/>
        <v>88</v>
      </c>
      <c r="B356" s="116"/>
      <c r="C356" s="93" t="str">
        <f t="shared" ref="C356:D356" si="482">IF($B354&lt;&gt;"",C352,"")</f>
        <v/>
      </c>
      <c r="D356" s="93" t="str">
        <f t="shared" si="482"/>
        <v/>
      </c>
      <c r="E356" s="27"/>
      <c r="F356" s="27"/>
      <c r="G356" s="27"/>
      <c r="H356" s="27"/>
      <c r="I356" s="27"/>
      <c r="J356" s="27"/>
      <c r="K356" s="27"/>
      <c r="L356" s="27"/>
      <c r="M356" s="27"/>
      <c r="N356" s="27"/>
      <c r="O356" s="27"/>
      <c r="P356" s="27"/>
      <c r="Q356" s="27"/>
      <c r="R356" s="27"/>
      <c r="S356" s="27"/>
      <c r="T356" s="27"/>
      <c r="U356" s="27"/>
      <c r="V356" s="25"/>
      <c r="W356" s="31" t="e">
        <f>INDEX(TBL_LNG_IMPORTERS_CONNECTIONS[LNGImporterConnectionID],$A356)</f>
        <v>#REF!</v>
      </c>
      <c r="X356" s="31" t="e">
        <f>"LNGImporterTariffFixed_"&amp;RIGHT($W356,11)</f>
        <v>#REF!</v>
      </c>
    </row>
    <row r="357" spans="1:24" x14ac:dyDescent="0.25">
      <c r="A357" s="94">
        <f t="shared" si="480"/>
        <v>88</v>
      </c>
      <c r="B357" s="117"/>
      <c r="C357" s="93" t="str">
        <f t="shared" ref="C357:D357" si="483">IF($B354&lt;&gt;"",C353,"")</f>
        <v/>
      </c>
      <c r="D357" s="93" t="str">
        <f t="shared" si="483"/>
        <v/>
      </c>
      <c r="E357" s="28"/>
      <c r="F357" s="28"/>
      <c r="G357" s="28"/>
      <c r="H357" s="28"/>
      <c r="I357" s="28"/>
      <c r="J357" s="28"/>
      <c r="K357" s="28"/>
      <c r="L357" s="28"/>
      <c r="M357" s="28"/>
      <c r="N357" s="28"/>
      <c r="O357" s="28"/>
      <c r="P357" s="28"/>
      <c r="Q357" s="28"/>
      <c r="R357" s="28"/>
      <c r="S357" s="28"/>
      <c r="T357" s="28"/>
      <c r="U357" s="28"/>
      <c r="V357" s="26"/>
      <c r="W357" s="31" t="e">
        <f>INDEX(TBL_LNG_IMPORTERS_CONNECTIONS[LNGImporterConnectionID],$A357)</f>
        <v>#REF!</v>
      </c>
      <c r="X357" s="31" t="e">
        <f>"LNGImporterTariffVar_"&amp;RIGHT($W357,11)</f>
        <v>#REF!</v>
      </c>
    </row>
    <row r="358" spans="1:24" x14ac:dyDescent="0.25">
      <c r="A358" s="94">
        <f t="shared" ref="A358" si="484">$A354+1</f>
        <v>89</v>
      </c>
      <c r="B358" s="115" t="str">
        <f>IFERROR(INDEX(TBL_LNG_IMPORTERS_CONNECTIONS[Name],$A358),"")</f>
        <v/>
      </c>
      <c r="C358" s="93" t="str">
        <f t="shared" ref="C358:D358" si="485">IF($B358&lt;&gt;"",C354,"")</f>
        <v/>
      </c>
      <c r="D358" s="93" t="str">
        <f t="shared" si="485"/>
        <v/>
      </c>
      <c r="E358" s="27"/>
      <c r="F358" s="27"/>
      <c r="G358" s="27"/>
      <c r="H358" s="27"/>
      <c r="I358" s="27"/>
      <c r="J358" s="27"/>
      <c r="K358" s="27"/>
      <c r="L358" s="27"/>
      <c r="M358" s="27"/>
      <c r="N358" s="27"/>
      <c r="O358" s="27"/>
      <c r="P358" s="27"/>
      <c r="Q358" s="27"/>
      <c r="R358" s="27"/>
      <c r="S358" s="27"/>
      <c r="T358" s="27"/>
      <c r="U358" s="27"/>
      <c r="V358" s="25"/>
      <c r="W358" s="31" t="e">
        <f>INDEX(TBL_LNG_IMPORTERS_CONNECTIONS[LNGImporterConnectionID],$A358)</f>
        <v>#REF!</v>
      </c>
      <c r="X358" s="31" t="e">
        <f>"LNGImporterCapMin_"&amp;RIGHT($W358,11)</f>
        <v>#REF!</v>
      </c>
    </row>
    <row r="359" spans="1:24" x14ac:dyDescent="0.25">
      <c r="A359" s="94">
        <f t="shared" ref="A359:A377" si="486">$A358</f>
        <v>89</v>
      </c>
      <c r="B359" s="116"/>
      <c r="C359" s="93" t="str">
        <f t="shared" ref="C359:D359" si="487">IF($B358&lt;&gt;"",C355,"")</f>
        <v/>
      </c>
      <c r="D359" s="93" t="str">
        <f t="shared" si="487"/>
        <v/>
      </c>
      <c r="E359" s="28"/>
      <c r="F359" s="28"/>
      <c r="G359" s="28"/>
      <c r="H359" s="28"/>
      <c r="I359" s="28"/>
      <c r="J359" s="28"/>
      <c r="K359" s="28"/>
      <c r="L359" s="28"/>
      <c r="M359" s="28"/>
      <c r="N359" s="28"/>
      <c r="O359" s="28"/>
      <c r="P359" s="28"/>
      <c r="Q359" s="28"/>
      <c r="R359" s="28"/>
      <c r="S359" s="28"/>
      <c r="T359" s="28"/>
      <c r="U359" s="28"/>
      <c r="V359" s="26"/>
      <c r="W359" s="31" t="e">
        <f>INDEX(TBL_LNG_IMPORTERS_CONNECTIONS[LNGImporterConnectionID],$A359)</f>
        <v>#REF!</v>
      </c>
      <c r="X359" s="31" t="e">
        <f>"LNGImporterCapMax_"&amp;RIGHT($W359,11)</f>
        <v>#REF!</v>
      </c>
    </row>
    <row r="360" spans="1:24" x14ac:dyDescent="0.25">
      <c r="A360" s="94">
        <f t="shared" si="486"/>
        <v>89</v>
      </c>
      <c r="B360" s="116"/>
      <c r="C360" s="93" t="str">
        <f t="shared" ref="C360:D360" si="488">IF($B358&lt;&gt;"",C356,"")</f>
        <v/>
      </c>
      <c r="D360" s="93" t="str">
        <f t="shared" si="488"/>
        <v/>
      </c>
      <c r="E360" s="27"/>
      <c r="F360" s="27"/>
      <c r="G360" s="27"/>
      <c r="H360" s="27"/>
      <c r="I360" s="27"/>
      <c r="J360" s="27"/>
      <c r="K360" s="27"/>
      <c r="L360" s="27"/>
      <c r="M360" s="27"/>
      <c r="N360" s="27"/>
      <c r="O360" s="27"/>
      <c r="P360" s="27"/>
      <c r="Q360" s="27"/>
      <c r="R360" s="27"/>
      <c r="S360" s="27"/>
      <c r="T360" s="27"/>
      <c r="U360" s="27"/>
      <c r="V360" s="25"/>
      <c r="W360" s="31" t="e">
        <f>INDEX(TBL_LNG_IMPORTERS_CONNECTIONS[LNGImporterConnectionID],$A360)</f>
        <v>#REF!</v>
      </c>
      <c r="X360" s="31" t="e">
        <f>"LNGImporterTariffFixed_"&amp;RIGHT($W360,11)</f>
        <v>#REF!</v>
      </c>
    </row>
    <row r="361" spans="1:24" x14ac:dyDescent="0.25">
      <c r="A361" s="94">
        <f t="shared" si="486"/>
        <v>89</v>
      </c>
      <c r="B361" s="117"/>
      <c r="C361" s="93" t="str">
        <f t="shared" ref="C361:D361" si="489">IF($B358&lt;&gt;"",C357,"")</f>
        <v/>
      </c>
      <c r="D361" s="93" t="str">
        <f t="shared" si="489"/>
        <v/>
      </c>
      <c r="E361" s="28"/>
      <c r="F361" s="28"/>
      <c r="G361" s="28"/>
      <c r="H361" s="28"/>
      <c r="I361" s="28"/>
      <c r="J361" s="28"/>
      <c r="K361" s="28"/>
      <c r="L361" s="28"/>
      <c r="M361" s="28"/>
      <c r="N361" s="28"/>
      <c r="O361" s="28"/>
      <c r="P361" s="28"/>
      <c r="Q361" s="28"/>
      <c r="R361" s="28"/>
      <c r="S361" s="28"/>
      <c r="T361" s="28"/>
      <c r="U361" s="28"/>
      <c r="V361" s="26"/>
      <c r="W361" s="31" t="e">
        <f>INDEX(TBL_LNG_IMPORTERS_CONNECTIONS[LNGImporterConnectionID],$A361)</f>
        <v>#REF!</v>
      </c>
      <c r="X361" s="31" t="e">
        <f>"LNGImporterTariffVar_"&amp;RIGHT($W361,11)</f>
        <v>#REF!</v>
      </c>
    </row>
    <row r="362" spans="1:24" x14ac:dyDescent="0.25">
      <c r="A362" s="94">
        <f t="shared" ref="A362" si="490">$A358+1</f>
        <v>90</v>
      </c>
      <c r="B362" s="115" t="str">
        <f>IFERROR(INDEX(TBL_LNG_IMPORTERS_CONNECTIONS[Name],$A362),"")</f>
        <v/>
      </c>
      <c r="C362" s="93" t="str">
        <f t="shared" ref="C362:D362" si="491">IF($B362&lt;&gt;"",C358,"")</f>
        <v/>
      </c>
      <c r="D362" s="93" t="str">
        <f t="shared" si="491"/>
        <v/>
      </c>
      <c r="E362" s="27"/>
      <c r="F362" s="27"/>
      <c r="G362" s="27"/>
      <c r="H362" s="27"/>
      <c r="I362" s="27"/>
      <c r="J362" s="27"/>
      <c r="K362" s="27"/>
      <c r="L362" s="27"/>
      <c r="M362" s="27"/>
      <c r="N362" s="27"/>
      <c r="O362" s="27"/>
      <c r="P362" s="27"/>
      <c r="Q362" s="27"/>
      <c r="R362" s="27"/>
      <c r="S362" s="27"/>
      <c r="T362" s="27"/>
      <c r="U362" s="27"/>
      <c r="V362" s="25"/>
      <c r="W362" s="31" t="e">
        <f>INDEX(TBL_LNG_IMPORTERS_CONNECTIONS[LNGImporterConnectionID],$A362)</f>
        <v>#REF!</v>
      </c>
      <c r="X362" s="31" t="e">
        <f>"LNGImporterCapMin_"&amp;RIGHT($W362,11)</f>
        <v>#REF!</v>
      </c>
    </row>
    <row r="363" spans="1:24" x14ac:dyDescent="0.25">
      <c r="A363" s="94">
        <f t="shared" si="486"/>
        <v>90</v>
      </c>
      <c r="B363" s="116"/>
      <c r="C363" s="93" t="str">
        <f t="shared" ref="C363:D363" si="492">IF($B362&lt;&gt;"",C359,"")</f>
        <v/>
      </c>
      <c r="D363" s="93" t="str">
        <f t="shared" si="492"/>
        <v/>
      </c>
      <c r="E363" s="28"/>
      <c r="F363" s="28"/>
      <c r="G363" s="28"/>
      <c r="H363" s="28"/>
      <c r="I363" s="28"/>
      <c r="J363" s="28"/>
      <c r="K363" s="28"/>
      <c r="L363" s="28"/>
      <c r="M363" s="28"/>
      <c r="N363" s="28"/>
      <c r="O363" s="28"/>
      <c r="P363" s="28"/>
      <c r="Q363" s="28"/>
      <c r="R363" s="28"/>
      <c r="S363" s="28"/>
      <c r="T363" s="28"/>
      <c r="U363" s="28"/>
      <c r="V363" s="26"/>
      <c r="W363" s="31" t="e">
        <f>INDEX(TBL_LNG_IMPORTERS_CONNECTIONS[LNGImporterConnectionID],$A363)</f>
        <v>#REF!</v>
      </c>
      <c r="X363" s="31" t="e">
        <f>"LNGImporterCapMax_"&amp;RIGHT($W363,11)</f>
        <v>#REF!</v>
      </c>
    </row>
    <row r="364" spans="1:24" x14ac:dyDescent="0.25">
      <c r="A364" s="94">
        <f t="shared" si="486"/>
        <v>90</v>
      </c>
      <c r="B364" s="116"/>
      <c r="C364" s="93" t="str">
        <f t="shared" ref="C364:D364" si="493">IF($B362&lt;&gt;"",C360,"")</f>
        <v/>
      </c>
      <c r="D364" s="93" t="str">
        <f t="shared" si="493"/>
        <v/>
      </c>
      <c r="E364" s="27"/>
      <c r="F364" s="27"/>
      <c r="G364" s="27"/>
      <c r="H364" s="27"/>
      <c r="I364" s="27"/>
      <c r="J364" s="27"/>
      <c r="K364" s="27"/>
      <c r="L364" s="27"/>
      <c r="M364" s="27"/>
      <c r="N364" s="27"/>
      <c r="O364" s="27"/>
      <c r="P364" s="27"/>
      <c r="Q364" s="27"/>
      <c r="R364" s="27"/>
      <c r="S364" s="27"/>
      <c r="T364" s="27"/>
      <c r="U364" s="27"/>
      <c r="V364" s="25"/>
      <c r="W364" s="31" t="e">
        <f>INDEX(TBL_LNG_IMPORTERS_CONNECTIONS[LNGImporterConnectionID],$A364)</f>
        <v>#REF!</v>
      </c>
      <c r="X364" s="31" t="e">
        <f>"LNGImporterTariffFixed_"&amp;RIGHT($W364,11)</f>
        <v>#REF!</v>
      </c>
    </row>
    <row r="365" spans="1:24" x14ac:dyDescent="0.25">
      <c r="A365" s="94">
        <f t="shared" si="486"/>
        <v>90</v>
      </c>
      <c r="B365" s="117"/>
      <c r="C365" s="93" t="str">
        <f t="shared" ref="C365:D365" si="494">IF($B362&lt;&gt;"",C361,"")</f>
        <v/>
      </c>
      <c r="D365" s="93" t="str">
        <f t="shared" si="494"/>
        <v/>
      </c>
      <c r="E365" s="28"/>
      <c r="F365" s="28"/>
      <c r="G365" s="28"/>
      <c r="H365" s="28"/>
      <c r="I365" s="28"/>
      <c r="J365" s="28"/>
      <c r="K365" s="28"/>
      <c r="L365" s="28"/>
      <c r="M365" s="28"/>
      <c r="N365" s="28"/>
      <c r="O365" s="28"/>
      <c r="P365" s="28"/>
      <c r="Q365" s="28"/>
      <c r="R365" s="28"/>
      <c r="S365" s="28"/>
      <c r="T365" s="28"/>
      <c r="U365" s="28"/>
      <c r="V365" s="26"/>
      <c r="W365" s="31" t="e">
        <f>INDEX(TBL_LNG_IMPORTERS_CONNECTIONS[LNGImporterConnectionID],$A365)</f>
        <v>#REF!</v>
      </c>
      <c r="X365" s="31" t="e">
        <f>"LNGImporterTariffVar_"&amp;RIGHT($W365,11)</f>
        <v>#REF!</v>
      </c>
    </row>
    <row r="366" spans="1:24" x14ac:dyDescent="0.25">
      <c r="A366" s="94">
        <f t="shared" ref="A366" si="495">$A362+1</f>
        <v>91</v>
      </c>
      <c r="B366" s="115" t="str">
        <f>IFERROR(INDEX(TBL_LNG_IMPORTERS_CONNECTIONS[Name],$A366),"")</f>
        <v/>
      </c>
      <c r="C366" s="93" t="str">
        <f t="shared" ref="C366:D366" si="496">IF($B366&lt;&gt;"",C362,"")</f>
        <v/>
      </c>
      <c r="D366" s="93" t="str">
        <f t="shared" si="496"/>
        <v/>
      </c>
      <c r="E366" s="27"/>
      <c r="F366" s="27"/>
      <c r="G366" s="27"/>
      <c r="H366" s="27"/>
      <c r="I366" s="27"/>
      <c r="J366" s="27"/>
      <c r="K366" s="27"/>
      <c r="L366" s="27"/>
      <c r="M366" s="27"/>
      <c r="N366" s="27"/>
      <c r="O366" s="27"/>
      <c r="P366" s="27"/>
      <c r="Q366" s="27"/>
      <c r="R366" s="27"/>
      <c r="S366" s="27"/>
      <c r="T366" s="27"/>
      <c r="U366" s="27"/>
      <c r="V366" s="25"/>
      <c r="W366" s="31" t="e">
        <f>INDEX(TBL_LNG_IMPORTERS_CONNECTIONS[LNGImporterConnectionID],$A366)</f>
        <v>#REF!</v>
      </c>
      <c r="X366" s="31" t="e">
        <f>"LNGImporterCapMin_"&amp;RIGHT($W366,11)</f>
        <v>#REF!</v>
      </c>
    </row>
    <row r="367" spans="1:24" x14ac:dyDescent="0.25">
      <c r="A367" s="94">
        <f t="shared" si="486"/>
        <v>91</v>
      </c>
      <c r="B367" s="116"/>
      <c r="C367" s="93" t="str">
        <f t="shared" ref="C367:D367" si="497">IF($B366&lt;&gt;"",C363,"")</f>
        <v/>
      </c>
      <c r="D367" s="93" t="str">
        <f t="shared" si="497"/>
        <v/>
      </c>
      <c r="E367" s="28"/>
      <c r="F367" s="28"/>
      <c r="G367" s="28"/>
      <c r="H367" s="28"/>
      <c r="I367" s="28"/>
      <c r="J367" s="28"/>
      <c r="K367" s="28"/>
      <c r="L367" s="28"/>
      <c r="M367" s="28"/>
      <c r="N367" s="28"/>
      <c r="O367" s="28"/>
      <c r="P367" s="28"/>
      <c r="Q367" s="28"/>
      <c r="R367" s="28"/>
      <c r="S367" s="28"/>
      <c r="T367" s="28"/>
      <c r="U367" s="28"/>
      <c r="V367" s="26"/>
      <c r="W367" s="31" t="e">
        <f>INDEX(TBL_LNG_IMPORTERS_CONNECTIONS[LNGImporterConnectionID],$A367)</f>
        <v>#REF!</v>
      </c>
      <c r="X367" s="31" t="e">
        <f>"LNGImporterCapMax_"&amp;RIGHT($W367,11)</f>
        <v>#REF!</v>
      </c>
    </row>
    <row r="368" spans="1:24" x14ac:dyDescent="0.25">
      <c r="A368" s="94">
        <f t="shared" si="486"/>
        <v>91</v>
      </c>
      <c r="B368" s="116"/>
      <c r="C368" s="93" t="str">
        <f t="shared" ref="C368:D368" si="498">IF($B366&lt;&gt;"",C364,"")</f>
        <v/>
      </c>
      <c r="D368" s="93" t="str">
        <f t="shared" si="498"/>
        <v/>
      </c>
      <c r="E368" s="27"/>
      <c r="F368" s="27"/>
      <c r="G368" s="27"/>
      <c r="H368" s="27"/>
      <c r="I368" s="27"/>
      <c r="J368" s="27"/>
      <c r="K368" s="27"/>
      <c r="L368" s="27"/>
      <c r="M368" s="27"/>
      <c r="N368" s="27"/>
      <c r="O368" s="27"/>
      <c r="P368" s="27"/>
      <c r="Q368" s="27"/>
      <c r="R368" s="27"/>
      <c r="S368" s="27"/>
      <c r="T368" s="27"/>
      <c r="U368" s="27"/>
      <c r="V368" s="25"/>
      <c r="W368" s="31" t="e">
        <f>INDEX(TBL_LNG_IMPORTERS_CONNECTIONS[LNGImporterConnectionID],$A368)</f>
        <v>#REF!</v>
      </c>
      <c r="X368" s="31" t="e">
        <f>"LNGImporterTariffFixed_"&amp;RIGHT($W368,11)</f>
        <v>#REF!</v>
      </c>
    </row>
    <row r="369" spans="1:24" x14ac:dyDescent="0.25">
      <c r="A369" s="94">
        <f t="shared" si="486"/>
        <v>91</v>
      </c>
      <c r="B369" s="117"/>
      <c r="C369" s="93" t="str">
        <f t="shared" ref="C369:D369" si="499">IF($B366&lt;&gt;"",C365,"")</f>
        <v/>
      </c>
      <c r="D369" s="93" t="str">
        <f t="shared" si="499"/>
        <v/>
      </c>
      <c r="E369" s="28"/>
      <c r="F369" s="28"/>
      <c r="G369" s="28"/>
      <c r="H369" s="28"/>
      <c r="I369" s="28"/>
      <c r="J369" s="28"/>
      <c r="K369" s="28"/>
      <c r="L369" s="28"/>
      <c r="M369" s="28"/>
      <c r="N369" s="28"/>
      <c r="O369" s="28"/>
      <c r="P369" s="28"/>
      <c r="Q369" s="28"/>
      <c r="R369" s="28"/>
      <c r="S369" s="28"/>
      <c r="T369" s="28"/>
      <c r="U369" s="28"/>
      <c r="V369" s="26"/>
      <c r="W369" s="31" t="e">
        <f>INDEX(TBL_LNG_IMPORTERS_CONNECTIONS[LNGImporterConnectionID],$A369)</f>
        <v>#REF!</v>
      </c>
      <c r="X369" s="31" t="e">
        <f>"LNGImporterTariffVar_"&amp;RIGHT($W369,11)</f>
        <v>#REF!</v>
      </c>
    </row>
    <row r="370" spans="1:24" x14ac:dyDescent="0.25">
      <c r="A370" s="94">
        <f t="shared" ref="A370" si="500">$A366+1</f>
        <v>92</v>
      </c>
      <c r="B370" s="115" t="str">
        <f>IFERROR(INDEX(TBL_LNG_IMPORTERS_CONNECTIONS[Name],$A370),"")</f>
        <v/>
      </c>
      <c r="C370" s="93" t="str">
        <f t="shared" ref="C370:D370" si="501">IF($B370&lt;&gt;"",C366,"")</f>
        <v/>
      </c>
      <c r="D370" s="93" t="str">
        <f t="shared" si="501"/>
        <v/>
      </c>
      <c r="E370" s="27"/>
      <c r="F370" s="27"/>
      <c r="G370" s="27"/>
      <c r="H370" s="27"/>
      <c r="I370" s="27"/>
      <c r="J370" s="27"/>
      <c r="K370" s="27"/>
      <c r="L370" s="27"/>
      <c r="M370" s="27"/>
      <c r="N370" s="27"/>
      <c r="O370" s="27"/>
      <c r="P370" s="27"/>
      <c r="Q370" s="27"/>
      <c r="R370" s="27"/>
      <c r="S370" s="27"/>
      <c r="T370" s="27"/>
      <c r="U370" s="27"/>
      <c r="V370" s="25"/>
      <c r="W370" s="31" t="e">
        <f>INDEX(TBL_LNG_IMPORTERS_CONNECTIONS[LNGImporterConnectionID],$A370)</f>
        <v>#REF!</v>
      </c>
      <c r="X370" s="31" t="e">
        <f>"LNGImporterCapMin_"&amp;RIGHT($W370,11)</f>
        <v>#REF!</v>
      </c>
    </row>
    <row r="371" spans="1:24" x14ac:dyDescent="0.25">
      <c r="A371" s="94">
        <f t="shared" si="486"/>
        <v>92</v>
      </c>
      <c r="B371" s="116"/>
      <c r="C371" s="93" t="str">
        <f t="shared" ref="C371:D371" si="502">IF($B370&lt;&gt;"",C367,"")</f>
        <v/>
      </c>
      <c r="D371" s="93" t="str">
        <f t="shared" si="502"/>
        <v/>
      </c>
      <c r="E371" s="28"/>
      <c r="F371" s="28"/>
      <c r="G371" s="28"/>
      <c r="H371" s="28"/>
      <c r="I371" s="28"/>
      <c r="J371" s="28"/>
      <c r="K371" s="28"/>
      <c r="L371" s="28"/>
      <c r="M371" s="28"/>
      <c r="N371" s="28"/>
      <c r="O371" s="28"/>
      <c r="P371" s="28"/>
      <c r="Q371" s="28"/>
      <c r="R371" s="28"/>
      <c r="S371" s="28"/>
      <c r="T371" s="28"/>
      <c r="U371" s="28"/>
      <c r="V371" s="26"/>
      <c r="W371" s="31" t="e">
        <f>INDEX(TBL_LNG_IMPORTERS_CONNECTIONS[LNGImporterConnectionID],$A371)</f>
        <v>#REF!</v>
      </c>
      <c r="X371" s="31" t="e">
        <f>"LNGImporterCapMax_"&amp;RIGHT($W371,11)</f>
        <v>#REF!</v>
      </c>
    </row>
    <row r="372" spans="1:24" x14ac:dyDescent="0.25">
      <c r="A372" s="94">
        <f t="shared" si="486"/>
        <v>92</v>
      </c>
      <c r="B372" s="116"/>
      <c r="C372" s="93" t="str">
        <f t="shared" ref="C372:D372" si="503">IF($B370&lt;&gt;"",C368,"")</f>
        <v/>
      </c>
      <c r="D372" s="93" t="str">
        <f t="shared" si="503"/>
        <v/>
      </c>
      <c r="E372" s="27"/>
      <c r="F372" s="27"/>
      <c r="G372" s="27"/>
      <c r="H372" s="27"/>
      <c r="I372" s="27"/>
      <c r="J372" s="27"/>
      <c r="K372" s="27"/>
      <c r="L372" s="27"/>
      <c r="M372" s="27"/>
      <c r="N372" s="27"/>
      <c r="O372" s="27"/>
      <c r="P372" s="27"/>
      <c r="Q372" s="27"/>
      <c r="R372" s="27"/>
      <c r="S372" s="27"/>
      <c r="T372" s="27"/>
      <c r="U372" s="27"/>
      <c r="V372" s="25"/>
      <c r="W372" s="31" t="e">
        <f>INDEX(TBL_LNG_IMPORTERS_CONNECTIONS[LNGImporterConnectionID],$A372)</f>
        <v>#REF!</v>
      </c>
      <c r="X372" s="31" t="e">
        <f>"LNGImporterTariffFixed_"&amp;RIGHT($W372,11)</f>
        <v>#REF!</v>
      </c>
    </row>
    <row r="373" spans="1:24" x14ac:dyDescent="0.25">
      <c r="A373" s="94">
        <f t="shared" si="486"/>
        <v>92</v>
      </c>
      <c r="B373" s="117"/>
      <c r="C373" s="93" t="str">
        <f t="shared" ref="C373:D373" si="504">IF($B370&lt;&gt;"",C369,"")</f>
        <v/>
      </c>
      <c r="D373" s="93" t="str">
        <f t="shared" si="504"/>
        <v/>
      </c>
      <c r="E373" s="28"/>
      <c r="F373" s="28"/>
      <c r="G373" s="28"/>
      <c r="H373" s="28"/>
      <c r="I373" s="28"/>
      <c r="J373" s="28"/>
      <c r="K373" s="28"/>
      <c r="L373" s="28"/>
      <c r="M373" s="28"/>
      <c r="N373" s="28"/>
      <c r="O373" s="28"/>
      <c r="P373" s="28"/>
      <c r="Q373" s="28"/>
      <c r="R373" s="28"/>
      <c r="S373" s="28"/>
      <c r="T373" s="28"/>
      <c r="U373" s="28"/>
      <c r="V373" s="26"/>
      <c r="W373" s="31" t="e">
        <f>INDEX(TBL_LNG_IMPORTERS_CONNECTIONS[LNGImporterConnectionID],$A373)</f>
        <v>#REF!</v>
      </c>
      <c r="X373" s="31" t="e">
        <f>"LNGImporterTariffVar_"&amp;RIGHT($W373,11)</f>
        <v>#REF!</v>
      </c>
    </row>
    <row r="374" spans="1:24" x14ac:dyDescent="0.25">
      <c r="A374" s="94">
        <f t="shared" ref="A374" si="505">$A370+1</f>
        <v>93</v>
      </c>
      <c r="B374" s="115" t="str">
        <f>IFERROR(INDEX(TBL_LNG_IMPORTERS_CONNECTIONS[Name],$A374),"")</f>
        <v/>
      </c>
      <c r="C374" s="93" t="str">
        <f t="shared" ref="C374:D374" si="506">IF($B374&lt;&gt;"",C370,"")</f>
        <v/>
      </c>
      <c r="D374" s="93" t="str">
        <f t="shared" si="506"/>
        <v/>
      </c>
      <c r="E374" s="27"/>
      <c r="F374" s="27"/>
      <c r="G374" s="27"/>
      <c r="H374" s="27"/>
      <c r="I374" s="27"/>
      <c r="J374" s="27"/>
      <c r="K374" s="27"/>
      <c r="L374" s="27"/>
      <c r="M374" s="27"/>
      <c r="N374" s="27"/>
      <c r="O374" s="27"/>
      <c r="P374" s="27"/>
      <c r="Q374" s="27"/>
      <c r="R374" s="27"/>
      <c r="S374" s="27"/>
      <c r="T374" s="27"/>
      <c r="U374" s="27"/>
      <c r="V374" s="25"/>
      <c r="W374" s="31" t="e">
        <f>INDEX(TBL_LNG_IMPORTERS_CONNECTIONS[LNGImporterConnectionID],$A374)</f>
        <v>#REF!</v>
      </c>
      <c r="X374" s="31" t="e">
        <f>"LNGImporterCapMin_"&amp;RIGHT($W374,11)</f>
        <v>#REF!</v>
      </c>
    </row>
    <row r="375" spans="1:24" x14ac:dyDescent="0.25">
      <c r="A375" s="94">
        <f t="shared" si="486"/>
        <v>93</v>
      </c>
      <c r="B375" s="116"/>
      <c r="C375" s="93" t="str">
        <f t="shared" ref="C375:D375" si="507">IF($B374&lt;&gt;"",C371,"")</f>
        <v/>
      </c>
      <c r="D375" s="93" t="str">
        <f t="shared" si="507"/>
        <v/>
      </c>
      <c r="E375" s="28"/>
      <c r="F375" s="28"/>
      <c r="G375" s="28"/>
      <c r="H375" s="28"/>
      <c r="I375" s="28"/>
      <c r="J375" s="28"/>
      <c r="K375" s="28"/>
      <c r="L375" s="28"/>
      <c r="M375" s="28"/>
      <c r="N375" s="28"/>
      <c r="O375" s="28"/>
      <c r="P375" s="28"/>
      <c r="Q375" s="28"/>
      <c r="R375" s="28"/>
      <c r="S375" s="28"/>
      <c r="T375" s="28"/>
      <c r="U375" s="28"/>
      <c r="V375" s="26"/>
      <c r="W375" s="31" t="e">
        <f>INDEX(TBL_LNG_IMPORTERS_CONNECTIONS[LNGImporterConnectionID],$A375)</f>
        <v>#REF!</v>
      </c>
      <c r="X375" s="31" t="e">
        <f>"LNGImporterCapMax_"&amp;RIGHT($W375,11)</f>
        <v>#REF!</v>
      </c>
    </row>
    <row r="376" spans="1:24" x14ac:dyDescent="0.25">
      <c r="A376" s="94">
        <f t="shared" si="486"/>
        <v>93</v>
      </c>
      <c r="B376" s="116"/>
      <c r="C376" s="93" t="str">
        <f t="shared" ref="C376:D376" si="508">IF($B374&lt;&gt;"",C372,"")</f>
        <v/>
      </c>
      <c r="D376" s="93" t="str">
        <f t="shared" si="508"/>
        <v/>
      </c>
      <c r="E376" s="27"/>
      <c r="F376" s="27"/>
      <c r="G376" s="27"/>
      <c r="H376" s="27"/>
      <c r="I376" s="27"/>
      <c r="J376" s="27"/>
      <c r="K376" s="27"/>
      <c r="L376" s="27"/>
      <c r="M376" s="27"/>
      <c r="N376" s="27"/>
      <c r="O376" s="27"/>
      <c r="P376" s="27"/>
      <c r="Q376" s="27"/>
      <c r="R376" s="27"/>
      <c r="S376" s="27"/>
      <c r="T376" s="27"/>
      <c r="U376" s="27"/>
      <c r="V376" s="25"/>
      <c r="W376" s="31" t="e">
        <f>INDEX(TBL_LNG_IMPORTERS_CONNECTIONS[LNGImporterConnectionID],$A376)</f>
        <v>#REF!</v>
      </c>
      <c r="X376" s="31" t="e">
        <f>"LNGImporterTariffFixed_"&amp;RIGHT($W376,11)</f>
        <v>#REF!</v>
      </c>
    </row>
    <row r="377" spans="1:24" x14ac:dyDescent="0.25">
      <c r="A377" s="94">
        <f t="shared" si="486"/>
        <v>93</v>
      </c>
      <c r="B377" s="117"/>
      <c r="C377" s="93" t="str">
        <f t="shared" ref="C377:D377" si="509">IF($B374&lt;&gt;"",C373,"")</f>
        <v/>
      </c>
      <c r="D377" s="93" t="str">
        <f t="shared" si="509"/>
        <v/>
      </c>
      <c r="E377" s="28"/>
      <c r="F377" s="28"/>
      <c r="G377" s="28"/>
      <c r="H377" s="28"/>
      <c r="I377" s="28"/>
      <c r="J377" s="28"/>
      <c r="K377" s="28"/>
      <c r="L377" s="28"/>
      <c r="M377" s="28"/>
      <c r="N377" s="28"/>
      <c r="O377" s="28"/>
      <c r="P377" s="28"/>
      <c r="Q377" s="28"/>
      <c r="R377" s="28"/>
      <c r="S377" s="28"/>
      <c r="T377" s="28"/>
      <c r="U377" s="28"/>
      <c r="V377" s="26"/>
      <c r="W377" s="31" t="e">
        <f>INDEX(TBL_LNG_IMPORTERS_CONNECTIONS[LNGImporterConnectionID],$A377)</f>
        <v>#REF!</v>
      </c>
      <c r="X377" s="31" t="e">
        <f>"LNGImporterTariffVar_"&amp;RIGHT($W377,11)</f>
        <v>#REF!</v>
      </c>
    </row>
    <row r="378" spans="1:24" x14ac:dyDescent="0.25">
      <c r="A378" s="94">
        <f t="shared" ref="A378" si="510">$A374+1</f>
        <v>94</v>
      </c>
      <c r="B378" s="115" t="str">
        <f>IFERROR(INDEX(TBL_LNG_IMPORTERS_CONNECTIONS[Name],$A378),"")</f>
        <v/>
      </c>
      <c r="C378" s="93" t="str">
        <f t="shared" ref="C378:D378" si="511">IF($B378&lt;&gt;"",C374,"")</f>
        <v/>
      </c>
      <c r="D378" s="93" t="str">
        <f t="shared" si="511"/>
        <v/>
      </c>
      <c r="E378" s="27"/>
      <c r="F378" s="27"/>
      <c r="G378" s="27"/>
      <c r="H378" s="27"/>
      <c r="I378" s="27"/>
      <c r="J378" s="27"/>
      <c r="K378" s="27"/>
      <c r="L378" s="27"/>
      <c r="M378" s="27"/>
      <c r="N378" s="27"/>
      <c r="O378" s="27"/>
      <c r="P378" s="27"/>
      <c r="Q378" s="27"/>
      <c r="R378" s="27"/>
      <c r="S378" s="27"/>
      <c r="T378" s="27"/>
      <c r="U378" s="27"/>
      <c r="V378" s="25"/>
      <c r="W378" s="31" t="e">
        <f>INDEX(TBL_LNG_IMPORTERS_CONNECTIONS[LNGImporterConnectionID],$A378)</f>
        <v>#REF!</v>
      </c>
      <c r="X378" s="31" t="e">
        <f>"LNGImporterCapMin_"&amp;RIGHT($W378,11)</f>
        <v>#REF!</v>
      </c>
    </row>
    <row r="379" spans="1:24" x14ac:dyDescent="0.25">
      <c r="A379" s="94">
        <f t="shared" ref="A379:A381" si="512">$A378</f>
        <v>94</v>
      </c>
      <c r="B379" s="116"/>
      <c r="C379" s="93" t="str">
        <f t="shared" ref="C379:D379" si="513">IF($B378&lt;&gt;"",C375,"")</f>
        <v/>
      </c>
      <c r="D379" s="93" t="str">
        <f t="shared" si="513"/>
        <v/>
      </c>
      <c r="E379" s="28"/>
      <c r="F379" s="28"/>
      <c r="G379" s="28"/>
      <c r="H379" s="28"/>
      <c r="I379" s="28"/>
      <c r="J379" s="28"/>
      <c r="K379" s="28"/>
      <c r="L379" s="28"/>
      <c r="M379" s="28"/>
      <c r="N379" s="28"/>
      <c r="O379" s="28"/>
      <c r="P379" s="28"/>
      <c r="Q379" s="28"/>
      <c r="R379" s="28"/>
      <c r="S379" s="28"/>
      <c r="T379" s="28"/>
      <c r="U379" s="28"/>
      <c r="V379" s="26"/>
      <c r="W379" s="31" t="e">
        <f>INDEX(TBL_LNG_IMPORTERS_CONNECTIONS[LNGImporterConnectionID],$A379)</f>
        <v>#REF!</v>
      </c>
      <c r="X379" s="31" t="e">
        <f>"LNGImporterCapMax_"&amp;RIGHT($W379,11)</f>
        <v>#REF!</v>
      </c>
    </row>
    <row r="380" spans="1:24" x14ac:dyDescent="0.25">
      <c r="A380" s="94">
        <f t="shared" si="512"/>
        <v>94</v>
      </c>
      <c r="B380" s="116"/>
      <c r="C380" s="93" t="str">
        <f t="shared" ref="C380:D380" si="514">IF($B378&lt;&gt;"",C376,"")</f>
        <v/>
      </c>
      <c r="D380" s="93" t="str">
        <f t="shared" si="514"/>
        <v/>
      </c>
      <c r="E380" s="27"/>
      <c r="F380" s="27"/>
      <c r="G380" s="27"/>
      <c r="H380" s="27"/>
      <c r="I380" s="27"/>
      <c r="J380" s="27"/>
      <c r="K380" s="27"/>
      <c r="L380" s="27"/>
      <c r="M380" s="27"/>
      <c r="N380" s="27"/>
      <c r="O380" s="27"/>
      <c r="P380" s="27"/>
      <c r="Q380" s="27"/>
      <c r="R380" s="27"/>
      <c r="S380" s="27"/>
      <c r="T380" s="27"/>
      <c r="U380" s="27"/>
      <c r="V380" s="25"/>
      <c r="W380" s="31" t="e">
        <f>INDEX(TBL_LNG_IMPORTERS_CONNECTIONS[LNGImporterConnectionID],$A380)</f>
        <v>#REF!</v>
      </c>
      <c r="X380" s="31" t="e">
        <f>"LNGImporterTariffFixed_"&amp;RIGHT($W380,11)</f>
        <v>#REF!</v>
      </c>
    </row>
    <row r="381" spans="1:24" x14ac:dyDescent="0.25">
      <c r="A381" s="94">
        <f t="shared" si="512"/>
        <v>94</v>
      </c>
      <c r="B381" s="117"/>
      <c r="C381" s="93" t="str">
        <f t="shared" ref="C381:D381" si="515">IF($B378&lt;&gt;"",C377,"")</f>
        <v/>
      </c>
      <c r="D381" s="93" t="str">
        <f t="shared" si="515"/>
        <v/>
      </c>
      <c r="E381" s="28"/>
      <c r="F381" s="28"/>
      <c r="G381" s="28"/>
      <c r="H381" s="28"/>
      <c r="I381" s="28"/>
      <c r="J381" s="28"/>
      <c r="K381" s="28"/>
      <c r="L381" s="28"/>
      <c r="M381" s="28"/>
      <c r="N381" s="28"/>
      <c r="O381" s="28"/>
      <c r="P381" s="28"/>
      <c r="Q381" s="28"/>
      <c r="R381" s="28"/>
      <c r="S381" s="28"/>
      <c r="T381" s="28"/>
      <c r="U381" s="28"/>
      <c r="V381" s="26"/>
      <c r="W381" s="31" t="e">
        <f>INDEX(TBL_LNG_IMPORTERS_CONNECTIONS[LNGImporterConnectionID],$A381)</f>
        <v>#REF!</v>
      </c>
      <c r="X381" s="31" t="e">
        <f>"LNGImporterTariffVar_"&amp;RIGHT($W381,11)</f>
        <v>#REF!</v>
      </c>
    </row>
    <row r="382" spans="1:24" x14ac:dyDescent="0.25">
      <c r="A382" s="94">
        <f t="shared" ref="A382" si="516">$A378+1</f>
        <v>95</v>
      </c>
      <c r="B382" s="115" t="str">
        <f>IFERROR(INDEX(TBL_LNG_IMPORTERS_CONNECTIONS[Name],$A382),"")</f>
        <v/>
      </c>
      <c r="C382" s="93" t="str">
        <f t="shared" ref="C382:D382" si="517">IF($B382&lt;&gt;"",C378,"")</f>
        <v/>
      </c>
      <c r="D382" s="93" t="str">
        <f t="shared" si="517"/>
        <v/>
      </c>
      <c r="E382" s="27"/>
      <c r="F382" s="27"/>
      <c r="G382" s="27"/>
      <c r="H382" s="27"/>
      <c r="I382" s="27"/>
      <c r="J382" s="27"/>
      <c r="K382" s="27"/>
      <c r="L382" s="27"/>
      <c r="M382" s="27"/>
      <c r="N382" s="27"/>
      <c r="O382" s="27"/>
      <c r="P382" s="27"/>
      <c r="Q382" s="27"/>
      <c r="R382" s="27"/>
      <c r="S382" s="27"/>
      <c r="T382" s="27"/>
      <c r="U382" s="27"/>
      <c r="V382" s="25"/>
      <c r="W382" s="31" t="e">
        <f>INDEX(TBL_LNG_IMPORTERS_CONNECTIONS[LNGImporterConnectionID],$A382)</f>
        <v>#REF!</v>
      </c>
      <c r="X382" s="31" t="e">
        <f>"LNGImporterCapMin_"&amp;RIGHT($W382,11)</f>
        <v>#REF!</v>
      </c>
    </row>
    <row r="383" spans="1:24" x14ac:dyDescent="0.25">
      <c r="A383" s="94">
        <f t="shared" ref="A383:A385" si="518">$A382</f>
        <v>95</v>
      </c>
      <c r="B383" s="116"/>
      <c r="C383" s="93" t="str">
        <f t="shared" ref="C383:D383" si="519">IF($B382&lt;&gt;"",C379,"")</f>
        <v/>
      </c>
      <c r="D383" s="93" t="str">
        <f t="shared" si="519"/>
        <v/>
      </c>
      <c r="E383" s="28"/>
      <c r="F383" s="28"/>
      <c r="G383" s="28"/>
      <c r="H383" s="28"/>
      <c r="I383" s="28"/>
      <c r="J383" s="28"/>
      <c r="K383" s="28"/>
      <c r="L383" s="28"/>
      <c r="M383" s="28"/>
      <c r="N383" s="28"/>
      <c r="O383" s="28"/>
      <c r="P383" s="28"/>
      <c r="Q383" s="28"/>
      <c r="R383" s="28"/>
      <c r="S383" s="28"/>
      <c r="T383" s="28"/>
      <c r="U383" s="28"/>
      <c r="V383" s="26"/>
      <c r="W383" s="31" t="e">
        <f>INDEX(TBL_LNG_IMPORTERS_CONNECTIONS[LNGImporterConnectionID],$A383)</f>
        <v>#REF!</v>
      </c>
      <c r="X383" s="31" t="e">
        <f>"LNGImporterCapMax_"&amp;RIGHT($W383,11)</f>
        <v>#REF!</v>
      </c>
    </row>
    <row r="384" spans="1:24" x14ac:dyDescent="0.25">
      <c r="A384" s="94">
        <f t="shared" si="518"/>
        <v>95</v>
      </c>
      <c r="B384" s="116"/>
      <c r="C384" s="93" t="str">
        <f t="shared" ref="C384:D384" si="520">IF($B382&lt;&gt;"",C380,"")</f>
        <v/>
      </c>
      <c r="D384" s="93" t="str">
        <f t="shared" si="520"/>
        <v/>
      </c>
      <c r="E384" s="27"/>
      <c r="F384" s="27"/>
      <c r="G384" s="27"/>
      <c r="H384" s="27"/>
      <c r="I384" s="27"/>
      <c r="J384" s="27"/>
      <c r="K384" s="27"/>
      <c r="L384" s="27"/>
      <c r="M384" s="27"/>
      <c r="N384" s="27"/>
      <c r="O384" s="27"/>
      <c r="P384" s="27"/>
      <c r="Q384" s="27"/>
      <c r="R384" s="27"/>
      <c r="S384" s="27"/>
      <c r="T384" s="27"/>
      <c r="U384" s="27"/>
      <c r="V384" s="25"/>
      <c r="W384" s="31" t="e">
        <f>INDEX(TBL_LNG_IMPORTERS_CONNECTIONS[LNGImporterConnectionID],$A384)</f>
        <v>#REF!</v>
      </c>
      <c r="X384" s="31" t="e">
        <f>"LNGImporterTariffFixed_"&amp;RIGHT($W384,11)</f>
        <v>#REF!</v>
      </c>
    </row>
    <row r="385" spans="1:24" x14ac:dyDescent="0.25">
      <c r="A385" s="94">
        <f t="shared" si="518"/>
        <v>95</v>
      </c>
      <c r="B385" s="117"/>
      <c r="C385" s="93" t="str">
        <f t="shared" ref="C385:D385" si="521">IF($B382&lt;&gt;"",C381,"")</f>
        <v/>
      </c>
      <c r="D385" s="93" t="str">
        <f t="shared" si="521"/>
        <v/>
      </c>
      <c r="E385" s="28"/>
      <c r="F385" s="28"/>
      <c r="G385" s="28"/>
      <c r="H385" s="28"/>
      <c r="I385" s="28"/>
      <c r="J385" s="28"/>
      <c r="K385" s="28"/>
      <c r="L385" s="28"/>
      <c r="M385" s="28"/>
      <c r="N385" s="28"/>
      <c r="O385" s="28"/>
      <c r="P385" s="28"/>
      <c r="Q385" s="28"/>
      <c r="R385" s="28"/>
      <c r="S385" s="28"/>
      <c r="T385" s="28"/>
      <c r="U385" s="28"/>
      <c r="V385" s="26"/>
      <c r="W385" s="31" t="e">
        <f>INDEX(TBL_LNG_IMPORTERS_CONNECTIONS[LNGImporterConnectionID],$A385)</f>
        <v>#REF!</v>
      </c>
      <c r="X385" s="31" t="e">
        <f>"LNGImporterTariffVar_"&amp;RIGHT($W385,11)</f>
        <v>#REF!</v>
      </c>
    </row>
    <row r="386" spans="1:24" x14ac:dyDescent="0.25">
      <c r="A386" s="94">
        <f t="shared" ref="A386" si="522">$A382+1</f>
        <v>96</v>
      </c>
      <c r="B386" s="115" t="str">
        <f>IFERROR(INDEX(TBL_LNG_IMPORTERS_CONNECTIONS[Name],$A386),"")</f>
        <v/>
      </c>
      <c r="C386" s="93" t="str">
        <f t="shared" ref="C386:D386" si="523">IF($B386&lt;&gt;"",C382,"")</f>
        <v/>
      </c>
      <c r="D386" s="93" t="str">
        <f t="shared" si="523"/>
        <v/>
      </c>
      <c r="E386" s="27"/>
      <c r="F386" s="27"/>
      <c r="G386" s="27"/>
      <c r="H386" s="27"/>
      <c r="I386" s="27"/>
      <c r="J386" s="27"/>
      <c r="K386" s="27"/>
      <c r="L386" s="27"/>
      <c r="M386" s="27"/>
      <c r="N386" s="27"/>
      <c r="O386" s="27"/>
      <c r="P386" s="27"/>
      <c r="Q386" s="27"/>
      <c r="R386" s="27"/>
      <c r="S386" s="27"/>
      <c r="T386" s="27"/>
      <c r="U386" s="27"/>
      <c r="V386" s="25"/>
      <c r="W386" s="31" t="e">
        <f>INDEX(TBL_LNG_IMPORTERS_CONNECTIONS[LNGImporterConnectionID],$A386)</f>
        <v>#REF!</v>
      </c>
      <c r="X386" s="31" t="e">
        <f>"LNGImporterCapMin_"&amp;RIGHT($W386,11)</f>
        <v>#REF!</v>
      </c>
    </row>
    <row r="387" spans="1:24" x14ac:dyDescent="0.25">
      <c r="A387" s="94">
        <f t="shared" ref="A387:A389" si="524">$A386</f>
        <v>96</v>
      </c>
      <c r="B387" s="116"/>
      <c r="C387" s="93" t="str">
        <f t="shared" ref="C387:D387" si="525">IF($B386&lt;&gt;"",C383,"")</f>
        <v/>
      </c>
      <c r="D387" s="93" t="str">
        <f t="shared" si="525"/>
        <v/>
      </c>
      <c r="E387" s="28"/>
      <c r="F387" s="28"/>
      <c r="G387" s="28"/>
      <c r="H387" s="28"/>
      <c r="I387" s="28"/>
      <c r="J387" s="28"/>
      <c r="K387" s="28"/>
      <c r="L387" s="28"/>
      <c r="M387" s="28"/>
      <c r="N387" s="28"/>
      <c r="O387" s="28"/>
      <c r="P387" s="28"/>
      <c r="Q387" s="28"/>
      <c r="R387" s="28"/>
      <c r="S387" s="28"/>
      <c r="T387" s="28"/>
      <c r="U387" s="28"/>
      <c r="V387" s="26"/>
      <c r="W387" s="31" t="e">
        <f>INDEX(TBL_LNG_IMPORTERS_CONNECTIONS[LNGImporterConnectionID],$A387)</f>
        <v>#REF!</v>
      </c>
      <c r="X387" s="31" t="e">
        <f>"LNGImporterCapMax_"&amp;RIGHT($W387,11)</f>
        <v>#REF!</v>
      </c>
    </row>
    <row r="388" spans="1:24" x14ac:dyDescent="0.25">
      <c r="A388" s="94">
        <f t="shared" si="524"/>
        <v>96</v>
      </c>
      <c r="B388" s="116"/>
      <c r="C388" s="93" t="str">
        <f t="shared" ref="C388:D388" si="526">IF($B386&lt;&gt;"",C384,"")</f>
        <v/>
      </c>
      <c r="D388" s="93" t="str">
        <f t="shared" si="526"/>
        <v/>
      </c>
      <c r="E388" s="27"/>
      <c r="F388" s="27"/>
      <c r="G388" s="27"/>
      <c r="H388" s="27"/>
      <c r="I388" s="27"/>
      <c r="J388" s="27"/>
      <c r="K388" s="27"/>
      <c r="L388" s="27"/>
      <c r="M388" s="27"/>
      <c r="N388" s="27"/>
      <c r="O388" s="27"/>
      <c r="P388" s="27"/>
      <c r="Q388" s="27"/>
      <c r="R388" s="27"/>
      <c r="S388" s="27"/>
      <c r="T388" s="27"/>
      <c r="U388" s="27"/>
      <c r="V388" s="25"/>
      <c r="W388" s="31" t="e">
        <f>INDEX(TBL_LNG_IMPORTERS_CONNECTIONS[LNGImporterConnectionID],$A388)</f>
        <v>#REF!</v>
      </c>
      <c r="X388" s="31" t="e">
        <f>"LNGImporterTariffFixed_"&amp;RIGHT($W388,11)</f>
        <v>#REF!</v>
      </c>
    </row>
    <row r="389" spans="1:24" x14ac:dyDescent="0.25">
      <c r="A389" s="94">
        <f t="shared" si="524"/>
        <v>96</v>
      </c>
      <c r="B389" s="117"/>
      <c r="C389" s="93" t="str">
        <f t="shared" ref="C389:D389" si="527">IF($B386&lt;&gt;"",C385,"")</f>
        <v/>
      </c>
      <c r="D389" s="93" t="str">
        <f t="shared" si="527"/>
        <v/>
      </c>
      <c r="E389" s="28"/>
      <c r="F389" s="28"/>
      <c r="G389" s="28"/>
      <c r="H389" s="28"/>
      <c r="I389" s="28"/>
      <c r="J389" s="28"/>
      <c r="K389" s="28"/>
      <c r="L389" s="28"/>
      <c r="M389" s="28"/>
      <c r="N389" s="28"/>
      <c r="O389" s="28"/>
      <c r="P389" s="28"/>
      <c r="Q389" s="28"/>
      <c r="R389" s="28"/>
      <c r="S389" s="28"/>
      <c r="T389" s="28"/>
      <c r="U389" s="28"/>
      <c r="V389" s="26"/>
      <c r="W389" s="31" t="e">
        <f>INDEX(TBL_LNG_IMPORTERS_CONNECTIONS[LNGImporterConnectionID],$A389)</f>
        <v>#REF!</v>
      </c>
      <c r="X389" s="31" t="e">
        <f>"LNGImporterTariffVar_"&amp;RIGHT($W389,11)</f>
        <v>#REF!</v>
      </c>
    </row>
    <row r="390" spans="1:24" x14ac:dyDescent="0.25">
      <c r="A390" s="94">
        <f t="shared" ref="A390" si="528">$A386+1</f>
        <v>97</v>
      </c>
      <c r="B390" s="115" t="str">
        <f>IFERROR(INDEX(TBL_LNG_IMPORTERS_CONNECTIONS[Name],$A390),"")</f>
        <v/>
      </c>
      <c r="C390" s="93" t="str">
        <f t="shared" ref="C390:D390" si="529">IF($B390&lt;&gt;"",C386,"")</f>
        <v/>
      </c>
      <c r="D390" s="93" t="str">
        <f t="shared" si="529"/>
        <v/>
      </c>
      <c r="E390" s="27"/>
      <c r="F390" s="27"/>
      <c r="G390" s="27"/>
      <c r="H390" s="27"/>
      <c r="I390" s="27"/>
      <c r="J390" s="27"/>
      <c r="K390" s="27"/>
      <c r="L390" s="27"/>
      <c r="M390" s="27"/>
      <c r="N390" s="27"/>
      <c r="O390" s="27"/>
      <c r="P390" s="27"/>
      <c r="Q390" s="27"/>
      <c r="R390" s="27"/>
      <c r="S390" s="27"/>
      <c r="T390" s="27"/>
      <c r="U390" s="27"/>
      <c r="V390" s="25"/>
      <c r="W390" s="31" t="e">
        <f>INDEX(TBL_LNG_IMPORTERS_CONNECTIONS[LNGImporterConnectionID],$A390)</f>
        <v>#REF!</v>
      </c>
      <c r="X390" s="31" t="e">
        <f>"LNGImporterCapMin_"&amp;RIGHT($W390,11)</f>
        <v>#REF!</v>
      </c>
    </row>
    <row r="391" spans="1:24" x14ac:dyDescent="0.25">
      <c r="A391" s="94">
        <f t="shared" ref="A391:A393" si="530">$A390</f>
        <v>97</v>
      </c>
      <c r="B391" s="116"/>
      <c r="C391" s="93" t="str">
        <f t="shared" ref="C391:D391" si="531">IF($B390&lt;&gt;"",C387,"")</f>
        <v/>
      </c>
      <c r="D391" s="93" t="str">
        <f t="shared" si="531"/>
        <v/>
      </c>
      <c r="E391" s="28"/>
      <c r="F391" s="28"/>
      <c r="G391" s="28"/>
      <c r="H391" s="28"/>
      <c r="I391" s="28"/>
      <c r="J391" s="28"/>
      <c r="K391" s="28"/>
      <c r="L391" s="28"/>
      <c r="M391" s="28"/>
      <c r="N391" s="28"/>
      <c r="O391" s="28"/>
      <c r="P391" s="28"/>
      <c r="Q391" s="28"/>
      <c r="R391" s="28"/>
      <c r="S391" s="28"/>
      <c r="T391" s="28"/>
      <c r="U391" s="28"/>
      <c r="V391" s="26"/>
      <c r="W391" s="31" t="e">
        <f>INDEX(TBL_LNG_IMPORTERS_CONNECTIONS[LNGImporterConnectionID],$A391)</f>
        <v>#REF!</v>
      </c>
      <c r="X391" s="31" t="e">
        <f>"LNGImporterCapMax_"&amp;RIGHT($W391,11)</f>
        <v>#REF!</v>
      </c>
    </row>
    <row r="392" spans="1:24" x14ac:dyDescent="0.25">
      <c r="A392" s="94">
        <f t="shared" si="530"/>
        <v>97</v>
      </c>
      <c r="B392" s="116"/>
      <c r="C392" s="93" t="str">
        <f t="shared" ref="C392:D392" si="532">IF($B390&lt;&gt;"",C388,"")</f>
        <v/>
      </c>
      <c r="D392" s="93" t="str">
        <f t="shared" si="532"/>
        <v/>
      </c>
      <c r="E392" s="27"/>
      <c r="F392" s="27"/>
      <c r="G392" s="27"/>
      <c r="H392" s="27"/>
      <c r="I392" s="27"/>
      <c r="J392" s="27"/>
      <c r="K392" s="27"/>
      <c r="L392" s="27"/>
      <c r="M392" s="27"/>
      <c r="N392" s="27"/>
      <c r="O392" s="27"/>
      <c r="P392" s="27"/>
      <c r="Q392" s="27"/>
      <c r="R392" s="27"/>
      <c r="S392" s="27"/>
      <c r="T392" s="27"/>
      <c r="U392" s="27"/>
      <c r="V392" s="25"/>
      <c r="W392" s="31" t="e">
        <f>INDEX(TBL_LNG_IMPORTERS_CONNECTIONS[LNGImporterConnectionID],$A392)</f>
        <v>#REF!</v>
      </c>
      <c r="X392" s="31" t="e">
        <f>"LNGImporterTariffFixed_"&amp;RIGHT($W392,11)</f>
        <v>#REF!</v>
      </c>
    </row>
    <row r="393" spans="1:24" x14ac:dyDescent="0.25">
      <c r="A393" s="94">
        <f t="shared" si="530"/>
        <v>97</v>
      </c>
      <c r="B393" s="117"/>
      <c r="C393" s="93" t="str">
        <f t="shared" ref="C393:D393" si="533">IF($B390&lt;&gt;"",C389,"")</f>
        <v/>
      </c>
      <c r="D393" s="93" t="str">
        <f t="shared" si="533"/>
        <v/>
      </c>
      <c r="E393" s="28"/>
      <c r="F393" s="28"/>
      <c r="G393" s="28"/>
      <c r="H393" s="28"/>
      <c r="I393" s="28"/>
      <c r="J393" s="28"/>
      <c r="K393" s="28"/>
      <c r="L393" s="28"/>
      <c r="M393" s="28"/>
      <c r="N393" s="28"/>
      <c r="O393" s="28"/>
      <c r="P393" s="28"/>
      <c r="Q393" s="28"/>
      <c r="R393" s="28"/>
      <c r="S393" s="28"/>
      <c r="T393" s="28"/>
      <c r="U393" s="28"/>
      <c r="V393" s="26"/>
      <c r="W393" s="31" t="e">
        <f>INDEX(TBL_LNG_IMPORTERS_CONNECTIONS[LNGImporterConnectionID],$A393)</f>
        <v>#REF!</v>
      </c>
      <c r="X393" s="31" t="e">
        <f>"LNGImporterTariffVar_"&amp;RIGHT($W393,11)</f>
        <v>#REF!</v>
      </c>
    </row>
    <row r="394" spans="1:24" x14ac:dyDescent="0.25">
      <c r="A394" s="94">
        <f t="shared" ref="A394" si="534">$A390+1</f>
        <v>98</v>
      </c>
      <c r="B394" s="115" t="str">
        <f>IFERROR(INDEX(TBL_LNG_IMPORTERS_CONNECTIONS[Name],$A394),"")</f>
        <v/>
      </c>
      <c r="C394" s="93" t="str">
        <f t="shared" ref="C394:D394" si="535">IF($B394&lt;&gt;"",C390,"")</f>
        <v/>
      </c>
      <c r="D394" s="93" t="str">
        <f t="shared" si="535"/>
        <v/>
      </c>
      <c r="E394" s="27"/>
      <c r="F394" s="27"/>
      <c r="G394" s="27"/>
      <c r="H394" s="27"/>
      <c r="I394" s="27"/>
      <c r="J394" s="27"/>
      <c r="K394" s="27"/>
      <c r="L394" s="27"/>
      <c r="M394" s="27"/>
      <c r="N394" s="27"/>
      <c r="O394" s="27"/>
      <c r="P394" s="27"/>
      <c r="Q394" s="27"/>
      <c r="R394" s="27"/>
      <c r="S394" s="27"/>
      <c r="T394" s="27"/>
      <c r="U394" s="27"/>
      <c r="V394" s="25"/>
      <c r="W394" s="31" t="e">
        <f>INDEX(TBL_LNG_IMPORTERS_CONNECTIONS[LNGImporterConnectionID],$A394)</f>
        <v>#REF!</v>
      </c>
      <c r="X394" s="31" t="e">
        <f>"LNGImporterCapMin_"&amp;RIGHT($W394,11)</f>
        <v>#REF!</v>
      </c>
    </row>
    <row r="395" spans="1:24" x14ac:dyDescent="0.25">
      <c r="A395" s="94">
        <f t="shared" ref="A395:A397" si="536">$A394</f>
        <v>98</v>
      </c>
      <c r="B395" s="116"/>
      <c r="C395" s="93" t="str">
        <f t="shared" ref="C395:D395" si="537">IF($B394&lt;&gt;"",C391,"")</f>
        <v/>
      </c>
      <c r="D395" s="93" t="str">
        <f t="shared" si="537"/>
        <v/>
      </c>
      <c r="E395" s="28"/>
      <c r="F395" s="28"/>
      <c r="G395" s="28"/>
      <c r="H395" s="28"/>
      <c r="I395" s="28"/>
      <c r="J395" s="28"/>
      <c r="K395" s="28"/>
      <c r="L395" s="28"/>
      <c r="M395" s="28"/>
      <c r="N395" s="28"/>
      <c r="O395" s="28"/>
      <c r="P395" s="28"/>
      <c r="Q395" s="28"/>
      <c r="R395" s="28"/>
      <c r="S395" s="28"/>
      <c r="T395" s="28"/>
      <c r="U395" s="28"/>
      <c r="V395" s="26"/>
      <c r="W395" s="31" t="e">
        <f>INDEX(TBL_LNG_IMPORTERS_CONNECTIONS[LNGImporterConnectionID],$A395)</f>
        <v>#REF!</v>
      </c>
      <c r="X395" s="31" t="e">
        <f>"LNGImporterCapMax_"&amp;RIGHT($W395,11)</f>
        <v>#REF!</v>
      </c>
    </row>
    <row r="396" spans="1:24" x14ac:dyDescent="0.25">
      <c r="A396" s="94">
        <f t="shared" si="536"/>
        <v>98</v>
      </c>
      <c r="B396" s="116"/>
      <c r="C396" s="93" t="str">
        <f t="shared" ref="C396:D396" si="538">IF($B394&lt;&gt;"",C392,"")</f>
        <v/>
      </c>
      <c r="D396" s="93" t="str">
        <f t="shared" si="538"/>
        <v/>
      </c>
      <c r="E396" s="27"/>
      <c r="F396" s="27"/>
      <c r="G396" s="27"/>
      <c r="H396" s="27"/>
      <c r="I396" s="27"/>
      <c r="J396" s="27"/>
      <c r="K396" s="27"/>
      <c r="L396" s="27"/>
      <c r="M396" s="27"/>
      <c r="N396" s="27"/>
      <c r="O396" s="27"/>
      <c r="P396" s="27"/>
      <c r="Q396" s="27"/>
      <c r="R396" s="27"/>
      <c r="S396" s="27"/>
      <c r="T396" s="27"/>
      <c r="U396" s="27"/>
      <c r="V396" s="25"/>
      <c r="W396" s="31" t="e">
        <f>INDEX(TBL_LNG_IMPORTERS_CONNECTIONS[LNGImporterConnectionID],$A396)</f>
        <v>#REF!</v>
      </c>
      <c r="X396" s="31" t="e">
        <f>"LNGImporterTariffFixed_"&amp;RIGHT($W396,11)</f>
        <v>#REF!</v>
      </c>
    </row>
    <row r="397" spans="1:24" x14ac:dyDescent="0.25">
      <c r="A397" s="94">
        <f t="shared" si="536"/>
        <v>98</v>
      </c>
      <c r="B397" s="117"/>
      <c r="C397" s="93" t="str">
        <f t="shared" ref="C397:D397" si="539">IF($B394&lt;&gt;"",C393,"")</f>
        <v/>
      </c>
      <c r="D397" s="93" t="str">
        <f t="shared" si="539"/>
        <v/>
      </c>
      <c r="E397" s="28"/>
      <c r="F397" s="28"/>
      <c r="G397" s="28"/>
      <c r="H397" s="28"/>
      <c r="I397" s="28"/>
      <c r="J397" s="28"/>
      <c r="K397" s="28"/>
      <c r="L397" s="28"/>
      <c r="M397" s="28"/>
      <c r="N397" s="28"/>
      <c r="O397" s="28"/>
      <c r="P397" s="28"/>
      <c r="Q397" s="28"/>
      <c r="R397" s="28"/>
      <c r="S397" s="28"/>
      <c r="T397" s="28"/>
      <c r="U397" s="28"/>
      <c r="V397" s="26"/>
      <c r="W397" s="31" t="e">
        <f>INDEX(TBL_LNG_IMPORTERS_CONNECTIONS[LNGImporterConnectionID],$A397)</f>
        <v>#REF!</v>
      </c>
      <c r="X397" s="31" t="e">
        <f>"LNGImporterTariffVar_"&amp;RIGHT($W397,11)</f>
        <v>#REF!</v>
      </c>
    </row>
    <row r="398" spans="1:24" x14ac:dyDescent="0.25">
      <c r="A398" s="94">
        <f t="shared" ref="A398" si="540">$A394+1</f>
        <v>99</v>
      </c>
      <c r="B398" s="115" t="str">
        <f>IFERROR(INDEX(TBL_LNG_IMPORTERS_CONNECTIONS[Name],$A398),"")</f>
        <v/>
      </c>
      <c r="C398" s="93" t="str">
        <f t="shared" ref="C398:D398" si="541">IF($B398&lt;&gt;"",C394,"")</f>
        <v/>
      </c>
      <c r="D398" s="93" t="str">
        <f t="shared" si="541"/>
        <v/>
      </c>
      <c r="E398" s="27"/>
      <c r="F398" s="27"/>
      <c r="G398" s="27"/>
      <c r="H398" s="27"/>
      <c r="I398" s="27"/>
      <c r="J398" s="27"/>
      <c r="K398" s="27"/>
      <c r="L398" s="27"/>
      <c r="M398" s="27"/>
      <c r="N398" s="27"/>
      <c r="O398" s="27"/>
      <c r="P398" s="27"/>
      <c r="Q398" s="27"/>
      <c r="R398" s="27"/>
      <c r="S398" s="27"/>
      <c r="T398" s="27"/>
      <c r="U398" s="27"/>
      <c r="V398" s="25"/>
      <c r="W398" s="31" t="e">
        <f>INDEX(TBL_LNG_IMPORTERS_CONNECTIONS[LNGImporterConnectionID],$A398)</f>
        <v>#REF!</v>
      </c>
      <c r="X398" s="31" t="e">
        <f>"LNGImporterCapMin_"&amp;RIGHT($W398,11)</f>
        <v>#REF!</v>
      </c>
    </row>
    <row r="399" spans="1:24" x14ac:dyDescent="0.25">
      <c r="A399" s="94">
        <f t="shared" ref="A399:A417" si="542">$A398</f>
        <v>99</v>
      </c>
      <c r="B399" s="116"/>
      <c r="C399" s="93" t="str">
        <f t="shared" ref="C399:D399" si="543">IF($B398&lt;&gt;"",C395,"")</f>
        <v/>
      </c>
      <c r="D399" s="93" t="str">
        <f t="shared" si="543"/>
        <v/>
      </c>
      <c r="E399" s="28"/>
      <c r="F399" s="28"/>
      <c r="G399" s="28"/>
      <c r="H399" s="28"/>
      <c r="I399" s="28"/>
      <c r="J399" s="28"/>
      <c r="K399" s="28"/>
      <c r="L399" s="28"/>
      <c r="M399" s="28"/>
      <c r="N399" s="28"/>
      <c r="O399" s="28"/>
      <c r="P399" s="28"/>
      <c r="Q399" s="28"/>
      <c r="R399" s="28"/>
      <c r="S399" s="28"/>
      <c r="T399" s="28"/>
      <c r="U399" s="28"/>
      <c r="V399" s="26"/>
      <c r="W399" s="31" t="e">
        <f>INDEX(TBL_LNG_IMPORTERS_CONNECTIONS[LNGImporterConnectionID],$A399)</f>
        <v>#REF!</v>
      </c>
      <c r="X399" s="31" t="e">
        <f>"LNGImporterCapMax_"&amp;RIGHT($W399,11)</f>
        <v>#REF!</v>
      </c>
    </row>
    <row r="400" spans="1:24" x14ac:dyDescent="0.25">
      <c r="A400" s="94">
        <f t="shared" si="542"/>
        <v>99</v>
      </c>
      <c r="B400" s="116"/>
      <c r="C400" s="93" t="str">
        <f t="shared" ref="C400:D400" si="544">IF($B398&lt;&gt;"",C396,"")</f>
        <v/>
      </c>
      <c r="D400" s="93" t="str">
        <f t="shared" si="544"/>
        <v/>
      </c>
      <c r="E400" s="27"/>
      <c r="F400" s="27"/>
      <c r="G400" s="27"/>
      <c r="H400" s="27"/>
      <c r="I400" s="27"/>
      <c r="J400" s="27"/>
      <c r="K400" s="27"/>
      <c r="L400" s="27"/>
      <c r="M400" s="27"/>
      <c r="N400" s="27"/>
      <c r="O400" s="27"/>
      <c r="P400" s="27"/>
      <c r="Q400" s="27"/>
      <c r="R400" s="27"/>
      <c r="S400" s="27"/>
      <c r="T400" s="27"/>
      <c r="U400" s="27"/>
      <c r="V400" s="25"/>
      <c r="W400" s="31" t="e">
        <f>INDEX(TBL_LNG_IMPORTERS_CONNECTIONS[LNGImporterConnectionID],$A400)</f>
        <v>#REF!</v>
      </c>
      <c r="X400" s="31" t="e">
        <f>"LNGImporterTariffFixed_"&amp;RIGHT($W400,11)</f>
        <v>#REF!</v>
      </c>
    </row>
    <row r="401" spans="1:24" x14ac:dyDescent="0.25">
      <c r="A401" s="94">
        <f t="shared" si="542"/>
        <v>99</v>
      </c>
      <c r="B401" s="117"/>
      <c r="C401" s="93" t="str">
        <f t="shared" ref="C401:D401" si="545">IF($B398&lt;&gt;"",C397,"")</f>
        <v/>
      </c>
      <c r="D401" s="93" t="str">
        <f t="shared" si="545"/>
        <v/>
      </c>
      <c r="E401" s="28"/>
      <c r="F401" s="28"/>
      <c r="G401" s="28"/>
      <c r="H401" s="28"/>
      <c r="I401" s="28"/>
      <c r="J401" s="28"/>
      <c r="K401" s="28"/>
      <c r="L401" s="28"/>
      <c r="M401" s="28"/>
      <c r="N401" s="28"/>
      <c r="O401" s="28"/>
      <c r="P401" s="28"/>
      <c r="Q401" s="28"/>
      <c r="R401" s="28"/>
      <c r="S401" s="28"/>
      <c r="T401" s="28"/>
      <c r="U401" s="28"/>
      <c r="V401" s="26"/>
      <c r="W401" s="31" t="e">
        <f>INDEX(TBL_LNG_IMPORTERS_CONNECTIONS[LNGImporterConnectionID],$A401)</f>
        <v>#REF!</v>
      </c>
      <c r="X401" s="31" t="e">
        <f>"LNGImporterTariffVar_"&amp;RIGHT($W401,11)</f>
        <v>#REF!</v>
      </c>
    </row>
    <row r="402" spans="1:24" x14ac:dyDescent="0.25">
      <c r="A402" s="94">
        <f t="shared" ref="A402" si="546">$A398+1</f>
        <v>100</v>
      </c>
      <c r="B402" s="115" t="str">
        <f>IFERROR(INDEX(TBL_LNG_IMPORTERS_CONNECTIONS[Name],$A402),"")</f>
        <v/>
      </c>
      <c r="C402" s="93" t="str">
        <f t="shared" ref="C402:D402" si="547">IF($B402&lt;&gt;"",C398,"")</f>
        <v/>
      </c>
      <c r="D402" s="93" t="str">
        <f t="shared" si="547"/>
        <v/>
      </c>
      <c r="E402" s="27"/>
      <c r="F402" s="27"/>
      <c r="G402" s="27"/>
      <c r="H402" s="27"/>
      <c r="I402" s="27"/>
      <c r="J402" s="27"/>
      <c r="K402" s="27"/>
      <c r="L402" s="27"/>
      <c r="M402" s="27"/>
      <c r="N402" s="27"/>
      <c r="O402" s="27"/>
      <c r="P402" s="27"/>
      <c r="Q402" s="27"/>
      <c r="R402" s="27"/>
      <c r="S402" s="27"/>
      <c r="T402" s="27"/>
      <c r="U402" s="27"/>
      <c r="V402" s="25"/>
      <c r="W402" s="31" t="e">
        <f>INDEX(TBL_LNG_IMPORTERS_CONNECTIONS[LNGImporterConnectionID],$A402)</f>
        <v>#REF!</v>
      </c>
      <c r="X402" s="31" t="e">
        <f>"LNGImporterCapMin_"&amp;RIGHT($W402,11)</f>
        <v>#REF!</v>
      </c>
    </row>
    <row r="403" spans="1:24" x14ac:dyDescent="0.25">
      <c r="A403" s="94">
        <f t="shared" si="542"/>
        <v>100</v>
      </c>
      <c r="B403" s="116"/>
      <c r="C403" s="93" t="str">
        <f t="shared" ref="C403:D403" si="548">IF($B402&lt;&gt;"",C399,"")</f>
        <v/>
      </c>
      <c r="D403" s="93" t="str">
        <f t="shared" si="548"/>
        <v/>
      </c>
      <c r="E403" s="28"/>
      <c r="F403" s="28"/>
      <c r="G403" s="28"/>
      <c r="H403" s="28"/>
      <c r="I403" s="28"/>
      <c r="J403" s="28"/>
      <c r="K403" s="28"/>
      <c r="L403" s="28"/>
      <c r="M403" s="28"/>
      <c r="N403" s="28"/>
      <c r="O403" s="28"/>
      <c r="P403" s="28"/>
      <c r="Q403" s="28"/>
      <c r="R403" s="28"/>
      <c r="S403" s="28"/>
      <c r="T403" s="28"/>
      <c r="U403" s="28"/>
      <c r="V403" s="26"/>
      <c r="W403" s="31" t="e">
        <f>INDEX(TBL_LNG_IMPORTERS_CONNECTIONS[LNGImporterConnectionID],$A403)</f>
        <v>#REF!</v>
      </c>
      <c r="X403" s="31" t="e">
        <f>"LNGImporterCapMax_"&amp;RIGHT($W403,11)</f>
        <v>#REF!</v>
      </c>
    </row>
    <row r="404" spans="1:24" x14ac:dyDescent="0.25">
      <c r="A404" s="94">
        <f t="shared" si="542"/>
        <v>100</v>
      </c>
      <c r="B404" s="116"/>
      <c r="C404" s="93" t="str">
        <f t="shared" ref="C404:D404" si="549">IF($B402&lt;&gt;"",C400,"")</f>
        <v/>
      </c>
      <c r="D404" s="93" t="str">
        <f t="shared" si="549"/>
        <v/>
      </c>
      <c r="E404" s="27"/>
      <c r="F404" s="27"/>
      <c r="G404" s="27"/>
      <c r="H404" s="27"/>
      <c r="I404" s="27"/>
      <c r="J404" s="27"/>
      <c r="K404" s="27"/>
      <c r="L404" s="27"/>
      <c r="M404" s="27"/>
      <c r="N404" s="27"/>
      <c r="O404" s="27"/>
      <c r="P404" s="27"/>
      <c r="Q404" s="27"/>
      <c r="R404" s="27"/>
      <c r="S404" s="27"/>
      <c r="T404" s="27"/>
      <c r="U404" s="27"/>
      <c r="V404" s="25"/>
      <c r="W404" s="31" t="e">
        <f>INDEX(TBL_LNG_IMPORTERS_CONNECTIONS[LNGImporterConnectionID],$A404)</f>
        <v>#REF!</v>
      </c>
      <c r="X404" s="31" t="e">
        <f>"LNGImporterTariffFixed_"&amp;RIGHT($W404,11)</f>
        <v>#REF!</v>
      </c>
    </row>
    <row r="405" spans="1:24" x14ac:dyDescent="0.25">
      <c r="A405" s="94">
        <f t="shared" si="542"/>
        <v>100</v>
      </c>
      <c r="B405" s="117"/>
      <c r="C405" s="93" t="str">
        <f t="shared" ref="C405:D405" si="550">IF($B402&lt;&gt;"",C401,"")</f>
        <v/>
      </c>
      <c r="D405" s="93" t="str">
        <f t="shared" si="550"/>
        <v/>
      </c>
      <c r="E405" s="28"/>
      <c r="F405" s="28"/>
      <c r="G405" s="28"/>
      <c r="H405" s="28"/>
      <c r="I405" s="28"/>
      <c r="J405" s="28"/>
      <c r="K405" s="28"/>
      <c r="L405" s="28"/>
      <c r="M405" s="28"/>
      <c r="N405" s="28"/>
      <c r="O405" s="28"/>
      <c r="P405" s="28"/>
      <c r="Q405" s="28"/>
      <c r="R405" s="28"/>
      <c r="S405" s="28"/>
      <c r="T405" s="28"/>
      <c r="U405" s="28"/>
      <c r="V405" s="26"/>
      <c r="W405" s="31" t="e">
        <f>INDEX(TBL_LNG_IMPORTERS_CONNECTIONS[LNGImporterConnectionID],$A405)</f>
        <v>#REF!</v>
      </c>
      <c r="X405" s="31" t="e">
        <f>"LNGImporterTariffVar_"&amp;RIGHT($W405,11)</f>
        <v>#REF!</v>
      </c>
    </row>
    <row r="406" spans="1:24" x14ac:dyDescent="0.25">
      <c r="A406" s="94">
        <f t="shared" ref="A406" si="551">$A402+1</f>
        <v>101</v>
      </c>
      <c r="B406" s="115" t="str">
        <f>IFERROR(INDEX(TBL_LNG_IMPORTERS_CONNECTIONS[Name],$A406),"")</f>
        <v/>
      </c>
      <c r="C406" s="93" t="str">
        <f t="shared" ref="C406:D406" si="552">IF($B406&lt;&gt;"",C402,"")</f>
        <v/>
      </c>
      <c r="D406" s="93" t="str">
        <f t="shared" si="552"/>
        <v/>
      </c>
      <c r="E406" s="27"/>
      <c r="F406" s="27"/>
      <c r="G406" s="27"/>
      <c r="H406" s="27"/>
      <c r="I406" s="27"/>
      <c r="J406" s="27"/>
      <c r="K406" s="27"/>
      <c r="L406" s="27"/>
      <c r="M406" s="27"/>
      <c r="N406" s="27"/>
      <c r="O406" s="27"/>
      <c r="P406" s="27"/>
      <c r="Q406" s="27"/>
      <c r="R406" s="27"/>
      <c r="S406" s="27"/>
      <c r="T406" s="27"/>
      <c r="U406" s="27"/>
      <c r="V406" s="25"/>
      <c r="W406" s="31" t="e">
        <f>INDEX(TBL_LNG_IMPORTERS_CONNECTIONS[LNGImporterConnectionID],$A406)</f>
        <v>#REF!</v>
      </c>
      <c r="X406" s="31" t="e">
        <f>"LNGImporterCapMin_"&amp;RIGHT($W406,11)</f>
        <v>#REF!</v>
      </c>
    </row>
    <row r="407" spans="1:24" x14ac:dyDescent="0.25">
      <c r="A407" s="94">
        <f t="shared" si="542"/>
        <v>101</v>
      </c>
      <c r="B407" s="116"/>
      <c r="C407" s="93" t="str">
        <f t="shared" ref="C407:D407" si="553">IF($B406&lt;&gt;"",C403,"")</f>
        <v/>
      </c>
      <c r="D407" s="93" t="str">
        <f t="shared" si="553"/>
        <v/>
      </c>
      <c r="E407" s="28"/>
      <c r="F407" s="28"/>
      <c r="G407" s="28"/>
      <c r="H407" s="28"/>
      <c r="I407" s="28"/>
      <c r="J407" s="28"/>
      <c r="K407" s="28"/>
      <c r="L407" s="28"/>
      <c r="M407" s="28"/>
      <c r="N407" s="28"/>
      <c r="O407" s="28"/>
      <c r="P407" s="28"/>
      <c r="Q407" s="28"/>
      <c r="R407" s="28"/>
      <c r="S407" s="28"/>
      <c r="T407" s="28"/>
      <c r="U407" s="28"/>
      <c r="V407" s="26"/>
      <c r="W407" s="31" t="e">
        <f>INDEX(TBL_LNG_IMPORTERS_CONNECTIONS[LNGImporterConnectionID],$A407)</f>
        <v>#REF!</v>
      </c>
      <c r="X407" s="31" t="e">
        <f>"LNGImporterCapMax_"&amp;RIGHT($W407,11)</f>
        <v>#REF!</v>
      </c>
    </row>
    <row r="408" spans="1:24" x14ac:dyDescent="0.25">
      <c r="A408" s="94">
        <f t="shared" si="542"/>
        <v>101</v>
      </c>
      <c r="B408" s="116"/>
      <c r="C408" s="93" t="str">
        <f t="shared" ref="C408:D408" si="554">IF($B406&lt;&gt;"",C404,"")</f>
        <v/>
      </c>
      <c r="D408" s="93" t="str">
        <f t="shared" si="554"/>
        <v/>
      </c>
      <c r="E408" s="27"/>
      <c r="F408" s="27"/>
      <c r="G408" s="27"/>
      <c r="H408" s="27"/>
      <c r="I408" s="27"/>
      <c r="J408" s="27"/>
      <c r="K408" s="27"/>
      <c r="L408" s="27"/>
      <c r="M408" s="27"/>
      <c r="N408" s="27"/>
      <c r="O408" s="27"/>
      <c r="P408" s="27"/>
      <c r="Q408" s="27"/>
      <c r="R408" s="27"/>
      <c r="S408" s="27"/>
      <c r="T408" s="27"/>
      <c r="U408" s="27"/>
      <c r="V408" s="25"/>
      <c r="W408" s="31" t="e">
        <f>INDEX(TBL_LNG_IMPORTERS_CONNECTIONS[LNGImporterConnectionID],$A408)</f>
        <v>#REF!</v>
      </c>
      <c r="X408" s="31" t="e">
        <f>"LNGImporterTariffFixed_"&amp;RIGHT($W408,11)</f>
        <v>#REF!</v>
      </c>
    </row>
    <row r="409" spans="1:24" x14ac:dyDescent="0.25">
      <c r="A409" s="94">
        <f t="shared" si="542"/>
        <v>101</v>
      </c>
      <c r="B409" s="117"/>
      <c r="C409" s="93" t="str">
        <f t="shared" ref="C409:D409" si="555">IF($B406&lt;&gt;"",C405,"")</f>
        <v/>
      </c>
      <c r="D409" s="93" t="str">
        <f t="shared" si="555"/>
        <v/>
      </c>
      <c r="E409" s="28"/>
      <c r="F409" s="28"/>
      <c r="G409" s="28"/>
      <c r="H409" s="28"/>
      <c r="I409" s="28"/>
      <c r="J409" s="28"/>
      <c r="K409" s="28"/>
      <c r="L409" s="28"/>
      <c r="M409" s="28"/>
      <c r="N409" s="28"/>
      <c r="O409" s="28"/>
      <c r="P409" s="28"/>
      <c r="Q409" s="28"/>
      <c r="R409" s="28"/>
      <c r="S409" s="28"/>
      <c r="T409" s="28"/>
      <c r="U409" s="28"/>
      <c r="V409" s="26"/>
      <c r="W409" s="31" t="e">
        <f>INDEX(TBL_LNG_IMPORTERS_CONNECTIONS[LNGImporterConnectionID],$A409)</f>
        <v>#REF!</v>
      </c>
      <c r="X409" s="31" t="e">
        <f>"LNGImporterTariffVar_"&amp;RIGHT($W409,11)</f>
        <v>#REF!</v>
      </c>
    </row>
    <row r="410" spans="1:24" x14ac:dyDescent="0.25">
      <c r="A410" s="94">
        <f t="shared" ref="A410" si="556">$A406+1</f>
        <v>102</v>
      </c>
      <c r="B410" s="115" t="str">
        <f>IFERROR(INDEX(TBL_LNG_IMPORTERS_CONNECTIONS[Name],$A410),"")</f>
        <v/>
      </c>
      <c r="C410" s="93" t="str">
        <f t="shared" ref="C410:D410" si="557">IF($B410&lt;&gt;"",C406,"")</f>
        <v/>
      </c>
      <c r="D410" s="93" t="str">
        <f t="shared" si="557"/>
        <v/>
      </c>
      <c r="E410" s="27"/>
      <c r="F410" s="27"/>
      <c r="G410" s="27"/>
      <c r="H410" s="27"/>
      <c r="I410" s="27"/>
      <c r="J410" s="27"/>
      <c r="K410" s="27"/>
      <c r="L410" s="27"/>
      <c r="M410" s="27"/>
      <c r="N410" s="27"/>
      <c r="O410" s="27"/>
      <c r="P410" s="27"/>
      <c r="Q410" s="27"/>
      <c r="R410" s="27"/>
      <c r="S410" s="27"/>
      <c r="T410" s="27"/>
      <c r="U410" s="27"/>
      <c r="V410" s="25"/>
      <c r="W410" s="31" t="e">
        <f>INDEX(TBL_LNG_IMPORTERS_CONNECTIONS[LNGImporterConnectionID],$A410)</f>
        <v>#REF!</v>
      </c>
      <c r="X410" s="31" t="e">
        <f>"LNGImporterCapMin_"&amp;RIGHT($W410,11)</f>
        <v>#REF!</v>
      </c>
    </row>
    <row r="411" spans="1:24" x14ac:dyDescent="0.25">
      <c r="A411" s="94">
        <f t="shared" si="542"/>
        <v>102</v>
      </c>
      <c r="B411" s="116"/>
      <c r="C411" s="93" t="str">
        <f t="shared" ref="C411:D411" si="558">IF($B410&lt;&gt;"",C407,"")</f>
        <v/>
      </c>
      <c r="D411" s="93" t="str">
        <f t="shared" si="558"/>
        <v/>
      </c>
      <c r="E411" s="28"/>
      <c r="F411" s="28"/>
      <c r="G411" s="28"/>
      <c r="H411" s="28"/>
      <c r="I411" s="28"/>
      <c r="J411" s="28"/>
      <c r="K411" s="28"/>
      <c r="L411" s="28"/>
      <c r="M411" s="28"/>
      <c r="N411" s="28"/>
      <c r="O411" s="28"/>
      <c r="P411" s="28"/>
      <c r="Q411" s="28"/>
      <c r="R411" s="28"/>
      <c r="S411" s="28"/>
      <c r="T411" s="28"/>
      <c r="U411" s="28"/>
      <c r="V411" s="26"/>
      <c r="W411" s="31" t="e">
        <f>INDEX(TBL_LNG_IMPORTERS_CONNECTIONS[LNGImporterConnectionID],$A411)</f>
        <v>#REF!</v>
      </c>
      <c r="X411" s="31" t="e">
        <f>"LNGImporterCapMax_"&amp;RIGHT($W411,11)</f>
        <v>#REF!</v>
      </c>
    </row>
    <row r="412" spans="1:24" x14ac:dyDescent="0.25">
      <c r="A412" s="94">
        <f t="shared" si="542"/>
        <v>102</v>
      </c>
      <c r="B412" s="116"/>
      <c r="C412" s="93" t="str">
        <f t="shared" ref="C412:D412" si="559">IF($B410&lt;&gt;"",C408,"")</f>
        <v/>
      </c>
      <c r="D412" s="93" t="str">
        <f t="shared" si="559"/>
        <v/>
      </c>
      <c r="E412" s="27"/>
      <c r="F412" s="27"/>
      <c r="G412" s="27"/>
      <c r="H412" s="27"/>
      <c r="I412" s="27"/>
      <c r="J412" s="27"/>
      <c r="K412" s="27"/>
      <c r="L412" s="27"/>
      <c r="M412" s="27"/>
      <c r="N412" s="27"/>
      <c r="O412" s="27"/>
      <c r="P412" s="27"/>
      <c r="Q412" s="27"/>
      <c r="R412" s="27"/>
      <c r="S412" s="27"/>
      <c r="T412" s="27"/>
      <c r="U412" s="27"/>
      <c r="V412" s="25"/>
      <c r="W412" s="31" t="e">
        <f>INDEX(TBL_LNG_IMPORTERS_CONNECTIONS[LNGImporterConnectionID],$A412)</f>
        <v>#REF!</v>
      </c>
      <c r="X412" s="31" t="e">
        <f>"LNGImporterTariffFixed_"&amp;RIGHT($W412,11)</f>
        <v>#REF!</v>
      </c>
    </row>
    <row r="413" spans="1:24" x14ac:dyDescent="0.25">
      <c r="A413" s="94">
        <f t="shared" si="542"/>
        <v>102</v>
      </c>
      <c r="B413" s="117"/>
      <c r="C413" s="93" t="str">
        <f t="shared" ref="C413:D413" si="560">IF($B410&lt;&gt;"",C409,"")</f>
        <v/>
      </c>
      <c r="D413" s="93" t="str">
        <f t="shared" si="560"/>
        <v/>
      </c>
      <c r="E413" s="28"/>
      <c r="F413" s="28"/>
      <c r="G413" s="28"/>
      <c r="H413" s="28"/>
      <c r="I413" s="28"/>
      <c r="J413" s="28"/>
      <c r="K413" s="28"/>
      <c r="L413" s="28"/>
      <c r="M413" s="28"/>
      <c r="N413" s="28"/>
      <c r="O413" s="28"/>
      <c r="P413" s="28"/>
      <c r="Q413" s="28"/>
      <c r="R413" s="28"/>
      <c r="S413" s="28"/>
      <c r="T413" s="28"/>
      <c r="U413" s="28"/>
      <c r="V413" s="26"/>
      <c r="W413" s="31" t="e">
        <f>INDEX(TBL_LNG_IMPORTERS_CONNECTIONS[LNGImporterConnectionID],$A413)</f>
        <v>#REF!</v>
      </c>
      <c r="X413" s="31" t="e">
        <f>"LNGImporterTariffVar_"&amp;RIGHT($W413,11)</f>
        <v>#REF!</v>
      </c>
    </row>
    <row r="414" spans="1:24" x14ac:dyDescent="0.25">
      <c r="A414" s="94">
        <f t="shared" ref="A414" si="561">$A410+1</f>
        <v>103</v>
      </c>
      <c r="B414" s="115" t="str">
        <f>IFERROR(INDEX(TBL_LNG_IMPORTERS_CONNECTIONS[Name],$A414),"")</f>
        <v/>
      </c>
      <c r="C414" s="93" t="str">
        <f t="shared" ref="C414:D414" si="562">IF($B414&lt;&gt;"",C410,"")</f>
        <v/>
      </c>
      <c r="D414" s="93" t="str">
        <f t="shared" si="562"/>
        <v/>
      </c>
      <c r="E414" s="27"/>
      <c r="F414" s="27"/>
      <c r="G414" s="27"/>
      <c r="H414" s="27"/>
      <c r="I414" s="27"/>
      <c r="J414" s="27"/>
      <c r="K414" s="27"/>
      <c r="L414" s="27"/>
      <c r="M414" s="27"/>
      <c r="N414" s="27"/>
      <c r="O414" s="27"/>
      <c r="P414" s="27"/>
      <c r="Q414" s="27"/>
      <c r="R414" s="27"/>
      <c r="S414" s="27"/>
      <c r="T414" s="27"/>
      <c r="U414" s="27"/>
      <c r="V414" s="25"/>
      <c r="W414" s="31" t="e">
        <f>INDEX(TBL_LNG_IMPORTERS_CONNECTIONS[LNGImporterConnectionID],$A414)</f>
        <v>#REF!</v>
      </c>
      <c r="X414" s="31" t="e">
        <f>"LNGImporterCapMin_"&amp;RIGHT($W414,11)</f>
        <v>#REF!</v>
      </c>
    </row>
    <row r="415" spans="1:24" x14ac:dyDescent="0.25">
      <c r="A415" s="94">
        <f t="shared" si="542"/>
        <v>103</v>
      </c>
      <c r="B415" s="116"/>
      <c r="C415" s="93" t="str">
        <f t="shared" ref="C415:D415" si="563">IF($B414&lt;&gt;"",C411,"")</f>
        <v/>
      </c>
      <c r="D415" s="93" t="str">
        <f t="shared" si="563"/>
        <v/>
      </c>
      <c r="E415" s="28"/>
      <c r="F415" s="28"/>
      <c r="G415" s="28"/>
      <c r="H415" s="28"/>
      <c r="I415" s="28"/>
      <c r="J415" s="28"/>
      <c r="K415" s="28"/>
      <c r="L415" s="28"/>
      <c r="M415" s="28"/>
      <c r="N415" s="28"/>
      <c r="O415" s="28"/>
      <c r="P415" s="28"/>
      <c r="Q415" s="28"/>
      <c r="R415" s="28"/>
      <c r="S415" s="28"/>
      <c r="T415" s="28"/>
      <c r="U415" s="28"/>
      <c r="V415" s="26"/>
      <c r="W415" s="31" t="e">
        <f>INDEX(TBL_LNG_IMPORTERS_CONNECTIONS[LNGImporterConnectionID],$A415)</f>
        <v>#REF!</v>
      </c>
      <c r="X415" s="31" t="e">
        <f>"LNGImporterCapMax_"&amp;RIGHT($W415,11)</f>
        <v>#REF!</v>
      </c>
    </row>
    <row r="416" spans="1:24" x14ac:dyDescent="0.25">
      <c r="A416" s="94">
        <f t="shared" si="542"/>
        <v>103</v>
      </c>
      <c r="B416" s="116"/>
      <c r="C416" s="93" t="str">
        <f t="shared" ref="C416:D416" si="564">IF($B414&lt;&gt;"",C412,"")</f>
        <v/>
      </c>
      <c r="D416" s="93" t="str">
        <f t="shared" si="564"/>
        <v/>
      </c>
      <c r="E416" s="27"/>
      <c r="F416" s="27"/>
      <c r="G416" s="27"/>
      <c r="H416" s="27"/>
      <c r="I416" s="27"/>
      <c r="J416" s="27"/>
      <c r="K416" s="27"/>
      <c r="L416" s="27"/>
      <c r="M416" s="27"/>
      <c r="N416" s="27"/>
      <c r="O416" s="27"/>
      <c r="P416" s="27"/>
      <c r="Q416" s="27"/>
      <c r="R416" s="27"/>
      <c r="S416" s="27"/>
      <c r="T416" s="27"/>
      <c r="U416" s="27"/>
      <c r="V416" s="25"/>
      <c r="W416" s="31" t="e">
        <f>INDEX(TBL_LNG_IMPORTERS_CONNECTIONS[LNGImporterConnectionID],$A416)</f>
        <v>#REF!</v>
      </c>
      <c r="X416" s="31" t="e">
        <f>"LNGImporterTariffFixed_"&amp;RIGHT($W416,11)</f>
        <v>#REF!</v>
      </c>
    </row>
    <row r="417" spans="1:24" x14ac:dyDescent="0.25">
      <c r="A417" s="94">
        <f t="shared" si="542"/>
        <v>103</v>
      </c>
      <c r="B417" s="117"/>
      <c r="C417" s="93" t="str">
        <f t="shared" ref="C417:D417" si="565">IF($B414&lt;&gt;"",C413,"")</f>
        <v/>
      </c>
      <c r="D417" s="93" t="str">
        <f t="shared" si="565"/>
        <v/>
      </c>
      <c r="E417" s="28"/>
      <c r="F417" s="28"/>
      <c r="G417" s="28"/>
      <c r="H417" s="28"/>
      <c r="I417" s="28"/>
      <c r="J417" s="28"/>
      <c r="K417" s="28"/>
      <c r="L417" s="28"/>
      <c r="M417" s="28"/>
      <c r="N417" s="28"/>
      <c r="O417" s="28"/>
      <c r="P417" s="28"/>
      <c r="Q417" s="28"/>
      <c r="R417" s="28"/>
      <c r="S417" s="28"/>
      <c r="T417" s="28"/>
      <c r="U417" s="28"/>
      <c r="V417" s="26"/>
      <c r="W417" s="31" t="e">
        <f>INDEX(TBL_LNG_IMPORTERS_CONNECTIONS[LNGImporterConnectionID],$A417)</f>
        <v>#REF!</v>
      </c>
      <c r="X417" s="31" t="e">
        <f>"LNGImporterTariffVar_"&amp;RIGHT($W417,11)</f>
        <v>#REF!</v>
      </c>
    </row>
    <row r="418" spans="1:24" x14ac:dyDescent="0.25">
      <c r="A418" s="94">
        <f t="shared" ref="A418" si="566">$A414+1</f>
        <v>104</v>
      </c>
      <c r="B418" s="115" t="str">
        <f>IFERROR(INDEX(TBL_LNG_IMPORTERS_CONNECTIONS[Name],$A418),"")</f>
        <v/>
      </c>
      <c r="C418" s="93" t="str">
        <f t="shared" ref="C418:D418" si="567">IF($B418&lt;&gt;"",C414,"")</f>
        <v/>
      </c>
      <c r="D418" s="93" t="str">
        <f t="shared" si="567"/>
        <v/>
      </c>
      <c r="E418" s="27"/>
      <c r="F418" s="27"/>
      <c r="G418" s="27"/>
      <c r="H418" s="27"/>
      <c r="I418" s="27"/>
      <c r="J418" s="27"/>
      <c r="K418" s="27"/>
      <c r="L418" s="27"/>
      <c r="M418" s="27"/>
      <c r="N418" s="27"/>
      <c r="O418" s="27"/>
      <c r="P418" s="27"/>
      <c r="Q418" s="27"/>
      <c r="R418" s="27"/>
      <c r="S418" s="27"/>
      <c r="T418" s="27"/>
      <c r="U418" s="27"/>
      <c r="V418" s="25"/>
      <c r="W418" s="31" t="e">
        <f>INDEX(TBL_LNG_IMPORTERS_CONNECTIONS[LNGImporterConnectionID],$A418)</f>
        <v>#REF!</v>
      </c>
      <c r="X418" s="31" t="e">
        <f>"LNGImporterCapMin_"&amp;RIGHT($W418,11)</f>
        <v>#REF!</v>
      </c>
    </row>
    <row r="419" spans="1:24" x14ac:dyDescent="0.25">
      <c r="A419" s="94">
        <f t="shared" ref="A419:A421" si="568">$A418</f>
        <v>104</v>
      </c>
      <c r="B419" s="116"/>
      <c r="C419" s="93" t="str">
        <f t="shared" ref="C419:D419" si="569">IF($B418&lt;&gt;"",C415,"")</f>
        <v/>
      </c>
      <c r="D419" s="93" t="str">
        <f t="shared" si="569"/>
        <v/>
      </c>
      <c r="E419" s="28"/>
      <c r="F419" s="28"/>
      <c r="G419" s="28"/>
      <c r="H419" s="28"/>
      <c r="I419" s="28"/>
      <c r="J419" s="28"/>
      <c r="K419" s="28"/>
      <c r="L419" s="28"/>
      <c r="M419" s="28"/>
      <c r="N419" s="28"/>
      <c r="O419" s="28"/>
      <c r="P419" s="28"/>
      <c r="Q419" s="28"/>
      <c r="R419" s="28"/>
      <c r="S419" s="28"/>
      <c r="T419" s="28"/>
      <c r="U419" s="28"/>
      <c r="V419" s="26"/>
      <c r="W419" s="31" t="e">
        <f>INDEX(TBL_LNG_IMPORTERS_CONNECTIONS[LNGImporterConnectionID],$A419)</f>
        <v>#REF!</v>
      </c>
      <c r="X419" s="31" t="e">
        <f>"LNGImporterCapMax_"&amp;RIGHT($W419,11)</f>
        <v>#REF!</v>
      </c>
    </row>
    <row r="420" spans="1:24" x14ac:dyDescent="0.25">
      <c r="A420" s="94">
        <f t="shared" si="568"/>
        <v>104</v>
      </c>
      <c r="B420" s="116"/>
      <c r="C420" s="93" t="str">
        <f t="shared" ref="C420:D420" si="570">IF($B418&lt;&gt;"",C416,"")</f>
        <v/>
      </c>
      <c r="D420" s="93" t="str">
        <f t="shared" si="570"/>
        <v/>
      </c>
      <c r="E420" s="27"/>
      <c r="F420" s="27"/>
      <c r="G420" s="27"/>
      <c r="H420" s="27"/>
      <c r="I420" s="27"/>
      <c r="J420" s="27"/>
      <c r="K420" s="27"/>
      <c r="L420" s="27"/>
      <c r="M420" s="27"/>
      <c r="N420" s="27"/>
      <c r="O420" s="27"/>
      <c r="P420" s="27"/>
      <c r="Q420" s="27"/>
      <c r="R420" s="27"/>
      <c r="S420" s="27"/>
      <c r="T420" s="27"/>
      <c r="U420" s="27"/>
      <c r="V420" s="25"/>
      <c r="W420" s="31" t="e">
        <f>INDEX(TBL_LNG_IMPORTERS_CONNECTIONS[LNGImporterConnectionID],$A420)</f>
        <v>#REF!</v>
      </c>
      <c r="X420" s="31" t="e">
        <f>"LNGImporterTariffFixed_"&amp;RIGHT($W420,11)</f>
        <v>#REF!</v>
      </c>
    </row>
    <row r="421" spans="1:24" x14ac:dyDescent="0.25">
      <c r="A421" s="94">
        <f t="shared" si="568"/>
        <v>104</v>
      </c>
      <c r="B421" s="117"/>
      <c r="C421" s="93" t="str">
        <f t="shared" ref="C421:D421" si="571">IF($B418&lt;&gt;"",C417,"")</f>
        <v/>
      </c>
      <c r="D421" s="93" t="str">
        <f t="shared" si="571"/>
        <v/>
      </c>
      <c r="E421" s="28"/>
      <c r="F421" s="28"/>
      <c r="G421" s="28"/>
      <c r="H421" s="28"/>
      <c r="I421" s="28"/>
      <c r="J421" s="28"/>
      <c r="K421" s="28"/>
      <c r="L421" s="28"/>
      <c r="M421" s="28"/>
      <c r="N421" s="28"/>
      <c r="O421" s="28"/>
      <c r="P421" s="28"/>
      <c r="Q421" s="28"/>
      <c r="R421" s="28"/>
      <c r="S421" s="28"/>
      <c r="T421" s="28"/>
      <c r="U421" s="28"/>
      <c r="V421" s="26"/>
      <c r="W421" s="31" t="e">
        <f>INDEX(TBL_LNG_IMPORTERS_CONNECTIONS[LNGImporterConnectionID],$A421)</f>
        <v>#REF!</v>
      </c>
      <c r="X421" s="31" t="e">
        <f>"LNGImporterTariffVar_"&amp;RIGHT($W421,11)</f>
        <v>#REF!</v>
      </c>
    </row>
    <row r="422" spans="1:24" x14ac:dyDescent="0.25">
      <c r="A422" s="94">
        <f t="shared" ref="A422" si="572">$A418+1</f>
        <v>105</v>
      </c>
      <c r="B422" s="115" t="str">
        <f>IFERROR(INDEX(TBL_LNG_IMPORTERS_CONNECTIONS[Name],$A422),"")</f>
        <v/>
      </c>
      <c r="C422" s="93" t="str">
        <f t="shared" ref="C422:D422" si="573">IF($B422&lt;&gt;"",C418,"")</f>
        <v/>
      </c>
      <c r="D422" s="93" t="str">
        <f t="shared" si="573"/>
        <v/>
      </c>
      <c r="E422" s="27"/>
      <c r="F422" s="27"/>
      <c r="G422" s="27"/>
      <c r="H422" s="27"/>
      <c r="I422" s="27"/>
      <c r="J422" s="27"/>
      <c r="K422" s="27"/>
      <c r="L422" s="27"/>
      <c r="M422" s="27"/>
      <c r="N422" s="27"/>
      <c r="O422" s="27"/>
      <c r="P422" s="27"/>
      <c r="Q422" s="27"/>
      <c r="R422" s="27"/>
      <c r="S422" s="27"/>
      <c r="T422" s="27"/>
      <c r="U422" s="27"/>
      <c r="V422" s="25"/>
      <c r="W422" s="31" t="e">
        <f>INDEX(TBL_LNG_IMPORTERS_CONNECTIONS[LNGImporterConnectionID],$A422)</f>
        <v>#REF!</v>
      </c>
      <c r="X422" s="31" t="e">
        <f>"LNGImporterCapMin_"&amp;RIGHT($W422,11)</f>
        <v>#REF!</v>
      </c>
    </row>
    <row r="423" spans="1:24" x14ac:dyDescent="0.25">
      <c r="A423" s="94">
        <f t="shared" ref="A423:A425" si="574">$A422</f>
        <v>105</v>
      </c>
      <c r="B423" s="116"/>
      <c r="C423" s="93" t="str">
        <f t="shared" ref="C423:D423" si="575">IF($B422&lt;&gt;"",C419,"")</f>
        <v/>
      </c>
      <c r="D423" s="93" t="str">
        <f t="shared" si="575"/>
        <v/>
      </c>
      <c r="E423" s="28"/>
      <c r="F423" s="28"/>
      <c r="G423" s="28"/>
      <c r="H423" s="28"/>
      <c r="I423" s="28"/>
      <c r="J423" s="28"/>
      <c r="K423" s="28"/>
      <c r="L423" s="28"/>
      <c r="M423" s="28"/>
      <c r="N423" s="28"/>
      <c r="O423" s="28"/>
      <c r="P423" s="28"/>
      <c r="Q423" s="28"/>
      <c r="R423" s="28"/>
      <c r="S423" s="28"/>
      <c r="T423" s="28"/>
      <c r="U423" s="28"/>
      <c r="V423" s="26"/>
      <c r="W423" s="31" t="e">
        <f>INDEX(TBL_LNG_IMPORTERS_CONNECTIONS[LNGImporterConnectionID],$A423)</f>
        <v>#REF!</v>
      </c>
      <c r="X423" s="31" t="e">
        <f>"LNGImporterCapMax_"&amp;RIGHT($W423,11)</f>
        <v>#REF!</v>
      </c>
    </row>
    <row r="424" spans="1:24" x14ac:dyDescent="0.25">
      <c r="A424" s="94">
        <f t="shared" si="574"/>
        <v>105</v>
      </c>
      <c r="B424" s="116"/>
      <c r="C424" s="93" t="str">
        <f t="shared" ref="C424:D424" si="576">IF($B422&lt;&gt;"",C420,"")</f>
        <v/>
      </c>
      <c r="D424" s="93" t="str">
        <f t="shared" si="576"/>
        <v/>
      </c>
      <c r="E424" s="27"/>
      <c r="F424" s="27"/>
      <c r="G424" s="27"/>
      <c r="H424" s="27"/>
      <c r="I424" s="27"/>
      <c r="J424" s="27"/>
      <c r="K424" s="27"/>
      <c r="L424" s="27"/>
      <c r="M424" s="27"/>
      <c r="N424" s="27"/>
      <c r="O424" s="27"/>
      <c r="P424" s="27"/>
      <c r="Q424" s="27"/>
      <c r="R424" s="27"/>
      <c r="S424" s="27"/>
      <c r="T424" s="27"/>
      <c r="U424" s="27"/>
      <c r="V424" s="25"/>
      <c r="W424" s="31" t="e">
        <f>INDEX(TBL_LNG_IMPORTERS_CONNECTIONS[LNGImporterConnectionID],$A424)</f>
        <v>#REF!</v>
      </c>
      <c r="X424" s="31" t="e">
        <f>"LNGImporterTariffFixed_"&amp;RIGHT($W424,11)</f>
        <v>#REF!</v>
      </c>
    </row>
    <row r="425" spans="1:24" x14ac:dyDescent="0.25">
      <c r="A425" s="94">
        <f t="shared" si="574"/>
        <v>105</v>
      </c>
      <c r="B425" s="117"/>
      <c r="C425" s="93" t="str">
        <f t="shared" ref="C425:D425" si="577">IF($B422&lt;&gt;"",C421,"")</f>
        <v/>
      </c>
      <c r="D425" s="93" t="str">
        <f t="shared" si="577"/>
        <v/>
      </c>
      <c r="E425" s="28"/>
      <c r="F425" s="28"/>
      <c r="G425" s="28"/>
      <c r="H425" s="28"/>
      <c r="I425" s="28"/>
      <c r="J425" s="28"/>
      <c r="K425" s="28"/>
      <c r="L425" s="28"/>
      <c r="M425" s="28"/>
      <c r="N425" s="28"/>
      <c r="O425" s="28"/>
      <c r="P425" s="28"/>
      <c r="Q425" s="28"/>
      <c r="R425" s="28"/>
      <c r="S425" s="28"/>
      <c r="T425" s="28"/>
      <c r="U425" s="28"/>
      <c r="V425" s="26"/>
      <c r="W425" s="31" t="e">
        <f>INDEX(TBL_LNG_IMPORTERS_CONNECTIONS[LNGImporterConnectionID],$A425)</f>
        <v>#REF!</v>
      </c>
      <c r="X425" s="31" t="e">
        <f>"LNGImporterTariffVar_"&amp;RIGHT($W425,11)</f>
        <v>#REF!</v>
      </c>
    </row>
    <row r="426" spans="1:24" x14ac:dyDescent="0.25">
      <c r="A426" s="94">
        <f t="shared" ref="A426" si="578">$A422+1</f>
        <v>106</v>
      </c>
      <c r="B426" s="115" t="str">
        <f>IFERROR(INDEX(TBL_LNG_IMPORTERS_CONNECTIONS[Name],$A426),"")</f>
        <v/>
      </c>
      <c r="C426" s="93" t="str">
        <f t="shared" ref="C426:D426" si="579">IF($B426&lt;&gt;"",C422,"")</f>
        <v/>
      </c>
      <c r="D426" s="93" t="str">
        <f t="shared" si="579"/>
        <v/>
      </c>
      <c r="E426" s="27"/>
      <c r="F426" s="27"/>
      <c r="G426" s="27"/>
      <c r="H426" s="27"/>
      <c r="I426" s="27"/>
      <c r="J426" s="27"/>
      <c r="K426" s="27"/>
      <c r="L426" s="27"/>
      <c r="M426" s="27"/>
      <c r="N426" s="27"/>
      <c r="O426" s="27"/>
      <c r="P426" s="27"/>
      <c r="Q426" s="27"/>
      <c r="R426" s="27"/>
      <c r="S426" s="27"/>
      <c r="T426" s="27"/>
      <c r="U426" s="27"/>
      <c r="V426" s="25"/>
      <c r="W426" s="31" t="e">
        <f>INDEX(TBL_LNG_IMPORTERS_CONNECTIONS[LNGImporterConnectionID],$A426)</f>
        <v>#REF!</v>
      </c>
      <c r="X426" s="31" t="e">
        <f>"LNGImporterCapMin_"&amp;RIGHT($W426,11)</f>
        <v>#REF!</v>
      </c>
    </row>
    <row r="427" spans="1:24" x14ac:dyDescent="0.25">
      <c r="A427" s="94">
        <f t="shared" ref="A427:A429" si="580">$A426</f>
        <v>106</v>
      </c>
      <c r="B427" s="116"/>
      <c r="C427" s="93" t="str">
        <f t="shared" ref="C427:D427" si="581">IF($B426&lt;&gt;"",C423,"")</f>
        <v/>
      </c>
      <c r="D427" s="93" t="str">
        <f t="shared" si="581"/>
        <v/>
      </c>
      <c r="E427" s="28"/>
      <c r="F427" s="28"/>
      <c r="G427" s="28"/>
      <c r="H427" s="28"/>
      <c r="I427" s="28"/>
      <c r="J427" s="28"/>
      <c r="K427" s="28"/>
      <c r="L427" s="28"/>
      <c r="M427" s="28"/>
      <c r="N427" s="28"/>
      <c r="O427" s="28"/>
      <c r="P427" s="28"/>
      <c r="Q427" s="28"/>
      <c r="R427" s="28"/>
      <c r="S427" s="28"/>
      <c r="T427" s="28"/>
      <c r="U427" s="28"/>
      <c r="V427" s="26"/>
      <c r="W427" s="31" t="e">
        <f>INDEX(TBL_LNG_IMPORTERS_CONNECTIONS[LNGImporterConnectionID],$A427)</f>
        <v>#REF!</v>
      </c>
      <c r="X427" s="31" t="e">
        <f>"LNGImporterCapMax_"&amp;RIGHT($W427,11)</f>
        <v>#REF!</v>
      </c>
    </row>
    <row r="428" spans="1:24" x14ac:dyDescent="0.25">
      <c r="A428" s="94">
        <f t="shared" si="580"/>
        <v>106</v>
      </c>
      <c r="B428" s="116"/>
      <c r="C428" s="93" t="str">
        <f t="shared" ref="C428:D428" si="582">IF($B426&lt;&gt;"",C424,"")</f>
        <v/>
      </c>
      <c r="D428" s="93" t="str">
        <f t="shared" si="582"/>
        <v/>
      </c>
      <c r="E428" s="27"/>
      <c r="F428" s="27"/>
      <c r="G428" s="27"/>
      <c r="H428" s="27"/>
      <c r="I428" s="27"/>
      <c r="J428" s="27"/>
      <c r="K428" s="27"/>
      <c r="L428" s="27"/>
      <c r="M428" s="27"/>
      <c r="N428" s="27"/>
      <c r="O428" s="27"/>
      <c r="P428" s="27"/>
      <c r="Q428" s="27"/>
      <c r="R428" s="27"/>
      <c r="S428" s="27"/>
      <c r="T428" s="27"/>
      <c r="U428" s="27"/>
      <c r="V428" s="25"/>
      <c r="W428" s="31" t="e">
        <f>INDEX(TBL_LNG_IMPORTERS_CONNECTIONS[LNGImporterConnectionID],$A428)</f>
        <v>#REF!</v>
      </c>
      <c r="X428" s="31" t="e">
        <f>"LNGImporterTariffFixed_"&amp;RIGHT($W428,11)</f>
        <v>#REF!</v>
      </c>
    </row>
    <row r="429" spans="1:24" x14ac:dyDescent="0.25">
      <c r="A429" s="94">
        <f t="shared" si="580"/>
        <v>106</v>
      </c>
      <c r="B429" s="117"/>
      <c r="C429" s="93" t="str">
        <f t="shared" ref="C429:D429" si="583">IF($B426&lt;&gt;"",C425,"")</f>
        <v/>
      </c>
      <c r="D429" s="93" t="str">
        <f t="shared" si="583"/>
        <v/>
      </c>
      <c r="E429" s="28"/>
      <c r="F429" s="28"/>
      <c r="G429" s="28"/>
      <c r="H429" s="28"/>
      <c r="I429" s="28"/>
      <c r="J429" s="28"/>
      <c r="K429" s="28"/>
      <c r="L429" s="28"/>
      <c r="M429" s="28"/>
      <c r="N429" s="28"/>
      <c r="O429" s="28"/>
      <c r="P429" s="28"/>
      <c r="Q429" s="28"/>
      <c r="R429" s="28"/>
      <c r="S429" s="28"/>
      <c r="T429" s="28"/>
      <c r="U429" s="28"/>
      <c r="V429" s="26"/>
      <c r="W429" s="31" t="e">
        <f>INDEX(TBL_LNG_IMPORTERS_CONNECTIONS[LNGImporterConnectionID],$A429)</f>
        <v>#REF!</v>
      </c>
      <c r="X429" s="31" t="e">
        <f>"LNGImporterTariffVar_"&amp;RIGHT($W429,11)</f>
        <v>#REF!</v>
      </c>
    </row>
    <row r="430" spans="1:24" x14ac:dyDescent="0.25">
      <c r="A430" s="94">
        <f t="shared" ref="A430" si="584">$A426+1</f>
        <v>107</v>
      </c>
      <c r="B430" s="115" t="str">
        <f>IFERROR(INDEX(TBL_LNG_IMPORTERS_CONNECTIONS[Name],$A430),"")</f>
        <v/>
      </c>
      <c r="C430" s="93" t="str">
        <f t="shared" ref="C430:D430" si="585">IF($B430&lt;&gt;"",C426,"")</f>
        <v/>
      </c>
      <c r="D430" s="93" t="str">
        <f t="shared" si="585"/>
        <v/>
      </c>
      <c r="E430" s="27"/>
      <c r="F430" s="27"/>
      <c r="G430" s="27"/>
      <c r="H430" s="27"/>
      <c r="I430" s="27"/>
      <c r="J430" s="27"/>
      <c r="K430" s="27"/>
      <c r="L430" s="27"/>
      <c r="M430" s="27"/>
      <c r="N430" s="27"/>
      <c r="O430" s="27"/>
      <c r="P430" s="27"/>
      <c r="Q430" s="27"/>
      <c r="R430" s="27"/>
      <c r="S430" s="27"/>
      <c r="T430" s="27"/>
      <c r="U430" s="27"/>
      <c r="V430" s="25"/>
      <c r="W430" s="31" t="e">
        <f>INDEX(TBL_LNG_IMPORTERS_CONNECTIONS[LNGImporterConnectionID],$A430)</f>
        <v>#REF!</v>
      </c>
      <c r="X430" s="31" t="e">
        <f>"LNGImporterCapMin_"&amp;RIGHT($W430,11)</f>
        <v>#REF!</v>
      </c>
    </row>
    <row r="431" spans="1:24" x14ac:dyDescent="0.25">
      <c r="A431" s="94">
        <f t="shared" ref="A431:A433" si="586">$A430</f>
        <v>107</v>
      </c>
      <c r="B431" s="116"/>
      <c r="C431" s="93" t="str">
        <f t="shared" ref="C431:D431" si="587">IF($B430&lt;&gt;"",C427,"")</f>
        <v/>
      </c>
      <c r="D431" s="93" t="str">
        <f t="shared" si="587"/>
        <v/>
      </c>
      <c r="E431" s="28"/>
      <c r="F431" s="28"/>
      <c r="G431" s="28"/>
      <c r="H431" s="28"/>
      <c r="I431" s="28"/>
      <c r="J431" s="28"/>
      <c r="K431" s="28"/>
      <c r="L431" s="28"/>
      <c r="M431" s="28"/>
      <c r="N431" s="28"/>
      <c r="O431" s="28"/>
      <c r="P431" s="28"/>
      <c r="Q431" s="28"/>
      <c r="R431" s="28"/>
      <c r="S431" s="28"/>
      <c r="T431" s="28"/>
      <c r="U431" s="28"/>
      <c r="V431" s="26"/>
      <c r="W431" s="31" t="e">
        <f>INDEX(TBL_LNG_IMPORTERS_CONNECTIONS[LNGImporterConnectionID],$A431)</f>
        <v>#REF!</v>
      </c>
      <c r="X431" s="31" t="e">
        <f>"LNGImporterCapMax_"&amp;RIGHT($W431,11)</f>
        <v>#REF!</v>
      </c>
    </row>
    <row r="432" spans="1:24" x14ac:dyDescent="0.25">
      <c r="A432" s="94">
        <f t="shared" si="586"/>
        <v>107</v>
      </c>
      <c r="B432" s="116"/>
      <c r="C432" s="93" t="str">
        <f t="shared" ref="C432:D432" si="588">IF($B430&lt;&gt;"",C428,"")</f>
        <v/>
      </c>
      <c r="D432" s="93" t="str">
        <f t="shared" si="588"/>
        <v/>
      </c>
      <c r="E432" s="27"/>
      <c r="F432" s="27"/>
      <c r="G432" s="27"/>
      <c r="H432" s="27"/>
      <c r="I432" s="27"/>
      <c r="J432" s="27"/>
      <c r="K432" s="27"/>
      <c r="L432" s="27"/>
      <c r="M432" s="27"/>
      <c r="N432" s="27"/>
      <c r="O432" s="27"/>
      <c r="P432" s="27"/>
      <c r="Q432" s="27"/>
      <c r="R432" s="27"/>
      <c r="S432" s="27"/>
      <c r="T432" s="27"/>
      <c r="U432" s="27"/>
      <c r="V432" s="25"/>
      <c r="W432" s="31" t="e">
        <f>INDEX(TBL_LNG_IMPORTERS_CONNECTIONS[LNGImporterConnectionID],$A432)</f>
        <v>#REF!</v>
      </c>
      <c r="X432" s="31" t="e">
        <f>"LNGImporterTariffFixed_"&amp;RIGHT($W432,11)</f>
        <v>#REF!</v>
      </c>
    </row>
    <row r="433" spans="1:24" x14ac:dyDescent="0.25">
      <c r="A433" s="94">
        <f t="shared" si="586"/>
        <v>107</v>
      </c>
      <c r="B433" s="117"/>
      <c r="C433" s="93" t="str">
        <f t="shared" ref="C433:D433" si="589">IF($B430&lt;&gt;"",C429,"")</f>
        <v/>
      </c>
      <c r="D433" s="93" t="str">
        <f t="shared" si="589"/>
        <v/>
      </c>
      <c r="E433" s="28"/>
      <c r="F433" s="28"/>
      <c r="G433" s="28"/>
      <c r="H433" s="28"/>
      <c r="I433" s="28"/>
      <c r="J433" s="28"/>
      <c r="K433" s="28"/>
      <c r="L433" s="28"/>
      <c r="M433" s="28"/>
      <c r="N433" s="28"/>
      <c r="O433" s="28"/>
      <c r="P433" s="28"/>
      <c r="Q433" s="28"/>
      <c r="R433" s="28"/>
      <c r="S433" s="28"/>
      <c r="T433" s="28"/>
      <c r="U433" s="28"/>
      <c r="V433" s="26"/>
      <c r="W433" s="31" t="e">
        <f>INDEX(TBL_LNG_IMPORTERS_CONNECTIONS[LNGImporterConnectionID],$A433)</f>
        <v>#REF!</v>
      </c>
      <c r="X433" s="31" t="e">
        <f>"LNGImporterTariffVar_"&amp;RIGHT($W433,11)</f>
        <v>#REF!</v>
      </c>
    </row>
    <row r="434" spans="1:24" x14ac:dyDescent="0.25">
      <c r="A434" s="94">
        <f t="shared" ref="A434" si="590">$A430+1</f>
        <v>108</v>
      </c>
      <c r="B434" s="115" t="str">
        <f>IFERROR(INDEX(TBL_LNG_IMPORTERS_CONNECTIONS[Name],$A434),"")</f>
        <v/>
      </c>
      <c r="C434" s="93" t="str">
        <f t="shared" ref="C434:D434" si="591">IF($B434&lt;&gt;"",C430,"")</f>
        <v/>
      </c>
      <c r="D434" s="93" t="str">
        <f t="shared" si="591"/>
        <v/>
      </c>
      <c r="E434" s="27"/>
      <c r="F434" s="27"/>
      <c r="G434" s="27"/>
      <c r="H434" s="27"/>
      <c r="I434" s="27"/>
      <c r="J434" s="27"/>
      <c r="K434" s="27"/>
      <c r="L434" s="27"/>
      <c r="M434" s="27"/>
      <c r="N434" s="27"/>
      <c r="O434" s="27"/>
      <c r="P434" s="27"/>
      <c r="Q434" s="27"/>
      <c r="R434" s="27"/>
      <c r="S434" s="27"/>
      <c r="T434" s="27"/>
      <c r="U434" s="27"/>
      <c r="V434" s="25"/>
      <c r="W434" s="31" t="e">
        <f>INDEX(TBL_LNG_IMPORTERS_CONNECTIONS[LNGImporterConnectionID],$A434)</f>
        <v>#REF!</v>
      </c>
      <c r="X434" s="31" t="e">
        <f>"LNGImporterCapMin_"&amp;RIGHT($W434,11)</f>
        <v>#REF!</v>
      </c>
    </row>
    <row r="435" spans="1:24" x14ac:dyDescent="0.25">
      <c r="A435" s="94">
        <f t="shared" ref="A435:A437" si="592">$A434</f>
        <v>108</v>
      </c>
      <c r="B435" s="116"/>
      <c r="C435" s="93" t="str">
        <f t="shared" ref="C435:D435" si="593">IF($B434&lt;&gt;"",C431,"")</f>
        <v/>
      </c>
      <c r="D435" s="93" t="str">
        <f t="shared" si="593"/>
        <v/>
      </c>
      <c r="E435" s="28"/>
      <c r="F435" s="28"/>
      <c r="G435" s="28"/>
      <c r="H435" s="28"/>
      <c r="I435" s="28"/>
      <c r="J435" s="28"/>
      <c r="K435" s="28"/>
      <c r="L435" s="28"/>
      <c r="M435" s="28"/>
      <c r="N435" s="28"/>
      <c r="O435" s="28"/>
      <c r="P435" s="28"/>
      <c r="Q435" s="28"/>
      <c r="R435" s="28"/>
      <c r="S435" s="28"/>
      <c r="T435" s="28"/>
      <c r="U435" s="28"/>
      <c r="V435" s="26"/>
      <c r="W435" s="31" t="e">
        <f>INDEX(TBL_LNG_IMPORTERS_CONNECTIONS[LNGImporterConnectionID],$A435)</f>
        <v>#REF!</v>
      </c>
      <c r="X435" s="31" t="e">
        <f>"LNGImporterCapMax_"&amp;RIGHT($W435,11)</f>
        <v>#REF!</v>
      </c>
    </row>
    <row r="436" spans="1:24" x14ac:dyDescent="0.25">
      <c r="A436" s="94">
        <f t="shared" si="592"/>
        <v>108</v>
      </c>
      <c r="B436" s="116"/>
      <c r="C436" s="93" t="str">
        <f t="shared" ref="C436:D436" si="594">IF($B434&lt;&gt;"",C432,"")</f>
        <v/>
      </c>
      <c r="D436" s="93" t="str">
        <f t="shared" si="594"/>
        <v/>
      </c>
      <c r="E436" s="27"/>
      <c r="F436" s="27"/>
      <c r="G436" s="27"/>
      <c r="H436" s="27"/>
      <c r="I436" s="27"/>
      <c r="J436" s="27"/>
      <c r="K436" s="27"/>
      <c r="L436" s="27"/>
      <c r="M436" s="27"/>
      <c r="N436" s="27"/>
      <c r="O436" s="27"/>
      <c r="P436" s="27"/>
      <c r="Q436" s="27"/>
      <c r="R436" s="27"/>
      <c r="S436" s="27"/>
      <c r="T436" s="27"/>
      <c r="U436" s="27"/>
      <c r="V436" s="25"/>
      <c r="W436" s="31" t="e">
        <f>INDEX(TBL_LNG_IMPORTERS_CONNECTIONS[LNGImporterConnectionID],$A436)</f>
        <v>#REF!</v>
      </c>
      <c r="X436" s="31" t="e">
        <f>"LNGImporterTariffFixed_"&amp;RIGHT($W436,11)</f>
        <v>#REF!</v>
      </c>
    </row>
    <row r="437" spans="1:24" x14ac:dyDescent="0.25">
      <c r="A437" s="94">
        <f t="shared" si="592"/>
        <v>108</v>
      </c>
      <c r="B437" s="117"/>
      <c r="C437" s="93" t="str">
        <f t="shared" ref="C437:D437" si="595">IF($B434&lt;&gt;"",C433,"")</f>
        <v/>
      </c>
      <c r="D437" s="93" t="str">
        <f t="shared" si="595"/>
        <v/>
      </c>
      <c r="E437" s="28"/>
      <c r="F437" s="28"/>
      <c r="G437" s="28"/>
      <c r="H437" s="28"/>
      <c r="I437" s="28"/>
      <c r="J437" s="28"/>
      <c r="K437" s="28"/>
      <c r="L437" s="28"/>
      <c r="M437" s="28"/>
      <c r="N437" s="28"/>
      <c r="O437" s="28"/>
      <c r="P437" s="28"/>
      <c r="Q437" s="28"/>
      <c r="R437" s="28"/>
      <c r="S437" s="28"/>
      <c r="T437" s="28"/>
      <c r="U437" s="28"/>
      <c r="V437" s="26"/>
      <c r="W437" s="31" t="e">
        <f>INDEX(TBL_LNG_IMPORTERS_CONNECTIONS[LNGImporterConnectionID],$A437)</f>
        <v>#REF!</v>
      </c>
      <c r="X437" s="31" t="e">
        <f>"LNGImporterTariffVar_"&amp;RIGHT($W437,11)</f>
        <v>#REF!</v>
      </c>
    </row>
    <row r="438" spans="1:24" x14ac:dyDescent="0.25">
      <c r="A438" s="94">
        <f t="shared" ref="A438" si="596">$A434+1</f>
        <v>109</v>
      </c>
      <c r="B438" s="115" t="str">
        <f>IFERROR(INDEX(TBL_LNG_IMPORTERS_CONNECTIONS[Name],$A438),"")</f>
        <v/>
      </c>
      <c r="C438" s="93" t="str">
        <f t="shared" ref="C438:D438" si="597">IF($B438&lt;&gt;"",C434,"")</f>
        <v/>
      </c>
      <c r="D438" s="93" t="str">
        <f t="shared" si="597"/>
        <v/>
      </c>
      <c r="E438" s="27"/>
      <c r="F438" s="27"/>
      <c r="G438" s="27"/>
      <c r="H438" s="27"/>
      <c r="I438" s="27"/>
      <c r="J438" s="27"/>
      <c r="K438" s="27"/>
      <c r="L438" s="27"/>
      <c r="M438" s="27"/>
      <c r="N438" s="27"/>
      <c r="O438" s="27"/>
      <c r="P438" s="27"/>
      <c r="Q438" s="27"/>
      <c r="R438" s="27"/>
      <c r="S438" s="27"/>
      <c r="T438" s="27"/>
      <c r="U438" s="27"/>
      <c r="V438" s="25"/>
      <c r="W438" s="31" t="e">
        <f>INDEX(TBL_LNG_IMPORTERS_CONNECTIONS[LNGImporterConnectionID],$A438)</f>
        <v>#REF!</v>
      </c>
      <c r="X438" s="31" t="e">
        <f>"LNGImporterCapMin_"&amp;RIGHT($W438,11)</f>
        <v>#REF!</v>
      </c>
    </row>
    <row r="439" spans="1:24" x14ac:dyDescent="0.25">
      <c r="A439" s="94">
        <f t="shared" ref="A439:A445" si="598">$A438</f>
        <v>109</v>
      </c>
      <c r="B439" s="116"/>
      <c r="C439" s="93" t="str">
        <f t="shared" ref="C439:D439" si="599">IF($B438&lt;&gt;"",C435,"")</f>
        <v/>
      </c>
      <c r="D439" s="93" t="str">
        <f t="shared" si="599"/>
        <v/>
      </c>
      <c r="E439" s="28"/>
      <c r="F439" s="28"/>
      <c r="G439" s="28"/>
      <c r="H439" s="28"/>
      <c r="I439" s="28"/>
      <c r="J439" s="28"/>
      <c r="K439" s="28"/>
      <c r="L439" s="28"/>
      <c r="M439" s="28"/>
      <c r="N439" s="28"/>
      <c r="O439" s="28"/>
      <c r="P439" s="28"/>
      <c r="Q439" s="28"/>
      <c r="R439" s="28"/>
      <c r="S439" s="28"/>
      <c r="T439" s="28"/>
      <c r="U439" s="28"/>
      <c r="V439" s="26"/>
      <c r="W439" s="31" t="e">
        <f>INDEX(TBL_LNG_IMPORTERS_CONNECTIONS[LNGImporterConnectionID],$A439)</f>
        <v>#REF!</v>
      </c>
      <c r="X439" s="31" t="e">
        <f>"LNGImporterCapMax_"&amp;RIGHT($W439,11)</f>
        <v>#REF!</v>
      </c>
    </row>
    <row r="440" spans="1:24" x14ac:dyDescent="0.25">
      <c r="A440" s="94">
        <f t="shared" si="598"/>
        <v>109</v>
      </c>
      <c r="B440" s="116"/>
      <c r="C440" s="93" t="str">
        <f t="shared" ref="C440:D440" si="600">IF($B438&lt;&gt;"",C436,"")</f>
        <v/>
      </c>
      <c r="D440" s="93" t="str">
        <f t="shared" si="600"/>
        <v/>
      </c>
      <c r="E440" s="27"/>
      <c r="F440" s="27"/>
      <c r="G440" s="27"/>
      <c r="H440" s="27"/>
      <c r="I440" s="27"/>
      <c r="J440" s="27"/>
      <c r="K440" s="27"/>
      <c r="L440" s="27"/>
      <c r="M440" s="27"/>
      <c r="N440" s="27"/>
      <c r="O440" s="27"/>
      <c r="P440" s="27"/>
      <c r="Q440" s="27"/>
      <c r="R440" s="27"/>
      <c r="S440" s="27"/>
      <c r="T440" s="27"/>
      <c r="U440" s="27"/>
      <c r="V440" s="25"/>
      <c r="W440" s="31" t="e">
        <f>INDEX(TBL_LNG_IMPORTERS_CONNECTIONS[LNGImporterConnectionID],$A440)</f>
        <v>#REF!</v>
      </c>
      <c r="X440" s="31" t="e">
        <f>"LNGImporterTariffFixed_"&amp;RIGHT($W440,11)</f>
        <v>#REF!</v>
      </c>
    </row>
    <row r="441" spans="1:24" x14ac:dyDescent="0.25">
      <c r="A441" s="94">
        <f t="shared" si="598"/>
        <v>109</v>
      </c>
      <c r="B441" s="117"/>
      <c r="C441" s="93" t="str">
        <f t="shared" ref="C441:D441" si="601">IF($B438&lt;&gt;"",C437,"")</f>
        <v/>
      </c>
      <c r="D441" s="93" t="str">
        <f t="shared" si="601"/>
        <v/>
      </c>
      <c r="E441" s="28"/>
      <c r="F441" s="28"/>
      <c r="G441" s="28"/>
      <c r="H441" s="28"/>
      <c r="I441" s="28"/>
      <c r="J441" s="28"/>
      <c r="K441" s="28"/>
      <c r="L441" s="28"/>
      <c r="M441" s="28"/>
      <c r="N441" s="28"/>
      <c r="O441" s="28"/>
      <c r="P441" s="28"/>
      <c r="Q441" s="28"/>
      <c r="R441" s="28"/>
      <c r="S441" s="28"/>
      <c r="T441" s="28"/>
      <c r="U441" s="28"/>
      <c r="V441" s="26"/>
      <c r="W441" s="31" t="e">
        <f>INDEX(TBL_LNG_IMPORTERS_CONNECTIONS[LNGImporterConnectionID],$A441)</f>
        <v>#REF!</v>
      </c>
      <c r="X441" s="31" t="e">
        <f>"LNGImporterTariffVar_"&amp;RIGHT($W441,11)</f>
        <v>#REF!</v>
      </c>
    </row>
    <row r="442" spans="1:24" x14ac:dyDescent="0.25">
      <c r="A442" s="94">
        <f t="shared" ref="A442" si="602">$A438+1</f>
        <v>110</v>
      </c>
      <c r="B442" s="115" t="str">
        <f>IFERROR(INDEX(TBL_LNG_IMPORTERS_CONNECTIONS[Name],$A442),"")</f>
        <v/>
      </c>
      <c r="C442" s="93" t="str">
        <f t="shared" ref="C442:D442" si="603">IF($B442&lt;&gt;"",C438,"")</f>
        <v/>
      </c>
      <c r="D442" s="93" t="str">
        <f t="shared" si="603"/>
        <v/>
      </c>
      <c r="E442" s="27"/>
      <c r="F442" s="27"/>
      <c r="G442" s="27"/>
      <c r="H442" s="27"/>
      <c r="I442" s="27"/>
      <c r="J442" s="27"/>
      <c r="K442" s="27"/>
      <c r="L442" s="27"/>
      <c r="M442" s="27"/>
      <c r="N442" s="27"/>
      <c r="O442" s="27"/>
      <c r="P442" s="27"/>
      <c r="Q442" s="27"/>
      <c r="R442" s="27"/>
      <c r="S442" s="27"/>
      <c r="T442" s="27"/>
      <c r="U442" s="27"/>
      <c r="V442" s="25"/>
      <c r="W442" s="31" t="e">
        <f>INDEX(TBL_LNG_IMPORTERS_CONNECTIONS[LNGImporterConnectionID],$A442)</f>
        <v>#REF!</v>
      </c>
      <c r="X442" s="31" t="e">
        <f>"LNGImporterCapMin_"&amp;RIGHT($W442,11)</f>
        <v>#REF!</v>
      </c>
    </row>
    <row r="443" spans="1:24" x14ac:dyDescent="0.25">
      <c r="A443" s="94">
        <f t="shared" si="598"/>
        <v>110</v>
      </c>
      <c r="B443" s="116"/>
      <c r="C443" s="93" t="str">
        <f t="shared" ref="C443:D443" si="604">IF($B442&lt;&gt;"",C439,"")</f>
        <v/>
      </c>
      <c r="D443" s="93" t="str">
        <f t="shared" si="604"/>
        <v/>
      </c>
      <c r="E443" s="28"/>
      <c r="F443" s="28"/>
      <c r="G443" s="28"/>
      <c r="H443" s="28"/>
      <c r="I443" s="28"/>
      <c r="J443" s="28"/>
      <c r="K443" s="28"/>
      <c r="L443" s="28"/>
      <c r="M443" s="28"/>
      <c r="N443" s="28"/>
      <c r="O443" s="28"/>
      <c r="P443" s="28"/>
      <c r="Q443" s="28"/>
      <c r="R443" s="28"/>
      <c r="S443" s="28"/>
      <c r="T443" s="28"/>
      <c r="U443" s="28"/>
      <c r="V443" s="26"/>
      <c r="W443" s="31" t="e">
        <f>INDEX(TBL_LNG_IMPORTERS_CONNECTIONS[LNGImporterConnectionID],$A443)</f>
        <v>#REF!</v>
      </c>
      <c r="X443" s="31" t="e">
        <f>"LNGImporterCapMax_"&amp;RIGHT($W443,11)</f>
        <v>#REF!</v>
      </c>
    </row>
    <row r="444" spans="1:24" x14ac:dyDescent="0.25">
      <c r="A444" s="94">
        <f t="shared" si="598"/>
        <v>110</v>
      </c>
      <c r="B444" s="116"/>
      <c r="C444" s="93" t="str">
        <f t="shared" ref="C444:D444" si="605">IF($B442&lt;&gt;"",C440,"")</f>
        <v/>
      </c>
      <c r="D444" s="93" t="str">
        <f t="shared" si="605"/>
        <v/>
      </c>
      <c r="E444" s="27"/>
      <c r="F444" s="27"/>
      <c r="G444" s="27"/>
      <c r="H444" s="27"/>
      <c r="I444" s="27"/>
      <c r="J444" s="27"/>
      <c r="K444" s="27"/>
      <c r="L444" s="27"/>
      <c r="M444" s="27"/>
      <c r="N444" s="27"/>
      <c r="O444" s="27"/>
      <c r="P444" s="27"/>
      <c r="Q444" s="27"/>
      <c r="R444" s="27"/>
      <c r="S444" s="27"/>
      <c r="T444" s="27"/>
      <c r="U444" s="27"/>
      <c r="V444" s="25"/>
      <c r="W444" s="31" t="e">
        <f>INDEX(TBL_LNG_IMPORTERS_CONNECTIONS[LNGImporterConnectionID],$A444)</f>
        <v>#REF!</v>
      </c>
      <c r="X444" s="31" t="e">
        <f>"LNGImporterTariffFixed_"&amp;RIGHT($W444,11)</f>
        <v>#REF!</v>
      </c>
    </row>
    <row r="445" spans="1:24" x14ac:dyDescent="0.25">
      <c r="A445" s="94">
        <f t="shared" si="598"/>
        <v>110</v>
      </c>
      <c r="B445" s="117"/>
      <c r="C445" s="93" t="str">
        <f t="shared" ref="C445:D445" si="606">IF($B442&lt;&gt;"",C441,"")</f>
        <v/>
      </c>
      <c r="D445" s="93" t="str">
        <f t="shared" si="606"/>
        <v/>
      </c>
      <c r="E445" s="28"/>
      <c r="F445" s="28"/>
      <c r="G445" s="28"/>
      <c r="H445" s="28"/>
      <c r="I445" s="28"/>
      <c r="J445" s="28"/>
      <c r="K445" s="28"/>
      <c r="L445" s="28"/>
      <c r="M445" s="28"/>
      <c r="N445" s="28"/>
      <c r="O445" s="28"/>
      <c r="P445" s="28"/>
      <c r="Q445" s="28"/>
      <c r="R445" s="28"/>
      <c r="S445" s="28"/>
      <c r="T445" s="28"/>
      <c r="U445" s="28"/>
      <c r="V445" s="26"/>
      <c r="W445" s="31" t="e">
        <f>INDEX(TBL_LNG_IMPORTERS_CONNECTIONS[LNGImporterConnectionID],$A445)</f>
        <v>#REF!</v>
      </c>
      <c r="X445" s="31" t="e">
        <f>"LNGImporterTariffVar_"&amp;RIGHT($W445,11)</f>
        <v>#REF!</v>
      </c>
    </row>
  </sheetData>
  <mergeCells count="110">
    <mergeCell ref="B438:B441"/>
    <mergeCell ref="B442:B445"/>
    <mergeCell ref="B418:B421"/>
    <mergeCell ref="B422:B425"/>
    <mergeCell ref="B426:B429"/>
    <mergeCell ref="B430:B433"/>
    <mergeCell ref="B434:B437"/>
    <mergeCell ref="B398:B401"/>
    <mergeCell ref="B402:B405"/>
    <mergeCell ref="B406:B409"/>
    <mergeCell ref="B410:B413"/>
    <mergeCell ref="B414:B417"/>
    <mergeCell ref="B378:B381"/>
    <mergeCell ref="B382:B385"/>
    <mergeCell ref="B386:B389"/>
    <mergeCell ref="B390:B393"/>
    <mergeCell ref="B394:B397"/>
    <mergeCell ref="B358:B361"/>
    <mergeCell ref="B362:B365"/>
    <mergeCell ref="B366:B369"/>
    <mergeCell ref="B370:B373"/>
    <mergeCell ref="B374:B377"/>
    <mergeCell ref="B338:B341"/>
    <mergeCell ref="B342:B345"/>
    <mergeCell ref="B346:B349"/>
    <mergeCell ref="B350:B353"/>
    <mergeCell ref="B354:B357"/>
    <mergeCell ref="B318:B321"/>
    <mergeCell ref="B322:B325"/>
    <mergeCell ref="B326:B329"/>
    <mergeCell ref="B330:B333"/>
    <mergeCell ref="B334:B337"/>
    <mergeCell ref="B298:B301"/>
    <mergeCell ref="B302:B305"/>
    <mergeCell ref="B306:B309"/>
    <mergeCell ref="B310:B313"/>
    <mergeCell ref="B314:B317"/>
    <mergeCell ref="B278:B281"/>
    <mergeCell ref="B282:B285"/>
    <mergeCell ref="B286:B289"/>
    <mergeCell ref="B290:B293"/>
    <mergeCell ref="B294:B297"/>
    <mergeCell ref="B258:B261"/>
    <mergeCell ref="B262:B265"/>
    <mergeCell ref="B266:B269"/>
    <mergeCell ref="B270:B273"/>
    <mergeCell ref="B274:B277"/>
    <mergeCell ref="B238:B241"/>
    <mergeCell ref="B242:B245"/>
    <mergeCell ref="B246:B249"/>
    <mergeCell ref="B250:B253"/>
    <mergeCell ref="B254:B257"/>
    <mergeCell ref="B218:B221"/>
    <mergeCell ref="B222:B225"/>
    <mergeCell ref="B226:B229"/>
    <mergeCell ref="B230:B233"/>
    <mergeCell ref="B234:B237"/>
    <mergeCell ref="B198:B201"/>
    <mergeCell ref="B202:B205"/>
    <mergeCell ref="B206:B209"/>
    <mergeCell ref="B210:B213"/>
    <mergeCell ref="B214:B217"/>
    <mergeCell ref="B178:B181"/>
    <mergeCell ref="B182:B185"/>
    <mergeCell ref="B186:B189"/>
    <mergeCell ref="B190:B193"/>
    <mergeCell ref="B194:B197"/>
    <mergeCell ref="B158:B161"/>
    <mergeCell ref="B162:B165"/>
    <mergeCell ref="B166:B169"/>
    <mergeCell ref="B170:B173"/>
    <mergeCell ref="B174:B177"/>
    <mergeCell ref="B138:B141"/>
    <mergeCell ref="B142:B145"/>
    <mergeCell ref="B146:B149"/>
    <mergeCell ref="B150:B153"/>
    <mergeCell ref="B154:B157"/>
    <mergeCell ref="B118:B121"/>
    <mergeCell ref="B122:B125"/>
    <mergeCell ref="B126:B129"/>
    <mergeCell ref="B130:B133"/>
    <mergeCell ref="B134:B137"/>
    <mergeCell ref="B98:B101"/>
    <mergeCell ref="B102:B105"/>
    <mergeCell ref="B106:B109"/>
    <mergeCell ref="B110:B113"/>
    <mergeCell ref="B114:B117"/>
    <mergeCell ref="B78:B81"/>
    <mergeCell ref="B82:B85"/>
    <mergeCell ref="B86:B89"/>
    <mergeCell ref="B90:B93"/>
    <mergeCell ref="B94:B97"/>
    <mergeCell ref="B58:B61"/>
    <mergeCell ref="B62:B65"/>
    <mergeCell ref="B66:B69"/>
    <mergeCell ref="B70:B73"/>
    <mergeCell ref="B74:B77"/>
    <mergeCell ref="B26:B29"/>
    <mergeCell ref="B6:B9"/>
    <mergeCell ref="B10:B13"/>
    <mergeCell ref="B14:B17"/>
    <mergeCell ref="B18:B21"/>
    <mergeCell ref="B22:B25"/>
    <mergeCell ref="B54:B57"/>
    <mergeCell ref="B30:B33"/>
    <mergeCell ref="B34:B37"/>
    <mergeCell ref="B38:B41"/>
    <mergeCell ref="B42:B45"/>
    <mergeCell ref="B46:B49"/>
    <mergeCell ref="B50:B53"/>
  </mergeCells>
  <conditionalFormatting sqref="D6:D7">
    <cfRule type="cellIs" dxfId="99" priority="2" operator="equal">
      <formula>#REF!</formula>
    </cfRule>
  </conditionalFormatting>
  <conditionalFormatting sqref="D8:D9">
    <cfRule type="cellIs" dxfId="98" priority="1" operator="equal">
      <formula>#REF!</formula>
    </cfRule>
  </conditionalFormatting>
  <dataValidations count="2">
    <dataValidation operator="greaterThanOrEqual" allowBlank="1" showInputMessage="1" showErrorMessage="1" sqref="V6:V445" xr:uid="{1F9C7557-6418-4614-B23B-4CA23B6ED3E1}"/>
    <dataValidation type="decimal" operator="greaterThanOrEqual" allowBlank="1" showInputMessage="1" showErrorMessage="1" sqref="E6:U445" xr:uid="{991BFF4C-C25A-40B4-A618-AA14FCC232C5}">
      <formula1>0</formula1>
    </dataValidation>
  </dataValidations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ABC9B80-AE2A-4351-9AB0-4B9912C38AFC}">
  <sheetPr>
    <tabColor rgb="FFA52A2A"/>
  </sheetPr>
  <dimension ref="A1:E6"/>
  <sheetViews>
    <sheetView workbookViewId="0">
      <selection activeCell="A7" sqref="A7"/>
    </sheetView>
  </sheetViews>
  <sheetFormatPr baseColWidth="10" defaultColWidth="9.140625" defaultRowHeight="15" outlineLevelCol="1" x14ac:dyDescent="0.25"/>
  <cols>
    <col min="1" max="1" width="28.5703125" customWidth="1"/>
    <col min="2" max="2" width="8.28515625" hidden="1" customWidth="1" outlineLevel="1"/>
    <col min="3" max="3" width="83.85546875" customWidth="1" collapsed="1"/>
    <col min="4" max="4" width="18.28515625" hidden="1" customWidth="1" outlineLevel="1"/>
    <col min="5" max="5" width="9.140625" collapsed="1"/>
  </cols>
  <sheetData>
    <row r="1" spans="1:4" x14ac:dyDescent="0.25">
      <c r="A1" s="1" t="s">
        <v>177</v>
      </c>
    </row>
    <row r="2" spans="1:4" x14ac:dyDescent="0.25">
      <c r="A2" s="1"/>
    </row>
    <row r="5" spans="1:4" x14ac:dyDescent="0.25">
      <c r="A5" t="s">
        <v>178</v>
      </c>
      <c r="B5" t="s">
        <v>1</v>
      </c>
      <c r="C5" t="s">
        <v>3</v>
      </c>
      <c r="D5" s="2" t="s">
        <v>179</v>
      </c>
    </row>
    <row r="6" spans="1:4" x14ac:dyDescent="0.25">
      <c r="A6" s="82" t="s">
        <v>186</v>
      </c>
      <c r="B6" s="4">
        <f>ROW(1:1)</f>
        <v>1</v>
      </c>
      <c r="C6" s="20"/>
      <c r="D6" s="21" t="str">
        <f>"PipedExporter_"&amp;TEXT(TBL_PIPED_EXPORTERS[[#This Row],[Index]],"000")</f>
        <v>PipedExporter_001</v>
      </c>
    </row>
  </sheetData>
  <dataValidations count="1">
    <dataValidation type="custom" allowBlank="1" showInputMessage="1" showErrorMessage="1" sqref="A6:C6" xr:uid="{391C6BF9-90D2-4821-B593-BB02182387E3}">
      <formula1>COUNTIF($A$6:$A6,$A6)&lt;2</formula1>
    </dataValidation>
  </dataValidations>
  <pageMargins left="0.7" right="0.7" top="0.75" bottom="0.75" header="0.3" footer="0.3"/>
  <tableParts count="1">
    <tablePart r:id="rId1"/>
  </tableParts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826B089-92BF-4D9D-BD8D-5FE5BB8E8EB1}">
  <sheetPr>
    <tabColor rgb="FFA52A2A"/>
  </sheetPr>
  <dimension ref="A1:V6"/>
  <sheetViews>
    <sheetView workbookViewId="0">
      <selection activeCell="D6" sqref="D6"/>
    </sheetView>
  </sheetViews>
  <sheetFormatPr baseColWidth="10" defaultColWidth="9.140625" defaultRowHeight="15" outlineLevelCol="1" x14ac:dyDescent="0.25"/>
  <cols>
    <col min="1" max="1" width="28.5703125" customWidth="1"/>
    <col min="2" max="2" width="9.140625" hidden="1" customWidth="1" outlineLevel="1"/>
    <col min="3" max="3" width="10.140625" bestFit="1" customWidth="1" collapsed="1"/>
    <col min="4" max="4" width="10.140625" bestFit="1" customWidth="1"/>
    <col min="6" max="6" width="9.42578125" customWidth="1"/>
    <col min="10" max="10" width="9.28515625" customWidth="1"/>
    <col min="12" max="12" width="9.28515625" customWidth="1"/>
    <col min="15" max="15" width="9.28515625" customWidth="1"/>
    <col min="18" max="18" width="9.42578125" customWidth="1"/>
    <col min="20" max="20" width="83.85546875" customWidth="1"/>
    <col min="21" max="21" width="28.42578125" hidden="1" customWidth="1" outlineLevel="1"/>
    <col min="22" max="22" width="9.140625" collapsed="1"/>
  </cols>
  <sheetData>
    <row r="1" spans="1:21" x14ac:dyDescent="0.25">
      <c r="A1" s="1" t="s">
        <v>180</v>
      </c>
    </row>
    <row r="2" spans="1:21" x14ac:dyDescent="0.25">
      <c r="A2" s="1" t="s">
        <v>160</v>
      </c>
    </row>
    <row r="4" spans="1:21" x14ac:dyDescent="0.25">
      <c r="A4" s="5" t="s">
        <v>181</v>
      </c>
    </row>
    <row r="5" spans="1:21" x14ac:dyDescent="0.25">
      <c r="A5" t="s">
        <v>178</v>
      </c>
      <c r="B5" t="s">
        <v>1</v>
      </c>
      <c r="C5" s="2" t="s">
        <v>4</v>
      </c>
      <c r="D5" s="2" t="s">
        <v>5</v>
      </c>
      <c r="E5" s="2" t="s">
        <v>6</v>
      </c>
      <c r="F5" s="2" t="s">
        <v>7</v>
      </c>
      <c r="G5" s="2" t="s">
        <v>8</v>
      </c>
      <c r="H5" s="2" t="s">
        <v>9</v>
      </c>
      <c r="I5" s="2" t="s">
        <v>10</v>
      </c>
      <c r="J5" s="2" t="s">
        <v>11</v>
      </c>
      <c r="K5" s="2" t="s">
        <v>12</v>
      </c>
      <c r="L5" s="2" t="s">
        <v>13</v>
      </c>
      <c r="M5" s="2" t="s">
        <v>14</v>
      </c>
      <c r="N5" s="2" t="s">
        <v>15</v>
      </c>
      <c r="O5" s="2" t="s">
        <v>16</v>
      </c>
      <c r="P5" s="2" t="s">
        <v>17</v>
      </c>
      <c r="Q5" s="2" t="s">
        <v>18</v>
      </c>
      <c r="R5" s="2" t="s">
        <v>19</v>
      </c>
      <c r="S5" s="2" t="s">
        <v>20</v>
      </c>
      <c r="T5" s="2" t="s">
        <v>27</v>
      </c>
      <c r="U5" s="2" t="s">
        <v>182</v>
      </c>
    </row>
    <row r="6" spans="1:21" x14ac:dyDescent="0.25">
      <c r="A6" s="83" t="s">
        <v>186</v>
      </c>
      <c r="B6" s="4" t="e">
        <f>INDEX([1]!TBL_REGIONS_INDEX[Index],MATCH(TBL_PIPED_EXPORTERS_DEMAND[[#This Row],[Exporter]],[1]!TBL_PIPED_EXPORTERS[Exporter],0))</f>
        <v>#N/A</v>
      </c>
      <c r="C6" s="29">
        <v>0.2</v>
      </c>
      <c r="D6" s="29"/>
      <c r="E6" s="29"/>
      <c r="F6" s="29"/>
      <c r="G6" s="29"/>
      <c r="H6" s="29"/>
      <c r="I6" s="29"/>
      <c r="J6" s="29"/>
      <c r="K6" s="29"/>
      <c r="L6" s="29"/>
      <c r="M6" s="29"/>
      <c r="N6" s="29"/>
      <c r="O6" s="29"/>
      <c r="P6" s="29"/>
      <c r="Q6" s="29"/>
      <c r="R6" s="29"/>
      <c r="S6" s="29"/>
      <c r="T6" s="17"/>
      <c r="U6" s="21" t="e">
        <f>"PipedExporterProduction_"&amp;TEXT(TBL_PIPED_EXPORTERS_DEMAND[[#This Row],[Index]],"000")</f>
        <v>#N/A</v>
      </c>
    </row>
  </sheetData>
  <dataValidations count="2">
    <dataValidation type="list" allowBlank="1" showInputMessage="1" showErrorMessage="1" sqref="A6" xr:uid="{41FA012A-9F89-425F-9D76-98755EAE08AC}">
      <formula1>INDIRECT("TBL_PIPED_EXPORTERS[Exporter]")</formula1>
    </dataValidation>
    <dataValidation type="decimal" operator="greaterThanOrEqual" allowBlank="1" showInputMessage="1" showErrorMessage="1" sqref="C6:S6" xr:uid="{731400A6-EC09-4F96-A350-0C08C68DEC8D}">
      <formula1>0</formula1>
    </dataValidation>
  </dataValidations>
  <pageMargins left="0.7" right="0.7" top="0.75" bottom="0.75" header="0.3" footer="0.3"/>
  <tableParts count="1">
    <tablePart r:id="rId1"/>
  </tableParts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2728CDC-C396-4B46-8003-590A0237AA6F}">
  <sheetPr>
    <tabColor rgb="FFA52A2A"/>
  </sheetPr>
  <dimension ref="A1:Z6"/>
  <sheetViews>
    <sheetView tabSelected="1" workbookViewId="0">
      <selection activeCell="E7" sqref="E7"/>
    </sheetView>
  </sheetViews>
  <sheetFormatPr baseColWidth="10" defaultColWidth="9.140625" defaultRowHeight="15" outlineLevelCol="1" x14ac:dyDescent="0.25"/>
  <cols>
    <col min="1" max="1" width="28.5703125" customWidth="1"/>
    <col min="2" max="2" width="14.28515625" hidden="1" customWidth="1" outlineLevel="1"/>
    <col min="3" max="3" width="28.5703125" customWidth="1" collapsed="1"/>
    <col min="4" max="4" width="12.5703125" hidden="1" customWidth="1" outlineLevel="1"/>
    <col min="5" max="5" width="28.5703125" customWidth="1" collapsed="1"/>
    <col min="6" max="6" width="16.28515625" hidden="1" customWidth="1" outlineLevel="1"/>
    <col min="7" max="7" width="16.7109375" hidden="1" customWidth="1" outlineLevel="1"/>
    <col min="8" max="8" width="83.85546875" customWidth="1" collapsed="1"/>
    <col min="9" max="9" width="36.85546875" hidden="1" customWidth="1" outlineLevel="1"/>
    <col min="10" max="10" width="9.140625" collapsed="1"/>
    <col min="11" max="11" width="9.42578125" customWidth="1"/>
    <col min="15" max="15" width="9.28515625" customWidth="1"/>
    <col min="17" max="17" width="9.28515625" customWidth="1"/>
    <col min="20" max="20" width="9.28515625" customWidth="1"/>
    <col min="23" max="23" width="9.42578125" customWidth="1"/>
    <col min="25" max="25" width="71.5703125" customWidth="1"/>
    <col min="26" max="26" width="28.42578125" bestFit="1" customWidth="1" outlineLevel="1"/>
  </cols>
  <sheetData>
    <row r="1" spans="1:9" x14ac:dyDescent="0.25">
      <c r="A1" s="1" t="s">
        <v>183</v>
      </c>
    </row>
    <row r="5" spans="1:9" x14ac:dyDescent="0.25">
      <c r="A5" t="s">
        <v>178</v>
      </c>
      <c r="B5" t="s">
        <v>184</v>
      </c>
      <c r="C5" t="s">
        <v>0</v>
      </c>
      <c r="D5" t="s">
        <v>36</v>
      </c>
      <c r="E5" t="s">
        <v>38</v>
      </c>
      <c r="F5" t="s">
        <v>147</v>
      </c>
      <c r="G5" t="s">
        <v>146</v>
      </c>
      <c r="H5" s="2" t="s">
        <v>3</v>
      </c>
      <c r="I5" s="2" t="s">
        <v>185</v>
      </c>
    </row>
    <row r="6" spans="1:9" x14ac:dyDescent="0.25">
      <c r="A6" s="83" t="s">
        <v>186</v>
      </c>
      <c r="B6" s="4" t="e">
        <f>INDEX([1]!TBL_REGIONS_INDEX[Index],MATCH(TBL_PIPED_EXPORTERS_CONNECTIONS[[#This Row],[Exporter]],[1]!TBL_PIPED_EXPORTERS[Exporter],0))</f>
        <v>#N/A</v>
      </c>
      <c r="C6" s="83" t="s">
        <v>169</v>
      </c>
      <c r="D6" s="4" t="e">
        <f>INDEX([1]!TBL_REGIONS_INDEX[Index],MATCH(TBL_PIPED_EXPORTERS_CONNECTIONS[[#This Row],[Region]],[1]!TBL_REGIONS_INDEX[Region],0))</f>
        <v>#N/A</v>
      </c>
      <c r="E6" s="17" t="s">
        <v>187</v>
      </c>
      <c r="F6" s="4" t="e">
        <f>TEXT(TBL_PIPED_EXPORTERS_CONNECTIONS[[#This Row],[Exporter Index]],"000")&amp;TEXT(TBL_PIPED_EXPORTERS_CONNECTIONS[[#This Row],[Region Index]],"000")</f>
        <v>#N/A</v>
      </c>
      <c r="G6" s="4">
        <f>COUNTIF($F$6:$F6,$F6)</f>
        <v>1</v>
      </c>
      <c r="H6" s="17"/>
      <c r="I6" s="21" t="e">
        <f>"PipedExporterConnection_"&amp;TEXT(TBL_PIPED_EXPORTERS_CONNECTIONS[[#This Row],[Exporter Index]],"000")&amp;"_"&amp;TEXT(TBL_PIPED_EXPORTERS_CONNECTIONS[[#This Row],[Region Index]],"000")&amp;"_"&amp;TEXT(TBL_PIPED_EXPORTERS_CONNECTIONS[[#This Row],[Connection Index]],"000")</f>
        <v>#N/A</v>
      </c>
    </row>
  </sheetData>
  <dataValidations count="3">
    <dataValidation type="list" allowBlank="1" showInputMessage="1" showErrorMessage="1" sqref="A6" xr:uid="{7BA0D71F-0AB5-4031-B90E-13C118BDF5E2}">
      <formula1>INDIRECT("TBL_PIPED_EXPORTERS[Exporter]")</formula1>
    </dataValidation>
    <dataValidation type="list" allowBlank="1" showInputMessage="1" showErrorMessage="1" sqref="C6" xr:uid="{6948BF2D-05AA-4848-AA0B-310949D1C043}">
      <formula1>INDIRECT("TBL_REGIONS_INDEX[Region]")</formula1>
    </dataValidation>
    <dataValidation type="custom" allowBlank="1" showInputMessage="1" showErrorMessage="1" sqref="E6" xr:uid="{7358DBAD-ECD6-432F-94D6-5184A5C37DFE}">
      <formula1>COUNTIF($E$6:$E6,$E6)&lt;2</formula1>
    </dataValidation>
  </dataValidations>
  <pageMargins left="0.7" right="0.7" top="0.75" bottom="0.75" header="0.3" footer="0.3"/>
  <tableParts count="1">
    <tablePart r:id="rId1"/>
  </tableParts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B362CB3-23F2-499A-BFB3-750214C5F9AA}">
  <sheetPr codeName="Sheet10">
    <tabColor theme="7"/>
  </sheetPr>
  <dimension ref="A1:AA15"/>
  <sheetViews>
    <sheetView workbookViewId="0">
      <selection activeCell="I7" sqref="I7"/>
    </sheetView>
  </sheetViews>
  <sheetFormatPr baseColWidth="10" defaultColWidth="9.140625" defaultRowHeight="15" outlineLevelCol="1" x14ac:dyDescent="0.25"/>
  <cols>
    <col min="1" max="1" width="28.5703125" customWidth="1"/>
    <col min="2" max="2" width="11.85546875" hidden="1" customWidth="1" outlineLevel="1"/>
    <col min="3" max="3" width="28.5703125" customWidth="1" collapsed="1"/>
    <col min="4" max="4" width="16.85546875" hidden="1" customWidth="1" outlineLevel="1"/>
    <col min="5" max="5" width="28.5703125" customWidth="1" collapsed="1"/>
    <col min="6" max="6" width="16.28515625" hidden="1" customWidth="1" outlineLevel="1"/>
    <col min="7" max="7" width="16.7109375" hidden="1" customWidth="1" outlineLevel="1"/>
    <col min="8" max="8" width="83.85546875" customWidth="1" collapsed="1"/>
    <col min="9" max="9" width="19.140625" hidden="1" customWidth="1" outlineLevel="1"/>
    <col min="10" max="10" width="9.140625" collapsed="1"/>
    <col min="11" max="11" width="9.42578125" customWidth="1"/>
    <col min="15" max="15" width="9.28515625" customWidth="1"/>
    <col min="17" max="17" width="9.28515625" customWidth="1"/>
    <col min="20" max="20" width="9.28515625" customWidth="1"/>
    <col min="23" max="23" width="9.42578125" customWidth="1"/>
    <col min="25" max="25" width="71.5703125" customWidth="1"/>
    <col min="26" max="26" width="28.42578125" hidden="1" customWidth="1" outlineLevel="1"/>
    <col min="27" max="27" width="9.140625" collapsed="1"/>
  </cols>
  <sheetData>
    <row r="1" spans="1:9" x14ac:dyDescent="0.25">
      <c r="A1" s="1" t="s">
        <v>49</v>
      </c>
    </row>
    <row r="2" spans="1:9" x14ac:dyDescent="0.25">
      <c r="A2" s="1" t="s">
        <v>67</v>
      </c>
    </row>
    <row r="5" spans="1:9" x14ac:dyDescent="0.25">
      <c r="A5" t="s">
        <v>50</v>
      </c>
      <c r="B5" t="s">
        <v>51</v>
      </c>
      <c r="C5" t="s">
        <v>52</v>
      </c>
      <c r="D5" t="s">
        <v>53</v>
      </c>
      <c r="E5" t="s">
        <v>38</v>
      </c>
      <c r="F5" t="s">
        <v>147</v>
      </c>
      <c r="G5" t="s">
        <v>146</v>
      </c>
      <c r="H5" s="2" t="s">
        <v>3</v>
      </c>
      <c r="I5" s="2" t="s">
        <v>54</v>
      </c>
    </row>
    <row r="6" spans="1:9" x14ac:dyDescent="0.25">
      <c r="A6" s="82" t="s">
        <v>55</v>
      </c>
      <c r="B6" s="4">
        <f>INDEX(TBL_REGIONS_INDEX[Index],MATCH(TBL_TRANSIT[[#This Row],[Origin]],TBL_REGIONS_INDEX[Region],0))</f>
        <v>1</v>
      </c>
      <c r="C6" s="95" t="s">
        <v>56</v>
      </c>
      <c r="D6" s="4">
        <f>INDEX(TBL_REGIONS_INDEX[Index],MATCH(TBL_TRANSIT[[#This Row],[Destination]],TBL_REGIONS_INDEX[Region],0))</f>
        <v>2</v>
      </c>
      <c r="E6" s="88" t="s">
        <v>153</v>
      </c>
      <c r="F6" s="4" t="str">
        <f>TEXT(TBL_TRANSIT[[#This Row],[Origin Index]],"000")&amp;TEXT(TBL_TRANSIT[[#This Row],[Destination Index]],"000")</f>
        <v>001002</v>
      </c>
      <c r="G6" s="4">
        <f>COUNTIF($F$6:$F6,$F6)</f>
        <v>1</v>
      </c>
      <c r="H6" s="17"/>
      <c r="I6" s="21" t="str">
        <f>"Transit_"&amp;TEXT(TBL_TRANSIT[[#This Row],[Origin Index]],"000")&amp;"_"&amp;TEXT(TBL_TRANSIT[[#This Row],[Destination Index]],"000")&amp;"_"&amp;TEXT(TBL_TRANSIT[[#This Row],[Connection Index]],"000")</f>
        <v>Transit_001_002_001</v>
      </c>
    </row>
    <row r="7" spans="1:9" x14ac:dyDescent="0.25">
      <c r="A7" s="82" t="s">
        <v>56</v>
      </c>
      <c r="B7" s="4">
        <f>INDEX(TBL_REGIONS_INDEX[Index],MATCH(TBL_TRANSIT[[#This Row],[Origin]],TBL_REGIONS_INDEX[Region],0))</f>
        <v>2</v>
      </c>
      <c r="C7" s="95" t="s">
        <v>55</v>
      </c>
      <c r="D7" s="4">
        <f>INDEX(TBL_REGIONS_INDEX[Index],MATCH(TBL_TRANSIT[[#This Row],[Destination]],TBL_REGIONS_INDEX[Region],0))</f>
        <v>1</v>
      </c>
      <c r="E7" s="88" t="s">
        <v>59</v>
      </c>
      <c r="F7" s="4" t="str">
        <f>TEXT(TBL_TRANSIT[[#This Row],[Origin Index]],"000")&amp;TEXT(TBL_TRANSIT[[#This Row],[Destination Index]],"000")</f>
        <v>002001</v>
      </c>
      <c r="G7" s="4">
        <f>COUNTIF($F$6:$F7,$F7)</f>
        <v>1</v>
      </c>
      <c r="H7" s="17"/>
      <c r="I7" s="21" t="str">
        <f>"Transit_"&amp;TEXT(TBL_TRANSIT[[#This Row],[Origin Index]],"000")&amp;"_"&amp;TEXT(TBL_TRANSIT[[#This Row],[Destination Index]],"000")&amp;"_"&amp;TEXT(TBL_TRANSIT[[#This Row],[Connection Index]],"000")</f>
        <v>Transit_002_001_001</v>
      </c>
    </row>
    <row r="8" spans="1:9" x14ac:dyDescent="0.25">
      <c r="A8" s="82" t="s">
        <v>55</v>
      </c>
      <c r="B8" s="4">
        <f>INDEX(TBL_REGIONS_INDEX[Index],MATCH(TBL_TRANSIT[[#This Row],[Origin]],TBL_REGIONS_INDEX[Region],0))</f>
        <v>1</v>
      </c>
      <c r="C8" s="95" t="s">
        <v>57</v>
      </c>
      <c r="D8" s="4">
        <f>INDEX(TBL_REGIONS_INDEX[Index],MATCH(TBL_TRANSIT[[#This Row],[Destination]],TBL_REGIONS_INDEX[Region],0))</f>
        <v>3</v>
      </c>
      <c r="E8" s="88" t="s">
        <v>60</v>
      </c>
      <c r="F8" s="4" t="str">
        <f>TEXT(TBL_TRANSIT[[#This Row],[Origin Index]],"000")&amp;TEXT(TBL_TRANSIT[[#This Row],[Destination Index]],"000")</f>
        <v>001003</v>
      </c>
      <c r="G8" s="4">
        <f>COUNTIF($F$6:$F8,$F8)</f>
        <v>1</v>
      </c>
      <c r="H8" s="17"/>
      <c r="I8" s="21" t="str">
        <f>"Transit_"&amp;TEXT(TBL_TRANSIT[[#This Row],[Origin Index]],"000")&amp;"_"&amp;TEXT(TBL_TRANSIT[[#This Row],[Destination Index]],"000")&amp;"_"&amp;TEXT(TBL_TRANSIT[[#This Row],[Connection Index]],"000")</f>
        <v>Transit_001_003_001</v>
      </c>
    </row>
    <row r="9" spans="1:9" x14ac:dyDescent="0.25">
      <c r="A9" s="82" t="s">
        <v>57</v>
      </c>
      <c r="B9" s="4">
        <f>INDEX(TBL_REGIONS_INDEX[Index],MATCH(TBL_TRANSIT[[#This Row],[Origin]],TBL_REGIONS_INDEX[Region],0))</f>
        <v>3</v>
      </c>
      <c r="C9" s="95" t="s">
        <v>55</v>
      </c>
      <c r="D9" s="4">
        <f>INDEX(TBL_REGIONS_INDEX[Index],MATCH(TBL_TRANSIT[[#This Row],[Destination]],TBL_REGIONS_INDEX[Region],0))</f>
        <v>1</v>
      </c>
      <c r="E9" s="88" t="s">
        <v>61</v>
      </c>
      <c r="F9" s="4" t="str">
        <f>TEXT(TBL_TRANSIT[[#This Row],[Origin Index]],"000")&amp;TEXT(TBL_TRANSIT[[#This Row],[Destination Index]],"000")</f>
        <v>003001</v>
      </c>
      <c r="G9" s="4">
        <f>COUNTIF($F$6:$F9,$F9)</f>
        <v>1</v>
      </c>
      <c r="H9" s="17"/>
      <c r="I9" s="21" t="str">
        <f>"Transit_"&amp;TEXT(TBL_TRANSIT[[#This Row],[Origin Index]],"000")&amp;"_"&amp;TEXT(TBL_TRANSIT[[#This Row],[Destination Index]],"000")&amp;"_"&amp;TEXT(TBL_TRANSIT[[#This Row],[Connection Index]],"000")</f>
        <v>Transit_003_001_001</v>
      </c>
    </row>
    <row r="10" spans="1:9" x14ac:dyDescent="0.25">
      <c r="A10" s="82" t="s">
        <v>55</v>
      </c>
      <c r="B10" s="4">
        <f>INDEX(TBL_REGIONS_INDEX[Index],MATCH(TBL_TRANSIT[[#This Row],[Origin]],TBL_REGIONS_INDEX[Region],0))</f>
        <v>1</v>
      </c>
      <c r="C10" s="95" t="s">
        <v>58</v>
      </c>
      <c r="D10" s="4">
        <f>INDEX(TBL_REGIONS_INDEX[Index],MATCH(TBL_TRANSIT[[#This Row],[Destination]],TBL_REGIONS_INDEX[Region],0))</f>
        <v>4</v>
      </c>
      <c r="E10" s="88" t="s">
        <v>62</v>
      </c>
      <c r="F10" s="4" t="str">
        <f>TEXT(TBL_TRANSIT[[#This Row],[Origin Index]],"000")&amp;TEXT(TBL_TRANSIT[[#This Row],[Destination Index]],"000")</f>
        <v>001004</v>
      </c>
      <c r="G10" s="4">
        <f>COUNTIF($F$6:$F10,$F10)</f>
        <v>1</v>
      </c>
      <c r="H10" s="17"/>
      <c r="I10" s="21" t="str">
        <f>"Transit_"&amp;TEXT(TBL_TRANSIT[[#This Row],[Origin Index]],"000")&amp;"_"&amp;TEXT(TBL_TRANSIT[[#This Row],[Destination Index]],"000")&amp;"_"&amp;TEXT(TBL_TRANSIT[[#This Row],[Connection Index]],"000")</f>
        <v>Transit_001_004_001</v>
      </c>
    </row>
    <row r="11" spans="1:9" x14ac:dyDescent="0.25">
      <c r="A11" s="82" t="s">
        <v>56</v>
      </c>
      <c r="B11" s="4">
        <f>INDEX(TBL_REGIONS_INDEX[Index],MATCH(TBL_TRANSIT[[#This Row],[Origin]],TBL_REGIONS_INDEX[Region],0))</f>
        <v>2</v>
      </c>
      <c r="C11" s="95" t="s">
        <v>57</v>
      </c>
      <c r="D11" s="4">
        <f>INDEX(TBL_REGIONS_INDEX[Index],MATCH(TBL_TRANSIT[[#This Row],[Destination]],TBL_REGIONS_INDEX[Region],0))</f>
        <v>3</v>
      </c>
      <c r="E11" s="88" t="s">
        <v>63</v>
      </c>
      <c r="F11" s="4" t="str">
        <f>TEXT(TBL_TRANSIT[[#This Row],[Origin Index]],"000")&amp;TEXT(TBL_TRANSIT[[#This Row],[Destination Index]],"000")</f>
        <v>002003</v>
      </c>
      <c r="G11" s="4">
        <f>COUNTIF($F$6:$F11,$F11)</f>
        <v>1</v>
      </c>
      <c r="H11" s="17"/>
      <c r="I11" s="21" t="str">
        <f>"Transit_"&amp;TEXT(TBL_TRANSIT[[#This Row],[Origin Index]],"000")&amp;"_"&amp;TEXT(TBL_TRANSIT[[#This Row],[Destination Index]],"000")&amp;"_"&amp;TEXT(TBL_TRANSIT[[#This Row],[Connection Index]],"000")</f>
        <v>Transit_002_003_001</v>
      </c>
    </row>
    <row r="12" spans="1:9" x14ac:dyDescent="0.25">
      <c r="A12" s="82" t="s">
        <v>57</v>
      </c>
      <c r="B12" s="4">
        <f>INDEX(TBL_REGIONS_INDEX[Index],MATCH(TBL_TRANSIT[[#This Row],[Origin]],TBL_REGIONS_INDEX[Region],0))</f>
        <v>3</v>
      </c>
      <c r="C12" s="95" t="s">
        <v>56</v>
      </c>
      <c r="D12" s="4">
        <f>INDEX(TBL_REGIONS_INDEX[Index],MATCH(TBL_TRANSIT[[#This Row],[Destination]],TBL_REGIONS_INDEX[Region],0))</f>
        <v>2</v>
      </c>
      <c r="E12" s="88" t="s">
        <v>64</v>
      </c>
      <c r="F12" s="4" t="str">
        <f>TEXT(TBL_TRANSIT[[#This Row],[Origin Index]],"000")&amp;TEXT(TBL_TRANSIT[[#This Row],[Destination Index]],"000")</f>
        <v>003002</v>
      </c>
      <c r="G12" s="4">
        <f>COUNTIF($F$6:$F12,$F12)</f>
        <v>1</v>
      </c>
      <c r="H12" s="17"/>
      <c r="I12" s="21" t="str">
        <f>"Transit_"&amp;TEXT(TBL_TRANSIT[[#This Row],[Origin Index]],"000")&amp;"_"&amp;TEXT(TBL_TRANSIT[[#This Row],[Destination Index]],"000")&amp;"_"&amp;TEXT(TBL_TRANSIT[[#This Row],[Connection Index]],"000")</f>
        <v>Transit_003_002_001</v>
      </c>
    </row>
    <row r="13" spans="1:9" x14ac:dyDescent="0.25">
      <c r="A13" s="82" t="s">
        <v>56</v>
      </c>
      <c r="B13" s="4">
        <f>INDEX(TBL_REGIONS_INDEX[Index],MATCH(TBL_TRANSIT[[#This Row],[Origin]],TBL_REGIONS_INDEX[Region],0))</f>
        <v>2</v>
      </c>
      <c r="C13" s="95" t="s">
        <v>58</v>
      </c>
      <c r="D13" s="4">
        <f>INDEX(TBL_REGIONS_INDEX[Index],MATCH(TBL_TRANSIT[[#This Row],[Destination]],TBL_REGIONS_INDEX[Region],0))</f>
        <v>4</v>
      </c>
      <c r="E13" s="88" t="s">
        <v>65</v>
      </c>
      <c r="F13" s="4" t="str">
        <f>TEXT(TBL_TRANSIT[[#This Row],[Origin Index]],"000")&amp;TEXT(TBL_TRANSIT[[#This Row],[Destination Index]],"000")</f>
        <v>002004</v>
      </c>
      <c r="G13" s="4">
        <f>COUNTIF($F$6:$F13,$F13)</f>
        <v>1</v>
      </c>
      <c r="H13" s="17"/>
      <c r="I13" s="21" t="str">
        <f>"Transit_"&amp;TEXT(TBL_TRANSIT[[#This Row],[Origin Index]],"000")&amp;"_"&amp;TEXT(TBL_TRANSIT[[#This Row],[Destination Index]],"000")&amp;"_"&amp;TEXT(TBL_TRANSIT[[#This Row],[Connection Index]],"000")</f>
        <v>Transit_002_004_001</v>
      </c>
    </row>
    <row r="14" spans="1:9" x14ac:dyDescent="0.25">
      <c r="A14" s="82" t="s">
        <v>58</v>
      </c>
      <c r="B14" s="4">
        <f>INDEX(TBL_REGIONS_INDEX[Index],MATCH(TBL_TRANSIT[[#This Row],[Origin]],TBL_REGIONS_INDEX[Region],0))</f>
        <v>4</v>
      </c>
      <c r="C14" s="95" t="s">
        <v>56</v>
      </c>
      <c r="D14" s="4">
        <f>INDEX(TBL_REGIONS_INDEX[Index],MATCH(TBL_TRANSIT[[#This Row],[Destination]],TBL_REGIONS_INDEX[Region],0))</f>
        <v>2</v>
      </c>
      <c r="E14" s="88" t="s">
        <v>66</v>
      </c>
      <c r="F14" s="4" t="str">
        <f>TEXT(TBL_TRANSIT[[#This Row],[Origin Index]],"000")&amp;TEXT(TBL_TRANSIT[[#This Row],[Destination Index]],"000")</f>
        <v>004002</v>
      </c>
      <c r="G14" s="4">
        <f>COUNTIF($F$6:$F14,$F14)</f>
        <v>1</v>
      </c>
      <c r="H14" s="17"/>
      <c r="I14" s="21" t="str">
        <f>"Transit_"&amp;TEXT(TBL_TRANSIT[[#This Row],[Origin Index]],"000")&amp;"_"&amp;TEXT(TBL_TRANSIT[[#This Row],[Destination Index]],"000")&amp;"_"&amp;TEXT(TBL_TRANSIT[[#This Row],[Connection Index]],"000")</f>
        <v>Transit_004_002_001</v>
      </c>
    </row>
    <row r="15" spans="1:9" x14ac:dyDescent="0.25">
      <c r="A15" s="82" t="s">
        <v>55</v>
      </c>
      <c r="B15" s="4">
        <f>INDEX(TBL_REGIONS_INDEX[Index],MATCH(TBL_TRANSIT[[#This Row],[Origin]],TBL_REGIONS_INDEX[Region],0))</f>
        <v>1</v>
      </c>
      <c r="C15" s="95" t="s">
        <v>56</v>
      </c>
      <c r="D15" s="4">
        <f>INDEX(TBL_REGIONS_INDEX[Index],MATCH(TBL_TRANSIT[[#This Row],[Destination]],TBL_REGIONS_INDEX[Region],0))</f>
        <v>2</v>
      </c>
      <c r="E15" s="88" t="s">
        <v>154</v>
      </c>
      <c r="F15" s="4" t="str">
        <f>TEXT(TBL_TRANSIT[[#This Row],[Origin Index]],"000")&amp;TEXT(TBL_TRANSIT[[#This Row],[Destination Index]],"000")</f>
        <v>001002</v>
      </c>
      <c r="G15" s="4">
        <f>COUNTIF($F$6:$F15,$F15)</f>
        <v>2</v>
      </c>
      <c r="H15" s="17"/>
      <c r="I15" s="21" t="str">
        <f>"Transit_"&amp;TEXT(TBL_TRANSIT[[#This Row],[Origin Index]],"000")&amp;"_"&amp;TEXT(TBL_TRANSIT[[#This Row],[Destination Index]],"000")&amp;"_"&amp;TEXT(TBL_TRANSIT[[#This Row],[Connection Index]],"000")</f>
        <v>Transit_001_002_002</v>
      </c>
    </row>
  </sheetData>
  <dataValidations count="2">
    <dataValidation type="list" allowBlank="1" showInputMessage="1" showErrorMessage="1" sqref="A6:A15 C6:C15" xr:uid="{BC2A5AD7-3172-4C5B-B0D7-71BE25CD4DDD}">
      <formula1>INDIRECT("TBL_REGIONS_INDEX[Region]")</formula1>
    </dataValidation>
    <dataValidation type="custom" allowBlank="1" showInputMessage="1" showErrorMessage="1" sqref="E6:E15" xr:uid="{3B61694A-5E2A-4428-8154-6993440ED0EE}">
      <formula1>COUNTIF($E$6:$E6,$E6)&lt;2</formula1>
    </dataValidation>
  </dataValidations>
  <pageMargins left="0.7" right="0.7" top="0.75" bottom="0.75" header="0.3" footer="0.3"/>
  <tableParts count="1">
    <tablePart r:id="rId1"/>
  </tableParts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F315607-2728-4574-8FE1-CFF683F9BFF3}">
  <sheetPr>
    <tabColor theme="7"/>
  </sheetPr>
  <dimension ref="A1:Y445"/>
  <sheetViews>
    <sheetView topLeftCell="V1" workbookViewId="0">
      <selection activeCell="E29" sqref="E29"/>
    </sheetView>
  </sheetViews>
  <sheetFormatPr baseColWidth="10" defaultColWidth="9.140625" defaultRowHeight="15" outlineLevelCol="1" x14ac:dyDescent="0.25"/>
  <cols>
    <col min="1" max="1" width="4" hidden="1" customWidth="1" outlineLevel="1"/>
    <col min="2" max="2" width="28.5703125" customWidth="1" collapsed="1"/>
    <col min="3" max="3" width="23" customWidth="1"/>
    <col min="4" max="4" width="13.28515625" customWidth="1"/>
    <col min="22" max="22" width="83.85546875" customWidth="1"/>
    <col min="23" max="23" width="19.140625" hidden="1" customWidth="1" outlineLevel="1"/>
    <col min="24" max="24" width="29" hidden="1" customWidth="1" outlineLevel="1"/>
    <col min="25" max="25" width="9.140625" collapsed="1"/>
  </cols>
  <sheetData>
    <row r="1" spans="1:24" x14ac:dyDescent="0.25">
      <c r="B1" s="1" t="s">
        <v>74</v>
      </c>
    </row>
    <row r="2" spans="1:24" x14ac:dyDescent="0.25">
      <c r="B2" s="1" t="s">
        <v>149</v>
      </c>
    </row>
    <row r="3" spans="1:24" x14ac:dyDescent="0.25">
      <c r="B3" s="1" t="s">
        <v>96</v>
      </c>
    </row>
    <row r="5" spans="1:24" x14ac:dyDescent="0.25">
      <c r="B5" s="8" t="s">
        <v>101</v>
      </c>
      <c r="C5" s="8" t="s">
        <v>40</v>
      </c>
      <c r="D5" s="8" t="s">
        <v>41</v>
      </c>
      <c r="E5" s="22" t="s">
        <v>4</v>
      </c>
      <c r="F5" s="22" t="s">
        <v>5</v>
      </c>
      <c r="G5" s="22" t="s">
        <v>6</v>
      </c>
      <c r="H5" s="22" t="s">
        <v>7</v>
      </c>
      <c r="I5" s="22" t="s">
        <v>8</v>
      </c>
      <c r="J5" s="22" t="s">
        <v>9</v>
      </c>
      <c r="K5" s="22" t="s">
        <v>10</v>
      </c>
      <c r="L5" s="22" t="s">
        <v>11</v>
      </c>
      <c r="M5" s="22" t="s">
        <v>12</v>
      </c>
      <c r="N5" s="22" t="s">
        <v>13</v>
      </c>
      <c r="O5" s="22" t="s">
        <v>14</v>
      </c>
      <c r="P5" s="22" t="s">
        <v>15</v>
      </c>
      <c r="Q5" s="22" t="s">
        <v>16</v>
      </c>
      <c r="R5" s="22" t="s">
        <v>17</v>
      </c>
      <c r="S5" s="22" t="s">
        <v>18</v>
      </c>
      <c r="T5" s="22" t="s">
        <v>19</v>
      </c>
      <c r="U5" s="22" t="s">
        <v>20</v>
      </c>
      <c r="V5" s="8" t="s">
        <v>27</v>
      </c>
      <c r="W5" s="23" t="s">
        <v>54</v>
      </c>
      <c r="X5" s="30" t="s">
        <v>75</v>
      </c>
    </row>
    <row r="6" spans="1:24" x14ac:dyDescent="0.25">
      <c r="A6" s="94">
        <v>1</v>
      </c>
      <c r="B6" s="115" t="str">
        <f>IFERROR(INDEX(TBL_TRANSIT[Name],$A6),"")</f>
        <v>DE-FR I</v>
      </c>
      <c r="C6" s="89" t="s">
        <v>42</v>
      </c>
      <c r="D6" s="90" t="s">
        <v>107</v>
      </c>
      <c r="E6" s="27">
        <v>0</v>
      </c>
      <c r="F6" s="27"/>
      <c r="G6" s="27"/>
      <c r="H6" s="27"/>
      <c r="I6" s="27"/>
      <c r="J6" s="27"/>
      <c r="K6" s="27"/>
      <c r="L6" s="27"/>
      <c r="M6" s="27"/>
      <c r="N6" s="27"/>
      <c r="O6" s="27"/>
      <c r="P6" s="27"/>
      <c r="Q6" s="27"/>
      <c r="R6" s="27"/>
      <c r="S6" s="27"/>
      <c r="T6" s="27"/>
      <c r="U6" s="27"/>
      <c r="V6" s="25"/>
      <c r="W6" s="31" t="str">
        <f>INDEX(TBL_TRANSIT[TransitID],$A6)</f>
        <v>Transit_001_002_001</v>
      </c>
      <c r="X6" s="31" t="str">
        <f>"TransitCapMin_"&amp;RIGHT($W6,11)</f>
        <v>TransitCapMin_001_002_001</v>
      </c>
    </row>
    <row r="7" spans="1:24" x14ac:dyDescent="0.25">
      <c r="A7" s="94">
        <f>$A6</f>
        <v>1</v>
      </c>
      <c r="B7" s="116"/>
      <c r="C7" s="91" t="s">
        <v>43</v>
      </c>
      <c r="D7" s="92" t="s">
        <v>107</v>
      </c>
      <c r="E7" s="32">
        <v>0.5</v>
      </c>
      <c r="F7" s="32"/>
      <c r="G7" s="32"/>
      <c r="H7" s="32"/>
      <c r="I7" s="32"/>
      <c r="J7" s="32"/>
      <c r="K7" s="32"/>
      <c r="L7" s="32"/>
      <c r="M7" s="32"/>
      <c r="N7" s="32"/>
      <c r="O7" s="32"/>
      <c r="P7" s="32"/>
      <c r="Q7" s="32"/>
      <c r="R7" s="32"/>
      <c r="S7" s="32"/>
      <c r="T7" s="32"/>
      <c r="U7" s="32"/>
      <c r="V7" s="26"/>
      <c r="W7" s="31" t="str">
        <f>INDEX(TBL_TRANSIT[TransitID],$A7)</f>
        <v>Transit_001_002_001</v>
      </c>
      <c r="X7" s="31" t="str">
        <f>"TransitCapMax_"&amp;RIGHT($W7,11)</f>
        <v>TransitCapMax_001_002_001</v>
      </c>
    </row>
    <row r="8" spans="1:24" x14ac:dyDescent="0.25">
      <c r="A8" s="94">
        <f>$A7</f>
        <v>1</v>
      </c>
      <c r="B8" s="116"/>
      <c r="C8" s="89" t="s">
        <v>44</v>
      </c>
      <c r="D8" s="90" t="s">
        <v>45</v>
      </c>
      <c r="E8" s="27">
        <v>0</v>
      </c>
      <c r="F8" s="27"/>
      <c r="G8" s="27"/>
      <c r="H8" s="27"/>
      <c r="I8" s="27"/>
      <c r="J8" s="27"/>
      <c r="K8" s="27"/>
      <c r="L8" s="27"/>
      <c r="M8" s="27"/>
      <c r="N8" s="27"/>
      <c r="O8" s="27"/>
      <c r="P8" s="27"/>
      <c r="Q8" s="27"/>
      <c r="R8" s="27"/>
      <c r="S8" s="27"/>
      <c r="T8" s="27"/>
      <c r="U8" s="27"/>
      <c r="V8" s="25"/>
      <c r="W8" s="31" t="str">
        <f>INDEX(TBL_TRANSIT[TransitID],$A8)</f>
        <v>Transit_001_002_001</v>
      </c>
      <c r="X8" s="31" t="str">
        <f>"TransitTariffFixed_"&amp;RIGHT($W8,11)</f>
        <v>TransitTariffFixed_001_002_001</v>
      </c>
    </row>
    <row r="9" spans="1:24" x14ac:dyDescent="0.25">
      <c r="A9" s="94">
        <f>$A8</f>
        <v>1</v>
      </c>
      <c r="B9" s="117"/>
      <c r="C9" s="91" t="s">
        <v>46</v>
      </c>
      <c r="D9" s="92" t="s">
        <v>47</v>
      </c>
      <c r="E9" s="32">
        <v>0.12</v>
      </c>
      <c r="F9" s="32"/>
      <c r="G9" s="32"/>
      <c r="H9" s="32"/>
      <c r="I9" s="32"/>
      <c r="J9" s="32"/>
      <c r="K9" s="32"/>
      <c r="L9" s="32"/>
      <c r="M9" s="32"/>
      <c r="N9" s="32"/>
      <c r="O9" s="32"/>
      <c r="P9" s="32"/>
      <c r="Q9" s="32"/>
      <c r="R9" s="32"/>
      <c r="S9" s="32"/>
      <c r="T9" s="32"/>
      <c r="U9" s="32"/>
      <c r="V9" s="26"/>
      <c r="W9" s="31" t="str">
        <f>INDEX(TBL_TRANSIT[TransitID],$A9)</f>
        <v>Transit_001_002_001</v>
      </c>
      <c r="X9" s="31" t="str">
        <f>"TransitTariffVar_"&amp;RIGHT($W9,11)</f>
        <v>TransitTariffVar_001_002_001</v>
      </c>
    </row>
    <row r="10" spans="1:24" x14ac:dyDescent="0.25">
      <c r="A10" s="94">
        <f>$A6+1</f>
        <v>2</v>
      </c>
      <c r="B10" s="115" t="str">
        <f>IFERROR(INDEX(TBL_TRANSIT[Name],$A10),"")</f>
        <v>FR-DE</v>
      </c>
      <c r="C10" s="93" t="str">
        <f>IF($B10&lt;&gt;"",C6,"")</f>
        <v>Capacity - Min</v>
      </c>
      <c r="D10" s="93" t="str">
        <f>IF($B10&lt;&gt;"",D6,"")</f>
        <v>mcm/day</v>
      </c>
      <c r="E10" s="27">
        <v>0</v>
      </c>
      <c r="F10" s="27"/>
      <c r="G10" s="27"/>
      <c r="H10" s="27"/>
      <c r="I10" s="27"/>
      <c r="J10" s="27"/>
      <c r="K10" s="27"/>
      <c r="L10" s="27"/>
      <c r="M10" s="27"/>
      <c r="N10" s="27"/>
      <c r="O10" s="27"/>
      <c r="P10" s="27"/>
      <c r="Q10" s="27"/>
      <c r="R10" s="27"/>
      <c r="S10" s="27"/>
      <c r="T10" s="27"/>
      <c r="U10" s="27"/>
      <c r="V10" s="25"/>
      <c r="W10" s="31" t="str">
        <f>INDEX(TBL_TRANSIT[TransitID],$A10)</f>
        <v>Transit_002_001_001</v>
      </c>
      <c r="X10" s="31" t="str">
        <f>"TransitCapMin_"&amp;RIGHT($W10,11)</f>
        <v>TransitCapMin_002_001_001</v>
      </c>
    </row>
    <row r="11" spans="1:24" x14ac:dyDescent="0.25">
      <c r="A11" s="94">
        <f>$A10</f>
        <v>2</v>
      </c>
      <c r="B11" s="116"/>
      <c r="C11" s="93" t="str">
        <f>IF($B10&lt;&gt;"",C7,"")</f>
        <v>Capacity - Max</v>
      </c>
      <c r="D11" s="93" t="str">
        <f>IF($B10&lt;&gt;"",D7,"")</f>
        <v>mcm/day</v>
      </c>
      <c r="E11" s="32">
        <v>10</v>
      </c>
      <c r="F11" s="32"/>
      <c r="G11" s="32"/>
      <c r="H11" s="32"/>
      <c r="I11" s="32"/>
      <c r="J11" s="32"/>
      <c r="K11" s="32"/>
      <c r="L11" s="32"/>
      <c r="M11" s="32"/>
      <c r="N11" s="32"/>
      <c r="O11" s="32"/>
      <c r="P11" s="32"/>
      <c r="Q11" s="32"/>
      <c r="R11" s="32"/>
      <c r="S11" s="32"/>
      <c r="T11" s="32"/>
      <c r="U11" s="32"/>
      <c r="V11" s="26"/>
      <c r="W11" s="31" t="str">
        <f>INDEX(TBL_TRANSIT[TransitID],$A11)</f>
        <v>Transit_002_001_001</v>
      </c>
      <c r="X11" s="31" t="str">
        <f>"TransitCapMax_"&amp;RIGHT($W11,11)</f>
        <v>TransitCapMax_002_001_001</v>
      </c>
    </row>
    <row r="12" spans="1:24" x14ac:dyDescent="0.25">
      <c r="A12" s="94">
        <f>$A11</f>
        <v>2</v>
      </c>
      <c r="B12" s="116"/>
      <c r="C12" s="93" t="str">
        <f>IF($B10&lt;&gt;"",C8,"")</f>
        <v>Tariff - fixed</v>
      </c>
      <c r="D12" s="93" t="str">
        <f>IF($B10&lt;&gt;"",D8,"")</f>
        <v>EUR/month</v>
      </c>
      <c r="E12" s="27">
        <v>0</v>
      </c>
      <c r="F12" s="27"/>
      <c r="G12" s="27"/>
      <c r="H12" s="27"/>
      <c r="I12" s="27"/>
      <c r="J12" s="27"/>
      <c r="K12" s="27"/>
      <c r="L12" s="27"/>
      <c r="M12" s="27"/>
      <c r="N12" s="27"/>
      <c r="O12" s="27"/>
      <c r="P12" s="27"/>
      <c r="Q12" s="27"/>
      <c r="R12" s="27"/>
      <c r="S12" s="27"/>
      <c r="T12" s="27"/>
      <c r="U12" s="27"/>
      <c r="V12" s="25"/>
      <c r="W12" s="31" t="str">
        <f>INDEX(TBL_TRANSIT[TransitID],$A12)</f>
        <v>Transit_002_001_001</v>
      </c>
      <c r="X12" s="31" t="str">
        <f>"TransitTariffFixed_"&amp;RIGHT($W12,11)</f>
        <v>TransitTariffFixed_002_001_001</v>
      </c>
    </row>
    <row r="13" spans="1:24" x14ac:dyDescent="0.25">
      <c r="A13" s="94">
        <f>$A12</f>
        <v>2</v>
      </c>
      <c r="B13" s="117"/>
      <c r="C13" s="93" t="str">
        <f>IF($B10&lt;&gt;"",C9,"")</f>
        <v>Tariff - variable</v>
      </c>
      <c r="D13" s="93" t="str">
        <f>IF($B10&lt;&gt;"",D9,"")</f>
        <v>EUR/MWh</v>
      </c>
      <c r="E13" s="32">
        <v>0.1</v>
      </c>
      <c r="F13" s="32"/>
      <c r="G13" s="32"/>
      <c r="H13" s="32"/>
      <c r="I13" s="32"/>
      <c r="J13" s="32"/>
      <c r="K13" s="32"/>
      <c r="L13" s="32"/>
      <c r="M13" s="32"/>
      <c r="N13" s="32"/>
      <c r="O13" s="32"/>
      <c r="P13" s="32"/>
      <c r="Q13" s="32"/>
      <c r="R13" s="32"/>
      <c r="S13" s="32"/>
      <c r="T13" s="32"/>
      <c r="U13" s="32"/>
      <c r="V13" s="26"/>
      <c r="W13" s="31" t="str">
        <f>INDEX(TBL_TRANSIT[TransitID],$A13)</f>
        <v>Transit_002_001_001</v>
      </c>
      <c r="X13" s="31" t="str">
        <f>"TransitTariffVar_"&amp;RIGHT($W13,11)</f>
        <v>TransitTariffVar_002_001_001</v>
      </c>
    </row>
    <row r="14" spans="1:24" x14ac:dyDescent="0.25">
      <c r="A14" s="94">
        <f t="shared" ref="A14" si="0">$A10+1</f>
        <v>3</v>
      </c>
      <c r="B14" s="115" t="str">
        <f>IFERROR(INDEX(TBL_TRANSIT[Name],$A14),"")</f>
        <v>DE-NL</v>
      </c>
      <c r="C14" s="93" t="str">
        <f t="shared" ref="C14:D14" si="1">IF($B14&lt;&gt;"",C10,"")</f>
        <v>Capacity - Min</v>
      </c>
      <c r="D14" s="93" t="str">
        <f t="shared" si="1"/>
        <v>mcm/day</v>
      </c>
      <c r="E14" s="27">
        <v>0</v>
      </c>
      <c r="F14" s="27"/>
      <c r="G14" s="27"/>
      <c r="H14" s="27"/>
      <c r="I14" s="27"/>
      <c r="J14" s="27"/>
      <c r="K14" s="27"/>
      <c r="L14" s="27"/>
      <c r="M14" s="27"/>
      <c r="N14" s="27"/>
      <c r="O14" s="27"/>
      <c r="P14" s="27"/>
      <c r="Q14" s="27"/>
      <c r="R14" s="27"/>
      <c r="S14" s="27"/>
      <c r="T14" s="27"/>
      <c r="U14" s="27"/>
      <c r="V14" s="25"/>
      <c r="W14" s="31" t="str">
        <f>INDEX(TBL_TRANSIT[TransitID],$A14)</f>
        <v>Transit_001_003_001</v>
      </c>
      <c r="X14" s="31" t="str">
        <f>"TransitCapMin_"&amp;RIGHT($W14,11)</f>
        <v>TransitCapMin_001_003_001</v>
      </c>
    </row>
    <row r="15" spans="1:24" x14ac:dyDescent="0.25">
      <c r="A15" s="94">
        <f t="shared" ref="A15:A17" si="2">$A14</f>
        <v>3</v>
      </c>
      <c r="B15" s="116"/>
      <c r="C15" s="93" t="str">
        <f t="shared" ref="C15:D15" si="3">IF($B14&lt;&gt;"",C11,"")</f>
        <v>Capacity - Max</v>
      </c>
      <c r="D15" s="93" t="str">
        <f t="shared" si="3"/>
        <v>mcm/day</v>
      </c>
      <c r="E15" s="32">
        <v>10</v>
      </c>
      <c r="F15" s="32"/>
      <c r="G15" s="32"/>
      <c r="H15" s="32"/>
      <c r="I15" s="32"/>
      <c r="J15" s="32"/>
      <c r="K15" s="32"/>
      <c r="L15" s="32"/>
      <c r="M15" s="32"/>
      <c r="N15" s="32"/>
      <c r="O15" s="32"/>
      <c r="P15" s="32"/>
      <c r="Q15" s="32"/>
      <c r="R15" s="32"/>
      <c r="S15" s="32"/>
      <c r="T15" s="32"/>
      <c r="U15" s="32"/>
      <c r="V15" s="26"/>
      <c r="W15" s="31" t="str">
        <f>INDEX(TBL_TRANSIT[TransitID],$A15)</f>
        <v>Transit_001_003_001</v>
      </c>
      <c r="X15" s="31" t="str">
        <f>"TransitCapMax_"&amp;RIGHT($W15,11)</f>
        <v>TransitCapMax_001_003_001</v>
      </c>
    </row>
    <row r="16" spans="1:24" x14ac:dyDescent="0.25">
      <c r="A16" s="94">
        <f t="shared" si="2"/>
        <v>3</v>
      </c>
      <c r="B16" s="116"/>
      <c r="C16" s="93" t="str">
        <f t="shared" ref="C16:D16" si="4">IF($B14&lt;&gt;"",C12,"")</f>
        <v>Tariff - fixed</v>
      </c>
      <c r="D16" s="93" t="str">
        <f t="shared" si="4"/>
        <v>EUR/month</v>
      </c>
      <c r="E16" s="27">
        <v>0</v>
      </c>
      <c r="F16" s="27"/>
      <c r="G16" s="27"/>
      <c r="H16" s="27"/>
      <c r="I16" s="27"/>
      <c r="J16" s="27"/>
      <c r="K16" s="27"/>
      <c r="L16" s="27"/>
      <c r="M16" s="27"/>
      <c r="N16" s="27"/>
      <c r="O16" s="27"/>
      <c r="P16" s="27"/>
      <c r="Q16" s="27"/>
      <c r="R16" s="27"/>
      <c r="S16" s="27"/>
      <c r="T16" s="27"/>
      <c r="U16" s="27"/>
      <c r="V16" s="25"/>
      <c r="W16" s="31" t="str">
        <f>INDEX(TBL_TRANSIT[TransitID],$A16)</f>
        <v>Transit_001_003_001</v>
      </c>
      <c r="X16" s="31" t="str">
        <f>"TransitTariffFixed_"&amp;RIGHT($W16,11)</f>
        <v>TransitTariffFixed_001_003_001</v>
      </c>
    </row>
    <row r="17" spans="1:24" x14ac:dyDescent="0.25">
      <c r="A17" s="94">
        <f t="shared" si="2"/>
        <v>3</v>
      </c>
      <c r="B17" s="117"/>
      <c r="C17" s="93" t="str">
        <f t="shared" ref="C17:D17" si="5">IF($B14&lt;&gt;"",C13,"")</f>
        <v>Tariff - variable</v>
      </c>
      <c r="D17" s="93" t="str">
        <f t="shared" si="5"/>
        <v>EUR/MWh</v>
      </c>
      <c r="E17" s="32">
        <v>0.2</v>
      </c>
      <c r="F17" s="32"/>
      <c r="G17" s="32"/>
      <c r="H17" s="32"/>
      <c r="I17" s="32"/>
      <c r="J17" s="32"/>
      <c r="K17" s="32"/>
      <c r="L17" s="32"/>
      <c r="M17" s="32"/>
      <c r="N17" s="32"/>
      <c r="O17" s="32"/>
      <c r="P17" s="32"/>
      <c r="Q17" s="32"/>
      <c r="R17" s="32"/>
      <c r="S17" s="32"/>
      <c r="T17" s="32"/>
      <c r="U17" s="32"/>
      <c r="V17" s="26"/>
      <c r="W17" s="31" t="str">
        <f>INDEX(TBL_TRANSIT[TransitID],$A17)</f>
        <v>Transit_001_003_001</v>
      </c>
      <c r="X17" s="31" t="str">
        <f>"TransitTariffVar_"&amp;RIGHT($W17,11)</f>
        <v>TransitTariffVar_001_003_001</v>
      </c>
    </row>
    <row r="18" spans="1:24" x14ac:dyDescent="0.25">
      <c r="A18" s="94">
        <f t="shared" ref="A18" si="6">$A14+1</f>
        <v>4</v>
      </c>
      <c r="B18" s="115" t="str">
        <f>IFERROR(INDEX(TBL_TRANSIT[Name],$A18),"")</f>
        <v>NL-DE</v>
      </c>
      <c r="C18" s="93" t="str">
        <f t="shared" ref="C18:D18" si="7">IF($B18&lt;&gt;"",C14,"")</f>
        <v>Capacity - Min</v>
      </c>
      <c r="D18" s="93" t="str">
        <f t="shared" si="7"/>
        <v>mcm/day</v>
      </c>
      <c r="E18" s="27">
        <v>0</v>
      </c>
      <c r="F18" s="27"/>
      <c r="G18" s="27"/>
      <c r="H18" s="27"/>
      <c r="I18" s="27"/>
      <c r="J18" s="27"/>
      <c r="K18" s="27"/>
      <c r="L18" s="27"/>
      <c r="M18" s="27"/>
      <c r="N18" s="27"/>
      <c r="O18" s="27"/>
      <c r="P18" s="27"/>
      <c r="Q18" s="27"/>
      <c r="R18" s="27"/>
      <c r="S18" s="27"/>
      <c r="T18" s="27"/>
      <c r="U18" s="27"/>
      <c r="V18" s="25"/>
      <c r="W18" s="31" t="str">
        <f>INDEX(TBL_TRANSIT[TransitID],$A18)</f>
        <v>Transit_003_001_001</v>
      </c>
      <c r="X18" s="31" t="str">
        <f>"TransitCapMin_"&amp;RIGHT($W18,11)</f>
        <v>TransitCapMin_003_001_001</v>
      </c>
    </row>
    <row r="19" spans="1:24" x14ac:dyDescent="0.25">
      <c r="A19" s="94">
        <f t="shared" ref="A19:A21" si="8">$A18</f>
        <v>4</v>
      </c>
      <c r="B19" s="116"/>
      <c r="C19" s="93" t="str">
        <f t="shared" ref="C19:D19" si="9">IF($B18&lt;&gt;"",C15,"")</f>
        <v>Capacity - Max</v>
      </c>
      <c r="D19" s="93" t="str">
        <f t="shared" si="9"/>
        <v>mcm/day</v>
      </c>
      <c r="E19" s="32">
        <v>10</v>
      </c>
      <c r="F19" s="32"/>
      <c r="G19" s="32"/>
      <c r="H19" s="32"/>
      <c r="I19" s="32"/>
      <c r="J19" s="32"/>
      <c r="K19" s="32"/>
      <c r="L19" s="32"/>
      <c r="M19" s="32"/>
      <c r="N19" s="32"/>
      <c r="O19" s="32"/>
      <c r="P19" s="32"/>
      <c r="Q19" s="32"/>
      <c r="R19" s="32"/>
      <c r="S19" s="32"/>
      <c r="T19" s="32"/>
      <c r="U19" s="32"/>
      <c r="V19" s="26"/>
      <c r="W19" s="31" t="str">
        <f>INDEX(TBL_TRANSIT[TransitID],$A19)</f>
        <v>Transit_003_001_001</v>
      </c>
      <c r="X19" s="31" t="str">
        <f>"TransitCapMax_"&amp;RIGHT($W19,11)</f>
        <v>TransitCapMax_003_001_001</v>
      </c>
    </row>
    <row r="20" spans="1:24" x14ac:dyDescent="0.25">
      <c r="A20" s="94">
        <f t="shared" si="8"/>
        <v>4</v>
      </c>
      <c r="B20" s="116"/>
      <c r="C20" s="93" t="str">
        <f t="shared" ref="C20:D20" si="10">IF($B18&lt;&gt;"",C16,"")</f>
        <v>Tariff - fixed</v>
      </c>
      <c r="D20" s="93" t="str">
        <f t="shared" si="10"/>
        <v>EUR/month</v>
      </c>
      <c r="E20" s="27">
        <v>0</v>
      </c>
      <c r="F20" s="27"/>
      <c r="G20" s="27"/>
      <c r="H20" s="27"/>
      <c r="I20" s="27"/>
      <c r="J20" s="27"/>
      <c r="K20" s="27"/>
      <c r="L20" s="27"/>
      <c r="M20" s="27"/>
      <c r="N20" s="27"/>
      <c r="O20" s="27"/>
      <c r="P20" s="27"/>
      <c r="Q20" s="27"/>
      <c r="R20" s="27"/>
      <c r="S20" s="27"/>
      <c r="T20" s="27"/>
      <c r="U20" s="27"/>
      <c r="V20" s="25"/>
      <c r="W20" s="31" t="str">
        <f>INDEX(TBL_TRANSIT[TransitID],$A20)</f>
        <v>Transit_003_001_001</v>
      </c>
      <c r="X20" s="31" t="str">
        <f>"TransitTariffFixed_"&amp;RIGHT($W20,11)</f>
        <v>TransitTariffFixed_003_001_001</v>
      </c>
    </row>
    <row r="21" spans="1:24" x14ac:dyDescent="0.25">
      <c r="A21" s="94">
        <f t="shared" si="8"/>
        <v>4</v>
      </c>
      <c r="B21" s="117"/>
      <c r="C21" s="93" t="str">
        <f t="shared" ref="C21:D21" si="11">IF($B18&lt;&gt;"",C17,"")</f>
        <v>Tariff - variable</v>
      </c>
      <c r="D21" s="93" t="str">
        <f t="shared" si="11"/>
        <v>EUR/MWh</v>
      </c>
      <c r="E21" s="32">
        <v>0.3</v>
      </c>
      <c r="F21" s="32"/>
      <c r="G21" s="32"/>
      <c r="H21" s="32"/>
      <c r="I21" s="32"/>
      <c r="J21" s="32"/>
      <c r="K21" s="32"/>
      <c r="L21" s="32"/>
      <c r="M21" s="32"/>
      <c r="N21" s="32"/>
      <c r="O21" s="32"/>
      <c r="P21" s="32"/>
      <c r="Q21" s="32"/>
      <c r="R21" s="32"/>
      <c r="S21" s="32"/>
      <c r="T21" s="32"/>
      <c r="U21" s="32"/>
      <c r="V21" s="26"/>
      <c r="W21" s="31" t="str">
        <f>INDEX(TBL_TRANSIT[TransitID],$A21)</f>
        <v>Transit_003_001_001</v>
      </c>
      <c r="X21" s="31" t="str">
        <f>"TransitTariffVar_"&amp;RIGHT($W21,11)</f>
        <v>TransitTariffVar_003_001_001</v>
      </c>
    </row>
    <row r="22" spans="1:24" x14ac:dyDescent="0.25">
      <c r="A22" s="94">
        <f t="shared" ref="A22" si="12">$A18+1</f>
        <v>5</v>
      </c>
      <c r="B22" s="115" t="str">
        <f>IFERROR(INDEX(TBL_TRANSIT[Name],$A22),"")</f>
        <v>DE-CH</v>
      </c>
      <c r="C22" s="93" t="str">
        <f t="shared" ref="C22:D22" si="13">IF($B22&lt;&gt;"",C18,"")</f>
        <v>Capacity - Min</v>
      </c>
      <c r="D22" s="93" t="str">
        <f t="shared" si="13"/>
        <v>mcm/day</v>
      </c>
      <c r="E22" s="27">
        <v>0</v>
      </c>
      <c r="F22" s="27"/>
      <c r="G22" s="27"/>
      <c r="H22" s="27"/>
      <c r="I22" s="27"/>
      <c r="J22" s="27"/>
      <c r="K22" s="27"/>
      <c r="L22" s="27"/>
      <c r="M22" s="27"/>
      <c r="N22" s="27"/>
      <c r="O22" s="27"/>
      <c r="P22" s="27"/>
      <c r="Q22" s="27"/>
      <c r="R22" s="27"/>
      <c r="S22" s="27"/>
      <c r="T22" s="27"/>
      <c r="U22" s="27"/>
      <c r="V22" s="25"/>
      <c r="W22" s="31" t="str">
        <f>INDEX(TBL_TRANSIT[TransitID],$A22)</f>
        <v>Transit_001_004_001</v>
      </c>
      <c r="X22" s="31" t="str">
        <f>"TransitCapMin_"&amp;RIGHT($W22,11)</f>
        <v>TransitCapMin_001_004_001</v>
      </c>
    </row>
    <row r="23" spans="1:24" x14ac:dyDescent="0.25">
      <c r="A23" s="94">
        <f t="shared" ref="A23:A25" si="14">$A22</f>
        <v>5</v>
      </c>
      <c r="B23" s="116"/>
      <c r="C23" s="93" t="str">
        <f t="shared" ref="C23:D23" si="15">IF($B22&lt;&gt;"",C19,"")</f>
        <v>Capacity - Max</v>
      </c>
      <c r="D23" s="93" t="str">
        <f t="shared" si="15"/>
        <v>mcm/day</v>
      </c>
      <c r="E23" s="32">
        <v>20</v>
      </c>
      <c r="F23" s="32"/>
      <c r="G23" s="32"/>
      <c r="H23" s="32"/>
      <c r="I23" s="32"/>
      <c r="J23" s="32"/>
      <c r="K23" s="32"/>
      <c r="L23" s="32"/>
      <c r="M23" s="32"/>
      <c r="N23" s="32"/>
      <c r="O23" s="32"/>
      <c r="P23" s="32"/>
      <c r="Q23" s="32"/>
      <c r="R23" s="32"/>
      <c r="S23" s="32"/>
      <c r="T23" s="32"/>
      <c r="U23" s="32"/>
      <c r="V23" s="26"/>
      <c r="W23" s="31" t="str">
        <f>INDEX(TBL_TRANSIT[TransitID],$A23)</f>
        <v>Transit_001_004_001</v>
      </c>
      <c r="X23" s="31" t="str">
        <f>"TransitCapMax_"&amp;RIGHT($W23,11)</f>
        <v>TransitCapMax_001_004_001</v>
      </c>
    </row>
    <row r="24" spans="1:24" x14ac:dyDescent="0.25">
      <c r="A24" s="94">
        <f t="shared" si="14"/>
        <v>5</v>
      </c>
      <c r="B24" s="116"/>
      <c r="C24" s="93" t="str">
        <f t="shared" ref="C24:D24" si="16">IF($B22&lt;&gt;"",C20,"")</f>
        <v>Tariff - fixed</v>
      </c>
      <c r="D24" s="93" t="str">
        <f t="shared" si="16"/>
        <v>EUR/month</v>
      </c>
      <c r="E24" s="27">
        <v>0</v>
      </c>
      <c r="F24" s="27"/>
      <c r="G24" s="27"/>
      <c r="H24" s="27"/>
      <c r="I24" s="27"/>
      <c r="J24" s="27"/>
      <c r="K24" s="27"/>
      <c r="L24" s="27"/>
      <c r="M24" s="27"/>
      <c r="N24" s="27"/>
      <c r="O24" s="27"/>
      <c r="P24" s="27"/>
      <c r="Q24" s="27"/>
      <c r="R24" s="27"/>
      <c r="S24" s="27"/>
      <c r="T24" s="27"/>
      <c r="U24" s="27"/>
      <c r="V24" s="25"/>
      <c r="W24" s="31" t="str">
        <f>INDEX(TBL_TRANSIT[TransitID],$A24)</f>
        <v>Transit_001_004_001</v>
      </c>
      <c r="X24" s="31" t="str">
        <f>"TransitTariffFixed_"&amp;RIGHT($W24,11)</f>
        <v>TransitTariffFixed_001_004_001</v>
      </c>
    </row>
    <row r="25" spans="1:24" x14ac:dyDescent="0.25">
      <c r="A25" s="94">
        <f t="shared" si="14"/>
        <v>5</v>
      </c>
      <c r="B25" s="117"/>
      <c r="C25" s="93" t="str">
        <f t="shared" ref="C25:D25" si="17">IF($B22&lt;&gt;"",C21,"")</f>
        <v>Tariff - variable</v>
      </c>
      <c r="D25" s="93" t="str">
        <f t="shared" si="17"/>
        <v>EUR/MWh</v>
      </c>
      <c r="E25" s="32">
        <v>0.5</v>
      </c>
      <c r="F25" s="32"/>
      <c r="G25" s="32"/>
      <c r="H25" s="32"/>
      <c r="I25" s="32"/>
      <c r="J25" s="32"/>
      <c r="K25" s="32"/>
      <c r="L25" s="32"/>
      <c r="M25" s="32"/>
      <c r="N25" s="32"/>
      <c r="O25" s="32"/>
      <c r="P25" s="32"/>
      <c r="Q25" s="32"/>
      <c r="R25" s="32"/>
      <c r="S25" s="32"/>
      <c r="T25" s="32"/>
      <c r="U25" s="32"/>
      <c r="V25" s="26"/>
      <c r="W25" s="31" t="str">
        <f>INDEX(TBL_TRANSIT[TransitID],$A25)</f>
        <v>Transit_001_004_001</v>
      </c>
      <c r="X25" s="31" t="str">
        <f>"TransitTariffVar_"&amp;RIGHT($W25,11)</f>
        <v>TransitTariffVar_001_004_001</v>
      </c>
    </row>
    <row r="26" spans="1:24" x14ac:dyDescent="0.25">
      <c r="A26" s="94">
        <f t="shared" ref="A26" si="18">$A22+1</f>
        <v>6</v>
      </c>
      <c r="B26" s="115" t="str">
        <f>IFERROR(INDEX(TBL_TRANSIT[Name],$A26),"")</f>
        <v>FR-NL</v>
      </c>
      <c r="C26" s="93" t="str">
        <f t="shared" ref="C26:D26" si="19">IF($B26&lt;&gt;"",C22,"")</f>
        <v>Capacity - Min</v>
      </c>
      <c r="D26" s="93" t="str">
        <f t="shared" si="19"/>
        <v>mcm/day</v>
      </c>
      <c r="E26" s="27">
        <v>0</v>
      </c>
      <c r="F26" s="27"/>
      <c r="G26" s="27"/>
      <c r="H26" s="27"/>
      <c r="I26" s="27"/>
      <c r="J26" s="27"/>
      <c r="K26" s="27"/>
      <c r="L26" s="27"/>
      <c r="M26" s="27"/>
      <c r="N26" s="27"/>
      <c r="O26" s="27"/>
      <c r="P26" s="27"/>
      <c r="Q26" s="27"/>
      <c r="R26" s="27"/>
      <c r="S26" s="27"/>
      <c r="T26" s="27"/>
      <c r="U26" s="27"/>
      <c r="V26" s="25"/>
      <c r="W26" s="31" t="str">
        <f>INDEX(TBL_TRANSIT[TransitID],$A26)</f>
        <v>Transit_002_003_001</v>
      </c>
      <c r="X26" s="31" t="str">
        <f>"TransitCapMin_"&amp;RIGHT($W26,11)</f>
        <v>TransitCapMin_002_003_001</v>
      </c>
    </row>
    <row r="27" spans="1:24" x14ac:dyDescent="0.25">
      <c r="A27" s="94">
        <f t="shared" ref="A27:A29" si="20">$A26</f>
        <v>6</v>
      </c>
      <c r="B27" s="116"/>
      <c r="C27" s="93" t="str">
        <f t="shared" ref="C27:D27" si="21">IF($B26&lt;&gt;"",C23,"")</f>
        <v>Capacity - Max</v>
      </c>
      <c r="D27" s="93" t="str">
        <f t="shared" si="21"/>
        <v>mcm/day</v>
      </c>
      <c r="E27" s="32">
        <v>2</v>
      </c>
      <c r="F27" s="32"/>
      <c r="G27" s="32"/>
      <c r="H27" s="32"/>
      <c r="I27" s="32"/>
      <c r="J27" s="32"/>
      <c r="K27" s="32"/>
      <c r="L27" s="32"/>
      <c r="M27" s="32"/>
      <c r="N27" s="32"/>
      <c r="O27" s="32"/>
      <c r="P27" s="32"/>
      <c r="Q27" s="32"/>
      <c r="R27" s="32"/>
      <c r="S27" s="32"/>
      <c r="T27" s="32"/>
      <c r="U27" s="32"/>
      <c r="V27" s="26"/>
      <c r="W27" s="31" t="str">
        <f>INDEX(TBL_TRANSIT[TransitID],$A27)</f>
        <v>Transit_002_003_001</v>
      </c>
      <c r="X27" s="31" t="str">
        <f>"TransitCapMax_"&amp;RIGHT($W27,11)</f>
        <v>TransitCapMax_002_003_001</v>
      </c>
    </row>
    <row r="28" spans="1:24" x14ac:dyDescent="0.25">
      <c r="A28" s="94">
        <f t="shared" si="20"/>
        <v>6</v>
      </c>
      <c r="B28" s="116"/>
      <c r="C28" s="93" t="str">
        <f t="shared" ref="C28:D28" si="22">IF($B26&lt;&gt;"",C24,"")</f>
        <v>Tariff - fixed</v>
      </c>
      <c r="D28" s="93" t="str">
        <f t="shared" si="22"/>
        <v>EUR/month</v>
      </c>
      <c r="E28" s="27">
        <v>20</v>
      </c>
      <c r="F28" s="27"/>
      <c r="G28" s="27"/>
      <c r="H28" s="27"/>
      <c r="I28" s="27"/>
      <c r="J28" s="27"/>
      <c r="K28" s="27"/>
      <c r="L28" s="27"/>
      <c r="M28" s="27"/>
      <c r="N28" s="27"/>
      <c r="O28" s="27"/>
      <c r="P28" s="27"/>
      <c r="Q28" s="27"/>
      <c r="R28" s="27"/>
      <c r="S28" s="27"/>
      <c r="T28" s="27"/>
      <c r="U28" s="27"/>
      <c r="V28" s="25"/>
      <c r="W28" s="31" t="str">
        <f>INDEX(TBL_TRANSIT[TransitID],$A28)</f>
        <v>Transit_002_003_001</v>
      </c>
      <c r="X28" s="31" t="str">
        <f>"TransitTariffFixed_"&amp;RIGHT($W28,11)</f>
        <v>TransitTariffFixed_002_003_001</v>
      </c>
    </row>
    <row r="29" spans="1:24" x14ac:dyDescent="0.25">
      <c r="A29" s="94">
        <f t="shared" si="20"/>
        <v>6</v>
      </c>
      <c r="B29" s="117"/>
      <c r="C29" s="93" t="str">
        <f t="shared" ref="C29:D29" si="23">IF($B26&lt;&gt;"",C25,"")</f>
        <v>Tariff - variable</v>
      </c>
      <c r="D29" s="93" t="str">
        <f t="shared" si="23"/>
        <v>EUR/MWh</v>
      </c>
      <c r="E29" s="32">
        <v>0.1</v>
      </c>
      <c r="F29" s="32"/>
      <c r="G29" s="32"/>
      <c r="H29" s="32"/>
      <c r="I29" s="32"/>
      <c r="J29" s="32"/>
      <c r="K29" s="32"/>
      <c r="L29" s="32"/>
      <c r="M29" s="32"/>
      <c r="N29" s="32"/>
      <c r="O29" s="32"/>
      <c r="P29" s="32"/>
      <c r="Q29" s="32"/>
      <c r="R29" s="32"/>
      <c r="S29" s="32"/>
      <c r="T29" s="32"/>
      <c r="U29" s="32"/>
      <c r="V29" s="26"/>
      <c r="W29" s="31" t="str">
        <f>INDEX(TBL_TRANSIT[TransitID],$A29)</f>
        <v>Transit_002_003_001</v>
      </c>
      <c r="X29" s="31" t="str">
        <f>"TransitTariffVar_"&amp;RIGHT($W29,11)</f>
        <v>TransitTariffVar_002_003_001</v>
      </c>
    </row>
    <row r="30" spans="1:24" x14ac:dyDescent="0.25">
      <c r="A30" s="94">
        <f t="shared" ref="A30" si="24">$A26+1</f>
        <v>7</v>
      </c>
      <c r="B30" s="115" t="str">
        <f>IFERROR(INDEX(TBL_TRANSIT[Name],$A30),"")</f>
        <v>NL-FR</v>
      </c>
      <c r="C30" s="93" t="str">
        <f t="shared" ref="C30:D30" si="25">IF($B30&lt;&gt;"",C26,"")</f>
        <v>Capacity - Min</v>
      </c>
      <c r="D30" s="93" t="str">
        <f t="shared" si="25"/>
        <v>mcm/day</v>
      </c>
      <c r="E30" s="27">
        <v>0</v>
      </c>
      <c r="F30" s="27"/>
      <c r="G30" s="27"/>
      <c r="H30" s="27"/>
      <c r="I30" s="27"/>
      <c r="J30" s="27"/>
      <c r="K30" s="27"/>
      <c r="L30" s="27"/>
      <c r="M30" s="27"/>
      <c r="N30" s="27"/>
      <c r="O30" s="27"/>
      <c r="P30" s="27"/>
      <c r="Q30" s="27"/>
      <c r="R30" s="27"/>
      <c r="S30" s="27"/>
      <c r="T30" s="27"/>
      <c r="U30" s="27"/>
      <c r="V30" s="25"/>
      <c r="W30" s="31" t="str">
        <f>INDEX(TBL_TRANSIT[TransitID],$A30)</f>
        <v>Transit_003_002_001</v>
      </c>
      <c r="X30" s="31" t="str">
        <f>"TransitCapMin_"&amp;RIGHT($W30,11)</f>
        <v>TransitCapMin_003_002_001</v>
      </c>
    </row>
    <row r="31" spans="1:24" x14ac:dyDescent="0.25">
      <c r="A31" s="94">
        <f t="shared" ref="A31:A33" si="26">$A30</f>
        <v>7</v>
      </c>
      <c r="B31" s="116"/>
      <c r="C31" s="93" t="str">
        <f t="shared" ref="C31:D31" si="27">IF($B30&lt;&gt;"",C27,"")</f>
        <v>Capacity - Max</v>
      </c>
      <c r="D31" s="93" t="str">
        <f t="shared" si="27"/>
        <v>mcm/day</v>
      </c>
      <c r="E31" s="32">
        <v>20</v>
      </c>
      <c r="F31" s="32"/>
      <c r="G31" s="32"/>
      <c r="H31" s="32"/>
      <c r="I31" s="32"/>
      <c r="J31" s="32"/>
      <c r="K31" s="32"/>
      <c r="L31" s="32"/>
      <c r="M31" s="32"/>
      <c r="N31" s="32"/>
      <c r="O31" s="32"/>
      <c r="P31" s="32"/>
      <c r="Q31" s="32"/>
      <c r="R31" s="32"/>
      <c r="S31" s="32"/>
      <c r="T31" s="32"/>
      <c r="U31" s="32"/>
      <c r="V31" s="26"/>
      <c r="W31" s="31" t="str">
        <f>INDEX(TBL_TRANSIT[TransitID],$A31)</f>
        <v>Transit_003_002_001</v>
      </c>
      <c r="X31" s="31" t="str">
        <f>"TransitCapMax_"&amp;RIGHT($W31,11)</f>
        <v>TransitCapMax_003_002_001</v>
      </c>
    </row>
    <row r="32" spans="1:24" x14ac:dyDescent="0.25">
      <c r="A32" s="94">
        <f t="shared" si="26"/>
        <v>7</v>
      </c>
      <c r="B32" s="116"/>
      <c r="C32" s="93" t="str">
        <f t="shared" ref="C32:D32" si="28">IF($B30&lt;&gt;"",C28,"")</f>
        <v>Tariff - fixed</v>
      </c>
      <c r="D32" s="93" t="str">
        <f t="shared" si="28"/>
        <v>EUR/month</v>
      </c>
      <c r="E32" s="27">
        <v>0</v>
      </c>
      <c r="F32" s="27"/>
      <c r="G32" s="27"/>
      <c r="H32" s="27"/>
      <c r="I32" s="27"/>
      <c r="J32" s="27"/>
      <c r="K32" s="27"/>
      <c r="L32" s="27"/>
      <c r="M32" s="27"/>
      <c r="N32" s="27"/>
      <c r="O32" s="27"/>
      <c r="P32" s="27"/>
      <c r="Q32" s="27"/>
      <c r="R32" s="27"/>
      <c r="S32" s="27"/>
      <c r="T32" s="27"/>
      <c r="U32" s="27"/>
      <c r="V32" s="25"/>
      <c r="W32" s="31" t="str">
        <f>INDEX(TBL_TRANSIT[TransitID],$A32)</f>
        <v>Transit_003_002_001</v>
      </c>
      <c r="X32" s="31" t="str">
        <f>"TransitTariffFixed_"&amp;RIGHT($W32,11)</f>
        <v>TransitTariffFixed_003_002_001</v>
      </c>
    </row>
    <row r="33" spans="1:24" x14ac:dyDescent="0.25">
      <c r="A33" s="94">
        <f t="shared" si="26"/>
        <v>7</v>
      </c>
      <c r="B33" s="117"/>
      <c r="C33" s="93" t="str">
        <f t="shared" ref="C33:D33" si="29">IF($B30&lt;&gt;"",C29,"")</f>
        <v>Tariff - variable</v>
      </c>
      <c r="D33" s="93" t="str">
        <f t="shared" si="29"/>
        <v>EUR/MWh</v>
      </c>
      <c r="E33" s="32">
        <v>0.2</v>
      </c>
      <c r="F33" s="32"/>
      <c r="G33" s="32"/>
      <c r="H33" s="32"/>
      <c r="I33" s="32"/>
      <c r="J33" s="32"/>
      <c r="K33" s="32"/>
      <c r="L33" s="32"/>
      <c r="M33" s="32"/>
      <c r="N33" s="32"/>
      <c r="O33" s="32"/>
      <c r="P33" s="32"/>
      <c r="Q33" s="32"/>
      <c r="R33" s="32"/>
      <c r="S33" s="32"/>
      <c r="T33" s="32"/>
      <c r="U33" s="32"/>
      <c r="V33" s="26"/>
      <c r="W33" s="31" t="str">
        <f>INDEX(TBL_TRANSIT[TransitID],$A33)</f>
        <v>Transit_003_002_001</v>
      </c>
      <c r="X33" s="31" t="str">
        <f>"TransitTariffVar_"&amp;RIGHT($W33,11)</f>
        <v>TransitTariffVar_003_002_001</v>
      </c>
    </row>
    <row r="34" spans="1:24" x14ac:dyDescent="0.25">
      <c r="A34" s="94">
        <f t="shared" ref="A34" si="30">$A30+1</f>
        <v>8</v>
      </c>
      <c r="B34" s="115" t="str">
        <f>IFERROR(INDEX(TBL_TRANSIT[Name],$A34),"")</f>
        <v>FR-CH</v>
      </c>
      <c r="C34" s="93" t="str">
        <f t="shared" ref="C34:D34" si="31">IF($B34&lt;&gt;"",C30,"")</f>
        <v>Capacity - Min</v>
      </c>
      <c r="D34" s="93" t="str">
        <f t="shared" si="31"/>
        <v>mcm/day</v>
      </c>
      <c r="E34" s="27">
        <v>0</v>
      </c>
      <c r="F34" s="27"/>
      <c r="G34" s="27"/>
      <c r="H34" s="27"/>
      <c r="I34" s="27"/>
      <c r="J34" s="27"/>
      <c r="K34" s="27"/>
      <c r="L34" s="27"/>
      <c r="M34" s="27"/>
      <c r="N34" s="27"/>
      <c r="O34" s="27"/>
      <c r="P34" s="27"/>
      <c r="Q34" s="27"/>
      <c r="R34" s="27"/>
      <c r="S34" s="27"/>
      <c r="T34" s="27"/>
      <c r="U34" s="27"/>
      <c r="V34" s="25"/>
      <c r="W34" s="31" t="str">
        <f>INDEX(TBL_TRANSIT[TransitID],$A34)</f>
        <v>Transit_002_004_001</v>
      </c>
      <c r="X34" s="31" t="str">
        <f>"TransitCapMin_"&amp;RIGHT($W34,11)</f>
        <v>TransitCapMin_002_004_001</v>
      </c>
    </row>
    <row r="35" spans="1:24" x14ac:dyDescent="0.25">
      <c r="A35" s="94">
        <f t="shared" ref="A35:A37" si="32">$A34</f>
        <v>8</v>
      </c>
      <c r="B35" s="116"/>
      <c r="C35" s="93" t="str">
        <f t="shared" ref="C35:D35" si="33">IF($B34&lt;&gt;"",C31,"")</f>
        <v>Capacity - Max</v>
      </c>
      <c r="D35" s="93" t="str">
        <f t="shared" si="33"/>
        <v>mcm/day</v>
      </c>
      <c r="E35" s="32">
        <v>2</v>
      </c>
      <c r="F35" s="32"/>
      <c r="G35" s="32"/>
      <c r="H35" s="32"/>
      <c r="I35" s="32"/>
      <c r="J35" s="32"/>
      <c r="K35" s="32"/>
      <c r="L35" s="32"/>
      <c r="M35" s="32"/>
      <c r="N35" s="32"/>
      <c r="O35" s="32"/>
      <c r="P35" s="32"/>
      <c r="Q35" s="32"/>
      <c r="R35" s="32"/>
      <c r="S35" s="32"/>
      <c r="T35" s="32"/>
      <c r="U35" s="32"/>
      <c r="V35" s="26"/>
      <c r="W35" s="31" t="str">
        <f>INDEX(TBL_TRANSIT[TransitID],$A35)</f>
        <v>Transit_002_004_001</v>
      </c>
      <c r="X35" s="31" t="str">
        <f>"TransitCapMax_"&amp;RIGHT($W35,11)</f>
        <v>TransitCapMax_002_004_001</v>
      </c>
    </row>
    <row r="36" spans="1:24" x14ac:dyDescent="0.25">
      <c r="A36" s="94">
        <f t="shared" si="32"/>
        <v>8</v>
      </c>
      <c r="B36" s="116"/>
      <c r="C36" s="93" t="str">
        <f t="shared" ref="C36:D36" si="34">IF($B34&lt;&gt;"",C32,"")</f>
        <v>Tariff - fixed</v>
      </c>
      <c r="D36" s="93" t="str">
        <f t="shared" si="34"/>
        <v>EUR/month</v>
      </c>
      <c r="E36" s="27">
        <v>0</v>
      </c>
      <c r="F36" s="27"/>
      <c r="G36" s="27"/>
      <c r="H36" s="27"/>
      <c r="I36" s="27"/>
      <c r="J36" s="27"/>
      <c r="K36" s="27"/>
      <c r="L36" s="27"/>
      <c r="M36" s="27"/>
      <c r="N36" s="27"/>
      <c r="O36" s="27"/>
      <c r="P36" s="27"/>
      <c r="Q36" s="27"/>
      <c r="R36" s="27"/>
      <c r="S36" s="27"/>
      <c r="T36" s="27"/>
      <c r="U36" s="27"/>
      <c r="V36" s="25"/>
      <c r="W36" s="31" t="str">
        <f>INDEX(TBL_TRANSIT[TransitID],$A36)</f>
        <v>Transit_002_004_001</v>
      </c>
      <c r="X36" s="31" t="str">
        <f>"TransitTariffFixed_"&amp;RIGHT($W36,11)</f>
        <v>TransitTariffFixed_002_004_001</v>
      </c>
    </row>
    <row r="37" spans="1:24" x14ac:dyDescent="0.25">
      <c r="A37" s="94">
        <f t="shared" si="32"/>
        <v>8</v>
      </c>
      <c r="B37" s="117"/>
      <c r="C37" s="93" t="str">
        <f t="shared" ref="C37:D37" si="35">IF($B34&lt;&gt;"",C33,"")</f>
        <v>Tariff - variable</v>
      </c>
      <c r="D37" s="93" t="str">
        <f t="shared" si="35"/>
        <v>EUR/MWh</v>
      </c>
      <c r="E37" s="32">
        <v>0.2</v>
      </c>
      <c r="F37" s="32"/>
      <c r="G37" s="32"/>
      <c r="H37" s="32"/>
      <c r="I37" s="32"/>
      <c r="J37" s="32"/>
      <c r="K37" s="32"/>
      <c r="L37" s="32"/>
      <c r="M37" s="32"/>
      <c r="N37" s="32"/>
      <c r="O37" s="32"/>
      <c r="P37" s="32"/>
      <c r="Q37" s="32"/>
      <c r="R37" s="32"/>
      <c r="S37" s="32"/>
      <c r="T37" s="32"/>
      <c r="U37" s="32"/>
      <c r="V37" s="26"/>
      <c r="W37" s="31" t="str">
        <f>INDEX(TBL_TRANSIT[TransitID],$A37)</f>
        <v>Transit_002_004_001</v>
      </c>
      <c r="X37" s="31" t="str">
        <f>"TransitTariffVar_"&amp;RIGHT($W37,11)</f>
        <v>TransitTariffVar_002_004_001</v>
      </c>
    </row>
    <row r="38" spans="1:24" x14ac:dyDescent="0.25">
      <c r="A38" s="94">
        <f t="shared" ref="A38" si="36">$A34+1</f>
        <v>9</v>
      </c>
      <c r="B38" s="115" t="str">
        <f>IFERROR(INDEX(TBL_TRANSIT[Name],$A38),"")</f>
        <v>CH-FR</v>
      </c>
      <c r="C38" s="93" t="str">
        <f t="shared" ref="C38:D38" si="37">IF($B38&lt;&gt;"",C34,"")</f>
        <v>Capacity - Min</v>
      </c>
      <c r="D38" s="93" t="str">
        <f t="shared" si="37"/>
        <v>mcm/day</v>
      </c>
      <c r="E38" s="27">
        <v>0</v>
      </c>
      <c r="F38" s="27"/>
      <c r="G38" s="27"/>
      <c r="H38" s="27"/>
      <c r="I38" s="27"/>
      <c r="J38" s="27"/>
      <c r="K38" s="27"/>
      <c r="L38" s="27"/>
      <c r="M38" s="27"/>
      <c r="N38" s="27"/>
      <c r="O38" s="27"/>
      <c r="P38" s="27"/>
      <c r="Q38" s="27"/>
      <c r="R38" s="27"/>
      <c r="S38" s="27"/>
      <c r="T38" s="27"/>
      <c r="U38" s="27"/>
      <c r="V38" s="25"/>
      <c r="W38" s="31" t="str">
        <f>INDEX(TBL_TRANSIT[TransitID],$A38)</f>
        <v>Transit_004_002_001</v>
      </c>
      <c r="X38" s="31" t="str">
        <f>"TransitCapMin_"&amp;RIGHT($W38,11)</f>
        <v>TransitCapMin_004_002_001</v>
      </c>
    </row>
    <row r="39" spans="1:24" x14ac:dyDescent="0.25">
      <c r="A39" s="94">
        <f t="shared" ref="A39:A101" si="38">$A38</f>
        <v>9</v>
      </c>
      <c r="B39" s="116"/>
      <c r="C39" s="93" t="str">
        <f t="shared" ref="C39:D39" si="39">IF($B38&lt;&gt;"",C35,"")</f>
        <v>Capacity - Max</v>
      </c>
      <c r="D39" s="93" t="str">
        <f t="shared" si="39"/>
        <v>mcm/day</v>
      </c>
      <c r="E39" s="32">
        <v>30</v>
      </c>
      <c r="F39" s="32"/>
      <c r="G39" s="32"/>
      <c r="H39" s="32"/>
      <c r="I39" s="32"/>
      <c r="J39" s="32"/>
      <c r="K39" s="32"/>
      <c r="L39" s="32"/>
      <c r="M39" s="32"/>
      <c r="N39" s="32"/>
      <c r="O39" s="32"/>
      <c r="P39" s="32"/>
      <c r="Q39" s="32"/>
      <c r="R39" s="32"/>
      <c r="S39" s="32"/>
      <c r="T39" s="32"/>
      <c r="U39" s="32"/>
      <c r="V39" s="26"/>
      <c r="W39" s="31" t="str">
        <f>INDEX(TBL_TRANSIT[TransitID],$A39)</f>
        <v>Transit_004_002_001</v>
      </c>
      <c r="X39" s="31" t="str">
        <f>"TransitCapMax_"&amp;RIGHT($W39,11)</f>
        <v>TransitCapMax_004_002_001</v>
      </c>
    </row>
    <row r="40" spans="1:24" x14ac:dyDescent="0.25">
      <c r="A40" s="94">
        <f t="shared" si="38"/>
        <v>9</v>
      </c>
      <c r="B40" s="116"/>
      <c r="C40" s="93" t="str">
        <f t="shared" ref="C40:D40" si="40">IF($B38&lt;&gt;"",C36,"")</f>
        <v>Tariff - fixed</v>
      </c>
      <c r="D40" s="93" t="str">
        <f t="shared" si="40"/>
        <v>EUR/month</v>
      </c>
      <c r="E40" s="27">
        <v>0</v>
      </c>
      <c r="F40" s="27"/>
      <c r="G40" s="27"/>
      <c r="H40" s="27"/>
      <c r="I40" s="27"/>
      <c r="J40" s="27"/>
      <c r="K40" s="27"/>
      <c r="L40" s="27"/>
      <c r="M40" s="27"/>
      <c r="N40" s="27"/>
      <c r="O40" s="27"/>
      <c r="P40" s="27"/>
      <c r="Q40" s="27"/>
      <c r="R40" s="27"/>
      <c r="S40" s="27"/>
      <c r="T40" s="27"/>
      <c r="U40" s="27"/>
      <c r="V40" s="25"/>
      <c r="W40" s="31" t="str">
        <f>INDEX(TBL_TRANSIT[TransitID],$A40)</f>
        <v>Transit_004_002_001</v>
      </c>
      <c r="X40" s="31" t="str">
        <f>"TransitTariffFixed_"&amp;RIGHT($W40,11)</f>
        <v>TransitTariffFixed_004_002_001</v>
      </c>
    </row>
    <row r="41" spans="1:24" x14ac:dyDescent="0.25">
      <c r="A41" s="94">
        <f t="shared" si="38"/>
        <v>9</v>
      </c>
      <c r="B41" s="117"/>
      <c r="C41" s="93" t="str">
        <f t="shared" ref="C41:D41" si="41">IF($B38&lt;&gt;"",C37,"")</f>
        <v>Tariff - variable</v>
      </c>
      <c r="D41" s="93" t="str">
        <f t="shared" si="41"/>
        <v>EUR/MWh</v>
      </c>
      <c r="E41" s="32">
        <v>0.2</v>
      </c>
      <c r="F41" s="32"/>
      <c r="G41" s="32"/>
      <c r="H41" s="32"/>
      <c r="I41" s="32"/>
      <c r="J41" s="32"/>
      <c r="K41" s="32"/>
      <c r="L41" s="32"/>
      <c r="M41" s="32"/>
      <c r="N41" s="32"/>
      <c r="O41" s="32"/>
      <c r="P41" s="32"/>
      <c r="Q41" s="32"/>
      <c r="R41" s="32"/>
      <c r="S41" s="32"/>
      <c r="T41" s="32"/>
      <c r="U41" s="32"/>
      <c r="V41" s="26"/>
      <c r="W41" s="31" t="str">
        <f>INDEX(TBL_TRANSIT[TransitID],$A41)</f>
        <v>Transit_004_002_001</v>
      </c>
      <c r="X41" s="31" t="str">
        <f>"TransitTariffVar_"&amp;RIGHT($W41,11)</f>
        <v>TransitTariffVar_004_002_001</v>
      </c>
    </row>
    <row r="42" spans="1:24" x14ac:dyDescent="0.25">
      <c r="A42" s="94">
        <f t="shared" ref="A42" si="42">$A38+1</f>
        <v>10</v>
      </c>
      <c r="B42" s="115" t="str">
        <f>IFERROR(INDEX(TBL_TRANSIT[Name],$A42),"")</f>
        <v>DE-FR II</v>
      </c>
      <c r="C42" s="93" t="str">
        <f t="shared" ref="C42:D42" si="43">IF($B42&lt;&gt;"",C38,"")</f>
        <v>Capacity - Min</v>
      </c>
      <c r="D42" s="93" t="str">
        <f t="shared" si="43"/>
        <v>mcm/day</v>
      </c>
      <c r="E42" s="27">
        <v>0</v>
      </c>
      <c r="F42" s="27"/>
      <c r="G42" s="27"/>
      <c r="H42" s="27"/>
      <c r="I42" s="27"/>
      <c r="J42" s="27"/>
      <c r="K42" s="27"/>
      <c r="L42" s="27"/>
      <c r="M42" s="27"/>
      <c r="N42" s="27"/>
      <c r="O42" s="27"/>
      <c r="P42" s="27"/>
      <c r="Q42" s="27"/>
      <c r="R42" s="27"/>
      <c r="S42" s="27"/>
      <c r="T42" s="27"/>
      <c r="U42" s="27"/>
      <c r="V42" s="25"/>
      <c r="W42" s="31" t="str">
        <f>INDEX(TBL_TRANSIT[TransitID],$A42)</f>
        <v>Transit_001_002_002</v>
      </c>
      <c r="X42" s="31" t="str">
        <f>"TransitCapMin_"&amp;RIGHT($W42,11)</f>
        <v>TransitCapMin_001_002_002</v>
      </c>
    </row>
    <row r="43" spans="1:24" x14ac:dyDescent="0.25">
      <c r="A43" s="94">
        <f t="shared" si="38"/>
        <v>10</v>
      </c>
      <c r="B43" s="116"/>
      <c r="C43" s="93" t="str">
        <f t="shared" ref="C43:D43" si="44">IF($B42&lt;&gt;"",C39,"")</f>
        <v>Capacity - Max</v>
      </c>
      <c r="D43" s="93" t="str">
        <f t="shared" si="44"/>
        <v>mcm/day</v>
      </c>
      <c r="E43" s="32">
        <v>40</v>
      </c>
      <c r="F43" s="32"/>
      <c r="G43" s="32"/>
      <c r="H43" s="32"/>
      <c r="I43" s="32"/>
      <c r="J43" s="32"/>
      <c r="K43" s="32"/>
      <c r="L43" s="32"/>
      <c r="M43" s="32"/>
      <c r="N43" s="32"/>
      <c r="O43" s="32"/>
      <c r="P43" s="32"/>
      <c r="Q43" s="32"/>
      <c r="R43" s="32"/>
      <c r="S43" s="32"/>
      <c r="T43" s="32"/>
      <c r="U43" s="32"/>
      <c r="V43" s="26"/>
      <c r="W43" s="31" t="str">
        <f>INDEX(TBL_TRANSIT[TransitID],$A43)</f>
        <v>Transit_001_002_002</v>
      </c>
      <c r="X43" s="31" t="str">
        <f>"TransitCapMax_"&amp;RIGHT($W43,11)</f>
        <v>TransitCapMax_001_002_002</v>
      </c>
    </row>
    <row r="44" spans="1:24" x14ac:dyDescent="0.25">
      <c r="A44" s="94">
        <f t="shared" si="38"/>
        <v>10</v>
      </c>
      <c r="B44" s="116"/>
      <c r="C44" s="93" t="str">
        <f t="shared" ref="C44:D44" si="45">IF($B42&lt;&gt;"",C40,"")</f>
        <v>Tariff - fixed</v>
      </c>
      <c r="D44" s="93" t="str">
        <f t="shared" si="45"/>
        <v>EUR/month</v>
      </c>
      <c r="E44" s="27">
        <v>0</v>
      </c>
      <c r="F44" s="27"/>
      <c r="G44" s="27"/>
      <c r="H44" s="27"/>
      <c r="I44" s="27"/>
      <c r="J44" s="27"/>
      <c r="K44" s="27"/>
      <c r="L44" s="27"/>
      <c r="M44" s="27"/>
      <c r="N44" s="27"/>
      <c r="O44" s="27"/>
      <c r="P44" s="27"/>
      <c r="Q44" s="27"/>
      <c r="R44" s="27"/>
      <c r="S44" s="27"/>
      <c r="T44" s="27"/>
      <c r="U44" s="27"/>
      <c r="V44" s="25"/>
      <c r="W44" s="31" t="str">
        <f>INDEX(TBL_TRANSIT[TransitID],$A44)</f>
        <v>Transit_001_002_002</v>
      </c>
      <c r="X44" s="31" t="str">
        <f>"TransitTariffFixed_"&amp;RIGHT($W44,11)</f>
        <v>TransitTariffFixed_001_002_002</v>
      </c>
    </row>
    <row r="45" spans="1:24" x14ac:dyDescent="0.25">
      <c r="A45" s="94">
        <f t="shared" si="38"/>
        <v>10</v>
      </c>
      <c r="B45" s="117"/>
      <c r="C45" s="93" t="str">
        <f t="shared" ref="C45:D45" si="46">IF($B42&lt;&gt;"",C41,"")</f>
        <v>Tariff - variable</v>
      </c>
      <c r="D45" s="93" t="str">
        <f t="shared" si="46"/>
        <v>EUR/MWh</v>
      </c>
      <c r="E45" s="32">
        <v>0.15</v>
      </c>
      <c r="F45" s="32"/>
      <c r="G45" s="32"/>
      <c r="H45" s="32"/>
      <c r="I45" s="32"/>
      <c r="J45" s="32"/>
      <c r="K45" s="32"/>
      <c r="L45" s="32"/>
      <c r="M45" s="32"/>
      <c r="N45" s="32"/>
      <c r="O45" s="32"/>
      <c r="P45" s="32"/>
      <c r="Q45" s="32"/>
      <c r="R45" s="32"/>
      <c r="S45" s="32"/>
      <c r="T45" s="32"/>
      <c r="U45" s="32"/>
      <c r="V45" s="26"/>
      <c r="W45" s="31" t="str">
        <f>INDEX(TBL_TRANSIT[TransitID],$A45)</f>
        <v>Transit_001_002_002</v>
      </c>
      <c r="X45" s="31" t="str">
        <f>"TransitTariffVar_"&amp;RIGHT($W45,11)</f>
        <v>TransitTariffVar_001_002_002</v>
      </c>
    </row>
    <row r="46" spans="1:24" x14ac:dyDescent="0.25">
      <c r="A46" s="94">
        <f t="shared" ref="A46" si="47">$A42+1</f>
        <v>11</v>
      </c>
      <c r="B46" s="115" t="str">
        <f>IFERROR(INDEX(TBL_TRANSIT[Name],$A46),"")</f>
        <v/>
      </c>
      <c r="C46" s="93" t="str">
        <f t="shared" ref="C46:D46" si="48">IF($B46&lt;&gt;"",C42,"")</f>
        <v/>
      </c>
      <c r="D46" s="93" t="str">
        <f t="shared" si="48"/>
        <v/>
      </c>
      <c r="E46" s="27"/>
      <c r="F46" s="27"/>
      <c r="G46" s="27"/>
      <c r="H46" s="27"/>
      <c r="I46" s="27"/>
      <c r="J46" s="27"/>
      <c r="K46" s="27"/>
      <c r="L46" s="27"/>
      <c r="M46" s="27"/>
      <c r="N46" s="27"/>
      <c r="O46" s="27"/>
      <c r="P46" s="27"/>
      <c r="Q46" s="27"/>
      <c r="R46" s="27"/>
      <c r="S46" s="27"/>
      <c r="T46" s="27"/>
      <c r="U46" s="27"/>
      <c r="V46" s="25"/>
      <c r="W46" s="31" t="e">
        <f>INDEX(TBL_TRANSIT[TransitID],$A46)</f>
        <v>#REF!</v>
      </c>
      <c r="X46" s="31" t="e">
        <f>"TransitCapMin_"&amp;RIGHT($W46,11)</f>
        <v>#REF!</v>
      </c>
    </row>
    <row r="47" spans="1:24" x14ac:dyDescent="0.25">
      <c r="A47" s="94">
        <f t="shared" si="38"/>
        <v>11</v>
      </c>
      <c r="B47" s="116"/>
      <c r="C47" s="93" t="str">
        <f t="shared" ref="C47:D47" si="49">IF($B46&lt;&gt;"",C43,"")</f>
        <v/>
      </c>
      <c r="D47" s="93" t="str">
        <f t="shared" si="49"/>
        <v/>
      </c>
      <c r="E47" s="32"/>
      <c r="F47" s="32"/>
      <c r="G47" s="32"/>
      <c r="H47" s="32"/>
      <c r="I47" s="32"/>
      <c r="J47" s="32"/>
      <c r="K47" s="32"/>
      <c r="L47" s="32"/>
      <c r="M47" s="32"/>
      <c r="N47" s="32"/>
      <c r="O47" s="32"/>
      <c r="P47" s="32"/>
      <c r="Q47" s="32"/>
      <c r="R47" s="32"/>
      <c r="S47" s="32"/>
      <c r="T47" s="32"/>
      <c r="U47" s="32"/>
      <c r="V47" s="26"/>
      <c r="W47" s="31" t="e">
        <f>INDEX(TBL_TRANSIT[TransitID],$A47)</f>
        <v>#REF!</v>
      </c>
      <c r="X47" s="31" t="e">
        <f>"TransitCapMax_"&amp;RIGHT($W47,11)</f>
        <v>#REF!</v>
      </c>
    </row>
    <row r="48" spans="1:24" x14ac:dyDescent="0.25">
      <c r="A48" s="94">
        <f t="shared" si="38"/>
        <v>11</v>
      </c>
      <c r="B48" s="116"/>
      <c r="C48" s="93" t="str">
        <f t="shared" ref="C48:D48" si="50">IF($B46&lt;&gt;"",C44,"")</f>
        <v/>
      </c>
      <c r="D48" s="93" t="str">
        <f t="shared" si="50"/>
        <v/>
      </c>
      <c r="E48" s="27"/>
      <c r="F48" s="27"/>
      <c r="G48" s="27"/>
      <c r="H48" s="27"/>
      <c r="I48" s="27"/>
      <c r="J48" s="27"/>
      <c r="K48" s="27"/>
      <c r="L48" s="27"/>
      <c r="M48" s="27"/>
      <c r="N48" s="27"/>
      <c r="O48" s="27"/>
      <c r="P48" s="27"/>
      <c r="Q48" s="27"/>
      <c r="R48" s="27"/>
      <c r="S48" s="27"/>
      <c r="T48" s="27"/>
      <c r="U48" s="27"/>
      <c r="V48" s="25"/>
      <c r="W48" s="31" t="e">
        <f>INDEX(TBL_TRANSIT[TransitID],$A48)</f>
        <v>#REF!</v>
      </c>
      <c r="X48" s="31" t="e">
        <f>"TransitTariffFixed_"&amp;RIGHT($W48,11)</f>
        <v>#REF!</v>
      </c>
    </row>
    <row r="49" spans="1:24" x14ac:dyDescent="0.25">
      <c r="A49" s="94">
        <f t="shared" si="38"/>
        <v>11</v>
      </c>
      <c r="B49" s="117"/>
      <c r="C49" s="93" t="str">
        <f t="shared" ref="C49:D49" si="51">IF($B46&lt;&gt;"",C45,"")</f>
        <v/>
      </c>
      <c r="D49" s="93" t="str">
        <f t="shared" si="51"/>
        <v/>
      </c>
      <c r="E49" s="32"/>
      <c r="F49" s="32"/>
      <c r="G49" s="32"/>
      <c r="H49" s="32"/>
      <c r="I49" s="32"/>
      <c r="J49" s="32"/>
      <c r="K49" s="32"/>
      <c r="L49" s="32"/>
      <c r="M49" s="32"/>
      <c r="N49" s="32"/>
      <c r="O49" s="32"/>
      <c r="P49" s="32"/>
      <c r="Q49" s="32"/>
      <c r="R49" s="32"/>
      <c r="S49" s="32"/>
      <c r="T49" s="32"/>
      <c r="U49" s="32"/>
      <c r="V49" s="26"/>
      <c r="W49" s="31" t="e">
        <f>INDEX(TBL_TRANSIT[TransitID],$A49)</f>
        <v>#REF!</v>
      </c>
      <c r="X49" s="31" t="e">
        <f>"TransitTariffVar_"&amp;RIGHT($W49,11)</f>
        <v>#REF!</v>
      </c>
    </row>
    <row r="50" spans="1:24" x14ac:dyDescent="0.25">
      <c r="A50" s="94">
        <f t="shared" ref="A50" si="52">$A46+1</f>
        <v>12</v>
      </c>
      <c r="B50" s="115" t="str">
        <f>IFERROR(INDEX(TBL_TRANSIT[Name],$A50),"")</f>
        <v/>
      </c>
      <c r="C50" s="93" t="str">
        <f t="shared" ref="C50:D50" si="53">IF($B50&lt;&gt;"",C46,"")</f>
        <v/>
      </c>
      <c r="D50" s="93" t="str">
        <f t="shared" si="53"/>
        <v/>
      </c>
      <c r="E50" s="27"/>
      <c r="F50" s="27"/>
      <c r="G50" s="27"/>
      <c r="H50" s="27"/>
      <c r="I50" s="27"/>
      <c r="J50" s="27"/>
      <c r="K50" s="27"/>
      <c r="L50" s="27"/>
      <c r="M50" s="27"/>
      <c r="N50" s="27"/>
      <c r="O50" s="27"/>
      <c r="P50" s="27"/>
      <c r="Q50" s="27"/>
      <c r="R50" s="27"/>
      <c r="S50" s="27"/>
      <c r="T50" s="27"/>
      <c r="U50" s="27"/>
      <c r="V50" s="25"/>
      <c r="W50" s="31" t="e">
        <f>INDEX(TBL_TRANSIT[TransitID],$A50)</f>
        <v>#REF!</v>
      </c>
      <c r="X50" s="31" t="e">
        <f>"TransitCapMin_"&amp;RIGHT($W50,11)</f>
        <v>#REF!</v>
      </c>
    </row>
    <row r="51" spans="1:24" x14ac:dyDescent="0.25">
      <c r="A51" s="94">
        <f t="shared" si="38"/>
        <v>12</v>
      </c>
      <c r="B51" s="116"/>
      <c r="C51" s="93" t="str">
        <f t="shared" ref="C51:D51" si="54">IF($B50&lt;&gt;"",C47,"")</f>
        <v/>
      </c>
      <c r="D51" s="93" t="str">
        <f t="shared" si="54"/>
        <v/>
      </c>
      <c r="E51" s="32"/>
      <c r="F51" s="32"/>
      <c r="G51" s="32"/>
      <c r="H51" s="32"/>
      <c r="I51" s="32"/>
      <c r="J51" s="32"/>
      <c r="K51" s="32"/>
      <c r="L51" s="32"/>
      <c r="M51" s="32"/>
      <c r="N51" s="32"/>
      <c r="O51" s="32"/>
      <c r="P51" s="32"/>
      <c r="Q51" s="32"/>
      <c r="R51" s="32"/>
      <c r="S51" s="32"/>
      <c r="T51" s="32"/>
      <c r="U51" s="32"/>
      <c r="V51" s="26"/>
      <c r="W51" s="31" t="e">
        <f>INDEX(TBL_TRANSIT[TransitID],$A51)</f>
        <v>#REF!</v>
      </c>
      <c r="X51" s="31" t="e">
        <f>"TransitCapMax_"&amp;RIGHT($W51,11)</f>
        <v>#REF!</v>
      </c>
    </row>
    <row r="52" spans="1:24" x14ac:dyDescent="0.25">
      <c r="A52" s="94">
        <f t="shared" si="38"/>
        <v>12</v>
      </c>
      <c r="B52" s="116"/>
      <c r="C52" s="93" t="str">
        <f t="shared" ref="C52:D52" si="55">IF($B50&lt;&gt;"",C48,"")</f>
        <v/>
      </c>
      <c r="D52" s="93" t="str">
        <f t="shared" si="55"/>
        <v/>
      </c>
      <c r="E52" s="27"/>
      <c r="F52" s="27"/>
      <c r="G52" s="27"/>
      <c r="H52" s="27"/>
      <c r="I52" s="27"/>
      <c r="J52" s="27"/>
      <c r="K52" s="27"/>
      <c r="L52" s="27"/>
      <c r="M52" s="27"/>
      <c r="N52" s="27"/>
      <c r="O52" s="27"/>
      <c r="P52" s="27"/>
      <c r="Q52" s="27"/>
      <c r="R52" s="27"/>
      <c r="S52" s="27"/>
      <c r="T52" s="27"/>
      <c r="U52" s="27"/>
      <c r="V52" s="25"/>
      <c r="W52" s="31" t="e">
        <f>INDEX(TBL_TRANSIT[TransitID],$A52)</f>
        <v>#REF!</v>
      </c>
      <c r="X52" s="31" t="e">
        <f>"TransitTariffFixed_"&amp;RIGHT($W52,11)</f>
        <v>#REF!</v>
      </c>
    </row>
    <row r="53" spans="1:24" x14ac:dyDescent="0.25">
      <c r="A53" s="94">
        <f t="shared" si="38"/>
        <v>12</v>
      </c>
      <c r="B53" s="117"/>
      <c r="C53" s="93" t="str">
        <f t="shared" ref="C53:D53" si="56">IF($B50&lt;&gt;"",C49,"")</f>
        <v/>
      </c>
      <c r="D53" s="93" t="str">
        <f t="shared" si="56"/>
        <v/>
      </c>
      <c r="E53" s="32"/>
      <c r="F53" s="32"/>
      <c r="G53" s="32"/>
      <c r="H53" s="32"/>
      <c r="I53" s="32"/>
      <c r="J53" s="32"/>
      <c r="K53" s="32"/>
      <c r="L53" s="32"/>
      <c r="M53" s="32"/>
      <c r="N53" s="32"/>
      <c r="O53" s="32"/>
      <c r="P53" s="32"/>
      <c r="Q53" s="32"/>
      <c r="R53" s="32"/>
      <c r="S53" s="32"/>
      <c r="T53" s="32"/>
      <c r="U53" s="32"/>
      <c r="V53" s="26"/>
      <c r="W53" s="31" t="e">
        <f>INDEX(TBL_TRANSIT[TransitID],$A53)</f>
        <v>#REF!</v>
      </c>
      <c r="X53" s="31" t="e">
        <f>"TransitTariffVar_"&amp;RIGHT($W53,11)</f>
        <v>#REF!</v>
      </c>
    </row>
    <row r="54" spans="1:24" x14ac:dyDescent="0.25">
      <c r="A54" s="94">
        <f t="shared" ref="A54" si="57">$A50+1</f>
        <v>13</v>
      </c>
      <c r="B54" s="115" t="str">
        <f>IFERROR(INDEX(TBL_TRANSIT[Name],$A54),"")</f>
        <v/>
      </c>
      <c r="C54" s="93" t="str">
        <f t="shared" ref="C54:D54" si="58">IF($B54&lt;&gt;"",C50,"")</f>
        <v/>
      </c>
      <c r="D54" s="93" t="str">
        <f t="shared" si="58"/>
        <v/>
      </c>
      <c r="E54" s="27"/>
      <c r="F54" s="27"/>
      <c r="G54" s="27"/>
      <c r="H54" s="27"/>
      <c r="I54" s="27"/>
      <c r="J54" s="27"/>
      <c r="K54" s="27"/>
      <c r="L54" s="27"/>
      <c r="M54" s="27"/>
      <c r="N54" s="27"/>
      <c r="O54" s="27"/>
      <c r="P54" s="27"/>
      <c r="Q54" s="27"/>
      <c r="R54" s="27"/>
      <c r="S54" s="27"/>
      <c r="T54" s="27"/>
      <c r="U54" s="27"/>
      <c r="V54" s="25"/>
      <c r="W54" s="31" t="e">
        <f>INDEX(TBL_TRANSIT[TransitID],$A54)</f>
        <v>#REF!</v>
      </c>
      <c r="X54" s="31" t="e">
        <f>"TransitCapMin_"&amp;RIGHT($W54,11)</f>
        <v>#REF!</v>
      </c>
    </row>
    <row r="55" spans="1:24" x14ac:dyDescent="0.25">
      <c r="A55" s="94">
        <f t="shared" si="38"/>
        <v>13</v>
      </c>
      <c r="B55" s="116"/>
      <c r="C55" s="93" t="str">
        <f t="shared" ref="C55:D55" si="59">IF($B54&lt;&gt;"",C51,"")</f>
        <v/>
      </c>
      <c r="D55" s="93" t="str">
        <f t="shared" si="59"/>
        <v/>
      </c>
      <c r="E55" s="32"/>
      <c r="F55" s="32"/>
      <c r="G55" s="32"/>
      <c r="H55" s="32"/>
      <c r="I55" s="32"/>
      <c r="J55" s="32"/>
      <c r="K55" s="32"/>
      <c r="L55" s="32"/>
      <c r="M55" s="32"/>
      <c r="N55" s="32"/>
      <c r="O55" s="32"/>
      <c r="P55" s="32"/>
      <c r="Q55" s="32"/>
      <c r="R55" s="32"/>
      <c r="S55" s="32"/>
      <c r="T55" s="32"/>
      <c r="U55" s="32"/>
      <c r="V55" s="26"/>
      <c r="W55" s="31" t="e">
        <f>INDEX(TBL_TRANSIT[TransitID],$A55)</f>
        <v>#REF!</v>
      </c>
      <c r="X55" s="31" t="e">
        <f>"TransitCapMax_"&amp;RIGHT($W55,11)</f>
        <v>#REF!</v>
      </c>
    </row>
    <row r="56" spans="1:24" x14ac:dyDescent="0.25">
      <c r="A56" s="94">
        <f t="shared" si="38"/>
        <v>13</v>
      </c>
      <c r="B56" s="116"/>
      <c r="C56" s="93" t="str">
        <f t="shared" ref="C56:D56" si="60">IF($B54&lt;&gt;"",C52,"")</f>
        <v/>
      </c>
      <c r="D56" s="93" t="str">
        <f t="shared" si="60"/>
        <v/>
      </c>
      <c r="E56" s="27"/>
      <c r="F56" s="27"/>
      <c r="G56" s="27"/>
      <c r="H56" s="27"/>
      <c r="I56" s="27"/>
      <c r="J56" s="27"/>
      <c r="K56" s="27"/>
      <c r="L56" s="27"/>
      <c r="M56" s="27"/>
      <c r="N56" s="27"/>
      <c r="O56" s="27"/>
      <c r="P56" s="27"/>
      <c r="Q56" s="27"/>
      <c r="R56" s="27"/>
      <c r="S56" s="27"/>
      <c r="T56" s="27"/>
      <c r="U56" s="27"/>
      <c r="V56" s="25"/>
      <c r="W56" s="31" t="e">
        <f>INDEX(TBL_TRANSIT[TransitID],$A56)</f>
        <v>#REF!</v>
      </c>
      <c r="X56" s="31" t="e">
        <f>"TransitTariffFixed_"&amp;RIGHT($W56,11)</f>
        <v>#REF!</v>
      </c>
    </row>
    <row r="57" spans="1:24" x14ac:dyDescent="0.25">
      <c r="A57" s="94">
        <f t="shared" si="38"/>
        <v>13</v>
      </c>
      <c r="B57" s="117"/>
      <c r="C57" s="93" t="str">
        <f t="shared" ref="C57:D57" si="61">IF($B54&lt;&gt;"",C53,"")</f>
        <v/>
      </c>
      <c r="D57" s="93" t="str">
        <f t="shared" si="61"/>
        <v/>
      </c>
      <c r="E57" s="32"/>
      <c r="F57" s="32"/>
      <c r="G57" s="32"/>
      <c r="H57" s="32"/>
      <c r="I57" s="32"/>
      <c r="J57" s="32"/>
      <c r="K57" s="32"/>
      <c r="L57" s="32"/>
      <c r="M57" s="32"/>
      <c r="N57" s="32"/>
      <c r="O57" s="32"/>
      <c r="P57" s="32"/>
      <c r="Q57" s="32"/>
      <c r="R57" s="32"/>
      <c r="S57" s="32"/>
      <c r="T57" s="32"/>
      <c r="U57" s="32"/>
      <c r="V57" s="26"/>
      <c r="W57" s="31" t="e">
        <f>INDEX(TBL_TRANSIT[TransitID],$A57)</f>
        <v>#REF!</v>
      </c>
      <c r="X57" s="31" t="e">
        <f>"TransitTariffVar_"&amp;RIGHT($W57,11)</f>
        <v>#REF!</v>
      </c>
    </row>
    <row r="58" spans="1:24" x14ac:dyDescent="0.25">
      <c r="A58" s="94">
        <f t="shared" ref="A58" si="62">$A54+1</f>
        <v>14</v>
      </c>
      <c r="B58" s="115" t="str">
        <f>IFERROR(INDEX(TBL_TRANSIT[Name],$A58),"")</f>
        <v/>
      </c>
      <c r="C58" s="93" t="str">
        <f t="shared" ref="C58:D58" si="63">IF($B58&lt;&gt;"",C54,"")</f>
        <v/>
      </c>
      <c r="D58" s="93" t="str">
        <f t="shared" si="63"/>
        <v/>
      </c>
      <c r="E58" s="27"/>
      <c r="F58" s="27"/>
      <c r="G58" s="27"/>
      <c r="H58" s="27"/>
      <c r="I58" s="27"/>
      <c r="J58" s="27"/>
      <c r="K58" s="27"/>
      <c r="L58" s="27"/>
      <c r="M58" s="27"/>
      <c r="N58" s="27"/>
      <c r="O58" s="27"/>
      <c r="P58" s="27"/>
      <c r="Q58" s="27"/>
      <c r="R58" s="27"/>
      <c r="S58" s="27"/>
      <c r="T58" s="27"/>
      <c r="U58" s="27"/>
      <c r="V58" s="25"/>
      <c r="W58" s="31" t="e">
        <f>INDEX(TBL_TRANSIT[TransitID],$A58)</f>
        <v>#REF!</v>
      </c>
      <c r="X58" s="31" t="e">
        <f>"TransitCapMin_"&amp;RIGHT($W58,11)</f>
        <v>#REF!</v>
      </c>
    </row>
    <row r="59" spans="1:24" x14ac:dyDescent="0.25">
      <c r="A59" s="94">
        <f t="shared" si="38"/>
        <v>14</v>
      </c>
      <c r="B59" s="116"/>
      <c r="C59" s="93" t="str">
        <f t="shared" ref="C59:D59" si="64">IF($B58&lt;&gt;"",C55,"")</f>
        <v/>
      </c>
      <c r="D59" s="93" t="str">
        <f t="shared" si="64"/>
        <v/>
      </c>
      <c r="E59" s="32"/>
      <c r="F59" s="32"/>
      <c r="G59" s="32"/>
      <c r="H59" s="32"/>
      <c r="I59" s="32"/>
      <c r="J59" s="32"/>
      <c r="K59" s="32"/>
      <c r="L59" s="32"/>
      <c r="M59" s="32"/>
      <c r="N59" s="32"/>
      <c r="O59" s="32"/>
      <c r="P59" s="32"/>
      <c r="Q59" s="32"/>
      <c r="R59" s="32"/>
      <c r="S59" s="32"/>
      <c r="T59" s="32"/>
      <c r="U59" s="32"/>
      <c r="V59" s="26"/>
      <c r="W59" s="31" t="e">
        <f>INDEX(TBL_TRANSIT[TransitID],$A59)</f>
        <v>#REF!</v>
      </c>
      <c r="X59" s="31" t="e">
        <f>"TransitCapMax_"&amp;RIGHT($W59,11)</f>
        <v>#REF!</v>
      </c>
    </row>
    <row r="60" spans="1:24" x14ac:dyDescent="0.25">
      <c r="A60" s="94">
        <f t="shared" si="38"/>
        <v>14</v>
      </c>
      <c r="B60" s="116"/>
      <c r="C60" s="93" t="str">
        <f t="shared" ref="C60:D60" si="65">IF($B58&lt;&gt;"",C56,"")</f>
        <v/>
      </c>
      <c r="D60" s="93" t="str">
        <f t="shared" si="65"/>
        <v/>
      </c>
      <c r="E60" s="27"/>
      <c r="F60" s="27"/>
      <c r="G60" s="27"/>
      <c r="H60" s="27"/>
      <c r="I60" s="27"/>
      <c r="J60" s="27"/>
      <c r="K60" s="27"/>
      <c r="L60" s="27"/>
      <c r="M60" s="27"/>
      <c r="N60" s="27"/>
      <c r="O60" s="27"/>
      <c r="P60" s="27"/>
      <c r="Q60" s="27"/>
      <c r="R60" s="27"/>
      <c r="S60" s="27"/>
      <c r="T60" s="27"/>
      <c r="U60" s="27"/>
      <c r="V60" s="25"/>
      <c r="W60" s="31" t="e">
        <f>INDEX(TBL_TRANSIT[TransitID],$A60)</f>
        <v>#REF!</v>
      </c>
      <c r="X60" s="31" t="e">
        <f>"TransitTariffFixed_"&amp;RIGHT($W60,11)</f>
        <v>#REF!</v>
      </c>
    </row>
    <row r="61" spans="1:24" x14ac:dyDescent="0.25">
      <c r="A61" s="94">
        <f t="shared" si="38"/>
        <v>14</v>
      </c>
      <c r="B61" s="117"/>
      <c r="C61" s="93" t="str">
        <f t="shared" ref="C61:D61" si="66">IF($B58&lt;&gt;"",C57,"")</f>
        <v/>
      </c>
      <c r="D61" s="93" t="str">
        <f t="shared" si="66"/>
        <v/>
      </c>
      <c r="E61" s="32"/>
      <c r="F61" s="32"/>
      <c r="G61" s="32"/>
      <c r="H61" s="32"/>
      <c r="I61" s="32"/>
      <c r="J61" s="32"/>
      <c r="K61" s="32"/>
      <c r="L61" s="32"/>
      <c r="M61" s="32"/>
      <c r="N61" s="32"/>
      <c r="O61" s="32"/>
      <c r="P61" s="32"/>
      <c r="Q61" s="32"/>
      <c r="R61" s="32"/>
      <c r="S61" s="32"/>
      <c r="T61" s="32"/>
      <c r="U61" s="32"/>
      <c r="V61" s="26"/>
      <c r="W61" s="31" t="e">
        <f>INDEX(TBL_TRANSIT[TransitID],$A61)</f>
        <v>#REF!</v>
      </c>
      <c r="X61" s="31" t="e">
        <f>"TransitTariffVar_"&amp;RIGHT($W61,11)</f>
        <v>#REF!</v>
      </c>
    </row>
    <row r="62" spans="1:24" x14ac:dyDescent="0.25">
      <c r="A62" s="94">
        <f t="shared" ref="A62" si="67">$A58+1</f>
        <v>15</v>
      </c>
      <c r="B62" s="115" t="str">
        <f>IFERROR(INDEX(TBL_TRANSIT[Name],$A62),"")</f>
        <v/>
      </c>
      <c r="C62" s="93" t="str">
        <f t="shared" ref="C62:D62" si="68">IF($B62&lt;&gt;"",C58,"")</f>
        <v/>
      </c>
      <c r="D62" s="93" t="str">
        <f t="shared" si="68"/>
        <v/>
      </c>
      <c r="E62" s="27"/>
      <c r="F62" s="27"/>
      <c r="G62" s="27"/>
      <c r="H62" s="27"/>
      <c r="I62" s="27"/>
      <c r="J62" s="27"/>
      <c r="K62" s="27"/>
      <c r="L62" s="27"/>
      <c r="M62" s="27"/>
      <c r="N62" s="27"/>
      <c r="O62" s="27"/>
      <c r="P62" s="27"/>
      <c r="Q62" s="27"/>
      <c r="R62" s="27"/>
      <c r="S62" s="27"/>
      <c r="T62" s="27"/>
      <c r="U62" s="27"/>
      <c r="V62" s="25"/>
      <c r="W62" s="31" t="e">
        <f>INDEX(TBL_TRANSIT[TransitID],$A62)</f>
        <v>#REF!</v>
      </c>
      <c r="X62" s="31" t="e">
        <f>"TransitCapMin_"&amp;RIGHT($W62,11)</f>
        <v>#REF!</v>
      </c>
    </row>
    <row r="63" spans="1:24" x14ac:dyDescent="0.25">
      <c r="A63" s="94">
        <f t="shared" si="38"/>
        <v>15</v>
      </c>
      <c r="B63" s="116"/>
      <c r="C63" s="93" t="str">
        <f t="shared" ref="C63:D63" si="69">IF($B62&lt;&gt;"",C59,"")</f>
        <v/>
      </c>
      <c r="D63" s="93" t="str">
        <f t="shared" si="69"/>
        <v/>
      </c>
      <c r="E63" s="32"/>
      <c r="F63" s="32"/>
      <c r="G63" s="32"/>
      <c r="H63" s="32"/>
      <c r="I63" s="32"/>
      <c r="J63" s="32"/>
      <c r="K63" s="32"/>
      <c r="L63" s="32"/>
      <c r="M63" s="32"/>
      <c r="N63" s="32"/>
      <c r="O63" s="32"/>
      <c r="P63" s="32"/>
      <c r="Q63" s="32"/>
      <c r="R63" s="32"/>
      <c r="S63" s="32"/>
      <c r="T63" s="32"/>
      <c r="U63" s="32"/>
      <c r="V63" s="26"/>
      <c r="W63" s="31" t="e">
        <f>INDEX(TBL_TRANSIT[TransitID],$A63)</f>
        <v>#REF!</v>
      </c>
      <c r="X63" s="31" t="e">
        <f>"TransitCapMax_"&amp;RIGHT($W63,11)</f>
        <v>#REF!</v>
      </c>
    </row>
    <row r="64" spans="1:24" x14ac:dyDescent="0.25">
      <c r="A64" s="94">
        <f t="shared" si="38"/>
        <v>15</v>
      </c>
      <c r="B64" s="116"/>
      <c r="C64" s="93" t="str">
        <f t="shared" ref="C64:D64" si="70">IF($B62&lt;&gt;"",C60,"")</f>
        <v/>
      </c>
      <c r="D64" s="93" t="str">
        <f t="shared" si="70"/>
        <v/>
      </c>
      <c r="E64" s="27"/>
      <c r="F64" s="27"/>
      <c r="G64" s="27"/>
      <c r="H64" s="27"/>
      <c r="I64" s="27"/>
      <c r="J64" s="27"/>
      <c r="K64" s="27"/>
      <c r="L64" s="27"/>
      <c r="M64" s="27"/>
      <c r="N64" s="27"/>
      <c r="O64" s="27"/>
      <c r="P64" s="27"/>
      <c r="Q64" s="27"/>
      <c r="R64" s="27"/>
      <c r="S64" s="27"/>
      <c r="T64" s="27"/>
      <c r="U64" s="27"/>
      <c r="V64" s="25"/>
      <c r="W64" s="31" t="e">
        <f>INDEX(TBL_TRANSIT[TransitID],$A64)</f>
        <v>#REF!</v>
      </c>
      <c r="X64" s="31" t="e">
        <f>"TransitTariffFixed_"&amp;RIGHT($W64,11)</f>
        <v>#REF!</v>
      </c>
    </row>
    <row r="65" spans="1:24" x14ac:dyDescent="0.25">
      <c r="A65" s="94">
        <f t="shared" si="38"/>
        <v>15</v>
      </c>
      <c r="B65" s="117"/>
      <c r="C65" s="93" t="str">
        <f t="shared" ref="C65:D65" si="71">IF($B62&lt;&gt;"",C61,"")</f>
        <v/>
      </c>
      <c r="D65" s="93" t="str">
        <f t="shared" si="71"/>
        <v/>
      </c>
      <c r="E65" s="32"/>
      <c r="F65" s="32"/>
      <c r="G65" s="32"/>
      <c r="H65" s="32"/>
      <c r="I65" s="32"/>
      <c r="J65" s="32"/>
      <c r="K65" s="32"/>
      <c r="L65" s="32"/>
      <c r="M65" s="32"/>
      <c r="N65" s="32"/>
      <c r="O65" s="32"/>
      <c r="P65" s="32"/>
      <c r="Q65" s="32"/>
      <c r="R65" s="32"/>
      <c r="S65" s="32"/>
      <c r="T65" s="32"/>
      <c r="U65" s="32"/>
      <c r="V65" s="26"/>
      <c r="W65" s="31" t="e">
        <f>INDEX(TBL_TRANSIT[TransitID],$A65)</f>
        <v>#REF!</v>
      </c>
      <c r="X65" s="31" t="e">
        <f>"TransitTariffVar_"&amp;RIGHT($W65,11)</f>
        <v>#REF!</v>
      </c>
    </row>
    <row r="66" spans="1:24" x14ac:dyDescent="0.25">
      <c r="A66" s="94">
        <f t="shared" ref="A66" si="72">$A62+1</f>
        <v>16</v>
      </c>
      <c r="B66" s="115" t="str">
        <f>IFERROR(INDEX(TBL_TRANSIT[Name],$A66),"")</f>
        <v/>
      </c>
      <c r="C66" s="93" t="str">
        <f t="shared" ref="C66:D66" si="73">IF($B66&lt;&gt;"",C62,"")</f>
        <v/>
      </c>
      <c r="D66" s="93" t="str">
        <f t="shared" si="73"/>
        <v/>
      </c>
      <c r="E66" s="27"/>
      <c r="F66" s="27"/>
      <c r="G66" s="27"/>
      <c r="H66" s="27"/>
      <c r="I66" s="27"/>
      <c r="J66" s="27"/>
      <c r="K66" s="27"/>
      <c r="L66" s="27"/>
      <c r="M66" s="27"/>
      <c r="N66" s="27"/>
      <c r="O66" s="27"/>
      <c r="P66" s="27"/>
      <c r="Q66" s="27"/>
      <c r="R66" s="27"/>
      <c r="S66" s="27"/>
      <c r="T66" s="27"/>
      <c r="U66" s="27"/>
      <c r="V66" s="25"/>
      <c r="W66" s="31" t="e">
        <f>INDEX(TBL_TRANSIT[TransitID],$A66)</f>
        <v>#REF!</v>
      </c>
      <c r="X66" s="31" t="e">
        <f>"TransitCapMin_"&amp;RIGHT($W66,11)</f>
        <v>#REF!</v>
      </c>
    </row>
    <row r="67" spans="1:24" x14ac:dyDescent="0.25">
      <c r="A67" s="94">
        <f t="shared" si="38"/>
        <v>16</v>
      </c>
      <c r="B67" s="116"/>
      <c r="C67" s="93" t="str">
        <f t="shared" ref="C67:D67" si="74">IF($B66&lt;&gt;"",C63,"")</f>
        <v/>
      </c>
      <c r="D67" s="93" t="str">
        <f t="shared" si="74"/>
        <v/>
      </c>
      <c r="E67" s="32"/>
      <c r="F67" s="32"/>
      <c r="G67" s="32"/>
      <c r="H67" s="32"/>
      <c r="I67" s="32"/>
      <c r="J67" s="32"/>
      <c r="K67" s="32"/>
      <c r="L67" s="32"/>
      <c r="M67" s="32"/>
      <c r="N67" s="32"/>
      <c r="O67" s="32"/>
      <c r="P67" s="32"/>
      <c r="Q67" s="32"/>
      <c r="R67" s="32"/>
      <c r="S67" s="32"/>
      <c r="T67" s="32"/>
      <c r="U67" s="32"/>
      <c r="V67" s="26"/>
      <c r="W67" s="31" t="e">
        <f>INDEX(TBL_TRANSIT[TransitID],$A67)</f>
        <v>#REF!</v>
      </c>
      <c r="X67" s="31" t="e">
        <f>"TransitCapMax_"&amp;RIGHT($W67,11)</f>
        <v>#REF!</v>
      </c>
    </row>
    <row r="68" spans="1:24" x14ac:dyDescent="0.25">
      <c r="A68" s="94">
        <f t="shared" si="38"/>
        <v>16</v>
      </c>
      <c r="B68" s="116"/>
      <c r="C68" s="93" t="str">
        <f t="shared" ref="C68:D68" si="75">IF($B66&lt;&gt;"",C64,"")</f>
        <v/>
      </c>
      <c r="D68" s="93" t="str">
        <f t="shared" si="75"/>
        <v/>
      </c>
      <c r="E68" s="27"/>
      <c r="F68" s="27"/>
      <c r="G68" s="27"/>
      <c r="H68" s="27"/>
      <c r="I68" s="27"/>
      <c r="J68" s="27"/>
      <c r="K68" s="27"/>
      <c r="L68" s="27"/>
      <c r="M68" s="27"/>
      <c r="N68" s="27"/>
      <c r="O68" s="27"/>
      <c r="P68" s="27"/>
      <c r="Q68" s="27"/>
      <c r="R68" s="27"/>
      <c r="S68" s="27"/>
      <c r="T68" s="27"/>
      <c r="U68" s="27"/>
      <c r="V68" s="25"/>
      <c r="W68" s="31" t="e">
        <f>INDEX(TBL_TRANSIT[TransitID],$A68)</f>
        <v>#REF!</v>
      </c>
      <c r="X68" s="31" t="e">
        <f>"TransitTariffFixed_"&amp;RIGHT($W68,11)</f>
        <v>#REF!</v>
      </c>
    </row>
    <row r="69" spans="1:24" x14ac:dyDescent="0.25">
      <c r="A69" s="94">
        <f t="shared" si="38"/>
        <v>16</v>
      </c>
      <c r="B69" s="117"/>
      <c r="C69" s="93" t="str">
        <f t="shared" ref="C69:D69" si="76">IF($B66&lt;&gt;"",C65,"")</f>
        <v/>
      </c>
      <c r="D69" s="93" t="str">
        <f t="shared" si="76"/>
        <v/>
      </c>
      <c r="E69" s="32"/>
      <c r="F69" s="32"/>
      <c r="G69" s="32"/>
      <c r="H69" s="32"/>
      <c r="I69" s="32"/>
      <c r="J69" s="32"/>
      <c r="K69" s="32"/>
      <c r="L69" s="32"/>
      <c r="M69" s="32"/>
      <c r="N69" s="32"/>
      <c r="O69" s="32"/>
      <c r="P69" s="32"/>
      <c r="Q69" s="32"/>
      <c r="R69" s="32"/>
      <c r="S69" s="32"/>
      <c r="T69" s="32"/>
      <c r="U69" s="32"/>
      <c r="V69" s="26"/>
      <c r="W69" s="31" t="e">
        <f>INDEX(TBL_TRANSIT[TransitID],$A69)</f>
        <v>#REF!</v>
      </c>
      <c r="X69" s="31" t="e">
        <f>"TransitTariffVar_"&amp;RIGHT($W69,11)</f>
        <v>#REF!</v>
      </c>
    </row>
    <row r="70" spans="1:24" x14ac:dyDescent="0.25">
      <c r="A70" s="94">
        <f t="shared" ref="A70" si="77">$A66+1</f>
        <v>17</v>
      </c>
      <c r="B70" s="115" t="str">
        <f>IFERROR(INDEX(TBL_TRANSIT[Name],$A70),"")</f>
        <v/>
      </c>
      <c r="C70" s="93" t="str">
        <f t="shared" ref="C70:D70" si="78">IF($B70&lt;&gt;"",C66,"")</f>
        <v/>
      </c>
      <c r="D70" s="93" t="str">
        <f t="shared" si="78"/>
        <v/>
      </c>
      <c r="E70" s="27"/>
      <c r="F70" s="27"/>
      <c r="G70" s="27"/>
      <c r="H70" s="27"/>
      <c r="I70" s="27"/>
      <c r="J70" s="27"/>
      <c r="K70" s="27"/>
      <c r="L70" s="27"/>
      <c r="M70" s="27"/>
      <c r="N70" s="27"/>
      <c r="O70" s="27"/>
      <c r="P70" s="27"/>
      <c r="Q70" s="27"/>
      <c r="R70" s="27"/>
      <c r="S70" s="27"/>
      <c r="T70" s="27"/>
      <c r="U70" s="27"/>
      <c r="V70" s="25"/>
      <c r="W70" s="31" t="e">
        <f>INDEX(TBL_TRANSIT[TransitID],$A70)</f>
        <v>#REF!</v>
      </c>
      <c r="X70" s="31" t="e">
        <f>"TransitCapMin_"&amp;RIGHT($W70,11)</f>
        <v>#REF!</v>
      </c>
    </row>
    <row r="71" spans="1:24" x14ac:dyDescent="0.25">
      <c r="A71" s="94">
        <f t="shared" si="38"/>
        <v>17</v>
      </c>
      <c r="B71" s="116"/>
      <c r="C71" s="93" t="str">
        <f t="shared" ref="C71:D71" si="79">IF($B70&lt;&gt;"",C67,"")</f>
        <v/>
      </c>
      <c r="D71" s="93" t="str">
        <f t="shared" si="79"/>
        <v/>
      </c>
      <c r="E71" s="32"/>
      <c r="F71" s="32"/>
      <c r="G71" s="32"/>
      <c r="H71" s="32"/>
      <c r="I71" s="32"/>
      <c r="J71" s="32"/>
      <c r="K71" s="32"/>
      <c r="L71" s="32"/>
      <c r="M71" s="32"/>
      <c r="N71" s="32"/>
      <c r="O71" s="32"/>
      <c r="P71" s="32"/>
      <c r="Q71" s="32"/>
      <c r="R71" s="32"/>
      <c r="S71" s="32"/>
      <c r="T71" s="32"/>
      <c r="U71" s="32"/>
      <c r="V71" s="26"/>
      <c r="W71" s="31" t="e">
        <f>INDEX(TBL_TRANSIT[TransitID],$A71)</f>
        <v>#REF!</v>
      </c>
      <c r="X71" s="31" t="e">
        <f>"TransitCapMax_"&amp;RIGHT($W71,11)</f>
        <v>#REF!</v>
      </c>
    </row>
    <row r="72" spans="1:24" x14ac:dyDescent="0.25">
      <c r="A72" s="94">
        <f t="shared" si="38"/>
        <v>17</v>
      </c>
      <c r="B72" s="116"/>
      <c r="C72" s="93" t="str">
        <f t="shared" ref="C72:D72" si="80">IF($B70&lt;&gt;"",C68,"")</f>
        <v/>
      </c>
      <c r="D72" s="93" t="str">
        <f t="shared" si="80"/>
        <v/>
      </c>
      <c r="E72" s="27"/>
      <c r="F72" s="27"/>
      <c r="G72" s="27"/>
      <c r="H72" s="27"/>
      <c r="I72" s="27"/>
      <c r="J72" s="27"/>
      <c r="K72" s="27"/>
      <c r="L72" s="27"/>
      <c r="M72" s="27"/>
      <c r="N72" s="27"/>
      <c r="O72" s="27"/>
      <c r="P72" s="27"/>
      <c r="Q72" s="27"/>
      <c r="R72" s="27"/>
      <c r="S72" s="27"/>
      <c r="T72" s="27"/>
      <c r="U72" s="27"/>
      <c r="V72" s="25"/>
      <c r="W72" s="31" t="e">
        <f>INDEX(TBL_TRANSIT[TransitID],$A72)</f>
        <v>#REF!</v>
      </c>
      <c r="X72" s="31" t="e">
        <f>"TransitTariffFixed_"&amp;RIGHT($W72,11)</f>
        <v>#REF!</v>
      </c>
    </row>
    <row r="73" spans="1:24" x14ac:dyDescent="0.25">
      <c r="A73" s="94">
        <f t="shared" si="38"/>
        <v>17</v>
      </c>
      <c r="B73" s="117"/>
      <c r="C73" s="93" t="str">
        <f t="shared" ref="C73:D73" si="81">IF($B70&lt;&gt;"",C69,"")</f>
        <v/>
      </c>
      <c r="D73" s="93" t="str">
        <f t="shared" si="81"/>
        <v/>
      </c>
      <c r="E73" s="32"/>
      <c r="F73" s="32"/>
      <c r="G73" s="32"/>
      <c r="H73" s="32"/>
      <c r="I73" s="32"/>
      <c r="J73" s="32"/>
      <c r="K73" s="32"/>
      <c r="L73" s="32"/>
      <c r="M73" s="32"/>
      <c r="N73" s="32"/>
      <c r="O73" s="32"/>
      <c r="P73" s="32"/>
      <c r="Q73" s="32"/>
      <c r="R73" s="32"/>
      <c r="S73" s="32"/>
      <c r="T73" s="32"/>
      <c r="U73" s="32"/>
      <c r="V73" s="26"/>
      <c r="W73" s="31" t="e">
        <f>INDEX(TBL_TRANSIT[TransitID],$A73)</f>
        <v>#REF!</v>
      </c>
      <c r="X73" s="31" t="e">
        <f>"TransitTariffVar_"&amp;RIGHT($W73,11)</f>
        <v>#REF!</v>
      </c>
    </row>
    <row r="74" spans="1:24" x14ac:dyDescent="0.25">
      <c r="A74" s="94">
        <f t="shared" ref="A74" si="82">$A70+1</f>
        <v>18</v>
      </c>
      <c r="B74" s="115" t="str">
        <f>IFERROR(INDEX(TBL_TRANSIT[Name],$A74),"")</f>
        <v/>
      </c>
      <c r="C74" s="93" t="str">
        <f t="shared" ref="C74:D74" si="83">IF($B74&lt;&gt;"",C70,"")</f>
        <v/>
      </c>
      <c r="D74" s="93" t="str">
        <f t="shared" si="83"/>
        <v/>
      </c>
      <c r="E74" s="27"/>
      <c r="F74" s="27"/>
      <c r="G74" s="27"/>
      <c r="H74" s="27"/>
      <c r="I74" s="27"/>
      <c r="J74" s="27"/>
      <c r="K74" s="27"/>
      <c r="L74" s="27"/>
      <c r="M74" s="27"/>
      <c r="N74" s="27"/>
      <c r="O74" s="27"/>
      <c r="P74" s="27"/>
      <c r="Q74" s="27"/>
      <c r="R74" s="27"/>
      <c r="S74" s="27"/>
      <c r="T74" s="27"/>
      <c r="U74" s="27"/>
      <c r="V74" s="25"/>
      <c r="W74" s="31" t="e">
        <f>INDEX(TBL_TRANSIT[TransitID],$A74)</f>
        <v>#REF!</v>
      </c>
      <c r="X74" s="31" t="e">
        <f>"TransitCapMin_"&amp;RIGHT($W74,11)</f>
        <v>#REF!</v>
      </c>
    </row>
    <row r="75" spans="1:24" x14ac:dyDescent="0.25">
      <c r="A75" s="94">
        <f t="shared" si="38"/>
        <v>18</v>
      </c>
      <c r="B75" s="116"/>
      <c r="C75" s="93" t="str">
        <f t="shared" ref="C75:D75" si="84">IF($B74&lt;&gt;"",C71,"")</f>
        <v/>
      </c>
      <c r="D75" s="93" t="str">
        <f t="shared" si="84"/>
        <v/>
      </c>
      <c r="E75" s="32"/>
      <c r="F75" s="32"/>
      <c r="G75" s="32"/>
      <c r="H75" s="32"/>
      <c r="I75" s="32"/>
      <c r="J75" s="32"/>
      <c r="K75" s="32"/>
      <c r="L75" s="32"/>
      <c r="M75" s="32"/>
      <c r="N75" s="32"/>
      <c r="O75" s="32"/>
      <c r="P75" s="32"/>
      <c r="Q75" s="32"/>
      <c r="R75" s="32"/>
      <c r="S75" s="32"/>
      <c r="T75" s="32"/>
      <c r="U75" s="32"/>
      <c r="V75" s="26"/>
      <c r="W75" s="31" t="e">
        <f>INDEX(TBL_TRANSIT[TransitID],$A75)</f>
        <v>#REF!</v>
      </c>
      <c r="X75" s="31" t="e">
        <f>"TransitCapMax_"&amp;RIGHT($W75,11)</f>
        <v>#REF!</v>
      </c>
    </row>
    <row r="76" spans="1:24" x14ac:dyDescent="0.25">
      <c r="A76" s="94">
        <f t="shared" si="38"/>
        <v>18</v>
      </c>
      <c r="B76" s="116"/>
      <c r="C76" s="93" t="str">
        <f t="shared" ref="C76:D76" si="85">IF($B74&lt;&gt;"",C72,"")</f>
        <v/>
      </c>
      <c r="D76" s="93" t="str">
        <f t="shared" si="85"/>
        <v/>
      </c>
      <c r="E76" s="27"/>
      <c r="F76" s="27"/>
      <c r="G76" s="27"/>
      <c r="H76" s="27"/>
      <c r="I76" s="27"/>
      <c r="J76" s="27"/>
      <c r="K76" s="27"/>
      <c r="L76" s="27"/>
      <c r="M76" s="27"/>
      <c r="N76" s="27"/>
      <c r="O76" s="27"/>
      <c r="P76" s="27"/>
      <c r="Q76" s="27"/>
      <c r="R76" s="27"/>
      <c r="S76" s="27"/>
      <c r="T76" s="27"/>
      <c r="U76" s="27"/>
      <c r="V76" s="25"/>
      <c r="W76" s="31" t="e">
        <f>INDEX(TBL_TRANSIT[TransitID],$A76)</f>
        <v>#REF!</v>
      </c>
      <c r="X76" s="31" t="e">
        <f>"TransitTariffFixed_"&amp;RIGHT($W76,11)</f>
        <v>#REF!</v>
      </c>
    </row>
    <row r="77" spans="1:24" x14ac:dyDescent="0.25">
      <c r="A77" s="94">
        <f t="shared" si="38"/>
        <v>18</v>
      </c>
      <c r="B77" s="117"/>
      <c r="C77" s="93" t="str">
        <f t="shared" ref="C77:D77" si="86">IF($B74&lt;&gt;"",C73,"")</f>
        <v/>
      </c>
      <c r="D77" s="93" t="str">
        <f t="shared" si="86"/>
        <v/>
      </c>
      <c r="E77" s="32"/>
      <c r="F77" s="32"/>
      <c r="G77" s="32"/>
      <c r="H77" s="32"/>
      <c r="I77" s="32"/>
      <c r="J77" s="32"/>
      <c r="K77" s="32"/>
      <c r="L77" s="32"/>
      <c r="M77" s="32"/>
      <c r="N77" s="32"/>
      <c r="O77" s="32"/>
      <c r="P77" s="32"/>
      <c r="Q77" s="32"/>
      <c r="R77" s="32"/>
      <c r="S77" s="32"/>
      <c r="T77" s="32"/>
      <c r="U77" s="32"/>
      <c r="V77" s="26"/>
      <c r="W77" s="31" t="e">
        <f>INDEX(TBL_TRANSIT[TransitID],$A77)</f>
        <v>#REF!</v>
      </c>
      <c r="X77" s="31" t="e">
        <f>"TransitTariffVar_"&amp;RIGHT($W77,11)</f>
        <v>#REF!</v>
      </c>
    </row>
    <row r="78" spans="1:24" x14ac:dyDescent="0.25">
      <c r="A78" s="94">
        <f t="shared" ref="A78" si="87">$A74+1</f>
        <v>19</v>
      </c>
      <c r="B78" s="115" t="str">
        <f>IFERROR(INDEX(TBL_TRANSIT[Name],$A78),"")</f>
        <v/>
      </c>
      <c r="C78" s="93" t="str">
        <f t="shared" ref="C78:D78" si="88">IF($B78&lt;&gt;"",C74,"")</f>
        <v/>
      </c>
      <c r="D78" s="93" t="str">
        <f t="shared" si="88"/>
        <v/>
      </c>
      <c r="E78" s="27"/>
      <c r="F78" s="27"/>
      <c r="G78" s="27"/>
      <c r="H78" s="27"/>
      <c r="I78" s="27"/>
      <c r="J78" s="27"/>
      <c r="K78" s="27"/>
      <c r="L78" s="27"/>
      <c r="M78" s="27"/>
      <c r="N78" s="27"/>
      <c r="O78" s="27"/>
      <c r="P78" s="27"/>
      <c r="Q78" s="27"/>
      <c r="R78" s="27"/>
      <c r="S78" s="27"/>
      <c r="T78" s="27"/>
      <c r="U78" s="27"/>
      <c r="V78" s="25"/>
      <c r="W78" s="31" t="e">
        <f>INDEX(TBL_TRANSIT[TransitID],$A78)</f>
        <v>#REF!</v>
      </c>
      <c r="X78" s="31" t="e">
        <f>"TransitCapMin_"&amp;RIGHT($W78,11)</f>
        <v>#REF!</v>
      </c>
    </row>
    <row r="79" spans="1:24" x14ac:dyDescent="0.25">
      <c r="A79" s="94">
        <f t="shared" si="38"/>
        <v>19</v>
      </c>
      <c r="B79" s="116"/>
      <c r="C79" s="93" t="str">
        <f t="shared" ref="C79:D79" si="89">IF($B78&lt;&gt;"",C75,"")</f>
        <v/>
      </c>
      <c r="D79" s="93" t="str">
        <f t="shared" si="89"/>
        <v/>
      </c>
      <c r="E79" s="32"/>
      <c r="F79" s="32"/>
      <c r="G79" s="32"/>
      <c r="H79" s="32"/>
      <c r="I79" s="32"/>
      <c r="J79" s="32"/>
      <c r="K79" s="32"/>
      <c r="L79" s="32"/>
      <c r="M79" s="32"/>
      <c r="N79" s="32"/>
      <c r="O79" s="32"/>
      <c r="P79" s="32"/>
      <c r="Q79" s="32"/>
      <c r="R79" s="32"/>
      <c r="S79" s="32"/>
      <c r="T79" s="32"/>
      <c r="U79" s="32"/>
      <c r="V79" s="26"/>
      <c r="W79" s="31" t="e">
        <f>INDEX(TBL_TRANSIT[TransitID],$A79)</f>
        <v>#REF!</v>
      </c>
      <c r="X79" s="31" t="e">
        <f>"TransitCapMax_"&amp;RIGHT($W79,11)</f>
        <v>#REF!</v>
      </c>
    </row>
    <row r="80" spans="1:24" x14ac:dyDescent="0.25">
      <c r="A80" s="94">
        <f t="shared" si="38"/>
        <v>19</v>
      </c>
      <c r="B80" s="116"/>
      <c r="C80" s="93" t="str">
        <f t="shared" ref="C80:D80" si="90">IF($B78&lt;&gt;"",C76,"")</f>
        <v/>
      </c>
      <c r="D80" s="93" t="str">
        <f t="shared" si="90"/>
        <v/>
      </c>
      <c r="E80" s="27"/>
      <c r="F80" s="27"/>
      <c r="G80" s="27"/>
      <c r="H80" s="27"/>
      <c r="I80" s="27"/>
      <c r="J80" s="27"/>
      <c r="K80" s="27"/>
      <c r="L80" s="27"/>
      <c r="M80" s="27"/>
      <c r="N80" s="27"/>
      <c r="O80" s="27"/>
      <c r="P80" s="27"/>
      <c r="Q80" s="27"/>
      <c r="R80" s="27"/>
      <c r="S80" s="27"/>
      <c r="T80" s="27"/>
      <c r="U80" s="27"/>
      <c r="V80" s="25"/>
      <c r="W80" s="31" t="e">
        <f>INDEX(TBL_TRANSIT[TransitID],$A80)</f>
        <v>#REF!</v>
      </c>
      <c r="X80" s="31" t="e">
        <f>"TransitTariffFixed_"&amp;RIGHT($W80,11)</f>
        <v>#REF!</v>
      </c>
    </row>
    <row r="81" spans="1:24" x14ac:dyDescent="0.25">
      <c r="A81" s="94">
        <f t="shared" si="38"/>
        <v>19</v>
      </c>
      <c r="B81" s="117"/>
      <c r="C81" s="93" t="str">
        <f t="shared" ref="C81:D81" si="91">IF($B78&lt;&gt;"",C77,"")</f>
        <v/>
      </c>
      <c r="D81" s="93" t="str">
        <f t="shared" si="91"/>
        <v/>
      </c>
      <c r="E81" s="32"/>
      <c r="F81" s="32"/>
      <c r="G81" s="32"/>
      <c r="H81" s="32"/>
      <c r="I81" s="32"/>
      <c r="J81" s="32"/>
      <c r="K81" s="32"/>
      <c r="L81" s="32"/>
      <c r="M81" s="32"/>
      <c r="N81" s="32"/>
      <c r="O81" s="32"/>
      <c r="P81" s="32"/>
      <c r="Q81" s="32"/>
      <c r="R81" s="32"/>
      <c r="S81" s="32"/>
      <c r="T81" s="32"/>
      <c r="U81" s="32"/>
      <c r="V81" s="26"/>
      <c r="W81" s="31" t="e">
        <f>INDEX(TBL_TRANSIT[TransitID],$A81)</f>
        <v>#REF!</v>
      </c>
      <c r="X81" s="31" t="e">
        <f>"TransitTariffVar_"&amp;RIGHT($W81,11)</f>
        <v>#REF!</v>
      </c>
    </row>
    <row r="82" spans="1:24" x14ac:dyDescent="0.25">
      <c r="A82" s="94">
        <f t="shared" ref="A82" si="92">$A78+1</f>
        <v>20</v>
      </c>
      <c r="B82" s="115" t="str">
        <f>IFERROR(INDEX(TBL_TRANSIT[Name],$A82),"")</f>
        <v/>
      </c>
      <c r="C82" s="93" t="str">
        <f t="shared" ref="C82:D82" si="93">IF($B82&lt;&gt;"",C78,"")</f>
        <v/>
      </c>
      <c r="D82" s="93" t="str">
        <f t="shared" si="93"/>
        <v/>
      </c>
      <c r="E82" s="27"/>
      <c r="F82" s="27"/>
      <c r="G82" s="27"/>
      <c r="H82" s="27"/>
      <c r="I82" s="27"/>
      <c r="J82" s="27"/>
      <c r="K82" s="27"/>
      <c r="L82" s="27"/>
      <c r="M82" s="27"/>
      <c r="N82" s="27"/>
      <c r="O82" s="27"/>
      <c r="P82" s="27"/>
      <c r="Q82" s="27"/>
      <c r="R82" s="27"/>
      <c r="S82" s="27"/>
      <c r="T82" s="27"/>
      <c r="U82" s="27"/>
      <c r="V82" s="25"/>
      <c r="W82" s="31" t="e">
        <f>INDEX(TBL_TRANSIT[TransitID],$A82)</f>
        <v>#REF!</v>
      </c>
      <c r="X82" s="31" t="e">
        <f>"TransitCapMin_"&amp;RIGHT($W82,11)</f>
        <v>#REF!</v>
      </c>
    </row>
    <row r="83" spans="1:24" x14ac:dyDescent="0.25">
      <c r="A83" s="94">
        <f t="shared" si="38"/>
        <v>20</v>
      </c>
      <c r="B83" s="116"/>
      <c r="C83" s="93" t="str">
        <f t="shared" ref="C83:D83" si="94">IF($B82&lt;&gt;"",C79,"")</f>
        <v/>
      </c>
      <c r="D83" s="93" t="str">
        <f t="shared" si="94"/>
        <v/>
      </c>
      <c r="E83" s="32"/>
      <c r="F83" s="32"/>
      <c r="G83" s="32"/>
      <c r="H83" s="32"/>
      <c r="I83" s="32"/>
      <c r="J83" s="32"/>
      <c r="K83" s="32"/>
      <c r="L83" s="32"/>
      <c r="M83" s="32"/>
      <c r="N83" s="32"/>
      <c r="O83" s="32"/>
      <c r="P83" s="32"/>
      <c r="Q83" s="32"/>
      <c r="R83" s="32"/>
      <c r="S83" s="32"/>
      <c r="T83" s="32"/>
      <c r="U83" s="32"/>
      <c r="V83" s="26"/>
      <c r="W83" s="31" t="e">
        <f>INDEX(TBL_TRANSIT[TransitID],$A83)</f>
        <v>#REF!</v>
      </c>
      <c r="X83" s="31" t="e">
        <f>"TransitCapMax_"&amp;RIGHT($W83,11)</f>
        <v>#REF!</v>
      </c>
    </row>
    <row r="84" spans="1:24" x14ac:dyDescent="0.25">
      <c r="A84" s="94">
        <f t="shared" si="38"/>
        <v>20</v>
      </c>
      <c r="B84" s="116"/>
      <c r="C84" s="93" t="str">
        <f t="shared" ref="C84:D84" si="95">IF($B82&lt;&gt;"",C80,"")</f>
        <v/>
      </c>
      <c r="D84" s="93" t="str">
        <f t="shared" si="95"/>
        <v/>
      </c>
      <c r="E84" s="27"/>
      <c r="F84" s="27"/>
      <c r="G84" s="27"/>
      <c r="H84" s="27"/>
      <c r="I84" s="27"/>
      <c r="J84" s="27"/>
      <c r="K84" s="27"/>
      <c r="L84" s="27"/>
      <c r="M84" s="27"/>
      <c r="N84" s="27"/>
      <c r="O84" s="27"/>
      <c r="P84" s="27"/>
      <c r="Q84" s="27"/>
      <c r="R84" s="27"/>
      <c r="S84" s="27"/>
      <c r="T84" s="27"/>
      <c r="U84" s="27"/>
      <c r="V84" s="25"/>
      <c r="W84" s="31" t="e">
        <f>INDEX(TBL_TRANSIT[TransitID],$A84)</f>
        <v>#REF!</v>
      </c>
      <c r="X84" s="31" t="e">
        <f>"TransitTariffFixed_"&amp;RIGHT($W84,11)</f>
        <v>#REF!</v>
      </c>
    </row>
    <row r="85" spans="1:24" x14ac:dyDescent="0.25">
      <c r="A85" s="94">
        <f t="shared" si="38"/>
        <v>20</v>
      </c>
      <c r="B85" s="117"/>
      <c r="C85" s="93" t="str">
        <f t="shared" ref="C85:D85" si="96">IF($B82&lt;&gt;"",C81,"")</f>
        <v/>
      </c>
      <c r="D85" s="93" t="str">
        <f t="shared" si="96"/>
        <v/>
      </c>
      <c r="E85" s="32"/>
      <c r="F85" s="32"/>
      <c r="G85" s="32"/>
      <c r="H85" s="32"/>
      <c r="I85" s="32"/>
      <c r="J85" s="32"/>
      <c r="K85" s="32"/>
      <c r="L85" s="32"/>
      <c r="M85" s="32"/>
      <c r="N85" s="32"/>
      <c r="O85" s="32"/>
      <c r="P85" s="32"/>
      <c r="Q85" s="32"/>
      <c r="R85" s="32"/>
      <c r="S85" s="32"/>
      <c r="T85" s="32"/>
      <c r="U85" s="32"/>
      <c r="V85" s="26"/>
      <c r="W85" s="31" t="e">
        <f>INDEX(TBL_TRANSIT[TransitID],$A85)</f>
        <v>#REF!</v>
      </c>
      <c r="X85" s="31" t="e">
        <f>"TransitTariffVar_"&amp;RIGHT($W85,11)</f>
        <v>#REF!</v>
      </c>
    </row>
    <row r="86" spans="1:24" x14ac:dyDescent="0.25">
      <c r="A86" s="94">
        <f t="shared" ref="A86" si="97">$A82+1</f>
        <v>21</v>
      </c>
      <c r="B86" s="115" t="str">
        <f>IFERROR(INDEX(TBL_TRANSIT[Name],$A86),"")</f>
        <v/>
      </c>
      <c r="C86" s="93" t="str">
        <f t="shared" ref="C86:D86" si="98">IF($B86&lt;&gt;"",C82,"")</f>
        <v/>
      </c>
      <c r="D86" s="93" t="str">
        <f t="shared" si="98"/>
        <v/>
      </c>
      <c r="E86" s="27"/>
      <c r="F86" s="27"/>
      <c r="G86" s="27"/>
      <c r="H86" s="27"/>
      <c r="I86" s="27"/>
      <c r="J86" s="27"/>
      <c r="K86" s="27"/>
      <c r="L86" s="27"/>
      <c r="M86" s="27"/>
      <c r="N86" s="27"/>
      <c r="O86" s="27"/>
      <c r="P86" s="27"/>
      <c r="Q86" s="27"/>
      <c r="R86" s="27"/>
      <c r="S86" s="27"/>
      <c r="T86" s="27"/>
      <c r="U86" s="27"/>
      <c r="V86" s="25"/>
      <c r="W86" s="31" t="e">
        <f>INDEX(TBL_TRANSIT[TransitID],$A86)</f>
        <v>#REF!</v>
      </c>
      <c r="X86" s="31" t="e">
        <f>"TransitCapMin_"&amp;RIGHT($W86,11)</f>
        <v>#REF!</v>
      </c>
    </row>
    <row r="87" spans="1:24" x14ac:dyDescent="0.25">
      <c r="A87" s="94">
        <f t="shared" si="38"/>
        <v>21</v>
      </c>
      <c r="B87" s="116"/>
      <c r="C87" s="93" t="str">
        <f t="shared" ref="C87:D87" si="99">IF($B86&lt;&gt;"",C83,"")</f>
        <v/>
      </c>
      <c r="D87" s="93" t="str">
        <f t="shared" si="99"/>
        <v/>
      </c>
      <c r="E87" s="32"/>
      <c r="F87" s="32"/>
      <c r="G87" s="32"/>
      <c r="H87" s="32"/>
      <c r="I87" s="32"/>
      <c r="J87" s="32"/>
      <c r="K87" s="32"/>
      <c r="L87" s="32"/>
      <c r="M87" s="32"/>
      <c r="N87" s="32"/>
      <c r="O87" s="32"/>
      <c r="P87" s="32"/>
      <c r="Q87" s="32"/>
      <c r="R87" s="32"/>
      <c r="S87" s="32"/>
      <c r="T87" s="32"/>
      <c r="U87" s="32"/>
      <c r="V87" s="26"/>
      <c r="W87" s="31" t="e">
        <f>INDEX(TBL_TRANSIT[TransitID],$A87)</f>
        <v>#REF!</v>
      </c>
      <c r="X87" s="31" t="e">
        <f>"TransitCapMax_"&amp;RIGHT($W87,11)</f>
        <v>#REF!</v>
      </c>
    </row>
    <row r="88" spans="1:24" x14ac:dyDescent="0.25">
      <c r="A88" s="94">
        <f t="shared" si="38"/>
        <v>21</v>
      </c>
      <c r="B88" s="116"/>
      <c r="C88" s="93" t="str">
        <f t="shared" ref="C88:D88" si="100">IF($B86&lt;&gt;"",C84,"")</f>
        <v/>
      </c>
      <c r="D88" s="93" t="str">
        <f t="shared" si="100"/>
        <v/>
      </c>
      <c r="E88" s="27"/>
      <c r="F88" s="27"/>
      <c r="G88" s="27"/>
      <c r="H88" s="27"/>
      <c r="I88" s="27"/>
      <c r="J88" s="27"/>
      <c r="K88" s="27"/>
      <c r="L88" s="27"/>
      <c r="M88" s="27"/>
      <c r="N88" s="27"/>
      <c r="O88" s="27"/>
      <c r="P88" s="27"/>
      <c r="Q88" s="27"/>
      <c r="R88" s="27"/>
      <c r="S88" s="27"/>
      <c r="T88" s="27"/>
      <c r="U88" s="27"/>
      <c r="V88" s="25"/>
      <c r="W88" s="31" t="e">
        <f>INDEX(TBL_TRANSIT[TransitID],$A88)</f>
        <v>#REF!</v>
      </c>
      <c r="X88" s="31" t="e">
        <f>"TransitTariffFixed_"&amp;RIGHT($W88,11)</f>
        <v>#REF!</v>
      </c>
    </row>
    <row r="89" spans="1:24" x14ac:dyDescent="0.25">
      <c r="A89" s="94">
        <f t="shared" si="38"/>
        <v>21</v>
      </c>
      <c r="B89" s="117"/>
      <c r="C89" s="93" t="str">
        <f t="shared" ref="C89:D89" si="101">IF($B86&lt;&gt;"",C85,"")</f>
        <v/>
      </c>
      <c r="D89" s="93" t="str">
        <f t="shared" si="101"/>
        <v/>
      </c>
      <c r="E89" s="32"/>
      <c r="F89" s="32"/>
      <c r="G89" s="32"/>
      <c r="H89" s="32"/>
      <c r="I89" s="32"/>
      <c r="J89" s="32"/>
      <c r="K89" s="32"/>
      <c r="L89" s="32"/>
      <c r="M89" s="32"/>
      <c r="N89" s="32"/>
      <c r="O89" s="32"/>
      <c r="P89" s="32"/>
      <c r="Q89" s="32"/>
      <c r="R89" s="32"/>
      <c r="S89" s="32"/>
      <c r="T89" s="32"/>
      <c r="U89" s="32"/>
      <c r="V89" s="26"/>
      <c r="W89" s="31" t="e">
        <f>INDEX(TBL_TRANSIT[TransitID],$A89)</f>
        <v>#REF!</v>
      </c>
      <c r="X89" s="31" t="e">
        <f>"TransitTariffVar_"&amp;RIGHT($W89,11)</f>
        <v>#REF!</v>
      </c>
    </row>
    <row r="90" spans="1:24" x14ac:dyDescent="0.25">
      <c r="A90" s="94">
        <f t="shared" ref="A90" si="102">$A86+1</f>
        <v>22</v>
      </c>
      <c r="B90" s="115" t="str">
        <f>IFERROR(INDEX(TBL_TRANSIT[Name],$A90),"")</f>
        <v/>
      </c>
      <c r="C90" s="93" t="str">
        <f t="shared" ref="C90:D90" si="103">IF($B90&lt;&gt;"",C86,"")</f>
        <v/>
      </c>
      <c r="D90" s="93" t="str">
        <f t="shared" si="103"/>
        <v/>
      </c>
      <c r="E90" s="27"/>
      <c r="F90" s="27"/>
      <c r="G90" s="27"/>
      <c r="H90" s="27"/>
      <c r="I90" s="27"/>
      <c r="J90" s="27"/>
      <c r="K90" s="27"/>
      <c r="L90" s="27"/>
      <c r="M90" s="27"/>
      <c r="N90" s="27"/>
      <c r="O90" s="27"/>
      <c r="P90" s="27"/>
      <c r="Q90" s="27"/>
      <c r="R90" s="27"/>
      <c r="S90" s="27"/>
      <c r="T90" s="27"/>
      <c r="U90" s="27"/>
      <c r="V90" s="25"/>
      <c r="W90" s="31" t="e">
        <f>INDEX(TBL_TRANSIT[TransitID],$A90)</f>
        <v>#REF!</v>
      </c>
      <c r="X90" s="31" t="e">
        <f>"TransitCapMin_"&amp;RIGHT($W90,11)</f>
        <v>#REF!</v>
      </c>
    </row>
    <row r="91" spans="1:24" x14ac:dyDescent="0.25">
      <c r="A91" s="94">
        <f t="shared" si="38"/>
        <v>22</v>
      </c>
      <c r="B91" s="116"/>
      <c r="C91" s="93" t="str">
        <f t="shared" ref="C91:D91" si="104">IF($B90&lt;&gt;"",C87,"")</f>
        <v/>
      </c>
      <c r="D91" s="93" t="str">
        <f t="shared" si="104"/>
        <v/>
      </c>
      <c r="E91" s="32"/>
      <c r="F91" s="32"/>
      <c r="G91" s="32"/>
      <c r="H91" s="32"/>
      <c r="I91" s="32"/>
      <c r="J91" s="32"/>
      <c r="K91" s="32"/>
      <c r="L91" s="32"/>
      <c r="M91" s="32"/>
      <c r="N91" s="32"/>
      <c r="O91" s="32"/>
      <c r="P91" s="32"/>
      <c r="Q91" s="32"/>
      <c r="R91" s="32"/>
      <c r="S91" s="32"/>
      <c r="T91" s="32"/>
      <c r="U91" s="32"/>
      <c r="V91" s="26"/>
      <c r="W91" s="31" t="e">
        <f>INDEX(TBL_TRANSIT[TransitID],$A91)</f>
        <v>#REF!</v>
      </c>
      <c r="X91" s="31" t="e">
        <f>"TransitCapMax_"&amp;RIGHT($W91,11)</f>
        <v>#REF!</v>
      </c>
    </row>
    <row r="92" spans="1:24" x14ac:dyDescent="0.25">
      <c r="A92" s="94">
        <f t="shared" si="38"/>
        <v>22</v>
      </c>
      <c r="B92" s="116"/>
      <c r="C92" s="93" t="str">
        <f t="shared" ref="C92:D92" si="105">IF($B90&lt;&gt;"",C88,"")</f>
        <v/>
      </c>
      <c r="D92" s="93" t="str">
        <f t="shared" si="105"/>
        <v/>
      </c>
      <c r="E92" s="27"/>
      <c r="F92" s="27"/>
      <c r="G92" s="27"/>
      <c r="H92" s="27"/>
      <c r="I92" s="27"/>
      <c r="J92" s="27"/>
      <c r="K92" s="27"/>
      <c r="L92" s="27"/>
      <c r="M92" s="27"/>
      <c r="N92" s="27"/>
      <c r="O92" s="27"/>
      <c r="P92" s="27"/>
      <c r="Q92" s="27"/>
      <c r="R92" s="27"/>
      <c r="S92" s="27"/>
      <c r="T92" s="27"/>
      <c r="U92" s="27"/>
      <c r="V92" s="25"/>
      <c r="W92" s="31" t="e">
        <f>INDEX(TBL_TRANSIT[TransitID],$A92)</f>
        <v>#REF!</v>
      </c>
      <c r="X92" s="31" t="e">
        <f>"TransitTariffFixed_"&amp;RIGHT($W92,11)</f>
        <v>#REF!</v>
      </c>
    </row>
    <row r="93" spans="1:24" x14ac:dyDescent="0.25">
      <c r="A93" s="94">
        <f t="shared" si="38"/>
        <v>22</v>
      </c>
      <c r="B93" s="117"/>
      <c r="C93" s="93" t="str">
        <f t="shared" ref="C93:D93" si="106">IF($B90&lt;&gt;"",C89,"")</f>
        <v/>
      </c>
      <c r="D93" s="93" t="str">
        <f t="shared" si="106"/>
        <v/>
      </c>
      <c r="E93" s="32"/>
      <c r="F93" s="32"/>
      <c r="G93" s="32"/>
      <c r="H93" s="32"/>
      <c r="I93" s="32"/>
      <c r="J93" s="32"/>
      <c r="K93" s="32"/>
      <c r="L93" s="32"/>
      <c r="M93" s="32"/>
      <c r="N93" s="32"/>
      <c r="O93" s="32"/>
      <c r="P93" s="32"/>
      <c r="Q93" s="32"/>
      <c r="R93" s="32"/>
      <c r="S93" s="32"/>
      <c r="T93" s="32"/>
      <c r="U93" s="32"/>
      <c r="V93" s="26"/>
      <c r="W93" s="31" t="e">
        <f>INDEX(TBL_TRANSIT[TransitID],$A93)</f>
        <v>#REF!</v>
      </c>
      <c r="X93" s="31" t="e">
        <f>"TransitTariffVar_"&amp;RIGHT($W93,11)</f>
        <v>#REF!</v>
      </c>
    </row>
    <row r="94" spans="1:24" x14ac:dyDescent="0.25">
      <c r="A94" s="94">
        <f t="shared" ref="A94" si="107">$A90+1</f>
        <v>23</v>
      </c>
      <c r="B94" s="115" t="str">
        <f>IFERROR(INDEX(TBL_TRANSIT[Name],$A94),"")</f>
        <v/>
      </c>
      <c r="C94" s="93" t="str">
        <f t="shared" ref="C94:D94" si="108">IF($B94&lt;&gt;"",C90,"")</f>
        <v/>
      </c>
      <c r="D94" s="93" t="str">
        <f t="shared" si="108"/>
        <v/>
      </c>
      <c r="E94" s="27"/>
      <c r="F94" s="27"/>
      <c r="G94" s="27"/>
      <c r="H94" s="27"/>
      <c r="I94" s="27"/>
      <c r="J94" s="27"/>
      <c r="K94" s="27"/>
      <c r="L94" s="27"/>
      <c r="M94" s="27"/>
      <c r="N94" s="27"/>
      <c r="O94" s="27"/>
      <c r="P94" s="27"/>
      <c r="Q94" s="27"/>
      <c r="R94" s="27"/>
      <c r="S94" s="27"/>
      <c r="T94" s="27"/>
      <c r="U94" s="27"/>
      <c r="V94" s="25"/>
      <c r="W94" s="31" t="e">
        <f>INDEX(TBL_TRANSIT[TransitID],$A94)</f>
        <v>#REF!</v>
      </c>
      <c r="X94" s="31" t="e">
        <f>"TransitCapMin_"&amp;RIGHT($W94,11)</f>
        <v>#REF!</v>
      </c>
    </row>
    <row r="95" spans="1:24" x14ac:dyDescent="0.25">
      <c r="A95" s="94">
        <f t="shared" si="38"/>
        <v>23</v>
      </c>
      <c r="B95" s="116"/>
      <c r="C95" s="93" t="str">
        <f t="shared" ref="C95:D95" si="109">IF($B94&lt;&gt;"",C91,"")</f>
        <v/>
      </c>
      <c r="D95" s="93" t="str">
        <f t="shared" si="109"/>
        <v/>
      </c>
      <c r="E95" s="32"/>
      <c r="F95" s="32"/>
      <c r="G95" s="32"/>
      <c r="H95" s="32"/>
      <c r="I95" s="32"/>
      <c r="J95" s="32"/>
      <c r="K95" s="32"/>
      <c r="L95" s="32"/>
      <c r="M95" s="32"/>
      <c r="N95" s="32"/>
      <c r="O95" s="32"/>
      <c r="P95" s="32"/>
      <c r="Q95" s="32"/>
      <c r="R95" s="32"/>
      <c r="S95" s="32"/>
      <c r="T95" s="32"/>
      <c r="U95" s="32"/>
      <c r="V95" s="26"/>
      <c r="W95" s="31" t="e">
        <f>INDEX(TBL_TRANSIT[TransitID],$A95)</f>
        <v>#REF!</v>
      </c>
      <c r="X95" s="31" t="e">
        <f>"TransitCapMax_"&amp;RIGHT($W95,11)</f>
        <v>#REF!</v>
      </c>
    </row>
    <row r="96" spans="1:24" x14ac:dyDescent="0.25">
      <c r="A96" s="94">
        <f t="shared" si="38"/>
        <v>23</v>
      </c>
      <c r="B96" s="116"/>
      <c r="C96" s="93" t="str">
        <f t="shared" ref="C96:D96" si="110">IF($B94&lt;&gt;"",C92,"")</f>
        <v/>
      </c>
      <c r="D96" s="93" t="str">
        <f t="shared" si="110"/>
        <v/>
      </c>
      <c r="E96" s="27"/>
      <c r="F96" s="27"/>
      <c r="G96" s="27"/>
      <c r="H96" s="27"/>
      <c r="I96" s="27"/>
      <c r="J96" s="27"/>
      <c r="K96" s="27"/>
      <c r="L96" s="27"/>
      <c r="M96" s="27"/>
      <c r="N96" s="27"/>
      <c r="O96" s="27"/>
      <c r="P96" s="27"/>
      <c r="Q96" s="27"/>
      <c r="R96" s="27"/>
      <c r="S96" s="27"/>
      <c r="T96" s="27"/>
      <c r="U96" s="27"/>
      <c r="V96" s="25"/>
      <c r="W96" s="31" t="e">
        <f>INDEX(TBL_TRANSIT[TransitID],$A96)</f>
        <v>#REF!</v>
      </c>
      <c r="X96" s="31" t="e">
        <f>"TransitTariffFixed_"&amp;RIGHT($W96,11)</f>
        <v>#REF!</v>
      </c>
    </row>
    <row r="97" spans="1:24" x14ac:dyDescent="0.25">
      <c r="A97" s="94">
        <f t="shared" si="38"/>
        <v>23</v>
      </c>
      <c r="B97" s="117"/>
      <c r="C97" s="93" t="str">
        <f t="shared" ref="C97:D97" si="111">IF($B94&lt;&gt;"",C93,"")</f>
        <v/>
      </c>
      <c r="D97" s="93" t="str">
        <f t="shared" si="111"/>
        <v/>
      </c>
      <c r="E97" s="32"/>
      <c r="F97" s="32"/>
      <c r="G97" s="32"/>
      <c r="H97" s="32"/>
      <c r="I97" s="32"/>
      <c r="J97" s="32"/>
      <c r="K97" s="32"/>
      <c r="L97" s="32"/>
      <c r="M97" s="32"/>
      <c r="N97" s="32"/>
      <c r="O97" s="32"/>
      <c r="P97" s="32"/>
      <c r="Q97" s="32"/>
      <c r="R97" s="32"/>
      <c r="S97" s="32"/>
      <c r="T97" s="32"/>
      <c r="U97" s="32"/>
      <c r="V97" s="26"/>
      <c r="W97" s="31" t="e">
        <f>INDEX(TBL_TRANSIT[TransitID],$A97)</f>
        <v>#REF!</v>
      </c>
      <c r="X97" s="31" t="e">
        <f>"TransitTariffVar_"&amp;RIGHT($W97,11)</f>
        <v>#REF!</v>
      </c>
    </row>
    <row r="98" spans="1:24" x14ac:dyDescent="0.25">
      <c r="A98" s="94">
        <f t="shared" ref="A98" si="112">$A94+1</f>
        <v>24</v>
      </c>
      <c r="B98" s="115" t="str">
        <f>IFERROR(INDEX(TBL_TRANSIT[Name],$A98),"")</f>
        <v/>
      </c>
      <c r="C98" s="93" t="str">
        <f t="shared" ref="C98:D98" si="113">IF($B98&lt;&gt;"",C94,"")</f>
        <v/>
      </c>
      <c r="D98" s="93" t="str">
        <f t="shared" si="113"/>
        <v/>
      </c>
      <c r="E98" s="27"/>
      <c r="F98" s="27"/>
      <c r="G98" s="27"/>
      <c r="H98" s="27"/>
      <c r="I98" s="27"/>
      <c r="J98" s="27"/>
      <c r="K98" s="27"/>
      <c r="L98" s="27"/>
      <c r="M98" s="27"/>
      <c r="N98" s="27"/>
      <c r="O98" s="27"/>
      <c r="P98" s="27"/>
      <c r="Q98" s="27"/>
      <c r="R98" s="27"/>
      <c r="S98" s="27"/>
      <c r="T98" s="27"/>
      <c r="U98" s="27"/>
      <c r="V98" s="25"/>
      <c r="W98" s="31" t="e">
        <f>INDEX(TBL_TRANSIT[TransitID],$A98)</f>
        <v>#REF!</v>
      </c>
      <c r="X98" s="31" t="e">
        <f>"TransitCapMin_"&amp;RIGHT($W98,11)</f>
        <v>#REF!</v>
      </c>
    </row>
    <row r="99" spans="1:24" x14ac:dyDescent="0.25">
      <c r="A99" s="94">
        <f t="shared" si="38"/>
        <v>24</v>
      </c>
      <c r="B99" s="116"/>
      <c r="C99" s="93" t="str">
        <f t="shared" ref="C99:D99" si="114">IF($B98&lt;&gt;"",C95,"")</f>
        <v/>
      </c>
      <c r="D99" s="93" t="str">
        <f t="shared" si="114"/>
        <v/>
      </c>
      <c r="E99" s="32"/>
      <c r="F99" s="32"/>
      <c r="G99" s="32"/>
      <c r="H99" s="32"/>
      <c r="I99" s="32"/>
      <c r="J99" s="32"/>
      <c r="K99" s="32"/>
      <c r="L99" s="32"/>
      <c r="M99" s="32"/>
      <c r="N99" s="32"/>
      <c r="O99" s="32"/>
      <c r="P99" s="32"/>
      <c r="Q99" s="32"/>
      <c r="R99" s="32"/>
      <c r="S99" s="32"/>
      <c r="T99" s="32"/>
      <c r="U99" s="32"/>
      <c r="V99" s="26"/>
      <c r="W99" s="31" t="e">
        <f>INDEX(TBL_TRANSIT[TransitID],$A99)</f>
        <v>#REF!</v>
      </c>
      <c r="X99" s="31" t="e">
        <f>"TransitCapMax_"&amp;RIGHT($W99,11)</f>
        <v>#REF!</v>
      </c>
    </row>
    <row r="100" spans="1:24" x14ac:dyDescent="0.25">
      <c r="A100" s="94">
        <f t="shared" si="38"/>
        <v>24</v>
      </c>
      <c r="B100" s="116"/>
      <c r="C100" s="93" t="str">
        <f t="shared" ref="C100:D100" si="115">IF($B98&lt;&gt;"",C96,"")</f>
        <v/>
      </c>
      <c r="D100" s="93" t="str">
        <f t="shared" si="115"/>
        <v/>
      </c>
      <c r="E100" s="27"/>
      <c r="F100" s="27"/>
      <c r="G100" s="27"/>
      <c r="H100" s="27"/>
      <c r="I100" s="27"/>
      <c r="J100" s="27"/>
      <c r="K100" s="27"/>
      <c r="L100" s="27"/>
      <c r="M100" s="27"/>
      <c r="N100" s="27"/>
      <c r="O100" s="27"/>
      <c r="P100" s="27"/>
      <c r="Q100" s="27"/>
      <c r="R100" s="27"/>
      <c r="S100" s="27"/>
      <c r="T100" s="27"/>
      <c r="U100" s="27"/>
      <c r="V100" s="25"/>
      <c r="W100" s="31" t="e">
        <f>INDEX(TBL_TRANSIT[TransitID],$A100)</f>
        <v>#REF!</v>
      </c>
      <c r="X100" s="31" t="e">
        <f>"TransitTariffFixed_"&amp;RIGHT($W100,11)</f>
        <v>#REF!</v>
      </c>
    </row>
    <row r="101" spans="1:24" x14ac:dyDescent="0.25">
      <c r="A101" s="94">
        <f t="shared" si="38"/>
        <v>24</v>
      </c>
      <c r="B101" s="117"/>
      <c r="C101" s="93" t="str">
        <f t="shared" ref="C101:D101" si="116">IF($B98&lt;&gt;"",C97,"")</f>
        <v/>
      </c>
      <c r="D101" s="93" t="str">
        <f t="shared" si="116"/>
        <v/>
      </c>
      <c r="E101" s="32"/>
      <c r="F101" s="32"/>
      <c r="G101" s="32"/>
      <c r="H101" s="32"/>
      <c r="I101" s="32"/>
      <c r="J101" s="32"/>
      <c r="K101" s="32"/>
      <c r="L101" s="32"/>
      <c r="M101" s="32"/>
      <c r="N101" s="32"/>
      <c r="O101" s="32"/>
      <c r="P101" s="32"/>
      <c r="Q101" s="32"/>
      <c r="R101" s="32"/>
      <c r="S101" s="32"/>
      <c r="T101" s="32"/>
      <c r="U101" s="32"/>
      <c r="V101" s="26"/>
      <c r="W101" s="31" t="e">
        <f>INDEX(TBL_TRANSIT[TransitID],$A101)</f>
        <v>#REF!</v>
      </c>
      <c r="X101" s="31" t="e">
        <f>"TransitTariffVar_"&amp;RIGHT($W101,11)</f>
        <v>#REF!</v>
      </c>
    </row>
    <row r="102" spans="1:24" x14ac:dyDescent="0.25">
      <c r="A102" s="94">
        <f t="shared" ref="A102" si="117">$A98+1</f>
        <v>25</v>
      </c>
      <c r="B102" s="115" t="str">
        <f>IFERROR(INDEX(TBL_TRANSIT[Name],$A102),"")</f>
        <v/>
      </c>
      <c r="C102" s="93" t="str">
        <f t="shared" ref="C102:D102" si="118">IF($B102&lt;&gt;"",C98,"")</f>
        <v/>
      </c>
      <c r="D102" s="93" t="str">
        <f t="shared" si="118"/>
        <v/>
      </c>
      <c r="E102" s="27"/>
      <c r="F102" s="27"/>
      <c r="G102" s="27"/>
      <c r="H102" s="27"/>
      <c r="I102" s="27"/>
      <c r="J102" s="27"/>
      <c r="K102" s="27"/>
      <c r="L102" s="27"/>
      <c r="M102" s="27"/>
      <c r="N102" s="27"/>
      <c r="O102" s="27"/>
      <c r="P102" s="27"/>
      <c r="Q102" s="27"/>
      <c r="R102" s="27"/>
      <c r="S102" s="27"/>
      <c r="T102" s="27"/>
      <c r="U102" s="27"/>
      <c r="V102" s="25"/>
      <c r="W102" s="31" t="e">
        <f>INDEX(TBL_TRANSIT[TransitID],$A102)</f>
        <v>#REF!</v>
      </c>
      <c r="X102" s="31" t="e">
        <f>"TransitCapMin_"&amp;RIGHT($W102,11)</f>
        <v>#REF!</v>
      </c>
    </row>
    <row r="103" spans="1:24" x14ac:dyDescent="0.25">
      <c r="A103" s="94">
        <f t="shared" ref="A103:A141" si="119">$A102</f>
        <v>25</v>
      </c>
      <c r="B103" s="116"/>
      <c r="C103" s="93" t="str">
        <f t="shared" ref="C103:D103" si="120">IF($B102&lt;&gt;"",C99,"")</f>
        <v/>
      </c>
      <c r="D103" s="93" t="str">
        <f t="shared" si="120"/>
        <v/>
      </c>
      <c r="E103" s="32"/>
      <c r="F103" s="32"/>
      <c r="G103" s="32"/>
      <c r="H103" s="32"/>
      <c r="I103" s="32"/>
      <c r="J103" s="32"/>
      <c r="K103" s="32"/>
      <c r="L103" s="32"/>
      <c r="M103" s="32"/>
      <c r="N103" s="32"/>
      <c r="O103" s="32"/>
      <c r="P103" s="32"/>
      <c r="Q103" s="32"/>
      <c r="R103" s="32"/>
      <c r="S103" s="32"/>
      <c r="T103" s="32"/>
      <c r="U103" s="32"/>
      <c r="V103" s="26"/>
      <c r="W103" s="31" t="e">
        <f>INDEX(TBL_TRANSIT[TransitID],$A103)</f>
        <v>#REF!</v>
      </c>
      <c r="X103" s="31" t="e">
        <f>"TransitCapMax_"&amp;RIGHT($W103,11)</f>
        <v>#REF!</v>
      </c>
    </row>
    <row r="104" spans="1:24" x14ac:dyDescent="0.25">
      <c r="A104" s="94">
        <f t="shared" si="119"/>
        <v>25</v>
      </c>
      <c r="B104" s="116"/>
      <c r="C104" s="93" t="str">
        <f t="shared" ref="C104:D104" si="121">IF($B102&lt;&gt;"",C100,"")</f>
        <v/>
      </c>
      <c r="D104" s="93" t="str">
        <f t="shared" si="121"/>
        <v/>
      </c>
      <c r="E104" s="27"/>
      <c r="F104" s="27"/>
      <c r="G104" s="27"/>
      <c r="H104" s="27"/>
      <c r="I104" s="27"/>
      <c r="J104" s="27"/>
      <c r="K104" s="27"/>
      <c r="L104" s="27"/>
      <c r="M104" s="27"/>
      <c r="N104" s="27"/>
      <c r="O104" s="27"/>
      <c r="P104" s="27"/>
      <c r="Q104" s="27"/>
      <c r="R104" s="27"/>
      <c r="S104" s="27"/>
      <c r="T104" s="27"/>
      <c r="U104" s="27"/>
      <c r="V104" s="25"/>
      <c r="W104" s="31" t="e">
        <f>INDEX(TBL_TRANSIT[TransitID],$A104)</f>
        <v>#REF!</v>
      </c>
      <c r="X104" s="31" t="e">
        <f>"TransitTariffFixed_"&amp;RIGHT($W104,11)</f>
        <v>#REF!</v>
      </c>
    </row>
    <row r="105" spans="1:24" x14ac:dyDescent="0.25">
      <c r="A105" s="94">
        <f t="shared" si="119"/>
        <v>25</v>
      </c>
      <c r="B105" s="117"/>
      <c r="C105" s="93" t="str">
        <f t="shared" ref="C105:D105" si="122">IF($B102&lt;&gt;"",C101,"")</f>
        <v/>
      </c>
      <c r="D105" s="93" t="str">
        <f t="shared" si="122"/>
        <v/>
      </c>
      <c r="E105" s="32"/>
      <c r="F105" s="32"/>
      <c r="G105" s="32"/>
      <c r="H105" s="32"/>
      <c r="I105" s="32"/>
      <c r="J105" s="32"/>
      <c r="K105" s="32"/>
      <c r="L105" s="32"/>
      <c r="M105" s="32"/>
      <c r="N105" s="32"/>
      <c r="O105" s="32"/>
      <c r="P105" s="32"/>
      <c r="Q105" s="32"/>
      <c r="R105" s="32"/>
      <c r="S105" s="32"/>
      <c r="T105" s="32"/>
      <c r="U105" s="32"/>
      <c r="V105" s="26"/>
      <c r="W105" s="31" t="e">
        <f>INDEX(TBL_TRANSIT[TransitID],$A105)</f>
        <v>#REF!</v>
      </c>
      <c r="X105" s="31" t="e">
        <f>"TransitTariffVar_"&amp;RIGHT($W105,11)</f>
        <v>#REF!</v>
      </c>
    </row>
    <row r="106" spans="1:24" x14ac:dyDescent="0.25">
      <c r="A106" s="94">
        <f t="shared" ref="A106" si="123">$A102+1</f>
        <v>26</v>
      </c>
      <c r="B106" s="115" t="str">
        <f>IFERROR(INDEX(TBL_TRANSIT[Name],$A106),"")</f>
        <v/>
      </c>
      <c r="C106" s="93" t="str">
        <f t="shared" ref="C106:D106" si="124">IF($B106&lt;&gt;"",C102,"")</f>
        <v/>
      </c>
      <c r="D106" s="93" t="str">
        <f t="shared" si="124"/>
        <v/>
      </c>
      <c r="E106" s="27"/>
      <c r="F106" s="27"/>
      <c r="G106" s="27"/>
      <c r="H106" s="27"/>
      <c r="I106" s="27"/>
      <c r="J106" s="27"/>
      <c r="K106" s="27"/>
      <c r="L106" s="27"/>
      <c r="M106" s="27"/>
      <c r="N106" s="27"/>
      <c r="O106" s="27"/>
      <c r="P106" s="27"/>
      <c r="Q106" s="27"/>
      <c r="R106" s="27"/>
      <c r="S106" s="27"/>
      <c r="T106" s="27"/>
      <c r="U106" s="27"/>
      <c r="V106" s="25"/>
      <c r="W106" s="31" t="e">
        <f>INDEX(TBL_TRANSIT[TransitID],$A106)</f>
        <v>#REF!</v>
      </c>
      <c r="X106" s="31" t="e">
        <f>"TransitCapMin_"&amp;RIGHT($W106,11)</f>
        <v>#REF!</v>
      </c>
    </row>
    <row r="107" spans="1:24" x14ac:dyDescent="0.25">
      <c r="A107" s="94">
        <f t="shared" si="119"/>
        <v>26</v>
      </c>
      <c r="B107" s="116"/>
      <c r="C107" s="93" t="str">
        <f t="shared" ref="C107:D107" si="125">IF($B106&lt;&gt;"",C103,"")</f>
        <v/>
      </c>
      <c r="D107" s="93" t="str">
        <f t="shared" si="125"/>
        <v/>
      </c>
      <c r="E107" s="32"/>
      <c r="F107" s="32"/>
      <c r="G107" s="32"/>
      <c r="H107" s="32"/>
      <c r="I107" s="32"/>
      <c r="J107" s="32"/>
      <c r="K107" s="32"/>
      <c r="L107" s="32"/>
      <c r="M107" s="32"/>
      <c r="N107" s="32"/>
      <c r="O107" s="32"/>
      <c r="P107" s="32"/>
      <c r="Q107" s="32"/>
      <c r="R107" s="32"/>
      <c r="S107" s="32"/>
      <c r="T107" s="32"/>
      <c r="U107" s="32"/>
      <c r="V107" s="26"/>
      <c r="W107" s="31" t="e">
        <f>INDEX(TBL_TRANSIT[TransitID],$A107)</f>
        <v>#REF!</v>
      </c>
      <c r="X107" s="31" t="e">
        <f>"TransitCapMax_"&amp;RIGHT($W107,11)</f>
        <v>#REF!</v>
      </c>
    </row>
    <row r="108" spans="1:24" x14ac:dyDescent="0.25">
      <c r="A108" s="94">
        <f t="shared" si="119"/>
        <v>26</v>
      </c>
      <c r="B108" s="116"/>
      <c r="C108" s="93" t="str">
        <f t="shared" ref="C108:D108" si="126">IF($B106&lt;&gt;"",C104,"")</f>
        <v/>
      </c>
      <c r="D108" s="93" t="str">
        <f t="shared" si="126"/>
        <v/>
      </c>
      <c r="E108" s="27"/>
      <c r="F108" s="27"/>
      <c r="G108" s="27"/>
      <c r="H108" s="27"/>
      <c r="I108" s="27"/>
      <c r="J108" s="27"/>
      <c r="K108" s="27"/>
      <c r="L108" s="27"/>
      <c r="M108" s="27"/>
      <c r="N108" s="27"/>
      <c r="O108" s="27"/>
      <c r="P108" s="27"/>
      <c r="Q108" s="27"/>
      <c r="R108" s="27"/>
      <c r="S108" s="27"/>
      <c r="T108" s="27"/>
      <c r="U108" s="27"/>
      <c r="V108" s="25"/>
      <c r="W108" s="31" t="e">
        <f>INDEX(TBL_TRANSIT[TransitID],$A108)</f>
        <v>#REF!</v>
      </c>
      <c r="X108" s="31" t="e">
        <f>"TransitTariffFixed_"&amp;RIGHT($W108,11)</f>
        <v>#REF!</v>
      </c>
    </row>
    <row r="109" spans="1:24" x14ac:dyDescent="0.25">
      <c r="A109" s="94">
        <f t="shared" si="119"/>
        <v>26</v>
      </c>
      <c r="B109" s="117"/>
      <c r="C109" s="93" t="str">
        <f t="shared" ref="C109:D109" si="127">IF($B106&lt;&gt;"",C105,"")</f>
        <v/>
      </c>
      <c r="D109" s="93" t="str">
        <f t="shared" si="127"/>
        <v/>
      </c>
      <c r="E109" s="32"/>
      <c r="F109" s="32"/>
      <c r="G109" s="32"/>
      <c r="H109" s="32"/>
      <c r="I109" s="32"/>
      <c r="J109" s="32"/>
      <c r="K109" s="32"/>
      <c r="L109" s="32"/>
      <c r="M109" s="32"/>
      <c r="N109" s="32"/>
      <c r="O109" s="32"/>
      <c r="P109" s="32"/>
      <c r="Q109" s="32"/>
      <c r="R109" s="32"/>
      <c r="S109" s="32"/>
      <c r="T109" s="32"/>
      <c r="U109" s="32"/>
      <c r="V109" s="26"/>
      <c r="W109" s="31" t="e">
        <f>INDEX(TBL_TRANSIT[TransitID],$A109)</f>
        <v>#REF!</v>
      </c>
      <c r="X109" s="31" t="e">
        <f>"TransitTariffVar_"&amp;RIGHT($W109,11)</f>
        <v>#REF!</v>
      </c>
    </row>
    <row r="110" spans="1:24" x14ac:dyDescent="0.25">
      <c r="A110" s="94">
        <f t="shared" ref="A110" si="128">$A106+1</f>
        <v>27</v>
      </c>
      <c r="B110" s="115" t="str">
        <f>IFERROR(INDEX(TBL_TRANSIT[Name],$A110),"")</f>
        <v/>
      </c>
      <c r="C110" s="93" t="str">
        <f t="shared" ref="C110:D110" si="129">IF($B110&lt;&gt;"",C106,"")</f>
        <v/>
      </c>
      <c r="D110" s="93" t="str">
        <f t="shared" si="129"/>
        <v/>
      </c>
      <c r="E110" s="27"/>
      <c r="F110" s="27"/>
      <c r="G110" s="27"/>
      <c r="H110" s="27"/>
      <c r="I110" s="27"/>
      <c r="J110" s="27"/>
      <c r="K110" s="27"/>
      <c r="L110" s="27"/>
      <c r="M110" s="27"/>
      <c r="N110" s="27"/>
      <c r="O110" s="27"/>
      <c r="P110" s="27"/>
      <c r="Q110" s="27"/>
      <c r="R110" s="27"/>
      <c r="S110" s="27"/>
      <c r="T110" s="27"/>
      <c r="U110" s="27"/>
      <c r="V110" s="25"/>
      <c r="W110" s="31" t="e">
        <f>INDEX(TBL_TRANSIT[TransitID],$A110)</f>
        <v>#REF!</v>
      </c>
      <c r="X110" s="31" t="e">
        <f>"TransitCapMin_"&amp;RIGHT($W110,11)</f>
        <v>#REF!</v>
      </c>
    </row>
    <row r="111" spans="1:24" x14ac:dyDescent="0.25">
      <c r="A111" s="94">
        <f t="shared" si="119"/>
        <v>27</v>
      </c>
      <c r="B111" s="116"/>
      <c r="C111" s="93" t="str">
        <f t="shared" ref="C111:D111" si="130">IF($B110&lt;&gt;"",C107,"")</f>
        <v/>
      </c>
      <c r="D111" s="93" t="str">
        <f t="shared" si="130"/>
        <v/>
      </c>
      <c r="E111" s="32"/>
      <c r="F111" s="32"/>
      <c r="G111" s="32"/>
      <c r="H111" s="32"/>
      <c r="I111" s="32"/>
      <c r="J111" s="32"/>
      <c r="K111" s="32"/>
      <c r="L111" s="32"/>
      <c r="M111" s="32"/>
      <c r="N111" s="32"/>
      <c r="O111" s="32"/>
      <c r="P111" s="32"/>
      <c r="Q111" s="32"/>
      <c r="R111" s="32"/>
      <c r="S111" s="32"/>
      <c r="T111" s="32"/>
      <c r="U111" s="32"/>
      <c r="V111" s="26"/>
      <c r="W111" s="31" t="e">
        <f>INDEX(TBL_TRANSIT[TransitID],$A111)</f>
        <v>#REF!</v>
      </c>
      <c r="X111" s="31" t="e">
        <f>"TransitCapMax_"&amp;RIGHT($W111,11)</f>
        <v>#REF!</v>
      </c>
    </row>
    <row r="112" spans="1:24" x14ac:dyDescent="0.25">
      <c r="A112" s="94">
        <f t="shared" si="119"/>
        <v>27</v>
      </c>
      <c r="B112" s="116"/>
      <c r="C112" s="93" t="str">
        <f t="shared" ref="C112:D112" si="131">IF($B110&lt;&gt;"",C108,"")</f>
        <v/>
      </c>
      <c r="D112" s="93" t="str">
        <f t="shared" si="131"/>
        <v/>
      </c>
      <c r="E112" s="27"/>
      <c r="F112" s="27"/>
      <c r="G112" s="27"/>
      <c r="H112" s="27"/>
      <c r="I112" s="27"/>
      <c r="J112" s="27"/>
      <c r="K112" s="27"/>
      <c r="L112" s="27"/>
      <c r="M112" s="27"/>
      <c r="N112" s="27"/>
      <c r="O112" s="27"/>
      <c r="P112" s="27"/>
      <c r="Q112" s="27"/>
      <c r="R112" s="27"/>
      <c r="S112" s="27"/>
      <c r="T112" s="27"/>
      <c r="U112" s="27"/>
      <c r="V112" s="25"/>
      <c r="W112" s="31" t="e">
        <f>INDEX(TBL_TRANSIT[TransitID],$A112)</f>
        <v>#REF!</v>
      </c>
      <c r="X112" s="31" t="e">
        <f>"TransitTariffFixed_"&amp;RIGHT($W112,11)</f>
        <v>#REF!</v>
      </c>
    </row>
    <row r="113" spans="1:24" x14ac:dyDescent="0.25">
      <c r="A113" s="94">
        <f t="shared" si="119"/>
        <v>27</v>
      </c>
      <c r="B113" s="117"/>
      <c r="C113" s="93" t="str">
        <f t="shared" ref="C113:D113" si="132">IF($B110&lt;&gt;"",C109,"")</f>
        <v/>
      </c>
      <c r="D113" s="93" t="str">
        <f t="shared" si="132"/>
        <v/>
      </c>
      <c r="E113" s="32"/>
      <c r="F113" s="32"/>
      <c r="G113" s="32"/>
      <c r="H113" s="32"/>
      <c r="I113" s="32"/>
      <c r="J113" s="32"/>
      <c r="K113" s="32"/>
      <c r="L113" s="32"/>
      <c r="M113" s="32"/>
      <c r="N113" s="32"/>
      <c r="O113" s="32"/>
      <c r="P113" s="32"/>
      <c r="Q113" s="32"/>
      <c r="R113" s="32"/>
      <c r="S113" s="32"/>
      <c r="T113" s="32"/>
      <c r="U113" s="32"/>
      <c r="V113" s="26"/>
      <c r="W113" s="31" t="e">
        <f>INDEX(TBL_TRANSIT[TransitID],$A113)</f>
        <v>#REF!</v>
      </c>
      <c r="X113" s="31" t="e">
        <f>"TransitTariffVar_"&amp;RIGHT($W113,11)</f>
        <v>#REF!</v>
      </c>
    </row>
    <row r="114" spans="1:24" x14ac:dyDescent="0.25">
      <c r="A114" s="94">
        <f t="shared" ref="A114" si="133">$A110+1</f>
        <v>28</v>
      </c>
      <c r="B114" s="115" t="str">
        <f>IFERROR(INDEX(TBL_TRANSIT[Name],$A114),"")</f>
        <v/>
      </c>
      <c r="C114" s="93" t="str">
        <f t="shared" ref="C114:D114" si="134">IF($B114&lt;&gt;"",C110,"")</f>
        <v/>
      </c>
      <c r="D114" s="93" t="str">
        <f t="shared" si="134"/>
        <v/>
      </c>
      <c r="E114" s="27"/>
      <c r="F114" s="27"/>
      <c r="G114" s="27"/>
      <c r="H114" s="27"/>
      <c r="I114" s="27"/>
      <c r="J114" s="27"/>
      <c r="K114" s="27"/>
      <c r="L114" s="27"/>
      <c r="M114" s="27"/>
      <c r="N114" s="27"/>
      <c r="O114" s="27"/>
      <c r="P114" s="27"/>
      <c r="Q114" s="27"/>
      <c r="R114" s="27"/>
      <c r="S114" s="27"/>
      <c r="T114" s="27"/>
      <c r="U114" s="27"/>
      <c r="V114" s="25"/>
      <c r="W114" s="31" t="e">
        <f>INDEX(TBL_TRANSIT[TransitID],$A114)</f>
        <v>#REF!</v>
      </c>
      <c r="X114" s="31" t="e">
        <f>"TransitCapMin_"&amp;RIGHT($W114,11)</f>
        <v>#REF!</v>
      </c>
    </row>
    <row r="115" spans="1:24" x14ac:dyDescent="0.25">
      <c r="A115" s="94">
        <f t="shared" si="119"/>
        <v>28</v>
      </c>
      <c r="B115" s="116"/>
      <c r="C115" s="93" t="str">
        <f t="shared" ref="C115:D115" si="135">IF($B114&lt;&gt;"",C111,"")</f>
        <v/>
      </c>
      <c r="D115" s="93" t="str">
        <f t="shared" si="135"/>
        <v/>
      </c>
      <c r="E115" s="32"/>
      <c r="F115" s="32"/>
      <c r="G115" s="32"/>
      <c r="H115" s="32"/>
      <c r="I115" s="32"/>
      <c r="J115" s="32"/>
      <c r="K115" s="32"/>
      <c r="L115" s="32"/>
      <c r="M115" s="32"/>
      <c r="N115" s="32"/>
      <c r="O115" s="32"/>
      <c r="P115" s="32"/>
      <c r="Q115" s="32"/>
      <c r="R115" s="32"/>
      <c r="S115" s="32"/>
      <c r="T115" s="32"/>
      <c r="U115" s="32"/>
      <c r="V115" s="26"/>
      <c r="W115" s="31" t="e">
        <f>INDEX(TBL_TRANSIT[TransitID],$A115)</f>
        <v>#REF!</v>
      </c>
      <c r="X115" s="31" t="e">
        <f>"TransitCapMax_"&amp;RIGHT($W115,11)</f>
        <v>#REF!</v>
      </c>
    </row>
    <row r="116" spans="1:24" x14ac:dyDescent="0.25">
      <c r="A116" s="94">
        <f t="shared" si="119"/>
        <v>28</v>
      </c>
      <c r="B116" s="116"/>
      <c r="C116" s="93" t="str">
        <f t="shared" ref="C116:D116" si="136">IF($B114&lt;&gt;"",C112,"")</f>
        <v/>
      </c>
      <c r="D116" s="93" t="str">
        <f t="shared" si="136"/>
        <v/>
      </c>
      <c r="E116" s="27"/>
      <c r="F116" s="27"/>
      <c r="G116" s="27"/>
      <c r="H116" s="27"/>
      <c r="I116" s="27"/>
      <c r="J116" s="27"/>
      <c r="K116" s="27"/>
      <c r="L116" s="27"/>
      <c r="M116" s="27"/>
      <c r="N116" s="27"/>
      <c r="O116" s="27"/>
      <c r="P116" s="27"/>
      <c r="Q116" s="27"/>
      <c r="R116" s="27"/>
      <c r="S116" s="27"/>
      <c r="T116" s="27"/>
      <c r="U116" s="27"/>
      <c r="V116" s="25"/>
      <c r="W116" s="31" t="e">
        <f>INDEX(TBL_TRANSIT[TransitID],$A116)</f>
        <v>#REF!</v>
      </c>
      <c r="X116" s="31" t="e">
        <f>"TransitTariffFixed_"&amp;RIGHT($W116,11)</f>
        <v>#REF!</v>
      </c>
    </row>
    <row r="117" spans="1:24" x14ac:dyDescent="0.25">
      <c r="A117" s="94">
        <f t="shared" si="119"/>
        <v>28</v>
      </c>
      <c r="B117" s="117"/>
      <c r="C117" s="93" t="str">
        <f t="shared" ref="C117:D117" si="137">IF($B114&lt;&gt;"",C113,"")</f>
        <v/>
      </c>
      <c r="D117" s="93" t="str">
        <f t="shared" si="137"/>
        <v/>
      </c>
      <c r="E117" s="32"/>
      <c r="F117" s="32"/>
      <c r="G117" s="32"/>
      <c r="H117" s="32"/>
      <c r="I117" s="32"/>
      <c r="J117" s="32"/>
      <c r="K117" s="32"/>
      <c r="L117" s="32"/>
      <c r="M117" s="32"/>
      <c r="N117" s="32"/>
      <c r="O117" s="32"/>
      <c r="P117" s="32"/>
      <c r="Q117" s="32"/>
      <c r="R117" s="32"/>
      <c r="S117" s="32"/>
      <c r="T117" s="32"/>
      <c r="U117" s="32"/>
      <c r="V117" s="26"/>
      <c r="W117" s="31" t="e">
        <f>INDEX(TBL_TRANSIT[TransitID],$A117)</f>
        <v>#REF!</v>
      </c>
      <c r="X117" s="31" t="e">
        <f>"TransitTariffVar_"&amp;RIGHT($W117,11)</f>
        <v>#REF!</v>
      </c>
    </row>
    <row r="118" spans="1:24" x14ac:dyDescent="0.25">
      <c r="A118" s="94">
        <f t="shared" ref="A118" si="138">$A114+1</f>
        <v>29</v>
      </c>
      <c r="B118" s="115" t="str">
        <f>IFERROR(INDEX(TBL_TRANSIT[Name],$A118),"")</f>
        <v/>
      </c>
      <c r="C118" s="93" t="str">
        <f t="shared" ref="C118:D118" si="139">IF($B118&lt;&gt;"",C114,"")</f>
        <v/>
      </c>
      <c r="D118" s="93" t="str">
        <f t="shared" si="139"/>
        <v/>
      </c>
      <c r="E118" s="27"/>
      <c r="F118" s="27"/>
      <c r="G118" s="27"/>
      <c r="H118" s="27"/>
      <c r="I118" s="27"/>
      <c r="J118" s="27"/>
      <c r="K118" s="27"/>
      <c r="L118" s="27"/>
      <c r="M118" s="27"/>
      <c r="N118" s="27"/>
      <c r="O118" s="27"/>
      <c r="P118" s="27"/>
      <c r="Q118" s="27"/>
      <c r="R118" s="27"/>
      <c r="S118" s="27"/>
      <c r="T118" s="27"/>
      <c r="U118" s="27"/>
      <c r="V118" s="25"/>
      <c r="W118" s="31" t="e">
        <f>INDEX(TBL_TRANSIT[TransitID],$A118)</f>
        <v>#REF!</v>
      </c>
      <c r="X118" s="31" t="e">
        <f>"TransitCapMin_"&amp;RIGHT($W118,11)</f>
        <v>#REF!</v>
      </c>
    </row>
    <row r="119" spans="1:24" x14ac:dyDescent="0.25">
      <c r="A119" s="94">
        <f t="shared" si="119"/>
        <v>29</v>
      </c>
      <c r="B119" s="116"/>
      <c r="C119" s="93" t="str">
        <f t="shared" ref="C119:D119" si="140">IF($B118&lt;&gt;"",C115,"")</f>
        <v/>
      </c>
      <c r="D119" s="93" t="str">
        <f t="shared" si="140"/>
        <v/>
      </c>
      <c r="E119" s="32"/>
      <c r="F119" s="32"/>
      <c r="G119" s="32"/>
      <c r="H119" s="32"/>
      <c r="I119" s="32"/>
      <c r="J119" s="32"/>
      <c r="K119" s="32"/>
      <c r="L119" s="32"/>
      <c r="M119" s="32"/>
      <c r="N119" s="32"/>
      <c r="O119" s="32"/>
      <c r="P119" s="32"/>
      <c r="Q119" s="32"/>
      <c r="R119" s="32"/>
      <c r="S119" s="32"/>
      <c r="T119" s="32"/>
      <c r="U119" s="32"/>
      <c r="V119" s="26"/>
      <c r="W119" s="31" t="e">
        <f>INDEX(TBL_TRANSIT[TransitID],$A119)</f>
        <v>#REF!</v>
      </c>
      <c r="X119" s="31" t="e">
        <f>"TransitCapMax_"&amp;RIGHT($W119,11)</f>
        <v>#REF!</v>
      </c>
    </row>
    <row r="120" spans="1:24" x14ac:dyDescent="0.25">
      <c r="A120" s="94">
        <f t="shared" si="119"/>
        <v>29</v>
      </c>
      <c r="B120" s="116"/>
      <c r="C120" s="93" t="str">
        <f t="shared" ref="C120:D120" si="141">IF($B118&lt;&gt;"",C116,"")</f>
        <v/>
      </c>
      <c r="D120" s="93" t="str">
        <f t="shared" si="141"/>
        <v/>
      </c>
      <c r="E120" s="27"/>
      <c r="F120" s="27"/>
      <c r="G120" s="27"/>
      <c r="H120" s="27"/>
      <c r="I120" s="27"/>
      <c r="J120" s="27"/>
      <c r="K120" s="27"/>
      <c r="L120" s="27"/>
      <c r="M120" s="27"/>
      <c r="N120" s="27"/>
      <c r="O120" s="27"/>
      <c r="P120" s="27"/>
      <c r="Q120" s="27"/>
      <c r="R120" s="27"/>
      <c r="S120" s="27"/>
      <c r="T120" s="27"/>
      <c r="U120" s="27"/>
      <c r="V120" s="25"/>
      <c r="W120" s="31" t="e">
        <f>INDEX(TBL_TRANSIT[TransitID],$A120)</f>
        <v>#REF!</v>
      </c>
      <c r="X120" s="31" t="e">
        <f>"TransitTariffFixed_"&amp;RIGHT($W120,11)</f>
        <v>#REF!</v>
      </c>
    </row>
    <row r="121" spans="1:24" x14ac:dyDescent="0.25">
      <c r="A121" s="94">
        <f t="shared" si="119"/>
        <v>29</v>
      </c>
      <c r="B121" s="117"/>
      <c r="C121" s="93" t="str">
        <f t="shared" ref="C121:D121" si="142">IF($B118&lt;&gt;"",C117,"")</f>
        <v/>
      </c>
      <c r="D121" s="93" t="str">
        <f t="shared" si="142"/>
        <v/>
      </c>
      <c r="E121" s="32"/>
      <c r="F121" s="32"/>
      <c r="G121" s="32"/>
      <c r="H121" s="32"/>
      <c r="I121" s="32"/>
      <c r="J121" s="32"/>
      <c r="K121" s="32"/>
      <c r="L121" s="32"/>
      <c r="M121" s="32"/>
      <c r="N121" s="32"/>
      <c r="O121" s="32"/>
      <c r="P121" s="32"/>
      <c r="Q121" s="32"/>
      <c r="R121" s="32"/>
      <c r="S121" s="32"/>
      <c r="T121" s="32"/>
      <c r="U121" s="32"/>
      <c r="V121" s="26"/>
      <c r="W121" s="31" t="e">
        <f>INDEX(TBL_TRANSIT[TransitID],$A121)</f>
        <v>#REF!</v>
      </c>
      <c r="X121" s="31" t="e">
        <f>"TransitTariffVar_"&amp;RIGHT($W121,11)</f>
        <v>#REF!</v>
      </c>
    </row>
    <row r="122" spans="1:24" x14ac:dyDescent="0.25">
      <c r="A122" s="94">
        <f t="shared" ref="A122" si="143">$A118+1</f>
        <v>30</v>
      </c>
      <c r="B122" s="115" t="str">
        <f>IFERROR(INDEX(TBL_TRANSIT[Name],$A122),"")</f>
        <v/>
      </c>
      <c r="C122" s="93" t="str">
        <f t="shared" ref="C122:D122" si="144">IF($B122&lt;&gt;"",C118,"")</f>
        <v/>
      </c>
      <c r="D122" s="93" t="str">
        <f t="shared" si="144"/>
        <v/>
      </c>
      <c r="E122" s="27"/>
      <c r="F122" s="27"/>
      <c r="G122" s="27"/>
      <c r="H122" s="27"/>
      <c r="I122" s="27"/>
      <c r="J122" s="27"/>
      <c r="K122" s="27"/>
      <c r="L122" s="27"/>
      <c r="M122" s="27"/>
      <c r="N122" s="27"/>
      <c r="O122" s="27"/>
      <c r="P122" s="27"/>
      <c r="Q122" s="27"/>
      <c r="R122" s="27"/>
      <c r="S122" s="27"/>
      <c r="T122" s="27"/>
      <c r="U122" s="27"/>
      <c r="V122" s="25"/>
      <c r="W122" s="31" t="e">
        <f>INDEX(TBL_TRANSIT[TransitID],$A122)</f>
        <v>#REF!</v>
      </c>
      <c r="X122" s="31" t="e">
        <f>"TransitCapMin_"&amp;RIGHT($W122,11)</f>
        <v>#REF!</v>
      </c>
    </row>
    <row r="123" spans="1:24" x14ac:dyDescent="0.25">
      <c r="A123" s="94">
        <f t="shared" si="119"/>
        <v>30</v>
      </c>
      <c r="B123" s="116"/>
      <c r="C123" s="93" t="str">
        <f t="shared" ref="C123:D123" si="145">IF($B122&lt;&gt;"",C119,"")</f>
        <v/>
      </c>
      <c r="D123" s="93" t="str">
        <f t="shared" si="145"/>
        <v/>
      </c>
      <c r="E123" s="32"/>
      <c r="F123" s="32"/>
      <c r="G123" s="32"/>
      <c r="H123" s="32"/>
      <c r="I123" s="32"/>
      <c r="J123" s="32"/>
      <c r="K123" s="32"/>
      <c r="L123" s="32"/>
      <c r="M123" s="32"/>
      <c r="N123" s="32"/>
      <c r="O123" s="32"/>
      <c r="P123" s="32"/>
      <c r="Q123" s="32"/>
      <c r="R123" s="32"/>
      <c r="S123" s="32"/>
      <c r="T123" s="32"/>
      <c r="U123" s="32"/>
      <c r="V123" s="26"/>
      <c r="W123" s="31" t="e">
        <f>INDEX(TBL_TRANSIT[TransitID],$A123)</f>
        <v>#REF!</v>
      </c>
      <c r="X123" s="31" t="e">
        <f>"TransitCapMax_"&amp;RIGHT($W123,11)</f>
        <v>#REF!</v>
      </c>
    </row>
    <row r="124" spans="1:24" x14ac:dyDescent="0.25">
      <c r="A124" s="94">
        <f t="shared" si="119"/>
        <v>30</v>
      </c>
      <c r="B124" s="116"/>
      <c r="C124" s="93" t="str">
        <f t="shared" ref="C124:D124" si="146">IF($B122&lt;&gt;"",C120,"")</f>
        <v/>
      </c>
      <c r="D124" s="93" t="str">
        <f t="shared" si="146"/>
        <v/>
      </c>
      <c r="E124" s="27"/>
      <c r="F124" s="27"/>
      <c r="G124" s="27"/>
      <c r="H124" s="27"/>
      <c r="I124" s="27"/>
      <c r="J124" s="27"/>
      <c r="K124" s="27"/>
      <c r="L124" s="27"/>
      <c r="M124" s="27"/>
      <c r="N124" s="27"/>
      <c r="O124" s="27"/>
      <c r="P124" s="27"/>
      <c r="Q124" s="27"/>
      <c r="R124" s="27"/>
      <c r="S124" s="27"/>
      <c r="T124" s="27"/>
      <c r="U124" s="27"/>
      <c r="V124" s="25"/>
      <c r="W124" s="31" t="e">
        <f>INDEX(TBL_TRANSIT[TransitID],$A124)</f>
        <v>#REF!</v>
      </c>
      <c r="X124" s="31" t="e">
        <f>"TransitTariffFixed_"&amp;RIGHT($W124,11)</f>
        <v>#REF!</v>
      </c>
    </row>
    <row r="125" spans="1:24" x14ac:dyDescent="0.25">
      <c r="A125" s="94">
        <f t="shared" si="119"/>
        <v>30</v>
      </c>
      <c r="B125" s="117"/>
      <c r="C125" s="93" t="str">
        <f t="shared" ref="C125:D125" si="147">IF($B122&lt;&gt;"",C121,"")</f>
        <v/>
      </c>
      <c r="D125" s="93" t="str">
        <f t="shared" si="147"/>
        <v/>
      </c>
      <c r="E125" s="32"/>
      <c r="F125" s="32"/>
      <c r="G125" s="32"/>
      <c r="H125" s="32"/>
      <c r="I125" s="32"/>
      <c r="J125" s="32"/>
      <c r="K125" s="32"/>
      <c r="L125" s="32"/>
      <c r="M125" s="32"/>
      <c r="N125" s="32"/>
      <c r="O125" s="32"/>
      <c r="P125" s="32"/>
      <c r="Q125" s="32"/>
      <c r="R125" s="32"/>
      <c r="S125" s="32"/>
      <c r="T125" s="32"/>
      <c r="U125" s="32"/>
      <c r="V125" s="26"/>
      <c r="W125" s="31" t="e">
        <f>INDEX(TBL_TRANSIT[TransitID],$A125)</f>
        <v>#REF!</v>
      </c>
      <c r="X125" s="31" t="e">
        <f>"TransitTariffVar_"&amp;RIGHT($W125,11)</f>
        <v>#REF!</v>
      </c>
    </row>
    <row r="126" spans="1:24" x14ac:dyDescent="0.25">
      <c r="A126" s="94">
        <f t="shared" ref="A126" si="148">$A122+1</f>
        <v>31</v>
      </c>
      <c r="B126" s="115" t="str">
        <f>IFERROR(INDEX(TBL_TRANSIT[Name],$A126),"")</f>
        <v/>
      </c>
      <c r="C126" s="93" t="str">
        <f t="shared" ref="C126:D126" si="149">IF($B126&lt;&gt;"",C122,"")</f>
        <v/>
      </c>
      <c r="D126" s="93" t="str">
        <f t="shared" si="149"/>
        <v/>
      </c>
      <c r="E126" s="27"/>
      <c r="F126" s="27"/>
      <c r="G126" s="27"/>
      <c r="H126" s="27"/>
      <c r="I126" s="27"/>
      <c r="J126" s="27"/>
      <c r="K126" s="27"/>
      <c r="L126" s="27"/>
      <c r="M126" s="27"/>
      <c r="N126" s="27"/>
      <c r="O126" s="27"/>
      <c r="P126" s="27"/>
      <c r="Q126" s="27"/>
      <c r="R126" s="27"/>
      <c r="S126" s="27"/>
      <c r="T126" s="27"/>
      <c r="U126" s="27"/>
      <c r="V126" s="25"/>
      <c r="W126" s="31" t="e">
        <f>INDEX(TBL_TRANSIT[TransitID],$A126)</f>
        <v>#REF!</v>
      </c>
      <c r="X126" s="31" t="e">
        <f>"TransitCapMin_"&amp;RIGHT($W126,11)</f>
        <v>#REF!</v>
      </c>
    </row>
    <row r="127" spans="1:24" x14ac:dyDescent="0.25">
      <c r="A127" s="94">
        <f t="shared" si="119"/>
        <v>31</v>
      </c>
      <c r="B127" s="116"/>
      <c r="C127" s="93" t="str">
        <f t="shared" ref="C127:D127" si="150">IF($B126&lt;&gt;"",C123,"")</f>
        <v/>
      </c>
      <c r="D127" s="93" t="str">
        <f t="shared" si="150"/>
        <v/>
      </c>
      <c r="E127" s="32"/>
      <c r="F127" s="32"/>
      <c r="G127" s="32"/>
      <c r="H127" s="32"/>
      <c r="I127" s="32"/>
      <c r="J127" s="32"/>
      <c r="K127" s="32"/>
      <c r="L127" s="32"/>
      <c r="M127" s="32"/>
      <c r="N127" s="32"/>
      <c r="O127" s="32"/>
      <c r="P127" s="32"/>
      <c r="Q127" s="32"/>
      <c r="R127" s="32"/>
      <c r="S127" s="32"/>
      <c r="T127" s="32"/>
      <c r="U127" s="32"/>
      <c r="V127" s="26"/>
      <c r="W127" s="31" t="e">
        <f>INDEX(TBL_TRANSIT[TransitID],$A127)</f>
        <v>#REF!</v>
      </c>
      <c r="X127" s="31" t="e">
        <f>"TransitCapMax_"&amp;RIGHT($W127,11)</f>
        <v>#REF!</v>
      </c>
    </row>
    <row r="128" spans="1:24" x14ac:dyDescent="0.25">
      <c r="A128" s="94">
        <f t="shared" si="119"/>
        <v>31</v>
      </c>
      <c r="B128" s="116"/>
      <c r="C128" s="93" t="str">
        <f t="shared" ref="C128:D128" si="151">IF($B126&lt;&gt;"",C124,"")</f>
        <v/>
      </c>
      <c r="D128" s="93" t="str">
        <f t="shared" si="151"/>
        <v/>
      </c>
      <c r="E128" s="27"/>
      <c r="F128" s="27"/>
      <c r="G128" s="27"/>
      <c r="H128" s="27"/>
      <c r="I128" s="27"/>
      <c r="J128" s="27"/>
      <c r="K128" s="27"/>
      <c r="L128" s="27"/>
      <c r="M128" s="27"/>
      <c r="N128" s="27"/>
      <c r="O128" s="27"/>
      <c r="P128" s="27"/>
      <c r="Q128" s="27"/>
      <c r="R128" s="27"/>
      <c r="S128" s="27"/>
      <c r="T128" s="27"/>
      <c r="U128" s="27"/>
      <c r="V128" s="25"/>
      <c r="W128" s="31" t="e">
        <f>INDEX(TBL_TRANSIT[TransitID],$A128)</f>
        <v>#REF!</v>
      </c>
      <c r="X128" s="31" t="e">
        <f>"TransitTariffFixed_"&amp;RIGHT($W128,11)</f>
        <v>#REF!</v>
      </c>
    </row>
    <row r="129" spans="1:24" x14ac:dyDescent="0.25">
      <c r="A129" s="94">
        <f t="shared" si="119"/>
        <v>31</v>
      </c>
      <c r="B129" s="117"/>
      <c r="C129" s="93" t="str">
        <f t="shared" ref="C129:D129" si="152">IF($B126&lt;&gt;"",C125,"")</f>
        <v/>
      </c>
      <c r="D129" s="93" t="str">
        <f t="shared" si="152"/>
        <v/>
      </c>
      <c r="E129" s="32"/>
      <c r="F129" s="32"/>
      <c r="G129" s="32"/>
      <c r="H129" s="32"/>
      <c r="I129" s="32"/>
      <c r="J129" s="32"/>
      <c r="K129" s="32"/>
      <c r="L129" s="32"/>
      <c r="M129" s="32"/>
      <c r="N129" s="32"/>
      <c r="O129" s="32"/>
      <c r="P129" s="32"/>
      <c r="Q129" s="32"/>
      <c r="R129" s="32"/>
      <c r="S129" s="32"/>
      <c r="T129" s="32"/>
      <c r="U129" s="32"/>
      <c r="V129" s="26"/>
      <c r="W129" s="31" t="e">
        <f>INDEX(TBL_TRANSIT[TransitID],$A129)</f>
        <v>#REF!</v>
      </c>
      <c r="X129" s="31" t="e">
        <f>"TransitTariffVar_"&amp;RIGHT($W129,11)</f>
        <v>#REF!</v>
      </c>
    </row>
    <row r="130" spans="1:24" x14ac:dyDescent="0.25">
      <c r="A130" s="94">
        <f t="shared" ref="A130" si="153">$A126+1</f>
        <v>32</v>
      </c>
      <c r="B130" s="115" t="str">
        <f>IFERROR(INDEX(TBL_TRANSIT[Name],$A130),"")</f>
        <v/>
      </c>
      <c r="C130" s="93" t="str">
        <f t="shared" ref="C130:D130" si="154">IF($B130&lt;&gt;"",C126,"")</f>
        <v/>
      </c>
      <c r="D130" s="93" t="str">
        <f t="shared" si="154"/>
        <v/>
      </c>
      <c r="E130" s="27"/>
      <c r="F130" s="27"/>
      <c r="G130" s="27"/>
      <c r="H130" s="27"/>
      <c r="I130" s="27"/>
      <c r="J130" s="27"/>
      <c r="K130" s="27"/>
      <c r="L130" s="27"/>
      <c r="M130" s="27"/>
      <c r="N130" s="27"/>
      <c r="O130" s="27"/>
      <c r="P130" s="27"/>
      <c r="Q130" s="27"/>
      <c r="R130" s="27"/>
      <c r="S130" s="27"/>
      <c r="T130" s="27"/>
      <c r="U130" s="27"/>
      <c r="V130" s="25"/>
      <c r="W130" s="31" t="e">
        <f>INDEX(TBL_TRANSIT[TransitID],$A130)</f>
        <v>#REF!</v>
      </c>
      <c r="X130" s="31" t="e">
        <f>"TransitCapMin_"&amp;RIGHT($W130,11)</f>
        <v>#REF!</v>
      </c>
    </row>
    <row r="131" spans="1:24" x14ac:dyDescent="0.25">
      <c r="A131" s="94">
        <f t="shared" si="119"/>
        <v>32</v>
      </c>
      <c r="B131" s="116"/>
      <c r="C131" s="93" t="str">
        <f t="shared" ref="C131:D131" si="155">IF($B130&lt;&gt;"",C127,"")</f>
        <v/>
      </c>
      <c r="D131" s="93" t="str">
        <f t="shared" si="155"/>
        <v/>
      </c>
      <c r="E131" s="32"/>
      <c r="F131" s="32"/>
      <c r="G131" s="32"/>
      <c r="H131" s="32"/>
      <c r="I131" s="32"/>
      <c r="J131" s="32"/>
      <c r="K131" s="32"/>
      <c r="L131" s="32"/>
      <c r="M131" s="32"/>
      <c r="N131" s="32"/>
      <c r="O131" s="32"/>
      <c r="P131" s="32"/>
      <c r="Q131" s="32"/>
      <c r="R131" s="32"/>
      <c r="S131" s="32"/>
      <c r="T131" s="32"/>
      <c r="U131" s="32"/>
      <c r="V131" s="26"/>
      <c r="W131" s="31" t="e">
        <f>INDEX(TBL_TRANSIT[TransitID],$A131)</f>
        <v>#REF!</v>
      </c>
      <c r="X131" s="31" t="e">
        <f>"TransitCapMax_"&amp;RIGHT($W131,11)</f>
        <v>#REF!</v>
      </c>
    </row>
    <row r="132" spans="1:24" x14ac:dyDescent="0.25">
      <c r="A132" s="94">
        <f t="shared" si="119"/>
        <v>32</v>
      </c>
      <c r="B132" s="116"/>
      <c r="C132" s="93" t="str">
        <f t="shared" ref="C132:D132" si="156">IF($B130&lt;&gt;"",C128,"")</f>
        <v/>
      </c>
      <c r="D132" s="93" t="str">
        <f t="shared" si="156"/>
        <v/>
      </c>
      <c r="E132" s="27"/>
      <c r="F132" s="27"/>
      <c r="G132" s="27"/>
      <c r="H132" s="27"/>
      <c r="I132" s="27"/>
      <c r="J132" s="27"/>
      <c r="K132" s="27"/>
      <c r="L132" s="27"/>
      <c r="M132" s="27"/>
      <c r="N132" s="27"/>
      <c r="O132" s="27"/>
      <c r="P132" s="27"/>
      <c r="Q132" s="27"/>
      <c r="R132" s="27"/>
      <c r="S132" s="27"/>
      <c r="T132" s="27"/>
      <c r="U132" s="27"/>
      <c r="V132" s="25"/>
      <c r="W132" s="31" t="e">
        <f>INDEX(TBL_TRANSIT[TransitID],$A132)</f>
        <v>#REF!</v>
      </c>
      <c r="X132" s="31" t="e">
        <f>"TransitTariffFixed_"&amp;RIGHT($W132,11)</f>
        <v>#REF!</v>
      </c>
    </row>
    <row r="133" spans="1:24" x14ac:dyDescent="0.25">
      <c r="A133" s="94">
        <f t="shared" si="119"/>
        <v>32</v>
      </c>
      <c r="B133" s="117"/>
      <c r="C133" s="93" t="str">
        <f t="shared" ref="C133:D133" si="157">IF($B130&lt;&gt;"",C129,"")</f>
        <v/>
      </c>
      <c r="D133" s="93" t="str">
        <f t="shared" si="157"/>
        <v/>
      </c>
      <c r="E133" s="32"/>
      <c r="F133" s="32"/>
      <c r="G133" s="32"/>
      <c r="H133" s="32"/>
      <c r="I133" s="32"/>
      <c r="J133" s="32"/>
      <c r="K133" s="32"/>
      <c r="L133" s="32"/>
      <c r="M133" s="32"/>
      <c r="N133" s="32"/>
      <c r="O133" s="32"/>
      <c r="P133" s="32"/>
      <c r="Q133" s="32"/>
      <c r="R133" s="32"/>
      <c r="S133" s="32"/>
      <c r="T133" s="32"/>
      <c r="U133" s="32"/>
      <c r="V133" s="26"/>
      <c r="W133" s="31" t="e">
        <f>INDEX(TBL_TRANSIT[TransitID],$A133)</f>
        <v>#REF!</v>
      </c>
      <c r="X133" s="31" t="e">
        <f>"TransitTariffVar_"&amp;RIGHT($W133,11)</f>
        <v>#REF!</v>
      </c>
    </row>
    <row r="134" spans="1:24" x14ac:dyDescent="0.25">
      <c r="A134" s="94">
        <f t="shared" ref="A134" si="158">$A130+1</f>
        <v>33</v>
      </c>
      <c r="B134" s="115" t="str">
        <f>IFERROR(INDEX(TBL_TRANSIT[Name],$A134),"")</f>
        <v/>
      </c>
      <c r="C134" s="93" t="str">
        <f t="shared" ref="C134:D134" si="159">IF($B134&lt;&gt;"",C130,"")</f>
        <v/>
      </c>
      <c r="D134" s="93" t="str">
        <f t="shared" si="159"/>
        <v/>
      </c>
      <c r="E134" s="27"/>
      <c r="F134" s="27"/>
      <c r="G134" s="27"/>
      <c r="H134" s="27"/>
      <c r="I134" s="27"/>
      <c r="J134" s="27"/>
      <c r="K134" s="27"/>
      <c r="L134" s="27"/>
      <c r="M134" s="27"/>
      <c r="N134" s="27"/>
      <c r="O134" s="27"/>
      <c r="P134" s="27"/>
      <c r="Q134" s="27"/>
      <c r="R134" s="27"/>
      <c r="S134" s="27"/>
      <c r="T134" s="27"/>
      <c r="U134" s="27"/>
      <c r="V134" s="25"/>
      <c r="W134" s="31" t="e">
        <f>INDEX(TBL_TRANSIT[TransitID],$A134)</f>
        <v>#REF!</v>
      </c>
      <c r="X134" s="31" t="e">
        <f>"TransitCapMin_"&amp;RIGHT($W134,11)</f>
        <v>#REF!</v>
      </c>
    </row>
    <row r="135" spans="1:24" x14ac:dyDescent="0.25">
      <c r="A135" s="94">
        <f t="shared" si="119"/>
        <v>33</v>
      </c>
      <c r="B135" s="116"/>
      <c r="C135" s="93" t="str">
        <f t="shared" ref="C135:D135" si="160">IF($B134&lt;&gt;"",C131,"")</f>
        <v/>
      </c>
      <c r="D135" s="93" t="str">
        <f t="shared" si="160"/>
        <v/>
      </c>
      <c r="E135" s="32"/>
      <c r="F135" s="32"/>
      <c r="G135" s="32"/>
      <c r="H135" s="32"/>
      <c r="I135" s="32"/>
      <c r="J135" s="32"/>
      <c r="K135" s="32"/>
      <c r="L135" s="32"/>
      <c r="M135" s="32"/>
      <c r="N135" s="32"/>
      <c r="O135" s="32"/>
      <c r="P135" s="32"/>
      <c r="Q135" s="32"/>
      <c r="R135" s="32"/>
      <c r="S135" s="32"/>
      <c r="T135" s="32"/>
      <c r="U135" s="32"/>
      <c r="V135" s="26"/>
      <c r="W135" s="31" t="e">
        <f>INDEX(TBL_TRANSIT[TransitID],$A135)</f>
        <v>#REF!</v>
      </c>
      <c r="X135" s="31" t="e">
        <f>"TransitCapMax_"&amp;RIGHT($W135,11)</f>
        <v>#REF!</v>
      </c>
    </row>
    <row r="136" spans="1:24" x14ac:dyDescent="0.25">
      <c r="A136" s="94">
        <f t="shared" si="119"/>
        <v>33</v>
      </c>
      <c r="B136" s="116"/>
      <c r="C136" s="93" t="str">
        <f t="shared" ref="C136:D136" si="161">IF($B134&lt;&gt;"",C132,"")</f>
        <v/>
      </c>
      <c r="D136" s="93" t="str">
        <f t="shared" si="161"/>
        <v/>
      </c>
      <c r="E136" s="27"/>
      <c r="F136" s="27"/>
      <c r="G136" s="27"/>
      <c r="H136" s="27"/>
      <c r="I136" s="27"/>
      <c r="J136" s="27"/>
      <c r="K136" s="27"/>
      <c r="L136" s="27"/>
      <c r="M136" s="27"/>
      <c r="N136" s="27"/>
      <c r="O136" s="27"/>
      <c r="P136" s="27"/>
      <c r="Q136" s="27"/>
      <c r="R136" s="27"/>
      <c r="S136" s="27"/>
      <c r="T136" s="27"/>
      <c r="U136" s="27"/>
      <c r="V136" s="25"/>
      <c r="W136" s="31" t="e">
        <f>INDEX(TBL_TRANSIT[TransitID],$A136)</f>
        <v>#REF!</v>
      </c>
      <c r="X136" s="31" t="e">
        <f>"TransitTariffFixed_"&amp;RIGHT($W136,11)</f>
        <v>#REF!</v>
      </c>
    </row>
    <row r="137" spans="1:24" x14ac:dyDescent="0.25">
      <c r="A137" s="94">
        <f t="shared" si="119"/>
        <v>33</v>
      </c>
      <c r="B137" s="117"/>
      <c r="C137" s="93" t="str">
        <f t="shared" ref="C137:D137" si="162">IF($B134&lt;&gt;"",C133,"")</f>
        <v/>
      </c>
      <c r="D137" s="93" t="str">
        <f t="shared" si="162"/>
        <v/>
      </c>
      <c r="E137" s="32"/>
      <c r="F137" s="32"/>
      <c r="G137" s="32"/>
      <c r="H137" s="32"/>
      <c r="I137" s="32"/>
      <c r="J137" s="32"/>
      <c r="K137" s="32"/>
      <c r="L137" s="32"/>
      <c r="M137" s="32"/>
      <c r="N137" s="32"/>
      <c r="O137" s="32"/>
      <c r="P137" s="32"/>
      <c r="Q137" s="32"/>
      <c r="R137" s="32"/>
      <c r="S137" s="32"/>
      <c r="T137" s="32"/>
      <c r="U137" s="32"/>
      <c r="V137" s="26"/>
      <c r="W137" s="31" t="e">
        <f>INDEX(TBL_TRANSIT[TransitID],$A137)</f>
        <v>#REF!</v>
      </c>
      <c r="X137" s="31" t="e">
        <f>"TransitTariffVar_"&amp;RIGHT($W137,11)</f>
        <v>#REF!</v>
      </c>
    </row>
    <row r="138" spans="1:24" x14ac:dyDescent="0.25">
      <c r="A138" s="94">
        <f t="shared" ref="A138" si="163">$A134+1</f>
        <v>34</v>
      </c>
      <c r="B138" s="115" t="str">
        <f>IFERROR(INDEX(TBL_TRANSIT[Name],$A138),"")</f>
        <v/>
      </c>
      <c r="C138" s="93" t="str">
        <f t="shared" ref="C138:D138" si="164">IF($B138&lt;&gt;"",C134,"")</f>
        <v/>
      </c>
      <c r="D138" s="93" t="str">
        <f t="shared" si="164"/>
        <v/>
      </c>
      <c r="E138" s="27"/>
      <c r="F138" s="27"/>
      <c r="G138" s="27"/>
      <c r="H138" s="27"/>
      <c r="I138" s="27"/>
      <c r="J138" s="27"/>
      <c r="K138" s="27"/>
      <c r="L138" s="27"/>
      <c r="M138" s="27"/>
      <c r="N138" s="27"/>
      <c r="O138" s="27"/>
      <c r="P138" s="27"/>
      <c r="Q138" s="27"/>
      <c r="R138" s="27"/>
      <c r="S138" s="27"/>
      <c r="T138" s="27"/>
      <c r="U138" s="27"/>
      <c r="V138" s="25"/>
      <c r="W138" s="31" t="e">
        <f>INDEX(TBL_TRANSIT[TransitID],$A138)</f>
        <v>#REF!</v>
      </c>
      <c r="X138" s="31" t="e">
        <f>"TransitCapMin_"&amp;RIGHT($W138,11)</f>
        <v>#REF!</v>
      </c>
    </row>
    <row r="139" spans="1:24" x14ac:dyDescent="0.25">
      <c r="A139" s="94">
        <f t="shared" si="119"/>
        <v>34</v>
      </c>
      <c r="B139" s="116"/>
      <c r="C139" s="93" t="str">
        <f t="shared" ref="C139:D139" si="165">IF($B138&lt;&gt;"",C135,"")</f>
        <v/>
      </c>
      <c r="D139" s="93" t="str">
        <f t="shared" si="165"/>
        <v/>
      </c>
      <c r="E139" s="32"/>
      <c r="F139" s="32"/>
      <c r="G139" s="32"/>
      <c r="H139" s="32"/>
      <c r="I139" s="32"/>
      <c r="J139" s="32"/>
      <c r="K139" s="32"/>
      <c r="L139" s="32"/>
      <c r="M139" s="32"/>
      <c r="N139" s="32"/>
      <c r="O139" s="32"/>
      <c r="P139" s="32"/>
      <c r="Q139" s="32"/>
      <c r="R139" s="32"/>
      <c r="S139" s="32"/>
      <c r="T139" s="32"/>
      <c r="U139" s="32"/>
      <c r="V139" s="26"/>
      <c r="W139" s="31" t="e">
        <f>INDEX(TBL_TRANSIT[TransitID],$A139)</f>
        <v>#REF!</v>
      </c>
      <c r="X139" s="31" t="e">
        <f>"TransitCapMax_"&amp;RIGHT($W139,11)</f>
        <v>#REF!</v>
      </c>
    </row>
    <row r="140" spans="1:24" x14ac:dyDescent="0.25">
      <c r="A140" s="94">
        <f t="shared" si="119"/>
        <v>34</v>
      </c>
      <c r="B140" s="116"/>
      <c r="C140" s="93" t="str">
        <f t="shared" ref="C140:D140" si="166">IF($B138&lt;&gt;"",C136,"")</f>
        <v/>
      </c>
      <c r="D140" s="93" t="str">
        <f t="shared" si="166"/>
        <v/>
      </c>
      <c r="E140" s="27"/>
      <c r="F140" s="27"/>
      <c r="G140" s="27"/>
      <c r="H140" s="27"/>
      <c r="I140" s="27"/>
      <c r="J140" s="27"/>
      <c r="K140" s="27"/>
      <c r="L140" s="27"/>
      <c r="M140" s="27"/>
      <c r="N140" s="27"/>
      <c r="O140" s="27"/>
      <c r="P140" s="27"/>
      <c r="Q140" s="27"/>
      <c r="R140" s="27"/>
      <c r="S140" s="27"/>
      <c r="T140" s="27"/>
      <c r="U140" s="27"/>
      <c r="V140" s="25"/>
      <c r="W140" s="31" t="e">
        <f>INDEX(TBL_TRANSIT[TransitID],$A140)</f>
        <v>#REF!</v>
      </c>
      <c r="X140" s="31" t="e">
        <f>"TransitTariffFixed_"&amp;RIGHT($W140,11)</f>
        <v>#REF!</v>
      </c>
    </row>
    <row r="141" spans="1:24" x14ac:dyDescent="0.25">
      <c r="A141" s="94">
        <f t="shared" si="119"/>
        <v>34</v>
      </c>
      <c r="B141" s="117"/>
      <c r="C141" s="93" t="str">
        <f t="shared" ref="C141:D141" si="167">IF($B138&lt;&gt;"",C137,"")</f>
        <v/>
      </c>
      <c r="D141" s="93" t="str">
        <f t="shared" si="167"/>
        <v/>
      </c>
      <c r="E141" s="32"/>
      <c r="F141" s="32"/>
      <c r="G141" s="32"/>
      <c r="H141" s="32"/>
      <c r="I141" s="32"/>
      <c r="J141" s="32"/>
      <c r="K141" s="32"/>
      <c r="L141" s="32"/>
      <c r="M141" s="32"/>
      <c r="N141" s="32"/>
      <c r="O141" s="32"/>
      <c r="P141" s="32"/>
      <c r="Q141" s="32"/>
      <c r="R141" s="32"/>
      <c r="S141" s="32"/>
      <c r="T141" s="32"/>
      <c r="U141" s="32"/>
      <c r="V141" s="26"/>
      <c r="W141" s="31" t="e">
        <f>INDEX(TBL_TRANSIT[TransitID],$A141)</f>
        <v>#REF!</v>
      </c>
      <c r="X141" s="31" t="e">
        <f>"TransitTariffVar_"&amp;RIGHT($W141,11)</f>
        <v>#REF!</v>
      </c>
    </row>
    <row r="142" spans="1:24" x14ac:dyDescent="0.25">
      <c r="A142" s="94">
        <f t="shared" ref="A142" si="168">$A138+1</f>
        <v>35</v>
      </c>
      <c r="B142" s="115" t="str">
        <f>IFERROR(INDEX(TBL_TRANSIT[Name],$A142),"")</f>
        <v/>
      </c>
      <c r="C142" s="93" t="str">
        <f t="shared" ref="C142:D142" si="169">IF($B142&lt;&gt;"",C138,"")</f>
        <v/>
      </c>
      <c r="D142" s="93" t="str">
        <f t="shared" si="169"/>
        <v/>
      </c>
      <c r="E142" s="27"/>
      <c r="F142" s="27"/>
      <c r="G142" s="27"/>
      <c r="H142" s="27"/>
      <c r="I142" s="27"/>
      <c r="J142" s="27"/>
      <c r="K142" s="27"/>
      <c r="L142" s="27"/>
      <c r="M142" s="27"/>
      <c r="N142" s="27"/>
      <c r="O142" s="27"/>
      <c r="P142" s="27"/>
      <c r="Q142" s="27"/>
      <c r="R142" s="27"/>
      <c r="S142" s="27"/>
      <c r="T142" s="27"/>
      <c r="U142" s="27"/>
      <c r="V142" s="25"/>
      <c r="W142" s="31" t="e">
        <f>INDEX(TBL_TRANSIT[TransitID],$A142)</f>
        <v>#REF!</v>
      </c>
      <c r="X142" s="31" t="e">
        <f>"TransitCapMin_"&amp;RIGHT($W142,11)</f>
        <v>#REF!</v>
      </c>
    </row>
    <row r="143" spans="1:24" x14ac:dyDescent="0.25">
      <c r="A143" s="94">
        <f t="shared" ref="A143:A197" si="170">$A142</f>
        <v>35</v>
      </c>
      <c r="B143" s="116"/>
      <c r="C143" s="93" t="str">
        <f t="shared" ref="C143:D143" si="171">IF($B142&lt;&gt;"",C139,"")</f>
        <v/>
      </c>
      <c r="D143" s="93" t="str">
        <f t="shared" si="171"/>
        <v/>
      </c>
      <c r="E143" s="32"/>
      <c r="F143" s="32"/>
      <c r="G143" s="32"/>
      <c r="H143" s="32"/>
      <c r="I143" s="32"/>
      <c r="J143" s="32"/>
      <c r="K143" s="32"/>
      <c r="L143" s="32"/>
      <c r="M143" s="32"/>
      <c r="N143" s="32"/>
      <c r="O143" s="32"/>
      <c r="P143" s="32"/>
      <c r="Q143" s="32"/>
      <c r="R143" s="32"/>
      <c r="S143" s="32"/>
      <c r="T143" s="32"/>
      <c r="U143" s="32"/>
      <c r="V143" s="26"/>
      <c r="W143" s="31" t="e">
        <f>INDEX(TBL_TRANSIT[TransitID],$A143)</f>
        <v>#REF!</v>
      </c>
      <c r="X143" s="31" t="e">
        <f>"TransitCapMax_"&amp;RIGHT($W143,11)</f>
        <v>#REF!</v>
      </c>
    </row>
    <row r="144" spans="1:24" x14ac:dyDescent="0.25">
      <c r="A144" s="94">
        <f t="shared" si="170"/>
        <v>35</v>
      </c>
      <c r="B144" s="116"/>
      <c r="C144" s="93" t="str">
        <f t="shared" ref="C144:D144" si="172">IF($B142&lt;&gt;"",C140,"")</f>
        <v/>
      </c>
      <c r="D144" s="93" t="str">
        <f t="shared" si="172"/>
        <v/>
      </c>
      <c r="E144" s="27"/>
      <c r="F144" s="27"/>
      <c r="G144" s="27"/>
      <c r="H144" s="27"/>
      <c r="I144" s="27"/>
      <c r="J144" s="27"/>
      <c r="K144" s="27"/>
      <c r="L144" s="27"/>
      <c r="M144" s="27"/>
      <c r="N144" s="27"/>
      <c r="O144" s="27"/>
      <c r="P144" s="27"/>
      <c r="Q144" s="27"/>
      <c r="R144" s="27"/>
      <c r="S144" s="27"/>
      <c r="T144" s="27"/>
      <c r="U144" s="27"/>
      <c r="V144" s="25"/>
      <c r="W144" s="31" t="e">
        <f>INDEX(TBL_TRANSIT[TransitID],$A144)</f>
        <v>#REF!</v>
      </c>
      <c r="X144" s="31" t="e">
        <f>"TransitTariffFixed_"&amp;RIGHT($W144,11)</f>
        <v>#REF!</v>
      </c>
    </row>
    <row r="145" spans="1:24" x14ac:dyDescent="0.25">
      <c r="A145" s="94">
        <f t="shared" si="170"/>
        <v>35</v>
      </c>
      <c r="B145" s="117"/>
      <c r="C145" s="93" t="str">
        <f t="shared" ref="C145:D145" si="173">IF($B142&lt;&gt;"",C141,"")</f>
        <v/>
      </c>
      <c r="D145" s="93" t="str">
        <f t="shared" si="173"/>
        <v/>
      </c>
      <c r="E145" s="32"/>
      <c r="F145" s="32"/>
      <c r="G145" s="32"/>
      <c r="H145" s="32"/>
      <c r="I145" s="32"/>
      <c r="J145" s="32"/>
      <c r="K145" s="32"/>
      <c r="L145" s="32"/>
      <c r="M145" s="32"/>
      <c r="N145" s="32"/>
      <c r="O145" s="32"/>
      <c r="P145" s="32"/>
      <c r="Q145" s="32"/>
      <c r="R145" s="32"/>
      <c r="S145" s="32"/>
      <c r="T145" s="32"/>
      <c r="U145" s="32"/>
      <c r="V145" s="26"/>
      <c r="W145" s="31" t="e">
        <f>INDEX(TBL_TRANSIT[TransitID],$A145)</f>
        <v>#REF!</v>
      </c>
      <c r="X145" s="31" t="e">
        <f>"TransitTariffVar_"&amp;RIGHT($W145,11)</f>
        <v>#REF!</v>
      </c>
    </row>
    <row r="146" spans="1:24" x14ac:dyDescent="0.25">
      <c r="A146" s="94">
        <f t="shared" ref="A146" si="174">$A142+1</f>
        <v>36</v>
      </c>
      <c r="B146" s="115" t="str">
        <f>IFERROR(INDEX(TBL_TRANSIT[Name],$A146),"")</f>
        <v/>
      </c>
      <c r="C146" s="93" t="str">
        <f t="shared" ref="C146:D146" si="175">IF($B146&lt;&gt;"",C142,"")</f>
        <v/>
      </c>
      <c r="D146" s="93" t="str">
        <f t="shared" si="175"/>
        <v/>
      </c>
      <c r="E146" s="27"/>
      <c r="F146" s="27"/>
      <c r="G146" s="27"/>
      <c r="H146" s="27"/>
      <c r="I146" s="27"/>
      <c r="J146" s="27"/>
      <c r="K146" s="27"/>
      <c r="L146" s="27"/>
      <c r="M146" s="27"/>
      <c r="N146" s="27"/>
      <c r="O146" s="27"/>
      <c r="P146" s="27"/>
      <c r="Q146" s="27"/>
      <c r="R146" s="27"/>
      <c r="S146" s="27"/>
      <c r="T146" s="27"/>
      <c r="U146" s="27"/>
      <c r="V146" s="25"/>
      <c r="W146" s="31" t="e">
        <f>INDEX(TBL_TRANSIT[TransitID],$A146)</f>
        <v>#REF!</v>
      </c>
      <c r="X146" s="31" t="e">
        <f>"TransitCapMin_"&amp;RIGHT($W146,11)</f>
        <v>#REF!</v>
      </c>
    </row>
    <row r="147" spans="1:24" x14ac:dyDescent="0.25">
      <c r="A147" s="94">
        <f t="shared" si="170"/>
        <v>36</v>
      </c>
      <c r="B147" s="116"/>
      <c r="C147" s="93" t="str">
        <f t="shared" ref="C147:D147" si="176">IF($B146&lt;&gt;"",C143,"")</f>
        <v/>
      </c>
      <c r="D147" s="93" t="str">
        <f t="shared" si="176"/>
        <v/>
      </c>
      <c r="E147" s="32"/>
      <c r="F147" s="32"/>
      <c r="G147" s="32"/>
      <c r="H147" s="32"/>
      <c r="I147" s="32"/>
      <c r="J147" s="32"/>
      <c r="K147" s="32"/>
      <c r="L147" s="32"/>
      <c r="M147" s="32"/>
      <c r="N147" s="32"/>
      <c r="O147" s="32"/>
      <c r="P147" s="32"/>
      <c r="Q147" s="32"/>
      <c r="R147" s="32"/>
      <c r="S147" s="32"/>
      <c r="T147" s="32"/>
      <c r="U147" s="32"/>
      <c r="V147" s="26"/>
      <c r="W147" s="31" t="e">
        <f>INDEX(TBL_TRANSIT[TransitID],$A147)</f>
        <v>#REF!</v>
      </c>
      <c r="X147" s="31" t="e">
        <f>"TransitCapMax_"&amp;RIGHT($W147,11)</f>
        <v>#REF!</v>
      </c>
    </row>
    <row r="148" spans="1:24" x14ac:dyDescent="0.25">
      <c r="A148" s="94">
        <f t="shared" si="170"/>
        <v>36</v>
      </c>
      <c r="B148" s="116"/>
      <c r="C148" s="93" t="str">
        <f t="shared" ref="C148:D148" si="177">IF($B146&lt;&gt;"",C144,"")</f>
        <v/>
      </c>
      <c r="D148" s="93" t="str">
        <f t="shared" si="177"/>
        <v/>
      </c>
      <c r="E148" s="27"/>
      <c r="F148" s="27"/>
      <c r="G148" s="27"/>
      <c r="H148" s="27"/>
      <c r="I148" s="27"/>
      <c r="J148" s="27"/>
      <c r="K148" s="27"/>
      <c r="L148" s="27"/>
      <c r="M148" s="27"/>
      <c r="N148" s="27"/>
      <c r="O148" s="27"/>
      <c r="P148" s="27"/>
      <c r="Q148" s="27"/>
      <c r="R148" s="27"/>
      <c r="S148" s="27"/>
      <c r="T148" s="27"/>
      <c r="U148" s="27"/>
      <c r="V148" s="25"/>
      <c r="W148" s="31" t="e">
        <f>INDEX(TBL_TRANSIT[TransitID],$A148)</f>
        <v>#REF!</v>
      </c>
      <c r="X148" s="31" t="e">
        <f>"TransitTariffFixed_"&amp;RIGHT($W148,11)</f>
        <v>#REF!</v>
      </c>
    </row>
    <row r="149" spans="1:24" x14ac:dyDescent="0.25">
      <c r="A149" s="94">
        <f t="shared" si="170"/>
        <v>36</v>
      </c>
      <c r="B149" s="117"/>
      <c r="C149" s="93" t="str">
        <f t="shared" ref="C149:D149" si="178">IF($B146&lt;&gt;"",C145,"")</f>
        <v/>
      </c>
      <c r="D149" s="93" t="str">
        <f t="shared" si="178"/>
        <v/>
      </c>
      <c r="E149" s="32"/>
      <c r="F149" s="32"/>
      <c r="G149" s="32"/>
      <c r="H149" s="32"/>
      <c r="I149" s="32"/>
      <c r="J149" s="32"/>
      <c r="K149" s="32"/>
      <c r="L149" s="32"/>
      <c r="M149" s="32"/>
      <c r="N149" s="32"/>
      <c r="O149" s="32"/>
      <c r="P149" s="32"/>
      <c r="Q149" s="32"/>
      <c r="R149" s="32"/>
      <c r="S149" s="32"/>
      <c r="T149" s="32"/>
      <c r="U149" s="32"/>
      <c r="V149" s="26"/>
      <c r="W149" s="31" t="e">
        <f>INDEX(TBL_TRANSIT[TransitID],$A149)</f>
        <v>#REF!</v>
      </c>
      <c r="X149" s="31" t="e">
        <f>"TransitTariffVar_"&amp;RIGHT($W149,11)</f>
        <v>#REF!</v>
      </c>
    </row>
    <row r="150" spans="1:24" x14ac:dyDescent="0.25">
      <c r="A150" s="94">
        <f t="shared" ref="A150" si="179">$A146+1</f>
        <v>37</v>
      </c>
      <c r="B150" s="115" t="str">
        <f>IFERROR(INDEX(TBL_TRANSIT[Name],$A150),"")</f>
        <v/>
      </c>
      <c r="C150" s="93" t="str">
        <f t="shared" ref="C150:D150" si="180">IF($B150&lt;&gt;"",C146,"")</f>
        <v/>
      </c>
      <c r="D150" s="93" t="str">
        <f t="shared" si="180"/>
        <v/>
      </c>
      <c r="E150" s="27"/>
      <c r="F150" s="27"/>
      <c r="G150" s="27"/>
      <c r="H150" s="27"/>
      <c r="I150" s="27"/>
      <c r="J150" s="27"/>
      <c r="K150" s="27"/>
      <c r="L150" s="27"/>
      <c r="M150" s="27"/>
      <c r="N150" s="27"/>
      <c r="O150" s="27"/>
      <c r="P150" s="27"/>
      <c r="Q150" s="27"/>
      <c r="R150" s="27"/>
      <c r="S150" s="27"/>
      <c r="T150" s="27"/>
      <c r="U150" s="27"/>
      <c r="V150" s="25"/>
      <c r="W150" s="31" t="e">
        <f>INDEX(TBL_TRANSIT[TransitID],$A150)</f>
        <v>#REF!</v>
      </c>
      <c r="X150" s="31" t="e">
        <f>"TransitCapMin_"&amp;RIGHT($W150,11)</f>
        <v>#REF!</v>
      </c>
    </row>
    <row r="151" spans="1:24" x14ac:dyDescent="0.25">
      <c r="A151" s="94">
        <f t="shared" si="170"/>
        <v>37</v>
      </c>
      <c r="B151" s="116"/>
      <c r="C151" s="93" t="str">
        <f t="shared" ref="C151:D151" si="181">IF($B150&lt;&gt;"",C147,"")</f>
        <v/>
      </c>
      <c r="D151" s="93" t="str">
        <f t="shared" si="181"/>
        <v/>
      </c>
      <c r="E151" s="32"/>
      <c r="F151" s="32"/>
      <c r="G151" s="32"/>
      <c r="H151" s="32"/>
      <c r="I151" s="32"/>
      <c r="J151" s="32"/>
      <c r="K151" s="32"/>
      <c r="L151" s="32"/>
      <c r="M151" s="32"/>
      <c r="N151" s="32"/>
      <c r="O151" s="32"/>
      <c r="P151" s="32"/>
      <c r="Q151" s="32"/>
      <c r="R151" s="32"/>
      <c r="S151" s="32"/>
      <c r="T151" s="32"/>
      <c r="U151" s="32"/>
      <c r="V151" s="26"/>
      <c r="W151" s="31" t="e">
        <f>INDEX(TBL_TRANSIT[TransitID],$A151)</f>
        <v>#REF!</v>
      </c>
      <c r="X151" s="31" t="e">
        <f>"TransitCapMax_"&amp;RIGHT($W151,11)</f>
        <v>#REF!</v>
      </c>
    </row>
    <row r="152" spans="1:24" x14ac:dyDescent="0.25">
      <c r="A152" s="94">
        <f t="shared" si="170"/>
        <v>37</v>
      </c>
      <c r="B152" s="116"/>
      <c r="C152" s="93" t="str">
        <f t="shared" ref="C152:D152" si="182">IF($B150&lt;&gt;"",C148,"")</f>
        <v/>
      </c>
      <c r="D152" s="93" t="str">
        <f t="shared" si="182"/>
        <v/>
      </c>
      <c r="E152" s="27"/>
      <c r="F152" s="27"/>
      <c r="G152" s="27"/>
      <c r="H152" s="27"/>
      <c r="I152" s="27"/>
      <c r="J152" s="27"/>
      <c r="K152" s="27"/>
      <c r="L152" s="27"/>
      <c r="M152" s="27"/>
      <c r="N152" s="27"/>
      <c r="O152" s="27"/>
      <c r="P152" s="27"/>
      <c r="Q152" s="27"/>
      <c r="R152" s="27"/>
      <c r="S152" s="27"/>
      <c r="T152" s="27"/>
      <c r="U152" s="27"/>
      <c r="V152" s="25"/>
      <c r="W152" s="31" t="e">
        <f>INDEX(TBL_TRANSIT[TransitID],$A152)</f>
        <v>#REF!</v>
      </c>
      <c r="X152" s="31" t="e">
        <f>"TransitTariffFixed_"&amp;RIGHT($W152,11)</f>
        <v>#REF!</v>
      </c>
    </row>
    <row r="153" spans="1:24" x14ac:dyDescent="0.25">
      <c r="A153" s="94">
        <f t="shared" si="170"/>
        <v>37</v>
      </c>
      <c r="B153" s="117"/>
      <c r="C153" s="93" t="str">
        <f t="shared" ref="C153:D153" si="183">IF($B150&lt;&gt;"",C149,"")</f>
        <v/>
      </c>
      <c r="D153" s="93" t="str">
        <f t="shared" si="183"/>
        <v/>
      </c>
      <c r="E153" s="32"/>
      <c r="F153" s="32"/>
      <c r="G153" s="32"/>
      <c r="H153" s="32"/>
      <c r="I153" s="32"/>
      <c r="J153" s="32"/>
      <c r="K153" s="32"/>
      <c r="L153" s="32"/>
      <c r="M153" s="32"/>
      <c r="N153" s="32"/>
      <c r="O153" s="32"/>
      <c r="P153" s="32"/>
      <c r="Q153" s="32"/>
      <c r="R153" s="32"/>
      <c r="S153" s="32"/>
      <c r="T153" s="32"/>
      <c r="U153" s="32"/>
      <c r="V153" s="26"/>
      <c r="W153" s="31" t="e">
        <f>INDEX(TBL_TRANSIT[TransitID],$A153)</f>
        <v>#REF!</v>
      </c>
      <c r="X153" s="31" t="e">
        <f>"TransitTariffVar_"&amp;RIGHT($W153,11)</f>
        <v>#REF!</v>
      </c>
    </row>
    <row r="154" spans="1:24" x14ac:dyDescent="0.25">
      <c r="A154" s="94">
        <f t="shared" ref="A154" si="184">$A150+1</f>
        <v>38</v>
      </c>
      <c r="B154" s="115" t="str">
        <f>IFERROR(INDEX(TBL_TRANSIT[Name],$A154),"")</f>
        <v/>
      </c>
      <c r="C154" s="93" t="str">
        <f t="shared" ref="C154:D154" si="185">IF($B154&lt;&gt;"",C150,"")</f>
        <v/>
      </c>
      <c r="D154" s="93" t="str">
        <f t="shared" si="185"/>
        <v/>
      </c>
      <c r="E154" s="27"/>
      <c r="F154" s="27"/>
      <c r="G154" s="27"/>
      <c r="H154" s="27"/>
      <c r="I154" s="27"/>
      <c r="J154" s="27"/>
      <c r="K154" s="27"/>
      <c r="L154" s="27"/>
      <c r="M154" s="27"/>
      <c r="N154" s="27"/>
      <c r="O154" s="27"/>
      <c r="P154" s="27"/>
      <c r="Q154" s="27"/>
      <c r="R154" s="27"/>
      <c r="S154" s="27"/>
      <c r="T154" s="27"/>
      <c r="U154" s="27"/>
      <c r="V154" s="25"/>
      <c r="W154" s="31" t="e">
        <f>INDEX(TBL_TRANSIT[TransitID],$A154)</f>
        <v>#REF!</v>
      </c>
      <c r="X154" s="31" t="e">
        <f>"TransitCapMin_"&amp;RIGHT($W154,11)</f>
        <v>#REF!</v>
      </c>
    </row>
    <row r="155" spans="1:24" x14ac:dyDescent="0.25">
      <c r="A155" s="94">
        <f t="shared" si="170"/>
        <v>38</v>
      </c>
      <c r="B155" s="116"/>
      <c r="C155" s="93" t="str">
        <f t="shared" ref="C155:D155" si="186">IF($B154&lt;&gt;"",C151,"")</f>
        <v/>
      </c>
      <c r="D155" s="93" t="str">
        <f t="shared" si="186"/>
        <v/>
      </c>
      <c r="E155" s="32"/>
      <c r="F155" s="32"/>
      <c r="G155" s="32"/>
      <c r="H155" s="32"/>
      <c r="I155" s="32"/>
      <c r="J155" s="32"/>
      <c r="K155" s="32"/>
      <c r="L155" s="32"/>
      <c r="M155" s="32"/>
      <c r="N155" s="32"/>
      <c r="O155" s="32"/>
      <c r="P155" s="32"/>
      <c r="Q155" s="32"/>
      <c r="R155" s="32"/>
      <c r="S155" s="32"/>
      <c r="T155" s="32"/>
      <c r="U155" s="32"/>
      <c r="V155" s="26"/>
      <c r="W155" s="31" t="e">
        <f>INDEX(TBL_TRANSIT[TransitID],$A155)</f>
        <v>#REF!</v>
      </c>
      <c r="X155" s="31" t="e">
        <f>"TransitCapMax_"&amp;RIGHT($W155,11)</f>
        <v>#REF!</v>
      </c>
    </row>
    <row r="156" spans="1:24" x14ac:dyDescent="0.25">
      <c r="A156" s="94">
        <f t="shared" si="170"/>
        <v>38</v>
      </c>
      <c r="B156" s="116"/>
      <c r="C156" s="93" t="str">
        <f t="shared" ref="C156:D156" si="187">IF($B154&lt;&gt;"",C152,"")</f>
        <v/>
      </c>
      <c r="D156" s="93" t="str">
        <f t="shared" si="187"/>
        <v/>
      </c>
      <c r="E156" s="27"/>
      <c r="F156" s="27"/>
      <c r="G156" s="27"/>
      <c r="H156" s="27"/>
      <c r="I156" s="27"/>
      <c r="J156" s="27"/>
      <c r="K156" s="27"/>
      <c r="L156" s="27"/>
      <c r="M156" s="27"/>
      <c r="N156" s="27"/>
      <c r="O156" s="27"/>
      <c r="P156" s="27"/>
      <c r="Q156" s="27"/>
      <c r="R156" s="27"/>
      <c r="S156" s="27"/>
      <c r="T156" s="27"/>
      <c r="U156" s="27"/>
      <c r="V156" s="25"/>
      <c r="W156" s="31" t="e">
        <f>INDEX(TBL_TRANSIT[TransitID],$A156)</f>
        <v>#REF!</v>
      </c>
      <c r="X156" s="31" t="e">
        <f>"TransitTariffFixed_"&amp;RIGHT($W156,11)</f>
        <v>#REF!</v>
      </c>
    </row>
    <row r="157" spans="1:24" x14ac:dyDescent="0.25">
      <c r="A157" s="94">
        <f t="shared" si="170"/>
        <v>38</v>
      </c>
      <c r="B157" s="117"/>
      <c r="C157" s="93" t="str">
        <f t="shared" ref="C157:D157" si="188">IF($B154&lt;&gt;"",C153,"")</f>
        <v/>
      </c>
      <c r="D157" s="93" t="str">
        <f t="shared" si="188"/>
        <v/>
      </c>
      <c r="E157" s="32"/>
      <c r="F157" s="32"/>
      <c r="G157" s="32"/>
      <c r="H157" s="32"/>
      <c r="I157" s="32"/>
      <c r="J157" s="32"/>
      <c r="K157" s="32"/>
      <c r="L157" s="32"/>
      <c r="M157" s="32"/>
      <c r="N157" s="32"/>
      <c r="O157" s="32"/>
      <c r="P157" s="32"/>
      <c r="Q157" s="32"/>
      <c r="R157" s="32"/>
      <c r="S157" s="32"/>
      <c r="T157" s="32"/>
      <c r="U157" s="32"/>
      <c r="V157" s="26"/>
      <c r="W157" s="31" t="e">
        <f>INDEX(TBL_TRANSIT[TransitID],$A157)</f>
        <v>#REF!</v>
      </c>
      <c r="X157" s="31" t="e">
        <f>"TransitTariffVar_"&amp;RIGHT($W157,11)</f>
        <v>#REF!</v>
      </c>
    </row>
    <row r="158" spans="1:24" x14ac:dyDescent="0.25">
      <c r="A158" s="94">
        <f t="shared" ref="A158" si="189">$A154+1</f>
        <v>39</v>
      </c>
      <c r="B158" s="115" t="str">
        <f>IFERROR(INDEX(TBL_TRANSIT[Name],$A158),"")</f>
        <v/>
      </c>
      <c r="C158" s="93" t="str">
        <f t="shared" ref="C158:D158" si="190">IF($B158&lt;&gt;"",C154,"")</f>
        <v/>
      </c>
      <c r="D158" s="93" t="str">
        <f t="shared" si="190"/>
        <v/>
      </c>
      <c r="E158" s="27"/>
      <c r="F158" s="27"/>
      <c r="G158" s="27"/>
      <c r="H158" s="27"/>
      <c r="I158" s="27"/>
      <c r="J158" s="27"/>
      <c r="K158" s="27"/>
      <c r="L158" s="27"/>
      <c r="M158" s="27"/>
      <c r="N158" s="27"/>
      <c r="O158" s="27"/>
      <c r="P158" s="27"/>
      <c r="Q158" s="27"/>
      <c r="R158" s="27"/>
      <c r="S158" s="27"/>
      <c r="T158" s="27"/>
      <c r="U158" s="27"/>
      <c r="V158" s="25"/>
      <c r="W158" s="31" t="e">
        <f>INDEX(TBL_TRANSIT[TransitID],$A158)</f>
        <v>#REF!</v>
      </c>
      <c r="X158" s="31" t="e">
        <f>"TransitCapMin_"&amp;RIGHT($W158,11)</f>
        <v>#REF!</v>
      </c>
    </row>
    <row r="159" spans="1:24" x14ac:dyDescent="0.25">
      <c r="A159" s="94">
        <f t="shared" si="170"/>
        <v>39</v>
      </c>
      <c r="B159" s="116"/>
      <c r="C159" s="93" t="str">
        <f t="shared" ref="C159:D159" si="191">IF($B158&lt;&gt;"",C155,"")</f>
        <v/>
      </c>
      <c r="D159" s="93" t="str">
        <f t="shared" si="191"/>
        <v/>
      </c>
      <c r="E159" s="32"/>
      <c r="F159" s="32"/>
      <c r="G159" s="32"/>
      <c r="H159" s="32"/>
      <c r="I159" s="32"/>
      <c r="J159" s="32"/>
      <c r="K159" s="32"/>
      <c r="L159" s="32"/>
      <c r="M159" s="32"/>
      <c r="N159" s="32"/>
      <c r="O159" s="32"/>
      <c r="P159" s="32"/>
      <c r="Q159" s="32"/>
      <c r="R159" s="32"/>
      <c r="S159" s="32"/>
      <c r="T159" s="32"/>
      <c r="U159" s="32"/>
      <c r="V159" s="26"/>
      <c r="W159" s="31" t="e">
        <f>INDEX(TBL_TRANSIT[TransitID],$A159)</f>
        <v>#REF!</v>
      </c>
      <c r="X159" s="31" t="e">
        <f>"TransitCapMax_"&amp;RIGHT($W159,11)</f>
        <v>#REF!</v>
      </c>
    </row>
    <row r="160" spans="1:24" x14ac:dyDescent="0.25">
      <c r="A160" s="94">
        <f t="shared" si="170"/>
        <v>39</v>
      </c>
      <c r="B160" s="116"/>
      <c r="C160" s="93" t="str">
        <f t="shared" ref="C160:D160" si="192">IF($B158&lt;&gt;"",C156,"")</f>
        <v/>
      </c>
      <c r="D160" s="93" t="str">
        <f t="shared" si="192"/>
        <v/>
      </c>
      <c r="E160" s="27"/>
      <c r="F160" s="27"/>
      <c r="G160" s="27"/>
      <c r="H160" s="27"/>
      <c r="I160" s="27"/>
      <c r="J160" s="27"/>
      <c r="K160" s="27"/>
      <c r="L160" s="27"/>
      <c r="M160" s="27"/>
      <c r="N160" s="27"/>
      <c r="O160" s="27"/>
      <c r="P160" s="27"/>
      <c r="Q160" s="27"/>
      <c r="R160" s="27"/>
      <c r="S160" s="27"/>
      <c r="T160" s="27"/>
      <c r="U160" s="27"/>
      <c r="V160" s="25"/>
      <c r="W160" s="31" t="e">
        <f>INDEX(TBL_TRANSIT[TransitID],$A160)</f>
        <v>#REF!</v>
      </c>
      <c r="X160" s="31" t="e">
        <f>"TransitTariffFixed_"&amp;RIGHT($W160,11)</f>
        <v>#REF!</v>
      </c>
    </row>
    <row r="161" spans="1:24" x14ac:dyDescent="0.25">
      <c r="A161" s="94">
        <f t="shared" si="170"/>
        <v>39</v>
      </c>
      <c r="B161" s="117"/>
      <c r="C161" s="93" t="str">
        <f t="shared" ref="C161:D161" si="193">IF($B158&lt;&gt;"",C157,"")</f>
        <v/>
      </c>
      <c r="D161" s="93" t="str">
        <f t="shared" si="193"/>
        <v/>
      </c>
      <c r="E161" s="32"/>
      <c r="F161" s="32"/>
      <c r="G161" s="32"/>
      <c r="H161" s="32"/>
      <c r="I161" s="32"/>
      <c r="J161" s="32"/>
      <c r="K161" s="32"/>
      <c r="L161" s="32"/>
      <c r="M161" s="32"/>
      <c r="N161" s="32"/>
      <c r="O161" s="32"/>
      <c r="P161" s="32"/>
      <c r="Q161" s="32"/>
      <c r="R161" s="32"/>
      <c r="S161" s="32"/>
      <c r="T161" s="32"/>
      <c r="U161" s="32"/>
      <c r="V161" s="26"/>
      <c r="W161" s="31" t="e">
        <f>INDEX(TBL_TRANSIT[TransitID],$A161)</f>
        <v>#REF!</v>
      </c>
      <c r="X161" s="31" t="e">
        <f>"TransitTariffVar_"&amp;RIGHT($W161,11)</f>
        <v>#REF!</v>
      </c>
    </row>
    <row r="162" spans="1:24" x14ac:dyDescent="0.25">
      <c r="A162" s="94">
        <f t="shared" ref="A162" si="194">$A158+1</f>
        <v>40</v>
      </c>
      <c r="B162" s="115" t="str">
        <f>IFERROR(INDEX(TBL_TRANSIT[Name],$A162),"")</f>
        <v/>
      </c>
      <c r="C162" s="93" t="str">
        <f t="shared" ref="C162:D162" si="195">IF($B162&lt;&gt;"",C158,"")</f>
        <v/>
      </c>
      <c r="D162" s="93" t="str">
        <f t="shared" si="195"/>
        <v/>
      </c>
      <c r="E162" s="27"/>
      <c r="F162" s="27"/>
      <c r="G162" s="27"/>
      <c r="H162" s="27"/>
      <c r="I162" s="27"/>
      <c r="J162" s="27"/>
      <c r="K162" s="27"/>
      <c r="L162" s="27"/>
      <c r="M162" s="27"/>
      <c r="N162" s="27"/>
      <c r="O162" s="27"/>
      <c r="P162" s="27"/>
      <c r="Q162" s="27"/>
      <c r="R162" s="27"/>
      <c r="S162" s="27"/>
      <c r="T162" s="27"/>
      <c r="U162" s="27"/>
      <c r="V162" s="25"/>
      <c r="W162" s="31" t="e">
        <f>INDEX(TBL_TRANSIT[TransitID],$A162)</f>
        <v>#REF!</v>
      </c>
      <c r="X162" s="31" t="e">
        <f>"TransitCapMin_"&amp;RIGHT($W162,11)</f>
        <v>#REF!</v>
      </c>
    </row>
    <row r="163" spans="1:24" x14ac:dyDescent="0.25">
      <c r="A163" s="94">
        <f t="shared" si="170"/>
        <v>40</v>
      </c>
      <c r="B163" s="116"/>
      <c r="C163" s="93" t="str">
        <f t="shared" ref="C163:D163" si="196">IF($B162&lt;&gt;"",C159,"")</f>
        <v/>
      </c>
      <c r="D163" s="93" t="str">
        <f t="shared" si="196"/>
        <v/>
      </c>
      <c r="E163" s="32"/>
      <c r="F163" s="32"/>
      <c r="G163" s="32"/>
      <c r="H163" s="32"/>
      <c r="I163" s="32"/>
      <c r="J163" s="32"/>
      <c r="K163" s="32"/>
      <c r="L163" s="32"/>
      <c r="M163" s="32"/>
      <c r="N163" s="32"/>
      <c r="O163" s="32"/>
      <c r="P163" s="32"/>
      <c r="Q163" s="32"/>
      <c r="R163" s="32"/>
      <c r="S163" s="32"/>
      <c r="T163" s="32"/>
      <c r="U163" s="32"/>
      <c r="V163" s="26"/>
      <c r="W163" s="31" t="e">
        <f>INDEX(TBL_TRANSIT[TransitID],$A163)</f>
        <v>#REF!</v>
      </c>
      <c r="X163" s="31" t="e">
        <f>"TransitCapMax_"&amp;RIGHT($W163,11)</f>
        <v>#REF!</v>
      </c>
    </row>
    <row r="164" spans="1:24" x14ac:dyDescent="0.25">
      <c r="A164" s="94">
        <f t="shared" si="170"/>
        <v>40</v>
      </c>
      <c r="B164" s="116"/>
      <c r="C164" s="93" t="str">
        <f t="shared" ref="C164:D164" si="197">IF($B162&lt;&gt;"",C160,"")</f>
        <v/>
      </c>
      <c r="D164" s="93" t="str">
        <f t="shared" si="197"/>
        <v/>
      </c>
      <c r="E164" s="27"/>
      <c r="F164" s="27"/>
      <c r="G164" s="27"/>
      <c r="H164" s="27"/>
      <c r="I164" s="27"/>
      <c r="J164" s="27"/>
      <c r="K164" s="27"/>
      <c r="L164" s="27"/>
      <c r="M164" s="27"/>
      <c r="N164" s="27"/>
      <c r="O164" s="27"/>
      <c r="P164" s="27"/>
      <c r="Q164" s="27"/>
      <c r="R164" s="27"/>
      <c r="S164" s="27"/>
      <c r="T164" s="27"/>
      <c r="U164" s="27"/>
      <c r="V164" s="25"/>
      <c r="W164" s="31" t="e">
        <f>INDEX(TBL_TRANSIT[TransitID],$A164)</f>
        <v>#REF!</v>
      </c>
      <c r="X164" s="31" t="e">
        <f>"TransitTariffFixed_"&amp;RIGHT($W164,11)</f>
        <v>#REF!</v>
      </c>
    </row>
    <row r="165" spans="1:24" x14ac:dyDescent="0.25">
      <c r="A165" s="94">
        <f t="shared" si="170"/>
        <v>40</v>
      </c>
      <c r="B165" s="117"/>
      <c r="C165" s="93" t="str">
        <f t="shared" ref="C165:D165" si="198">IF($B162&lt;&gt;"",C161,"")</f>
        <v/>
      </c>
      <c r="D165" s="93" t="str">
        <f t="shared" si="198"/>
        <v/>
      </c>
      <c r="E165" s="32"/>
      <c r="F165" s="32"/>
      <c r="G165" s="32"/>
      <c r="H165" s="32"/>
      <c r="I165" s="32"/>
      <c r="J165" s="32"/>
      <c r="K165" s="32"/>
      <c r="L165" s="32"/>
      <c r="M165" s="32"/>
      <c r="N165" s="32"/>
      <c r="O165" s="32"/>
      <c r="P165" s="32"/>
      <c r="Q165" s="32"/>
      <c r="R165" s="32"/>
      <c r="S165" s="32"/>
      <c r="T165" s="32"/>
      <c r="U165" s="32"/>
      <c r="V165" s="26"/>
      <c r="W165" s="31" t="e">
        <f>INDEX(TBL_TRANSIT[TransitID],$A165)</f>
        <v>#REF!</v>
      </c>
      <c r="X165" s="31" t="e">
        <f>"TransitTariffVar_"&amp;RIGHT($W165,11)</f>
        <v>#REF!</v>
      </c>
    </row>
    <row r="166" spans="1:24" x14ac:dyDescent="0.25">
      <c r="A166" s="94">
        <f t="shared" ref="A166" si="199">$A162+1</f>
        <v>41</v>
      </c>
      <c r="B166" s="115" t="str">
        <f>IFERROR(INDEX(TBL_TRANSIT[Name],$A166),"")</f>
        <v/>
      </c>
      <c r="C166" s="93" t="str">
        <f t="shared" ref="C166:D166" si="200">IF($B166&lt;&gt;"",C162,"")</f>
        <v/>
      </c>
      <c r="D166" s="93" t="str">
        <f t="shared" si="200"/>
        <v/>
      </c>
      <c r="E166" s="27"/>
      <c r="F166" s="27"/>
      <c r="G166" s="27"/>
      <c r="H166" s="27"/>
      <c r="I166" s="27"/>
      <c r="J166" s="27"/>
      <c r="K166" s="27"/>
      <c r="L166" s="27"/>
      <c r="M166" s="27"/>
      <c r="N166" s="27"/>
      <c r="O166" s="27"/>
      <c r="P166" s="27"/>
      <c r="Q166" s="27"/>
      <c r="R166" s="27"/>
      <c r="S166" s="27"/>
      <c r="T166" s="27"/>
      <c r="U166" s="27"/>
      <c r="V166" s="25"/>
      <c r="W166" s="31" t="e">
        <f>INDEX(TBL_TRANSIT[TransitID],$A166)</f>
        <v>#REF!</v>
      </c>
      <c r="X166" s="31" t="e">
        <f>"TransitCapMin_"&amp;RIGHT($W166,11)</f>
        <v>#REF!</v>
      </c>
    </row>
    <row r="167" spans="1:24" x14ac:dyDescent="0.25">
      <c r="A167" s="94">
        <f t="shared" si="170"/>
        <v>41</v>
      </c>
      <c r="B167" s="116"/>
      <c r="C167" s="93" t="str">
        <f t="shared" ref="C167:D167" si="201">IF($B166&lt;&gt;"",C163,"")</f>
        <v/>
      </c>
      <c r="D167" s="93" t="str">
        <f t="shared" si="201"/>
        <v/>
      </c>
      <c r="E167" s="32"/>
      <c r="F167" s="32"/>
      <c r="G167" s="32"/>
      <c r="H167" s="32"/>
      <c r="I167" s="32"/>
      <c r="J167" s="32"/>
      <c r="K167" s="32"/>
      <c r="L167" s="32"/>
      <c r="M167" s="32"/>
      <c r="N167" s="32"/>
      <c r="O167" s="32"/>
      <c r="P167" s="32"/>
      <c r="Q167" s="32"/>
      <c r="R167" s="32"/>
      <c r="S167" s="32"/>
      <c r="T167" s="32"/>
      <c r="U167" s="32"/>
      <c r="V167" s="26"/>
      <c r="W167" s="31" t="e">
        <f>INDEX(TBL_TRANSIT[TransitID],$A167)</f>
        <v>#REF!</v>
      </c>
      <c r="X167" s="31" t="e">
        <f>"TransitCapMax_"&amp;RIGHT($W167,11)</f>
        <v>#REF!</v>
      </c>
    </row>
    <row r="168" spans="1:24" x14ac:dyDescent="0.25">
      <c r="A168" s="94">
        <f t="shared" si="170"/>
        <v>41</v>
      </c>
      <c r="B168" s="116"/>
      <c r="C168" s="93" t="str">
        <f t="shared" ref="C168:D168" si="202">IF($B166&lt;&gt;"",C164,"")</f>
        <v/>
      </c>
      <c r="D168" s="93" t="str">
        <f t="shared" si="202"/>
        <v/>
      </c>
      <c r="E168" s="27"/>
      <c r="F168" s="27"/>
      <c r="G168" s="27"/>
      <c r="H168" s="27"/>
      <c r="I168" s="27"/>
      <c r="J168" s="27"/>
      <c r="K168" s="27"/>
      <c r="L168" s="27"/>
      <c r="M168" s="27"/>
      <c r="N168" s="27"/>
      <c r="O168" s="27"/>
      <c r="P168" s="27"/>
      <c r="Q168" s="27"/>
      <c r="R168" s="27"/>
      <c r="S168" s="27"/>
      <c r="T168" s="27"/>
      <c r="U168" s="27"/>
      <c r="V168" s="25"/>
      <c r="W168" s="31" t="e">
        <f>INDEX(TBL_TRANSIT[TransitID],$A168)</f>
        <v>#REF!</v>
      </c>
      <c r="X168" s="31" t="e">
        <f>"TransitTariffFixed_"&amp;RIGHT($W168,11)</f>
        <v>#REF!</v>
      </c>
    </row>
    <row r="169" spans="1:24" x14ac:dyDescent="0.25">
      <c r="A169" s="94">
        <f t="shared" si="170"/>
        <v>41</v>
      </c>
      <c r="B169" s="117"/>
      <c r="C169" s="93" t="str">
        <f t="shared" ref="C169:D169" si="203">IF($B166&lt;&gt;"",C165,"")</f>
        <v/>
      </c>
      <c r="D169" s="93" t="str">
        <f t="shared" si="203"/>
        <v/>
      </c>
      <c r="E169" s="32"/>
      <c r="F169" s="32"/>
      <c r="G169" s="32"/>
      <c r="H169" s="32"/>
      <c r="I169" s="32"/>
      <c r="J169" s="32"/>
      <c r="K169" s="32"/>
      <c r="L169" s="32"/>
      <c r="M169" s="32"/>
      <c r="N169" s="32"/>
      <c r="O169" s="32"/>
      <c r="P169" s="32"/>
      <c r="Q169" s="32"/>
      <c r="R169" s="32"/>
      <c r="S169" s="32"/>
      <c r="T169" s="32"/>
      <c r="U169" s="32"/>
      <c r="V169" s="26"/>
      <c r="W169" s="31" t="e">
        <f>INDEX(TBL_TRANSIT[TransitID],$A169)</f>
        <v>#REF!</v>
      </c>
      <c r="X169" s="31" t="e">
        <f>"TransitTariffVar_"&amp;RIGHT($W169,11)</f>
        <v>#REF!</v>
      </c>
    </row>
    <row r="170" spans="1:24" x14ac:dyDescent="0.25">
      <c r="A170" s="94">
        <f t="shared" ref="A170" si="204">$A166+1</f>
        <v>42</v>
      </c>
      <c r="B170" s="115" t="str">
        <f>IFERROR(INDEX(TBL_TRANSIT[Name],$A170),"")</f>
        <v/>
      </c>
      <c r="C170" s="93" t="str">
        <f t="shared" ref="C170:D170" si="205">IF($B170&lt;&gt;"",C166,"")</f>
        <v/>
      </c>
      <c r="D170" s="93" t="str">
        <f t="shared" si="205"/>
        <v/>
      </c>
      <c r="E170" s="27"/>
      <c r="F170" s="27"/>
      <c r="G170" s="27"/>
      <c r="H170" s="27"/>
      <c r="I170" s="27"/>
      <c r="J170" s="27"/>
      <c r="K170" s="27"/>
      <c r="L170" s="27"/>
      <c r="M170" s="27"/>
      <c r="N170" s="27"/>
      <c r="O170" s="27"/>
      <c r="P170" s="27"/>
      <c r="Q170" s="27"/>
      <c r="R170" s="27"/>
      <c r="S170" s="27"/>
      <c r="T170" s="27"/>
      <c r="U170" s="27"/>
      <c r="V170" s="25"/>
      <c r="W170" s="31" t="e">
        <f>INDEX(TBL_TRANSIT[TransitID],$A170)</f>
        <v>#REF!</v>
      </c>
      <c r="X170" s="31" t="e">
        <f>"TransitCapMin_"&amp;RIGHT($W170,11)</f>
        <v>#REF!</v>
      </c>
    </row>
    <row r="171" spans="1:24" x14ac:dyDescent="0.25">
      <c r="A171" s="94">
        <f t="shared" si="170"/>
        <v>42</v>
      </c>
      <c r="B171" s="116"/>
      <c r="C171" s="93" t="str">
        <f t="shared" ref="C171:D171" si="206">IF($B170&lt;&gt;"",C167,"")</f>
        <v/>
      </c>
      <c r="D171" s="93" t="str">
        <f t="shared" si="206"/>
        <v/>
      </c>
      <c r="E171" s="32"/>
      <c r="F171" s="32"/>
      <c r="G171" s="32"/>
      <c r="H171" s="32"/>
      <c r="I171" s="32"/>
      <c r="J171" s="32"/>
      <c r="K171" s="32"/>
      <c r="L171" s="32"/>
      <c r="M171" s="32"/>
      <c r="N171" s="32"/>
      <c r="O171" s="32"/>
      <c r="P171" s="32"/>
      <c r="Q171" s="32"/>
      <c r="R171" s="32"/>
      <c r="S171" s="32"/>
      <c r="T171" s="32"/>
      <c r="U171" s="32"/>
      <c r="V171" s="26"/>
      <c r="W171" s="31" t="e">
        <f>INDEX(TBL_TRANSIT[TransitID],$A171)</f>
        <v>#REF!</v>
      </c>
      <c r="X171" s="31" t="e">
        <f>"TransitCapMax_"&amp;RIGHT($W171,11)</f>
        <v>#REF!</v>
      </c>
    </row>
    <row r="172" spans="1:24" x14ac:dyDescent="0.25">
      <c r="A172" s="94">
        <f t="shared" si="170"/>
        <v>42</v>
      </c>
      <c r="B172" s="116"/>
      <c r="C172" s="93" t="str">
        <f t="shared" ref="C172:D172" si="207">IF($B170&lt;&gt;"",C168,"")</f>
        <v/>
      </c>
      <c r="D172" s="93" t="str">
        <f t="shared" si="207"/>
        <v/>
      </c>
      <c r="E172" s="27"/>
      <c r="F172" s="27"/>
      <c r="G172" s="27"/>
      <c r="H172" s="27"/>
      <c r="I172" s="27"/>
      <c r="J172" s="27"/>
      <c r="K172" s="27"/>
      <c r="L172" s="27"/>
      <c r="M172" s="27"/>
      <c r="N172" s="27"/>
      <c r="O172" s="27"/>
      <c r="P172" s="27"/>
      <c r="Q172" s="27"/>
      <c r="R172" s="27"/>
      <c r="S172" s="27"/>
      <c r="T172" s="27"/>
      <c r="U172" s="27"/>
      <c r="V172" s="25"/>
      <c r="W172" s="31" t="e">
        <f>INDEX(TBL_TRANSIT[TransitID],$A172)</f>
        <v>#REF!</v>
      </c>
      <c r="X172" s="31" t="e">
        <f>"TransitTariffFixed_"&amp;RIGHT($W172,11)</f>
        <v>#REF!</v>
      </c>
    </row>
    <row r="173" spans="1:24" x14ac:dyDescent="0.25">
      <c r="A173" s="94">
        <f t="shared" si="170"/>
        <v>42</v>
      </c>
      <c r="B173" s="117"/>
      <c r="C173" s="93" t="str">
        <f t="shared" ref="C173:D173" si="208">IF($B170&lt;&gt;"",C169,"")</f>
        <v/>
      </c>
      <c r="D173" s="93" t="str">
        <f t="shared" si="208"/>
        <v/>
      </c>
      <c r="E173" s="32"/>
      <c r="F173" s="32"/>
      <c r="G173" s="32"/>
      <c r="H173" s="32"/>
      <c r="I173" s="32"/>
      <c r="J173" s="32"/>
      <c r="K173" s="32"/>
      <c r="L173" s="32"/>
      <c r="M173" s="32"/>
      <c r="N173" s="32"/>
      <c r="O173" s="32"/>
      <c r="P173" s="32"/>
      <c r="Q173" s="32"/>
      <c r="R173" s="32"/>
      <c r="S173" s="32"/>
      <c r="T173" s="32"/>
      <c r="U173" s="32"/>
      <c r="V173" s="26"/>
      <c r="W173" s="31" t="e">
        <f>INDEX(TBL_TRANSIT[TransitID],$A173)</f>
        <v>#REF!</v>
      </c>
      <c r="X173" s="31" t="e">
        <f>"TransitTariffVar_"&amp;RIGHT($W173,11)</f>
        <v>#REF!</v>
      </c>
    </row>
    <row r="174" spans="1:24" x14ac:dyDescent="0.25">
      <c r="A174" s="94">
        <f t="shared" ref="A174" si="209">$A170+1</f>
        <v>43</v>
      </c>
      <c r="B174" s="115" t="str">
        <f>IFERROR(INDEX(TBL_TRANSIT[Name],$A174),"")</f>
        <v/>
      </c>
      <c r="C174" s="93" t="str">
        <f t="shared" ref="C174:D174" si="210">IF($B174&lt;&gt;"",C170,"")</f>
        <v/>
      </c>
      <c r="D174" s="93" t="str">
        <f t="shared" si="210"/>
        <v/>
      </c>
      <c r="E174" s="27"/>
      <c r="F174" s="27"/>
      <c r="G174" s="27"/>
      <c r="H174" s="27"/>
      <c r="I174" s="27"/>
      <c r="J174" s="27"/>
      <c r="K174" s="27"/>
      <c r="L174" s="27"/>
      <c r="M174" s="27"/>
      <c r="N174" s="27"/>
      <c r="O174" s="27"/>
      <c r="P174" s="27"/>
      <c r="Q174" s="27"/>
      <c r="R174" s="27"/>
      <c r="S174" s="27"/>
      <c r="T174" s="27"/>
      <c r="U174" s="27"/>
      <c r="V174" s="25"/>
      <c r="W174" s="31" t="e">
        <f>INDEX(TBL_TRANSIT[TransitID],$A174)</f>
        <v>#REF!</v>
      </c>
      <c r="X174" s="31" t="e">
        <f>"TransitCapMin_"&amp;RIGHT($W174,11)</f>
        <v>#REF!</v>
      </c>
    </row>
    <row r="175" spans="1:24" x14ac:dyDescent="0.25">
      <c r="A175" s="94">
        <f t="shared" si="170"/>
        <v>43</v>
      </c>
      <c r="B175" s="116"/>
      <c r="C175" s="93" t="str">
        <f t="shared" ref="C175:D175" si="211">IF($B174&lt;&gt;"",C171,"")</f>
        <v/>
      </c>
      <c r="D175" s="93" t="str">
        <f t="shared" si="211"/>
        <v/>
      </c>
      <c r="E175" s="32"/>
      <c r="F175" s="32"/>
      <c r="G175" s="32"/>
      <c r="H175" s="32"/>
      <c r="I175" s="32"/>
      <c r="J175" s="32"/>
      <c r="K175" s="32"/>
      <c r="L175" s="32"/>
      <c r="M175" s="32"/>
      <c r="N175" s="32"/>
      <c r="O175" s="32"/>
      <c r="P175" s="32"/>
      <c r="Q175" s="32"/>
      <c r="R175" s="32"/>
      <c r="S175" s="32"/>
      <c r="T175" s="32"/>
      <c r="U175" s="32"/>
      <c r="V175" s="26"/>
      <c r="W175" s="31" t="e">
        <f>INDEX(TBL_TRANSIT[TransitID],$A175)</f>
        <v>#REF!</v>
      </c>
      <c r="X175" s="31" t="e">
        <f>"TransitCapMax_"&amp;RIGHT($W175,11)</f>
        <v>#REF!</v>
      </c>
    </row>
    <row r="176" spans="1:24" x14ac:dyDescent="0.25">
      <c r="A176" s="94">
        <f t="shared" si="170"/>
        <v>43</v>
      </c>
      <c r="B176" s="116"/>
      <c r="C176" s="93" t="str">
        <f t="shared" ref="C176:D176" si="212">IF($B174&lt;&gt;"",C172,"")</f>
        <v/>
      </c>
      <c r="D176" s="93" t="str">
        <f t="shared" si="212"/>
        <v/>
      </c>
      <c r="E176" s="27"/>
      <c r="F176" s="27"/>
      <c r="G176" s="27"/>
      <c r="H176" s="27"/>
      <c r="I176" s="27"/>
      <c r="J176" s="27"/>
      <c r="K176" s="27"/>
      <c r="L176" s="27"/>
      <c r="M176" s="27"/>
      <c r="N176" s="27"/>
      <c r="O176" s="27"/>
      <c r="P176" s="27"/>
      <c r="Q176" s="27"/>
      <c r="R176" s="27"/>
      <c r="S176" s="27"/>
      <c r="T176" s="27"/>
      <c r="U176" s="27"/>
      <c r="V176" s="25"/>
      <c r="W176" s="31" t="e">
        <f>INDEX(TBL_TRANSIT[TransitID],$A176)</f>
        <v>#REF!</v>
      </c>
      <c r="X176" s="31" t="e">
        <f>"TransitTariffFixed_"&amp;RIGHT($W176,11)</f>
        <v>#REF!</v>
      </c>
    </row>
    <row r="177" spans="1:24" x14ac:dyDescent="0.25">
      <c r="A177" s="94">
        <f t="shared" si="170"/>
        <v>43</v>
      </c>
      <c r="B177" s="117"/>
      <c r="C177" s="93" t="str">
        <f t="shared" ref="C177:D177" si="213">IF($B174&lt;&gt;"",C173,"")</f>
        <v/>
      </c>
      <c r="D177" s="93" t="str">
        <f t="shared" si="213"/>
        <v/>
      </c>
      <c r="E177" s="32"/>
      <c r="F177" s="32"/>
      <c r="G177" s="32"/>
      <c r="H177" s="32"/>
      <c r="I177" s="32"/>
      <c r="J177" s="32"/>
      <c r="K177" s="32"/>
      <c r="L177" s="32"/>
      <c r="M177" s="32"/>
      <c r="N177" s="32"/>
      <c r="O177" s="32"/>
      <c r="P177" s="32"/>
      <c r="Q177" s="32"/>
      <c r="R177" s="32"/>
      <c r="S177" s="32"/>
      <c r="T177" s="32"/>
      <c r="U177" s="32"/>
      <c r="V177" s="26"/>
      <c r="W177" s="31" t="e">
        <f>INDEX(TBL_TRANSIT[TransitID],$A177)</f>
        <v>#REF!</v>
      </c>
      <c r="X177" s="31" t="e">
        <f>"TransitTariffVar_"&amp;RIGHT($W177,11)</f>
        <v>#REF!</v>
      </c>
    </row>
    <row r="178" spans="1:24" x14ac:dyDescent="0.25">
      <c r="A178" s="94">
        <f t="shared" ref="A178" si="214">$A174+1</f>
        <v>44</v>
      </c>
      <c r="B178" s="115" t="str">
        <f>IFERROR(INDEX(TBL_TRANSIT[Name],$A178),"")</f>
        <v/>
      </c>
      <c r="C178" s="93" t="str">
        <f t="shared" ref="C178:D178" si="215">IF($B178&lt;&gt;"",C174,"")</f>
        <v/>
      </c>
      <c r="D178" s="93" t="str">
        <f t="shared" si="215"/>
        <v/>
      </c>
      <c r="E178" s="27"/>
      <c r="F178" s="27"/>
      <c r="G178" s="27"/>
      <c r="H178" s="27"/>
      <c r="I178" s="27"/>
      <c r="J178" s="27"/>
      <c r="K178" s="27"/>
      <c r="L178" s="27"/>
      <c r="M178" s="27"/>
      <c r="N178" s="27"/>
      <c r="O178" s="27"/>
      <c r="P178" s="27"/>
      <c r="Q178" s="27"/>
      <c r="R178" s="27"/>
      <c r="S178" s="27"/>
      <c r="T178" s="27"/>
      <c r="U178" s="27"/>
      <c r="V178" s="25"/>
      <c r="W178" s="31" t="e">
        <f>INDEX(TBL_TRANSIT[TransitID],$A178)</f>
        <v>#REF!</v>
      </c>
      <c r="X178" s="31" t="e">
        <f>"TransitCapMin_"&amp;RIGHT($W178,11)</f>
        <v>#REF!</v>
      </c>
    </row>
    <row r="179" spans="1:24" x14ac:dyDescent="0.25">
      <c r="A179" s="94">
        <f t="shared" si="170"/>
        <v>44</v>
      </c>
      <c r="B179" s="116"/>
      <c r="C179" s="93" t="str">
        <f t="shared" ref="C179:D179" si="216">IF($B178&lt;&gt;"",C175,"")</f>
        <v/>
      </c>
      <c r="D179" s="93" t="str">
        <f t="shared" si="216"/>
        <v/>
      </c>
      <c r="E179" s="32"/>
      <c r="F179" s="32"/>
      <c r="G179" s="32"/>
      <c r="H179" s="32"/>
      <c r="I179" s="32"/>
      <c r="J179" s="32"/>
      <c r="K179" s="32"/>
      <c r="L179" s="32"/>
      <c r="M179" s="32"/>
      <c r="N179" s="32"/>
      <c r="O179" s="32"/>
      <c r="P179" s="32"/>
      <c r="Q179" s="32"/>
      <c r="R179" s="32"/>
      <c r="S179" s="32"/>
      <c r="T179" s="32"/>
      <c r="U179" s="32"/>
      <c r="V179" s="26"/>
      <c r="W179" s="31" t="e">
        <f>INDEX(TBL_TRANSIT[TransitID],$A179)</f>
        <v>#REF!</v>
      </c>
      <c r="X179" s="31" t="e">
        <f>"TransitCapMax_"&amp;RIGHT($W179,11)</f>
        <v>#REF!</v>
      </c>
    </row>
    <row r="180" spans="1:24" x14ac:dyDescent="0.25">
      <c r="A180" s="94">
        <f t="shared" si="170"/>
        <v>44</v>
      </c>
      <c r="B180" s="116"/>
      <c r="C180" s="93" t="str">
        <f t="shared" ref="C180:D180" si="217">IF($B178&lt;&gt;"",C176,"")</f>
        <v/>
      </c>
      <c r="D180" s="93" t="str">
        <f t="shared" si="217"/>
        <v/>
      </c>
      <c r="E180" s="27"/>
      <c r="F180" s="27"/>
      <c r="G180" s="27"/>
      <c r="H180" s="27"/>
      <c r="I180" s="27"/>
      <c r="J180" s="27"/>
      <c r="K180" s="27"/>
      <c r="L180" s="27"/>
      <c r="M180" s="27"/>
      <c r="N180" s="27"/>
      <c r="O180" s="27"/>
      <c r="P180" s="27"/>
      <c r="Q180" s="27"/>
      <c r="R180" s="27"/>
      <c r="S180" s="27"/>
      <c r="T180" s="27"/>
      <c r="U180" s="27"/>
      <c r="V180" s="25"/>
      <c r="W180" s="31" t="e">
        <f>INDEX(TBL_TRANSIT[TransitID],$A180)</f>
        <v>#REF!</v>
      </c>
      <c r="X180" s="31" t="e">
        <f>"TransitTariffFixed_"&amp;RIGHT($W180,11)</f>
        <v>#REF!</v>
      </c>
    </row>
    <row r="181" spans="1:24" x14ac:dyDescent="0.25">
      <c r="A181" s="94">
        <f t="shared" si="170"/>
        <v>44</v>
      </c>
      <c r="B181" s="117"/>
      <c r="C181" s="93" t="str">
        <f t="shared" ref="C181:D181" si="218">IF($B178&lt;&gt;"",C177,"")</f>
        <v/>
      </c>
      <c r="D181" s="93" t="str">
        <f t="shared" si="218"/>
        <v/>
      </c>
      <c r="E181" s="32"/>
      <c r="F181" s="32"/>
      <c r="G181" s="32"/>
      <c r="H181" s="32"/>
      <c r="I181" s="32"/>
      <c r="J181" s="32"/>
      <c r="K181" s="32"/>
      <c r="L181" s="32"/>
      <c r="M181" s="32"/>
      <c r="N181" s="32"/>
      <c r="O181" s="32"/>
      <c r="P181" s="32"/>
      <c r="Q181" s="32"/>
      <c r="R181" s="32"/>
      <c r="S181" s="32"/>
      <c r="T181" s="32"/>
      <c r="U181" s="32"/>
      <c r="V181" s="26"/>
      <c r="W181" s="31" t="e">
        <f>INDEX(TBL_TRANSIT[TransitID],$A181)</f>
        <v>#REF!</v>
      </c>
      <c r="X181" s="31" t="e">
        <f>"TransitTariffVar_"&amp;RIGHT($W181,11)</f>
        <v>#REF!</v>
      </c>
    </row>
    <row r="182" spans="1:24" x14ac:dyDescent="0.25">
      <c r="A182" s="94">
        <f t="shared" ref="A182" si="219">$A178+1</f>
        <v>45</v>
      </c>
      <c r="B182" s="115" t="str">
        <f>IFERROR(INDEX(TBL_TRANSIT[Name],$A182),"")</f>
        <v/>
      </c>
      <c r="C182" s="93" t="str">
        <f t="shared" ref="C182:D182" si="220">IF($B182&lt;&gt;"",C178,"")</f>
        <v/>
      </c>
      <c r="D182" s="93" t="str">
        <f t="shared" si="220"/>
        <v/>
      </c>
      <c r="E182" s="27"/>
      <c r="F182" s="27"/>
      <c r="G182" s="27"/>
      <c r="H182" s="27"/>
      <c r="I182" s="27"/>
      <c r="J182" s="27"/>
      <c r="K182" s="27"/>
      <c r="L182" s="27"/>
      <c r="M182" s="27"/>
      <c r="N182" s="27"/>
      <c r="O182" s="27"/>
      <c r="P182" s="27"/>
      <c r="Q182" s="27"/>
      <c r="R182" s="27"/>
      <c r="S182" s="27"/>
      <c r="T182" s="27"/>
      <c r="U182" s="27"/>
      <c r="V182" s="25"/>
      <c r="W182" s="31" t="e">
        <f>INDEX(TBL_TRANSIT[TransitID],$A182)</f>
        <v>#REF!</v>
      </c>
      <c r="X182" s="31" t="e">
        <f>"TransitCapMin_"&amp;RIGHT($W182,11)</f>
        <v>#REF!</v>
      </c>
    </row>
    <row r="183" spans="1:24" x14ac:dyDescent="0.25">
      <c r="A183" s="94">
        <f t="shared" si="170"/>
        <v>45</v>
      </c>
      <c r="B183" s="116"/>
      <c r="C183" s="93" t="str">
        <f t="shared" ref="C183:D183" si="221">IF($B182&lt;&gt;"",C179,"")</f>
        <v/>
      </c>
      <c r="D183" s="93" t="str">
        <f t="shared" si="221"/>
        <v/>
      </c>
      <c r="E183" s="32"/>
      <c r="F183" s="32"/>
      <c r="G183" s="32"/>
      <c r="H183" s="32"/>
      <c r="I183" s="32"/>
      <c r="J183" s="32"/>
      <c r="K183" s="32"/>
      <c r="L183" s="32"/>
      <c r="M183" s="32"/>
      <c r="N183" s="32"/>
      <c r="O183" s="32"/>
      <c r="P183" s="32"/>
      <c r="Q183" s="32"/>
      <c r="R183" s="32"/>
      <c r="S183" s="32"/>
      <c r="T183" s="32"/>
      <c r="U183" s="32"/>
      <c r="V183" s="26"/>
      <c r="W183" s="31" t="e">
        <f>INDEX(TBL_TRANSIT[TransitID],$A183)</f>
        <v>#REF!</v>
      </c>
      <c r="X183" s="31" t="e">
        <f>"TransitCapMax_"&amp;RIGHT($W183,11)</f>
        <v>#REF!</v>
      </c>
    </row>
    <row r="184" spans="1:24" x14ac:dyDescent="0.25">
      <c r="A184" s="94">
        <f t="shared" si="170"/>
        <v>45</v>
      </c>
      <c r="B184" s="116"/>
      <c r="C184" s="93" t="str">
        <f t="shared" ref="C184:D184" si="222">IF($B182&lt;&gt;"",C180,"")</f>
        <v/>
      </c>
      <c r="D184" s="93" t="str">
        <f t="shared" si="222"/>
        <v/>
      </c>
      <c r="E184" s="27"/>
      <c r="F184" s="27"/>
      <c r="G184" s="27"/>
      <c r="H184" s="27"/>
      <c r="I184" s="27"/>
      <c r="J184" s="27"/>
      <c r="K184" s="27"/>
      <c r="L184" s="27"/>
      <c r="M184" s="27"/>
      <c r="N184" s="27"/>
      <c r="O184" s="27"/>
      <c r="P184" s="27"/>
      <c r="Q184" s="27"/>
      <c r="R184" s="27"/>
      <c r="S184" s="27"/>
      <c r="T184" s="27"/>
      <c r="U184" s="27"/>
      <c r="V184" s="25"/>
      <c r="W184" s="31" t="e">
        <f>INDEX(TBL_TRANSIT[TransitID],$A184)</f>
        <v>#REF!</v>
      </c>
      <c r="X184" s="31" t="e">
        <f>"TransitTariffFixed_"&amp;RIGHT($W184,11)</f>
        <v>#REF!</v>
      </c>
    </row>
    <row r="185" spans="1:24" x14ac:dyDescent="0.25">
      <c r="A185" s="94">
        <f t="shared" si="170"/>
        <v>45</v>
      </c>
      <c r="B185" s="117"/>
      <c r="C185" s="93" t="str">
        <f t="shared" ref="C185:D185" si="223">IF($B182&lt;&gt;"",C181,"")</f>
        <v/>
      </c>
      <c r="D185" s="93" t="str">
        <f t="shared" si="223"/>
        <v/>
      </c>
      <c r="E185" s="32"/>
      <c r="F185" s="32"/>
      <c r="G185" s="32"/>
      <c r="H185" s="32"/>
      <c r="I185" s="32"/>
      <c r="J185" s="32"/>
      <c r="K185" s="32"/>
      <c r="L185" s="32"/>
      <c r="M185" s="32"/>
      <c r="N185" s="32"/>
      <c r="O185" s="32"/>
      <c r="P185" s="32"/>
      <c r="Q185" s="32"/>
      <c r="R185" s="32"/>
      <c r="S185" s="32"/>
      <c r="T185" s="32"/>
      <c r="U185" s="32"/>
      <c r="V185" s="26"/>
      <c r="W185" s="31" t="e">
        <f>INDEX(TBL_TRANSIT[TransitID],$A185)</f>
        <v>#REF!</v>
      </c>
      <c r="X185" s="31" t="e">
        <f>"TransitTariffVar_"&amp;RIGHT($W185,11)</f>
        <v>#REF!</v>
      </c>
    </row>
    <row r="186" spans="1:24" x14ac:dyDescent="0.25">
      <c r="A186" s="94">
        <f t="shared" ref="A186" si="224">$A182+1</f>
        <v>46</v>
      </c>
      <c r="B186" s="115" t="str">
        <f>IFERROR(INDEX(TBL_TRANSIT[Name],$A186),"")</f>
        <v/>
      </c>
      <c r="C186" s="93" t="str">
        <f t="shared" ref="C186:D186" si="225">IF($B186&lt;&gt;"",C182,"")</f>
        <v/>
      </c>
      <c r="D186" s="93" t="str">
        <f t="shared" si="225"/>
        <v/>
      </c>
      <c r="E186" s="27"/>
      <c r="F186" s="27"/>
      <c r="G186" s="27"/>
      <c r="H186" s="27"/>
      <c r="I186" s="27"/>
      <c r="J186" s="27"/>
      <c r="K186" s="27"/>
      <c r="L186" s="27"/>
      <c r="M186" s="27"/>
      <c r="N186" s="27"/>
      <c r="O186" s="27"/>
      <c r="P186" s="27"/>
      <c r="Q186" s="27"/>
      <c r="R186" s="27"/>
      <c r="S186" s="27"/>
      <c r="T186" s="27"/>
      <c r="U186" s="27"/>
      <c r="V186" s="25"/>
      <c r="W186" s="31" t="e">
        <f>INDEX(TBL_TRANSIT[TransitID],$A186)</f>
        <v>#REF!</v>
      </c>
      <c r="X186" s="31" t="e">
        <f>"TransitCapMin_"&amp;RIGHT($W186,11)</f>
        <v>#REF!</v>
      </c>
    </row>
    <row r="187" spans="1:24" x14ac:dyDescent="0.25">
      <c r="A187" s="94">
        <f t="shared" si="170"/>
        <v>46</v>
      </c>
      <c r="B187" s="116"/>
      <c r="C187" s="93" t="str">
        <f t="shared" ref="C187:D187" si="226">IF($B186&lt;&gt;"",C183,"")</f>
        <v/>
      </c>
      <c r="D187" s="93" t="str">
        <f t="shared" si="226"/>
        <v/>
      </c>
      <c r="E187" s="32"/>
      <c r="F187" s="32"/>
      <c r="G187" s="32"/>
      <c r="H187" s="32"/>
      <c r="I187" s="32"/>
      <c r="J187" s="32"/>
      <c r="K187" s="32"/>
      <c r="L187" s="32"/>
      <c r="M187" s="32"/>
      <c r="N187" s="32"/>
      <c r="O187" s="32"/>
      <c r="P187" s="32"/>
      <c r="Q187" s="32"/>
      <c r="R187" s="32"/>
      <c r="S187" s="32"/>
      <c r="T187" s="32"/>
      <c r="U187" s="32"/>
      <c r="V187" s="26"/>
      <c r="W187" s="31" t="e">
        <f>INDEX(TBL_TRANSIT[TransitID],$A187)</f>
        <v>#REF!</v>
      </c>
      <c r="X187" s="31" t="e">
        <f>"TransitCapMax_"&amp;RIGHT($W187,11)</f>
        <v>#REF!</v>
      </c>
    </row>
    <row r="188" spans="1:24" x14ac:dyDescent="0.25">
      <c r="A188" s="94">
        <f t="shared" si="170"/>
        <v>46</v>
      </c>
      <c r="B188" s="116"/>
      <c r="C188" s="93" t="str">
        <f t="shared" ref="C188:D188" si="227">IF($B186&lt;&gt;"",C184,"")</f>
        <v/>
      </c>
      <c r="D188" s="93" t="str">
        <f t="shared" si="227"/>
        <v/>
      </c>
      <c r="E188" s="27"/>
      <c r="F188" s="27"/>
      <c r="G188" s="27"/>
      <c r="H188" s="27"/>
      <c r="I188" s="27"/>
      <c r="J188" s="27"/>
      <c r="K188" s="27"/>
      <c r="L188" s="27"/>
      <c r="M188" s="27"/>
      <c r="N188" s="27"/>
      <c r="O188" s="27"/>
      <c r="P188" s="27"/>
      <c r="Q188" s="27"/>
      <c r="R188" s="27"/>
      <c r="S188" s="27"/>
      <c r="T188" s="27"/>
      <c r="U188" s="27"/>
      <c r="V188" s="25"/>
      <c r="W188" s="31" t="e">
        <f>INDEX(TBL_TRANSIT[TransitID],$A188)</f>
        <v>#REF!</v>
      </c>
      <c r="X188" s="31" t="e">
        <f>"TransitTariffFixed_"&amp;RIGHT($W188,11)</f>
        <v>#REF!</v>
      </c>
    </row>
    <row r="189" spans="1:24" x14ac:dyDescent="0.25">
      <c r="A189" s="94">
        <f t="shared" si="170"/>
        <v>46</v>
      </c>
      <c r="B189" s="117"/>
      <c r="C189" s="93" t="str">
        <f t="shared" ref="C189:D189" si="228">IF($B186&lt;&gt;"",C185,"")</f>
        <v/>
      </c>
      <c r="D189" s="93" t="str">
        <f t="shared" si="228"/>
        <v/>
      </c>
      <c r="E189" s="32"/>
      <c r="F189" s="32"/>
      <c r="G189" s="32"/>
      <c r="H189" s="32"/>
      <c r="I189" s="32"/>
      <c r="J189" s="32"/>
      <c r="K189" s="32"/>
      <c r="L189" s="32"/>
      <c r="M189" s="32"/>
      <c r="N189" s="32"/>
      <c r="O189" s="32"/>
      <c r="P189" s="32"/>
      <c r="Q189" s="32"/>
      <c r="R189" s="32"/>
      <c r="S189" s="32"/>
      <c r="T189" s="32"/>
      <c r="U189" s="32"/>
      <c r="V189" s="26"/>
      <c r="W189" s="31" t="e">
        <f>INDEX(TBL_TRANSIT[TransitID],$A189)</f>
        <v>#REF!</v>
      </c>
      <c r="X189" s="31" t="e">
        <f>"TransitTariffVar_"&amp;RIGHT($W189,11)</f>
        <v>#REF!</v>
      </c>
    </row>
    <row r="190" spans="1:24" x14ac:dyDescent="0.25">
      <c r="A190" s="94">
        <f t="shared" ref="A190" si="229">$A186+1</f>
        <v>47</v>
      </c>
      <c r="B190" s="115" t="str">
        <f>IFERROR(INDEX(TBL_TRANSIT[Name],$A190),"")</f>
        <v/>
      </c>
      <c r="C190" s="93" t="str">
        <f t="shared" ref="C190:D190" si="230">IF($B190&lt;&gt;"",C186,"")</f>
        <v/>
      </c>
      <c r="D190" s="93" t="str">
        <f t="shared" si="230"/>
        <v/>
      </c>
      <c r="E190" s="27"/>
      <c r="F190" s="27"/>
      <c r="G190" s="27"/>
      <c r="H190" s="27"/>
      <c r="I190" s="27"/>
      <c r="J190" s="27"/>
      <c r="K190" s="27"/>
      <c r="L190" s="27"/>
      <c r="M190" s="27"/>
      <c r="N190" s="27"/>
      <c r="O190" s="27"/>
      <c r="P190" s="27"/>
      <c r="Q190" s="27"/>
      <c r="R190" s="27"/>
      <c r="S190" s="27"/>
      <c r="T190" s="27"/>
      <c r="U190" s="27"/>
      <c r="V190" s="25"/>
      <c r="W190" s="31" t="e">
        <f>INDEX(TBL_TRANSIT[TransitID],$A190)</f>
        <v>#REF!</v>
      </c>
      <c r="X190" s="31" t="e">
        <f>"TransitCapMin_"&amp;RIGHT($W190,11)</f>
        <v>#REF!</v>
      </c>
    </row>
    <row r="191" spans="1:24" x14ac:dyDescent="0.25">
      <c r="A191" s="94">
        <f t="shared" si="170"/>
        <v>47</v>
      </c>
      <c r="B191" s="116"/>
      <c r="C191" s="93" t="str">
        <f t="shared" ref="C191:D191" si="231">IF($B190&lt;&gt;"",C187,"")</f>
        <v/>
      </c>
      <c r="D191" s="93" t="str">
        <f t="shared" si="231"/>
        <v/>
      </c>
      <c r="E191" s="32"/>
      <c r="F191" s="32"/>
      <c r="G191" s="32"/>
      <c r="H191" s="32"/>
      <c r="I191" s="32"/>
      <c r="J191" s="32"/>
      <c r="K191" s="32"/>
      <c r="L191" s="32"/>
      <c r="M191" s="32"/>
      <c r="N191" s="32"/>
      <c r="O191" s="32"/>
      <c r="P191" s="32"/>
      <c r="Q191" s="32"/>
      <c r="R191" s="32"/>
      <c r="S191" s="32"/>
      <c r="T191" s="32"/>
      <c r="U191" s="32"/>
      <c r="V191" s="26"/>
      <c r="W191" s="31" t="e">
        <f>INDEX(TBL_TRANSIT[TransitID],$A191)</f>
        <v>#REF!</v>
      </c>
      <c r="X191" s="31" t="e">
        <f>"TransitCapMax_"&amp;RIGHT($W191,11)</f>
        <v>#REF!</v>
      </c>
    </row>
    <row r="192" spans="1:24" x14ac:dyDescent="0.25">
      <c r="A192" s="94">
        <f t="shared" si="170"/>
        <v>47</v>
      </c>
      <c r="B192" s="116"/>
      <c r="C192" s="93" t="str">
        <f t="shared" ref="C192:D192" si="232">IF($B190&lt;&gt;"",C188,"")</f>
        <v/>
      </c>
      <c r="D192" s="93" t="str">
        <f t="shared" si="232"/>
        <v/>
      </c>
      <c r="E192" s="27"/>
      <c r="F192" s="27"/>
      <c r="G192" s="27"/>
      <c r="H192" s="27"/>
      <c r="I192" s="27"/>
      <c r="J192" s="27"/>
      <c r="K192" s="27"/>
      <c r="L192" s="27"/>
      <c r="M192" s="27"/>
      <c r="N192" s="27"/>
      <c r="O192" s="27"/>
      <c r="P192" s="27"/>
      <c r="Q192" s="27"/>
      <c r="R192" s="27"/>
      <c r="S192" s="27"/>
      <c r="T192" s="27"/>
      <c r="U192" s="27"/>
      <c r="V192" s="25"/>
      <c r="W192" s="31" t="e">
        <f>INDEX(TBL_TRANSIT[TransitID],$A192)</f>
        <v>#REF!</v>
      </c>
      <c r="X192" s="31" t="e">
        <f>"TransitTariffFixed_"&amp;RIGHT($W192,11)</f>
        <v>#REF!</v>
      </c>
    </row>
    <row r="193" spans="1:24" x14ac:dyDescent="0.25">
      <c r="A193" s="94">
        <f t="shared" si="170"/>
        <v>47</v>
      </c>
      <c r="B193" s="117"/>
      <c r="C193" s="93" t="str">
        <f t="shared" ref="C193:D193" si="233">IF($B190&lt;&gt;"",C189,"")</f>
        <v/>
      </c>
      <c r="D193" s="93" t="str">
        <f t="shared" si="233"/>
        <v/>
      </c>
      <c r="E193" s="32"/>
      <c r="F193" s="32"/>
      <c r="G193" s="32"/>
      <c r="H193" s="32"/>
      <c r="I193" s="32"/>
      <c r="J193" s="32"/>
      <c r="K193" s="32"/>
      <c r="L193" s="32"/>
      <c r="M193" s="32"/>
      <c r="N193" s="32"/>
      <c r="O193" s="32"/>
      <c r="P193" s="32"/>
      <c r="Q193" s="32"/>
      <c r="R193" s="32"/>
      <c r="S193" s="32"/>
      <c r="T193" s="32"/>
      <c r="U193" s="32"/>
      <c r="V193" s="26"/>
      <c r="W193" s="31" t="e">
        <f>INDEX(TBL_TRANSIT[TransitID],$A193)</f>
        <v>#REF!</v>
      </c>
      <c r="X193" s="31" t="e">
        <f>"TransitTariffVar_"&amp;RIGHT($W193,11)</f>
        <v>#REF!</v>
      </c>
    </row>
    <row r="194" spans="1:24" x14ac:dyDescent="0.25">
      <c r="A194" s="94">
        <f t="shared" ref="A194" si="234">$A190+1</f>
        <v>48</v>
      </c>
      <c r="B194" s="115" t="str">
        <f>IFERROR(INDEX(TBL_TRANSIT[Name],$A194),"")</f>
        <v/>
      </c>
      <c r="C194" s="93" t="str">
        <f t="shared" ref="C194:D194" si="235">IF($B194&lt;&gt;"",C190,"")</f>
        <v/>
      </c>
      <c r="D194" s="93" t="str">
        <f t="shared" si="235"/>
        <v/>
      </c>
      <c r="E194" s="27"/>
      <c r="F194" s="27"/>
      <c r="G194" s="27"/>
      <c r="H194" s="27"/>
      <c r="I194" s="27"/>
      <c r="J194" s="27"/>
      <c r="K194" s="27"/>
      <c r="L194" s="27"/>
      <c r="M194" s="27"/>
      <c r="N194" s="27"/>
      <c r="O194" s="27"/>
      <c r="P194" s="27"/>
      <c r="Q194" s="27"/>
      <c r="R194" s="27"/>
      <c r="S194" s="27"/>
      <c r="T194" s="27"/>
      <c r="U194" s="27"/>
      <c r="V194" s="25"/>
      <c r="W194" s="31" t="e">
        <f>INDEX(TBL_TRANSIT[TransitID],$A194)</f>
        <v>#REF!</v>
      </c>
      <c r="X194" s="31" t="e">
        <f>"TransitCapMin_"&amp;RIGHT($W194,11)</f>
        <v>#REF!</v>
      </c>
    </row>
    <row r="195" spans="1:24" x14ac:dyDescent="0.25">
      <c r="A195" s="94">
        <f t="shared" si="170"/>
        <v>48</v>
      </c>
      <c r="B195" s="116"/>
      <c r="C195" s="93" t="str">
        <f t="shared" ref="C195:D195" si="236">IF($B194&lt;&gt;"",C191,"")</f>
        <v/>
      </c>
      <c r="D195" s="93" t="str">
        <f t="shared" si="236"/>
        <v/>
      </c>
      <c r="E195" s="32"/>
      <c r="F195" s="32"/>
      <c r="G195" s="32"/>
      <c r="H195" s="32"/>
      <c r="I195" s="32"/>
      <c r="J195" s="32"/>
      <c r="K195" s="32"/>
      <c r="L195" s="32"/>
      <c r="M195" s="32"/>
      <c r="N195" s="32"/>
      <c r="O195" s="32"/>
      <c r="P195" s="32"/>
      <c r="Q195" s="32"/>
      <c r="R195" s="32"/>
      <c r="S195" s="32"/>
      <c r="T195" s="32"/>
      <c r="U195" s="32"/>
      <c r="V195" s="26"/>
      <c r="W195" s="31" t="e">
        <f>INDEX(TBL_TRANSIT[TransitID],$A195)</f>
        <v>#REF!</v>
      </c>
      <c r="X195" s="31" t="e">
        <f>"TransitCapMax_"&amp;RIGHT($W195,11)</f>
        <v>#REF!</v>
      </c>
    </row>
    <row r="196" spans="1:24" x14ac:dyDescent="0.25">
      <c r="A196" s="94">
        <f t="shared" si="170"/>
        <v>48</v>
      </c>
      <c r="B196" s="116"/>
      <c r="C196" s="93" t="str">
        <f t="shared" ref="C196:D196" si="237">IF($B194&lt;&gt;"",C192,"")</f>
        <v/>
      </c>
      <c r="D196" s="93" t="str">
        <f t="shared" si="237"/>
        <v/>
      </c>
      <c r="E196" s="27"/>
      <c r="F196" s="27"/>
      <c r="G196" s="27"/>
      <c r="H196" s="27"/>
      <c r="I196" s="27"/>
      <c r="J196" s="27"/>
      <c r="K196" s="27"/>
      <c r="L196" s="27"/>
      <c r="M196" s="27"/>
      <c r="N196" s="27"/>
      <c r="O196" s="27"/>
      <c r="P196" s="27"/>
      <c r="Q196" s="27"/>
      <c r="R196" s="27"/>
      <c r="S196" s="27"/>
      <c r="T196" s="27"/>
      <c r="U196" s="27"/>
      <c r="V196" s="25"/>
      <c r="W196" s="31" t="e">
        <f>INDEX(TBL_TRANSIT[TransitID],$A196)</f>
        <v>#REF!</v>
      </c>
      <c r="X196" s="31" t="e">
        <f>"TransitTariffFixed_"&amp;RIGHT($W196,11)</f>
        <v>#REF!</v>
      </c>
    </row>
    <row r="197" spans="1:24" x14ac:dyDescent="0.25">
      <c r="A197" s="94">
        <f t="shared" si="170"/>
        <v>48</v>
      </c>
      <c r="B197" s="117"/>
      <c r="C197" s="93" t="str">
        <f t="shared" ref="C197:D197" si="238">IF($B194&lt;&gt;"",C193,"")</f>
        <v/>
      </c>
      <c r="D197" s="93" t="str">
        <f t="shared" si="238"/>
        <v/>
      </c>
      <c r="E197" s="32"/>
      <c r="F197" s="32"/>
      <c r="G197" s="32"/>
      <c r="H197" s="32"/>
      <c r="I197" s="32"/>
      <c r="J197" s="32"/>
      <c r="K197" s="32"/>
      <c r="L197" s="32"/>
      <c r="M197" s="32"/>
      <c r="N197" s="32"/>
      <c r="O197" s="32"/>
      <c r="P197" s="32"/>
      <c r="Q197" s="32"/>
      <c r="R197" s="32"/>
      <c r="S197" s="32"/>
      <c r="T197" s="32"/>
      <c r="U197" s="32"/>
      <c r="V197" s="26"/>
      <c r="W197" s="31" t="e">
        <f>INDEX(TBL_TRANSIT[TransitID],$A197)</f>
        <v>#REF!</v>
      </c>
      <c r="X197" s="31" t="e">
        <f>"TransitTariffVar_"&amp;RIGHT($W197,11)</f>
        <v>#REF!</v>
      </c>
    </row>
    <row r="198" spans="1:24" x14ac:dyDescent="0.25">
      <c r="A198" s="94">
        <f t="shared" ref="A198" si="239">$A194+1</f>
        <v>49</v>
      </c>
      <c r="B198" s="115" t="str">
        <f>IFERROR(INDEX(TBL_TRANSIT[Name],$A198),"")</f>
        <v/>
      </c>
      <c r="C198" s="93" t="str">
        <f t="shared" ref="C198:D198" si="240">IF($B198&lt;&gt;"",C194,"")</f>
        <v/>
      </c>
      <c r="D198" s="93" t="str">
        <f t="shared" si="240"/>
        <v/>
      </c>
      <c r="E198" s="27"/>
      <c r="F198" s="27"/>
      <c r="G198" s="27"/>
      <c r="H198" s="27"/>
      <c r="I198" s="27"/>
      <c r="J198" s="27"/>
      <c r="K198" s="27"/>
      <c r="L198" s="27"/>
      <c r="M198" s="27"/>
      <c r="N198" s="27"/>
      <c r="O198" s="27"/>
      <c r="P198" s="27"/>
      <c r="Q198" s="27"/>
      <c r="R198" s="27"/>
      <c r="S198" s="27"/>
      <c r="T198" s="27"/>
      <c r="U198" s="27"/>
      <c r="V198" s="25"/>
      <c r="W198" s="31" t="e">
        <f>INDEX(TBL_TRANSIT[TransitID],$A198)</f>
        <v>#REF!</v>
      </c>
      <c r="X198" s="31" t="e">
        <f>"TransitCapMin_"&amp;RIGHT($W198,11)</f>
        <v>#REF!</v>
      </c>
    </row>
    <row r="199" spans="1:24" x14ac:dyDescent="0.25">
      <c r="A199" s="94">
        <f t="shared" ref="A199:A237" si="241">$A198</f>
        <v>49</v>
      </c>
      <c r="B199" s="116"/>
      <c r="C199" s="93" t="str">
        <f t="shared" ref="C199:D199" si="242">IF($B198&lt;&gt;"",C195,"")</f>
        <v/>
      </c>
      <c r="D199" s="93" t="str">
        <f t="shared" si="242"/>
        <v/>
      </c>
      <c r="E199" s="32"/>
      <c r="F199" s="32"/>
      <c r="G199" s="32"/>
      <c r="H199" s="32"/>
      <c r="I199" s="32"/>
      <c r="J199" s="32"/>
      <c r="K199" s="32"/>
      <c r="L199" s="32"/>
      <c r="M199" s="32"/>
      <c r="N199" s="32"/>
      <c r="O199" s="32"/>
      <c r="P199" s="32"/>
      <c r="Q199" s="32"/>
      <c r="R199" s="32"/>
      <c r="S199" s="32"/>
      <c r="T199" s="32"/>
      <c r="U199" s="32"/>
      <c r="V199" s="26"/>
      <c r="W199" s="31" t="e">
        <f>INDEX(TBL_TRANSIT[TransitID],$A199)</f>
        <v>#REF!</v>
      </c>
      <c r="X199" s="31" t="e">
        <f>"TransitCapMax_"&amp;RIGHT($W199,11)</f>
        <v>#REF!</v>
      </c>
    </row>
    <row r="200" spans="1:24" x14ac:dyDescent="0.25">
      <c r="A200" s="94">
        <f t="shared" si="241"/>
        <v>49</v>
      </c>
      <c r="B200" s="116"/>
      <c r="C200" s="93" t="str">
        <f t="shared" ref="C200:D200" si="243">IF($B198&lt;&gt;"",C196,"")</f>
        <v/>
      </c>
      <c r="D200" s="93" t="str">
        <f t="shared" si="243"/>
        <v/>
      </c>
      <c r="E200" s="27"/>
      <c r="F200" s="27"/>
      <c r="G200" s="27"/>
      <c r="H200" s="27"/>
      <c r="I200" s="27"/>
      <c r="J200" s="27"/>
      <c r="K200" s="27"/>
      <c r="L200" s="27"/>
      <c r="M200" s="27"/>
      <c r="N200" s="27"/>
      <c r="O200" s="27"/>
      <c r="P200" s="27"/>
      <c r="Q200" s="27"/>
      <c r="R200" s="27"/>
      <c r="S200" s="27"/>
      <c r="T200" s="27"/>
      <c r="U200" s="27"/>
      <c r="V200" s="25"/>
      <c r="W200" s="31" t="e">
        <f>INDEX(TBL_TRANSIT[TransitID],$A200)</f>
        <v>#REF!</v>
      </c>
      <c r="X200" s="31" t="e">
        <f>"TransitTariffFixed_"&amp;RIGHT($W200,11)</f>
        <v>#REF!</v>
      </c>
    </row>
    <row r="201" spans="1:24" x14ac:dyDescent="0.25">
      <c r="A201" s="94">
        <f t="shared" si="241"/>
        <v>49</v>
      </c>
      <c r="B201" s="117"/>
      <c r="C201" s="93" t="str">
        <f t="shared" ref="C201:D201" si="244">IF($B198&lt;&gt;"",C197,"")</f>
        <v/>
      </c>
      <c r="D201" s="93" t="str">
        <f t="shared" si="244"/>
        <v/>
      </c>
      <c r="E201" s="32"/>
      <c r="F201" s="32"/>
      <c r="G201" s="32"/>
      <c r="H201" s="32"/>
      <c r="I201" s="32"/>
      <c r="J201" s="32"/>
      <c r="K201" s="32"/>
      <c r="L201" s="32"/>
      <c r="M201" s="32"/>
      <c r="N201" s="32"/>
      <c r="O201" s="32"/>
      <c r="P201" s="32"/>
      <c r="Q201" s="32"/>
      <c r="R201" s="32"/>
      <c r="S201" s="32"/>
      <c r="T201" s="32"/>
      <c r="U201" s="32"/>
      <c r="V201" s="26"/>
      <c r="W201" s="31" t="e">
        <f>INDEX(TBL_TRANSIT[TransitID],$A201)</f>
        <v>#REF!</v>
      </c>
      <c r="X201" s="31" t="e">
        <f>"TransitTariffVar_"&amp;RIGHT($W201,11)</f>
        <v>#REF!</v>
      </c>
    </row>
    <row r="202" spans="1:24" x14ac:dyDescent="0.25">
      <c r="A202" s="94">
        <f t="shared" ref="A202" si="245">$A198+1</f>
        <v>50</v>
      </c>
      <c r="B202" s="115" t="str">
        <f>IFERROR(INDEX(TBL_TRANSIT[Name],$A202),"")</f>
        <v/>
      </c>
      <c r="C202" s="93" t="str">
        <f t="shared" ref="C202:D202" si="246">IF($B202&lt;&gt;"",C198,"")</f>
        <v/>
      </c>
      <c r="D202" s="93" t="str">
        <f t="shared" si="246"/>
        <v/>
      </c>
      <c r="E202" s="27"/>
      <c r="F202" s="27"/>
      <c r="G202" s="27"/>
      <c r="H202" s="27"/>
      <c r="I202" s="27"/>
      <c r="J202" s="27"/>
      <c r="K202" s="27"/>
      <c r="L202" s="27"/>
      <c r="M202" s="27"/>
      <c r="N202" s="27"/>
      <c r="O202" s="27"/>
      <c r="P202" s="27"/>
      <c r="Q202" s="27"/>
      <c r="R202" s="27"/>
      <c r="S202" s="27"/>
      <c r="T202" s="27"/>
      <c r="U202" s="27"/>
      <c r="V202" s="25"/>
      <c r="W202" s="31" t="e">
        <f>INDEX(TBL_TRANSIT[TransitID],$A202)</f>
        <v>#REF!</v>
      </c>
      <c r="X202" s="31" t="e">
        <f>"TransitCapMin_"&amp;RIGHT($W202,11)</f>
        <v>#REF!</v>
      </c>
    </row>
    <row r="203" spans="1:24" x14ac:dyDescent="0.25">
      <c r="A203" s="94">
        <f t="shared" si="241"/>
        <v>50</v>
      </c>
      <c r="B203" s="116"/>
      <c r="C203" s="93" t="str">
        <f t="shared" ref="C203:D203" si="247">IF($B202&lt;&gt;"",C199,"")</f>
        <v/>
      </c>
      <c r="D203" s="93" t="str">
        <f t="shared" si="247"/>
        <v/>
      </c>
      <c r="E203" s="32"/>
      <c r="F203" s="32"/>
      <c r="G203" s="32"/>
      <c r="H203" s="32"/>
      <c r="I203" s="32"/>
      <c r="J203" s="32"/>
      <c r="K203" s="32"/>
      <c r="L203" s="32"/>
      <c r="M203" s="32"/>
      <c r="N203" s="32"/>
      <c r="O203" s="32"/>
      <c r="P203" s="32"/>
      <c r="Q203" s="32"/>
      <c r="R203" s="32"/>
      <c r="S203" s="32"/>
      <c r="T203" s="32"/>
      <c r="U203" s="32"/>
      <c r="V203" s="26"/>
      <c r="W203" s="31" t="e">
        <f>INDEX(TBL_TRANSIT[TransitID],$A203)</f>
        <v>#REF!</v>
      </c>
      <c r="X203" s="31" t="e">
        <f>"TransitCapMax_"&amp;RIGHT($W203,11)</f>
        <v>#REF!</v>
      </c>
    </row>
    <row r="204" spans="1:24" x14ac:dyDescent="0.25">
      <c r="A204" s="94">
        <f t="shared" si="241"/>
        <v>50</v>
      </c>
      <c r="B204" s="116"/>
      <c r="C204" s="93" t="str">
        <f t="shared" ref="C204:D204" si="248">IF($B202&lt;&gt;"",C200,"")</f>
        <v/>
      </c>
      <c r="D204" s="93" t="str">
        <f t="shared" si="248"/>
        <v/>
      </c>
      <c r="E204" s="27"/>
      <c r="F204" s="27"/>
      <c r="G204" s="27"/>
      <c r="H204" s="27"/>
      <c r="I204" s="27"/>
      <c r="J204" s="27"/>
      <c r="K204" s="27"/>
      <c r="L204" s="27"/>
      <c r="M204" s="27"/>
      <c r="N204" s="27"/>
      <c r="O204" s="27"/>
      <c r="P204" s="27"/>
      <c r="Q204" s="27"/>
      <c r="R204" s="27"/>
      <c r="S204" s="27"/>
      <c r="T204" s="27"/>
      <c r="U204" s="27"/>
      <c r="V204" s="25"/>
      <c r="W204" s="31" t="e">
        <f>INDEX(TBL_TRANSIT[TransitID],$A204)</f>
        <v>#REF!</v>
      </c>
      <c r="X204" s="31" t="e">
        <f>"TransitTariffFixed_"&amp;RIGHT($W204,11)</f>
        <v>#REF!</v>
      </c>
    </row>
    <row r="205" spans="1:24" x14ac:dyDescent="0.25">
      <c r="A205" s="94">
        <f t="shared" si="241"/>
        <v>50</v>
      </c>
      <c r="B205" s="117"/>
      <c r="C205" s="93" t="str">
        <f t="shared" ref="C205:D205" si="249">IF($B202&lt;&gt;"",C201,"")</f>
        <v/>
      </c>
      <c r="D205" s="93" t="str">
        <f t="shared" si="249"/>
        <v/>
      </c>
      <c r="E205" s="32"/>
      <c r="F205" s="32"/>
      <c r="G205" s="32"/>
      <c r="H205" s="32"/>
      <c r="I205" s="32"/>
      <c r="J205" s="32"/>
      <c r="K205" s="32"/>
      <c r="L205" s="32"/>
      <c r="M205" s="32"/>
      <c r="N205" s="32"/>
      <c r="O205" s="32"/>
      <c r="P205" s="32"/>
      <c r="Q205" s="32"/>
      <c r="R205" s="32"/>
      <c r="S205" s="32"/>
      <c r="T205" s="32"/>
      <c r="U205" s="32"/>
      <c r="V205" s="26"/>
      <c r="W205" s="31" t="e">
        <f>INDEX(TBL_TRANSIT[TransitID],$A205)</f>
        <v>#REF!</v>
      </c>
      <c r="X205" s="31" t="e">
        <f>"TransitTariffVar_"&amp;RIGHT($W205,11)</f>
        <v>#REF!</v>
      </c>
    </row>
    <row r="206" spans="1:24" x14ac:dyDescent="0.25">
      <c r="A206" s="94">
        <f t="shared" ref="A206" si="250">$A202+1</f>
        <v>51</v>
      </c>
      <c r="B206" s="115" t="str">
        <f>IFERROR(INDEX(TBL_TRANSIT[Name],$A206),"")</f>
        <v/>
      </c>
      <c r="C206" s="93" t="str">
        <f t="shared" ref="C206:D206" si="251">IF($B206&lt;&gt;"",C202,"")</f>
        <v/>
      </c>
      <c r="D206" s="93" t="str">
        <f t="shared" si="251"/>
        <v/>
      </c>
      <c r="E206" s="27"/>
      <c r="F206" s="27"/>
      <c r="G206" s="27"/>
      <c r="H206" s="27"/>
      <c r="I206" s="27"/>
      <c r="J206" s="27"/>
      <c r="K206" s="27"/>
      <c r="L206" s="27"/>
      <c r="M206" s="27"/>
      <c r="N206" s="27"/>
      <c r="O206" s="27"/>
      <c r="P206" s="27"/>
      <c r="Q206" s="27"/>
      <c r="R206" s="27"/>
      <c r="S206" s="27"/>
      <c r="T206" s="27"/>
      <c r="U206" s="27"/>
      <c r="V206" s="25"/>
      <c r="W206" s="31" t="e">
        <f>INDEX(TBL_TRANSIT[TransitID],$A206)</f>
        <v>#REF!</v>
      </c>
      <c r="X206" s="31" t="e">
        <f>"TransitCapMin_"&amp;RIGHT($W206,11)</f>
        <v>#REF!</v>
      </c>
    </row>
    <row r="207" spans="1:24" x14ac:dyDescent="0.25">
      <c r="A207" s="94">
        <f t="shared" si="241"/>
        <v>51</v>
      </c>
      <c r="B207" s="116"/>
      <c r="C207" s="93" t="str">
        <f t="shared" ref="C207:D207" si="252">IF($B206&lt;&gt;"",C203,"")</f>
        <v/>
      </c>
      <c r="D207" s="93" t="str">
        <f t="shared" si="252"/>
        <v/>
      </c>
      <c r="E207" s="32"/>
      <c r="F207" s="32"/>
      <c r="G207" s="32"/>
      <c r="H207" s="32"/>
      <c r="I207" s="32"/>
      <c r="J207" s="32"/>
      <c r="K207" s="32"/>
      <c r="L207" s="32"/>
      <c r="M207" s="32"/>
      <c r="N207" s="32"/>
      <c r="O207" s="32"/>
      <c r="P207" s="32"/>
      <c r="Q207" s="32"/>
      <c r="R207" s="32"/>
      <c r="S207" s="32"/>
      <c r="T207" s="32"/>
      <c r="U207" s="32"/>
      <c r="V207" s="26"/>
      <c r="W207" s="31" t="e">
        <f>INDEX(TBL_TRANSIT[TransitID],$A207)</f>
        <v>#REF!</v>
      </c>
      <c r="X207" s="31" t="e">
        <f>"TransitCapMax_"&amp;RIGHT($W207,11)</f>
        <v>#REF!</v>
      </c>
    </row>
    <row r="208" spans="1:24" x14ac:dyDescent="0.25">
      <c r="A208" s="94">
        <f t="shared" si="241"/>
        <v>51</v>
      </c>
      <c r="B208" s="116"/>
      <c r="C208" s="93" t="str">
        <f t="shared" ref="C208:D208" si="253">IF($B206&lt;&gt;"",C204,"")</f>
        <v/>
      </c>
      <c r="D208" s="93" t="str">
        <f t="shared" si="253"/>
        <v/>
      </c>
      <c r="E208" s="27"/>
      <c r="F208" s="27"/>
      <c r="G208" s="27"/>
      <c r="H208" s="27"/>
      <c r="I208" s="27"/>
      <c r="J208" s="27"/>
      <c r="K208" s="27"/>
      <c r="L208" s="27"/>
      <c r="M208" s="27"/>
      <c r="N208" s="27"/>
      <c r="O208" s="27"/>
      <c r="P208" s="27"/>
      <c r="Q208" s="27"/>
      <c r="R208" s="27"/>
      <c r="S208" s="27"/>
      <c r="T208" s="27"/>
      <c r="U208" s="27"/>
      <c r="V208" s="25"/>
      <c r="W208" s="31" t="e">
        <f>INDEX(TBL_TRANSIT[TransitID],$A208)</f>
        <v>#REF!</v>
      </c>
      <c r="X208" s="31" t="e">
        <f>"TransitTariffFixed_"&amp;RIGHT($W208,11)</f>
        <v>#REF!</v>
      </c>
    </row>
    <row r="209" spans="1:24" x14ac:dyDescent="0.25">
      <c r="A209" s="94">
        <f t="shared" si="241"/>
        <v>51</v>
      </c>
      <c r="B209" s="117"/>
      <c r="C209" s="93" t="str">
        <f t="shared" ref="C209:D209" si="254">IF($B206&lt;&gt;"",C205,"")</f>
        <v/>
      </c>
      <c r="D209" s="93" t="str">
        <f t="shared" si="254"/>
        <v/>
      </c>
      <c r="E209" s="32"/>
      <c r="F209" s="32"/>
      <c r="G209" s="32"/>
      <c r="H209" s="32"/>
      <c r="I209" s="32"/>
      <c r="J209" s="32"/>
      <c r="K209" s="32"/>
      <c r="L209" s="32"/>
      <c r="M209" s="32"/>
      <c r="N209" s="32"/>
      <c r="O209" s="32"/>
      <c r="P209" s="32"/>
      <c r="Q209" s="32"/>
      <c r="R209" s="32"/>
      <c r="S209" s="32"/>
      <c r="T209" s="32"/>
      <c r="U209" s="32"/>
      <c r="V209" s="26"/>
      <c r="W209" s="31" t="e">
        <f>INDEX(TBL_TRANSIT[TransitID],$A209)</f>
        <v>#REF!</v>
      </c>
      <c r="X209" s="31" t="e">
        <f>"TransitTariffVar_"&amp;RIGHT($W209,11)</f>
        <v>#REF!</v>
      </c>
    </row>
    <row r="210" spans="1:24" x14ac:dyDescent="0.25">
      <c r="A210" s="94">
        <f t="shared" ref="A210" si="255">$A206+1</f>
        <v>52</v>
      </c>
      <c r="B210" s="115" t="str">
        <f>IFERROR(INDEX(TBL_TRANSIT[Name],$A210),"")</f>
        <v/>
      </c>
      <c r="C210" s="93" t="str">
        <f t="shared" ref="C210:D210" si="256">IF($B210&lt;&gt;"",C206,"")</f>
        <v/>
      </c>
      <c r="D210" s="93" t="str">
        <f t="shared" si="256"/>
        <v/>
      </c>
      <c r="E210" s="27"/>
      <c r="F210" s="27"/>
      <c r="G210" s="27"/>
      <c r="H210" s="27"/>
      <c r="I210" s="27"/>
      <c r="J210" s="27"/>
      <c r="K210" s="27"/>
      <c r="L210" s="27"/>
      <c r="M210" s="27"/>
      <c r="N210" s="27"/>
      <c r="O210" s="27"/>
      <c r="P210" s="27"/>
      <c r="Q210" s="27"/>
      <c r="R210" s="27"/>
      <c r="S210" s="27"/>
      <c r="T210" s="27"/>
      <c r="U210" s="27"/>
      <c r="V210" s="25"/>
      <c r="W210" s="31" t="e">
        <f>INDEX(TBL_TRANSIT[TransitID],$A210)</f>
        <v>#REF!</v>
      </c>
      <c r="X210" s="31" t="e">
        <f>"TransitCapMin_"&amp;RIGHT($W210,11)</f>
        <v>#REF!</v>
      </c>
    </row>
    <row r="211" spans="1:24" x14ac:dyDescent="0.25">
      <c r="A211" s="94">
        <f t="shared" si="241"/>
        <v>52</v>
      </c>
      <c r="B211" s="116"/>
      <c r="C211" s="93" t="str">
        <f t="shared" ref="C211:D211" si="257">IF($B210&lt;&gt;"",C207,"")</f>
        <v/>
      </c>
      <c r="D211" s="93" t="str">
        <f t="shared" si="257"/>
        <v/>
      </c>
      <c r="E211" s="32"/>
      <c r="F211" s="32"/>
      <c r="G211" s="32"/>
      <c r="H211" s="32"/>
      <c r="I211" s="32"/>
      <c r="J211" s="32"/>
      <c r="K211" s="32"/>
      <c r="L211" s="32"/>
      <c r="M211" s="32"/>
      <c r="N211" s="32"/>
      <c r="O211" s="32"/>
      <c r="P211" s="32"/>
      <c r="Q211" s="32"/>
      <c r="R211" s="32"/>
      <c r="S211" s="32"/>
      <c r="T211" s="32"/>
      <c r="U211" s="32"/>
      <c r="V211" s="26"/>
      <c r="W211" s="31" t="e">
        <f>INDEX(TBL_TRANSIT[TransitID],$A211)</f>
        <v>#REF!</v>
      </c>
      <c r="X211" s="31" t="e">
        <f>"TransitCapMax_"&amp;RIGHT($W211,11)</f>
        <v>#REF!</v>
      </c>
    </row>
    <row r="212" spans="1:24" x14ac:dyDescent="0.25">
      <c r="A212" s="94">
        <f t="shared" si="241"/>
        <v>52</v>
      </c>
      <c r="B212" s="116"/>
      <c r="C212" s="93" t="str">
        <f t="shared" ref="C212:D212" si="258">IF($B210&lt;&gt;"",C208,"")</f>
        <v/>
      </c>
      <c r="D212" s="93" t="str">
        <f t="shared" si="258"/>
        <v/>
      </c>
      <c r="E212" s="27"/>
      <c r="F212" s="27"/>
      <c r="G212" s="27"/>
      <c r="H212" s="27"/>
      <c r="I212" s="27"/>
      <c r="J212" s="27"/>
      <c r="K212" s="27"/>
      <c r="L212" s="27"/>
      <c r="M212" s="27"/>
      <c r="N212" s="27"/>
      <c r="O212" s="27"/>
      <c r="P212" s="27"/>
      <c r="Q212" s="27"/>
      <c r="R212" s="27"/>
      <c r="S212" s="27"/>
      <c r="T212" s="27"/>
      <c r="U212" s="27"/>
      <c r="V212" s="25"/>
      <c r="W212" s="31" t="e">
        <f>INDEX(TBL_TRANSIT[TransitID],$A212)</f>
        <v>#REF!</v>
      </c>
      <c r="X212" s="31" t="e">
        <f>"TransitTariffFixed_"&amp;RIGHT($W212,11)</f>
        <v>#REF!</v>
      </c>
    </row>
    <row r="213" spans="1:24" x14ac:dyDescent="0.25">
      <c r="A213" s="94">
        <f t="shared" si="241"/>
        <v>52</v>
      </c>
      <c r="B213" s="117"/>
      <c r="C213" s="93" t="str">
        <f t="shared" ref="C213:D213" si="259">IF($B210&lt;&gt;"",C209,"")</f>
        <v/>
      </c>
      <c r="D213" s="93" t="str">
        <f t="shared" si="259"/>
        <v/>
      </c>
      <c r="E213" s="32"/>
      <c r="F213" s="32"/>
      <c r="G213" s="32"/>
      <c r="H213" s="32"/>
      <c r="I213" s="32"/>
      <c r="J213" s="32"/>
      <c r="K213" s="32"/>
      <c r="L213" s="32"/>
      <c r="M213" s="32"/>
      <c r="N213" s="32"/>
      <c r="O213" s="32"/>
      <c r="P213" s="32"/>
      <c r="Q213" s="32"/>
      <c r="R213" s="32"/>
      <c r="S213" s="32"/>
      <c r="T213" s="32"/>
      <c r="U213" s="32"/>
      <c r="V213" s="26"/>
      <c r="W213" s="31" t="e">
        <f>INDEX(TBL_TRANSIT[TransitID],$A213)</f>
        <v>#REF!</v>
      </c>
      <c r="X213" s="31" t="e">
        <f>"TransitTariffVar_"&amp;RIGHT($W213,11)</f>
        <v>#REF!</v>
      </c>
    </row>
    <row r="214" spans="1:24" x14ac:dyDescent="0.25">
      <c r="A214" s="94">
        <f t="shared" ref="A214" si="260">$A210+1</f>
        <v>53</v>
      </c>
      <c r="B214" s="115" t="str">
        <f>IFERROR(INDEX(TBL_TRANSIT[Name],$A214),"")</f>
        <v/>
      </c>
      <c r="C214" s="93" t="str">
        <f t="shared" ref="C214:D214" si="261">IF($B214&lt;&gt;"",C210,"")</f>
        <v/>
      </c>
      <c r="D214" s="93" t="str">
        <f t="shared" si="261"/>
        <v/>
      </c>
      <c r="E214" s="27"/>
      <c r="F214" s="27"/>
      <c r="G214" s="27"/>
      <c r="H214" s="27"/>
      <c r="I214" s="27"/>
      <c r="J214" s="27"/>
      <c r="K214" s="27"/>
      <c r="L214" s="27"/>
      <c r="M214" s="27"/>
      <c r="N214" s="27"/>
      <c r="O214" s="27"/>
      <c r="P214" s="27"/>
      <c r="Q214" s="27"/>
      <c r="R214" s="27"/>
      <c r="S214" s="27"/>
      <c r="T214" s="27"/>
      <c r="U214" s="27"/>
      <c r="V214" s="25"/>
      <c r="W214" s="31" t="e">
        <f>INDEX(TBL_TRANSIT[TransitID],$A214)</f>
        <v>#REF!</v>
      </c>
      <c r="X214" s="31" t="e">
        <f>"TransitCapMin_"&amp;RIGHT($W214,11)</f>
        <v>#REF!</v>
      </c>
    </row>
    <row r="215" spans="1:24" x14ac:dyDescent="0.25">
      <c r="A215" s="94">
        <f t="shared" si="241"/>
        <v>53</v>
      </c>
      <c r="B215" s="116"/>
      <c r="C215" s="93" t="str">
        <f t="shared" ref="C215:D215" si="262">IF($B214&lt;&gt;"",C211,"")</f>
        <v/>
      </c>
      <c r="D215" s="93" t="str">
        <f t="shared" si="262"/>
        <v/>
      </c>
      <c r="E215" s="32"/>
      <c r="F215" s="32"/>
      <c r="G215" s="32"/>
      <c r="H215" s="32"/>
      <c r="I215" s="32"/>
      <c r="J215" s="32"/>
      <c r="K215" s="32"/>
      <c r="L215" s="32"/>
      <c r="M215" s="32"/>
      <c r="N215" s="32"/>
      <c r="O215" s="32"/>
      <c r="P215" s="32"/>
      <c r="Q215" s="32"/>
      <c r="R215" s="32"/>
      <c r="S215" s="32"/>
      <c r="T215" s="32"/>
      <c r="U215" s="32"/>
      <c r="V215" s="26"/>
      <c r="W215" s="31" t="e">
        <f>INDEX(TBL_TRANSIT[TransitID],$A215)</f>
        <v>#REF!</v>
      </c>
      <c r="X215" s="31" t="e">
        <f>"TransitCapMax_"&amp;RIGHT($W215,11)</f>
        <v>#REF!</v>
      </c>
    </row>
    <row r="216" spans="1:24" x14ac:dyDescent="0.25">
      <c r="A216" s="94">
        <f t="shared" si="241"/>
        <v>53</v>
      </c>
      <c r="B216" s="116"/>
      <c r="C216" s="93" t="str">
        <f t="shared" ref="C216:D216" si="263">IF($B214&lt;&gt;"",C212,"")</f>
        <v/>
      </c>
      <c r="D216" s="93" t="str">
        <f t="shared" si="263"/>
        <v/>
      </c>
      <c r="E216" s="27"/>
      <c r="F216" s="27"/>
      <c r="G216" s="27"/>
      <c r="H216" s="27"/>
      <c r="I216" s="27"/>
      <c r="J216" s="27"/>
      <c r="K216" s="27"/>
      <c r="L216" s="27"/>
      <c r="M216" s="27"/>
      <c r="N216" s="27"/>
      <c r="O216" s="27"/>
      <c r="P216" s="27"/>
      <c r="Q216" s="27"/>
      <c r="R216" s="27"/>
      <c r="S216" s="27"/>
      <c r="T216" s="27"/>
      <c r="U216" s="27"/>
      <c r="V216" s="25"/>
      <c r="W216" s="31" t="e">
        <f>INDEX(TBL_TRANSIT[TransitID],$A216)</f>
        <v>#REF!</v>
      </c>
      <c r="X216" s="31" t="e">
        <f>"TransitTariffFixed_"&amp;RIGHT($W216,11)</f>
        <v>#REF!</v>
      </c>
    </row>
    <row r="217" spans="1:24" x14ac:dyDescent="0.25">
      <c r="A217" s="94">
        <f t="shared" si="241"/>
        <v>53</v>
      </c>
      <c r="B217" s="117"/>
      <c r="C217" s="93" t="str">
        <f t="shared" ref="C217:D217" si="264">IF($B214&lt;&gt;"",C213,"")</f>
        <v/>
      </c>
      <c r="D217" s="93" t="str">
        <f t="shared" si="264"/>
        <v/>
      </c>
      <c r="E217" s="32"/>
      <c r="F217" s="32"/>
      <c r="G217" s="32"/>
      <c r="H217" s="32"/>
      <c r="I217" s="32"/>
      <c r="J217" s="32"/>
      <c r="K217" s="32"/>
      <c r="L217" s="32"/>
      <c r="M217" s="32"/>
      <c r="N217" s="32"/>
      <c r="O217" s="32"/>
      <c r="P217" s="32"/>
      <c r="Q217" s="32"/>
      <c r="R217" s="32"/>
      <c r="S217" s="32"/>
      <c r="T217" s="32"/>
      <c r="U217" s="32"/>
      <c r="V217" s="26"/>
      <c r="W217" s="31" t="e">
        <f>INDEX(TBL_TRANSIT[TransitID],$A217)</f>
        <v>#REF!</v>
      </c>
      <c r="X217" s="31" t="e">
        <f>"TransitTariffVar_"&amp;RIGHT($W217,11)</f>
        <v>#REF!</v>
      </c>
    </row>
    <row r="218" spans="1:24" x14ac:dyDescent="0.25">
      <c r="A218" s="94">
        <f t="shared" ref="A218" si="265">$A214+1</f>
        <v>54</v>
      </c>
      <c r="B218" s="115" t="str">
        <f>IFERROR(INDEX(TBL_TRANSIT[Name],$A218),"")</f>
        <v/>
      </c>
      <c r="C218" s="93" t="str">
        <f t="shared" ref="C218:D218" si="266">IF($B218&lt;&gt;"",C214,"")</f>
        <v/>
      </c>
      <c r="D218" s="93" t="str">
        <f t="shared" si="266"/>
        <v/>
      </c>
      <c r="E218" s="27"/>
      <c r="F218" s="27"/>
      <c r="G218" s="27"/>
      <c r="H218" s="27"/>
      <c r="I218" s="27"/>
      <c r="J218" s="27"/>
      <c r="K218" s="27"/>
      <c r="L218" s="27"/>
      <c r="M218" s="27"/>
      <c r="N218" s="27"/>
      <c r="O218" s="27"/>
      <c r="P218" s="27"/>
      <c r="Q218" s="27"/>
      <c r="R218" s="27"/>
      <c r="S218" s="27"/>
      <c r="T218" s="27"/>
      <c r="U218" s="27"/>
      <c r="V218" s="25"/>
      <c r="W218" s="31" t="e">
        <f>INDEX(TBL_TRANSIT[TransitID],$A218)</f>
        <v>#REF!</v>
      </c>
      <c r="X218" s="31" t="e">
        <f>"TransitCapMin_"&amp;RIGHT($W218,11)</f>
        <v>#REF!</v>
      </c>
    </row>
    <row r="219" spans="1:24" x14ac:dyDescent="0.25">
      <c r="A219" s="94">
        <f t="shared" si="241"/>
        <v>54</v>
      </c>
      <c r="B219" s="116"/>
      <c r="C219" s="93" t="str">
        <f t="shared" ref="C219:D219" si="267">IF($B218&lt;&gt;"",C215,"")</f>
        <v/>
      </c>
      <c r="D219" s="93" t="str">
        <f t="shared" si="267"/>
        <v/>
      </c>
      <c r="E219" s="32"/>
      <c r="F219" s="32"/>
      <c r="G219" s="32"/>
      <c r="H219" s="32"/>
      <c r="I219" s="32"/>
      <c r="J219" s="32"/>
      <c r="K219" s="32"/>
      <c r="L219" s="32"/>
      <c r="M219" s="32"/>
      <c r="N219" s="32"/>
      <c r="O219" s="32"/>
      <c r="P219" s="32"/>
      <c r="Q219" s="32"/>
      <c r="R219" s="32"/>
      <c r="S219" s="32"/>
      <c r="T219" s="32"/>
      <c r="U219" s="32"/>
      <c r="V219" s="26"/>
      <c r="W219" s="31" t="e">
        <f>INDEX(TBL_TRANSIT[TransitID],$A219)</f>
        <v>#REF!</v>
      </c>
      <c r="X219" s="31" t="e">
        <f>"TransitCapMax_"&amp;RIGHT($W219,11)</f>
        <v>#REF!</v>
      </c>
    </row>
    <row r="220" spans="1:24" x14ac:dyDescent="0.25">
      <c r="A220" s="94">
        <f t="shared" si="241"/>
        <v>54</v>
      </c>
      <c r="B220" s="116"/>
      <c r="C220" s="93" t="str">
        <f t="shared" ref="C220:D220" si="268">IF($B218&lt;&gt;"",C216,"")</f>
        <v/>
      </c>
      <c r="D220" s="93" t="str">
        <f t="shared" si="268"/>
        <v/>
      </c>
      <c r="E220" s="27"/>
      <c r="F220" s="27"/>
      <c r="G220" s="27"/>
      <c r="H220" s="27"/>
      <c r="I220" s="27"/>
      <c r="J220" s="27"/>
      <c r="K220" s="27"/>
      <c r="L220" s="27"/>
      <c r="M220" s="27"/>
      <c r="N220" s="27"/>
      <c r="O220" s="27"/>
      <c r="P220" s="27"/>
      <c r="Q220" s="27"/>
      <c r="R220" s="27"/>
      <c r="S220" s="27"/>
      <c r="T220" s="27"/>
      <c r="U220" s="27"/>
      <c r="V220" s="25"/>
      <c r="W220" s="31" t="e">
        <f>INDEX(TBL_TRANSIT[TransitID],$A220)</f>
        <v>#REF!</v>
      </c>
      <c r="X220" s="31" t="e">
        <f>"TransitTariffFixed_"&amp;RIGHT($W220,11)</f>
        <v>#REF!</v>
      </c>
    </row>
    <row r="221" spans="1:24" x14ac:dyDescent="0.25">
      <c r="A221" s="94">
        <f t="shared" si="241"/>
        <v>54</v>
      </c>
      <c r="B221" s="117"/>
      <c r="C221" s="93" t="str">
        <f t="shared" ref="C221:D221" si="269">IF($B218&lt;&gt;"",C217,"")</f>
        <v/>
      </c>
      <c r="D221" s="93" t="str">
        <f t="shared" si="269"/>
        <v/>
      </c>
      <c r="E221" s="32"/>
      <c r="F221" s="32"/>
      <c r="G221" s="32"/>
      <c r="H221" s="32"/>
      <c r="I221" s="32"/>
      <c r="J221" s="32"/>
      <c r="K221" s="32"/>
      <c r="L221" s="32"/>
      <c r="M221" s="32"/>
      <c r="N221" s="32"/>
      <c r="O221" s="32"/>
      <c r="P221" s="32"/>
      <c r="Q221" s="32"/>
      <c r="R221" s="32"/>
      <c r="S221" s="32"/>
      <c r="T221" s="32"/>
      <c r="U221" s="32"/>
      <c r="V221" s="26"/>
      <c r="W221" s="31" t="e">
        <f>INDEX(TBL_TRANSIT[TransitID],$A221)</f>
        <v>#REF!</v>
      </c>
      <c r="X221" s="31" t="e">
        <f>"TransitTariffVar_"&amp;RIGHT($W221,11)</f>
        <v>#REF!</v>
      </c>
    </row>
    <row r="222" spans="1:24" x14ac:dyDescent="0.25">
      <c r="A222" s="94">
        <f t="shared" ref="A222" si="270">$A218+1</f>
        <v>55</v>
      </c>
      <c r="B222" s="115" t="str">
        <f>IFERROR(INDEX(TBL_TRANSIT[Name],$A222),"")</f>
        <v/>
      </c>
      <c r="C222" s="93" t="str">
        <f t="shared" ref="C222:D222" si="271">IF($B222&lt;&gt;"",C218,"")</f>
        <v/>
      </c>
      <c r="D222" s="93" t="str">
        <f t="shared" si="271"/>
        <v/>
      </c>
      <c r="E222" s="27"/>
      <c r="F222" s="27"/>
      <c r="G222" s="27"/>
      <c r="H222" s="27"/>
      <c r="I222" s="27"/>
      <c r="J222" s="27"/>
      <c r="K222" s="27"/>
      <c r="L222" s="27"/>
      <c r="M222" s="27"/>
      <c r="N222" s="27"/>
      <c r="O222" s="27"/>
      <c r="P222" s="27"/>
      <c r="Q222" s="27"/>
      <c r="R222" s="27"/>
      <c r="S222" s="27"/>
      <c r="T222" s="27"/>
      <c r="U222" s="27"/>
      <c r="V222" s="25"/>
      <c r="W222" s="31" t="e">
        <f>INDEX(TBL_TRANSIT[TransitID],$A222)</f>
        <v>#REF!</v>
      </c>
      <c r="X222" s="31" t="e">
        <f>"TransitCapMin_"&amp;RIGHT($W222,11)</f>
        <v>#REF!</v>
      </c>
    </row>
    <row r="223" spans="1:24" x14ac:dyDescent="0.25">
      <c r="A223" s="94">
        <f t="shared" si="241"/>
        <v>55</v>
      </c>
      <c r="B223" s="116"/>
      <c r="C223" s="93" t="str">
        <f t="shared" ref="C223:D223" si="272">IF($B222&lt;&gt;"",C219,"")</f>
        <v/>
      </c>
      <c r="D223" s="93" t="str">
        <f t="shared" si="272"/>
        <v/>
      </c>
      <c r="E223" s="32"/>
      <c r="F223" s="32"/>
      <c r="G223" s="32"/>
      <c r="H223" s="32"/>
      <c r="I223" s="32"/>
      <c r="J223" s="32"/>
      <c r="K223" s="32"/>
      <c r="L223" s="32"/>
      <c r="M223" s="32"/>
      <c r="N223" s="32"/>
      <c r="O223" s="32"/>
      <c r="P223" s="32"/>
      <c r="Q223" s="32"/>
      <c r="R223" s="32"/>
      <c r="S223" s="32"/>
      <c r="T223" s="32"/>
      <c r="U223" s="32"/>
      <c r="V223" s="26"/>
      <c r="W223" s="31" t="e">
        <f>INDEX(TBL_TRANSIT[TransitID],$A223)</f>
        <v>#REF!</v>
      </c>
      <c r="X223" s="31" t="e">
        <f>"TransitCapMax_"&amp;RIGHT($W223,11)</f>
        <v>#REF!</v>
      </c>
    </row>
    <row r="224" spans="1:24" x14ac:dyDescent="0.25">
      <c r="A224" s="94">
        <f t="shared" si="241"/>
        <v>55</v>
      </c>
      <c r="B224" s="116"/>
      <c r="C224" s="93" t="str">
        <f t="shared" ref="C224:D224" si="273">IF($B222&lt;&gt;"",C220,"")</f>
        <v/>
      </c>
      <c r="D224" s="93" t="str">
        <f t="shared" si="273"/>
        <v/>
      </c>
      <c r="E224" s="27"/>
      <c r="F224" s="27"/>
      <c r="G224" s="27"/>
      <c r="H224" s="27"/>
      <c r="I224" s="27"/>
      <c r="J224" s="27"/>
      <c r="K224" s="27"/>
      <c r="L224" s="27"/>
      <c r="M224" s="27"/>
      <c r="N224" s="27"/>
      <c r="O224" s="27"/>
      <c r="P224" s="27"/>
      <c r="Q224" s="27"/>
      <c r="R224" s="27"/>
      <c r="S224" s="27"/>
      <c r="T224" s="27"/>
      <c r="U224" s="27"/>
      <c r="V224" s="25"/>
      <c r="W224" s="31" t="e">
        <f>INDEX(TBL_TRANSIT[TransitID],$A224)</f>
        <v>#REF!</v>
      </c>
      <c r="X224" s="31" t="e">
        <f>"TransitTariffFixed_"&amp;RIGHT($W224,11)</f>
        <v>#REF!</v>
      </c>
    </row>
    <row r="225" spans="1:24" x14ac:dyDescent="0.25">
      <c r="A225" s="94">
        <f t="shared" si="241"/>
        <v>55</v>
      </c>
      <c r="B225" s="117"/>
      <c r="C225" s="93" t="str">
        <f t="shared" ref="C225:D225" si="274">IF($B222&lt;&gt;"",C221,"")</f>
        <v/>
      </c>
      <c r="D225" s="93" t="str">
        <f t="shared" si="274"/>
        <v/>
      </c>
      <c r="E225" s="32"/>
      <c r="F225" s="32"/>
      <c r="G225" s="32"/>
      <c r="H225" s="32"/>
      <c r="I225" s="32"/>
      <c r="J225" s="32"/>
      <c r="K225" s="32"/>
      <c r="L225" s="32"/>
      <c r="M225" s="32"/>
      <c r="N225" s="32"/>
      <c r="O225" s="32"/>
      <c r="P225" s="32"/>
      <c r="Q225" s="32"/>
      <c r="R225" s="32"/>
      <c r="S225" s="32"/>
      <c r="T225" s="32"/>
      <c r="U225" s="32"/>
      <c r="V225" s="26"/>
      <c r="W225" s="31" t="e">
        <f>INDEX(TBL_TRANSIT[TransitID],$A225)</f>
        <v>#REF!</v>
      </c>
      <c r="X225" s="31" t="e">
        <f>"TransitTariffVar_"&amp;RIGHT($W225,11)</f>
        <v>#REF!</v>
      </c>
    </row>
    <row r="226" spans="1:24" x14ac:dyDescent="0.25">
      <c r="A226" s="94">
        <f t="shared" ref="A226" si="275">$A222+1</f>
        <v>56</v>
      </c>
      <c r="B226" s="115" t="str">
        <f>IFERROR(INDEX(TBL_TRANSIT[Name],$A226),"")</f>
        <v/>
      </c>
      <c r="C226" s="93" t="str">
        <f t="shared" ref="C226:D226" si="276">IF($B226&lt;&gt;"",C222,"")</f>
        <v/>
      </c>
      <c r="D226" s="93" t="str">
        <f t="shared" si="276"/>
        <v/>
      </c>
      <c r="E226" s="27"/>
      <c r="F226" s="27"/>
      <c r="G226" s="27"/>
      <c r="H226" s="27"/>
      <c r="I226" s="27"/>
      <c r="J226" s="27"/>
      <c r="K226" s="27"/>
      <c r="L226" s="27"/>
      <c r="M226" s="27"/>
      <c r="N226" s="27"/>
      <c r="O226" s="27"/>
      <c r="P226" s="27"/>
      <c r="Q226" s="27"/>
      <c r="R226" s="27"/>
      <c r="S226" s="27"/>
      <c r="T226" s="27"/>
      <c r="U226" s="27"/>
      <c r="V226" s="25"/>
      <c r="W226" s="31" t="e">
        <f>INDEX(TBL_TRANSIT[TransitID],$A226)</f>
        <v>#REF!</v>
      </c>
      <c r="X226" s="31" t="e">
        <f>"TransitCapMin_"&amp;RIGHT($W226,11)</f>
        <v>#REF!</v>
      </c>
    </row>
    <row r="227" spans="1:24" x14ac:dyDescent="0.25">
      <c r="A227" s="94">
        <f t="shared" si="241"/>
        <v>56</v>
      </c>
      <c r="B227" s="116"/>
      <c r="C227" s="93" t="str">
        <f t="shared" ref="C227:D227" si="277">IF($B226&lt;&gt;"",C223,"")</f>
        <v/>
      </c>
      <c r="D227" s="93" t="str">
        <f t="shared" si="277"/>
        <v/>
      </c>
      <c r="E227" s="32"/>
      <c r="F227" s="32"/>
      <c r="G227" s="32"/>
      <c r="H227" s="32"/>
      <c r="I227" s="32"/>
      <c r="J227" s="32"/>
      <c r="K227" s="32"/>
      <c r="L227" s="32"/>
      <c r="M227" s="32"/>
      <c r="N227" s="32"/>
      <c r="O227" s="32"/>
      <c r="P227" s="32"/>
      <c r="Q227" s="32"/>
      <c r="R227" s="32"/>
      <c r="S227" s="32"/>
      <c r="T227" s="32"/>
      <c r="U227" s="32"/>
      <c r="V227" s="26"/>
      <c r="W227" s="31" t="e">
        <f>INDEX(TBL_TRANSIT[TransitID],$A227)</f>
        <v>#REF!</v>
      </c>
      <c r="X227" s="31" t="e">
        <f>"TransitCapMax_"&amp;RIGHT($W227,11)</f>
        <v>#REF!</v>
      </c>
    </row>
    <row r="228" spans="1:24" x14ac:dyDescent="0.25">
      <c r="A228" s="94">
        <f t="shared" si="241"/>
        <v>56</v>
      </c>
      <c r="B228" s="116"/>
      <c r="C228" s="93" t="str">
        <f t="shared" ref="C228:D228" si="278">IF($B226&lt;&gt;"",C224,"")</f>
        <v/>
      </c>
      <c r="D228" s="93" t="str">
        <f t="shared" si="278"/>
        <v/>
      </c>
      <c r="E228" s="27"/>
      <c r="F228" s="27"/>
      <c r="G228" s="27"/>
      <c r="H228" s="27"/>
      <c r="I228" s="27"/>
      <c r="J228" s="27"/>
      <c r="K228" s="27"/>
      <c r="L228" s="27"/>
      <c r="M228" s="27"/>
      <c r="N228" s="27"/>
      <c r="O228" s="27"/>
      <c r="P228" s="27"/>
      <c r="Q228" s="27"/>
      <c r="R228" s="27"/>
      <c r="S228" s="27"/>
      <c r="T228" s="27"/>
      <c r="U228" s="27"/>
      <c r="V228" s="25"/>
      <c r="W228" s="31" t="e">
        <f>INDEX(TBL_TRANSIT[TransitID],$A228)</f>
        <v>#REF!</v>
      </c>
      <c r="X228" s="31" t="e">
        <f>"TransitTariffFixed_"&amp;RIGHT($W228,11)</f>
        <v>#REF!</v>
      </c>
    </row>
    <row r="229" spans="1:24" x14ac:dyDescent="0.25">
      <c r="A229" s="94">
        <f t="shared" si="241"/>
        <v>56</v>
      </c>
      <c r="B229" s="117"/>
      <c r="C229" s="93" t="str">
        <f t="shared" ref="C229:D229" si="279">IF($B226&lt;&gt;"",C225,"")</f>
        <v/>
      </c>
      <c r="D229" s="93" t="str">
        <f t="shared" si="279"/>
        <v/>
      </c>
      <c r="E229" s="32"/>
      <c r="F229" s="32"/>
      <c r="G229" s="32"/>
      <c r="H229" s="32"/>
      <c r="I229" s="32"/>
      <c r="J229" s="32"/>
      <c r="K229" s="32"/>
      <c r="L229" s="32"/>
      <c r="M229" s="32"/>
      <c r="N229" s="32"/>
      <c r="O229" s="32"/>
      <c r="P229" s="32"/>
      <c r="Q229" s="32"/>
      <c r="R229" s="32"/>
      <c r="S229" s="32"/>
      <c r="T229" s="32"/>
      <c r="U229" s="32"/>
      <c r="V229" s="26"/>
      <c r="W229" s="31" t="e">
        <f>INDEX(TBL_TRANSIT[TransitID],$A229)</f>
        <v>#REF!</v>
      </c>
      <c r="X229" s="31" t="e">
        <f>"TransitTariffVar_"&amp;RIGHT($W229,11)</f>
        <v>#REF!</v>
      </c>
    </row>
    <row r="230" spans="1:24" x14ac:dyDescent="0.25">
      <c r="A230" s="94">
        <f t="shared" ref="A230" si="280">$A226+1</f>
        <v>57</v>
      </c>
      <c r="B230" s="115" t="str">
        <f>IFERROR(INDEX(TBL_TRANSIT[Name],$A230),"")</f>
        <v/>
      </c>
      <c r="C230" s="93" t="str">
        <f t="shared" ref="C230:D230" si="281">IF($B230&lt;&gt;"",C226,"")</f>
        <v/>
      </c>
      <c r="D230" s="93" t="str">
        <f t="shared" si="281"/>
        <v/>
      </c>
      <c r="E230" s="27"/>
      <c r="F230" s="27"/>
      <c r="G230" s="27"/>
      <c r="H230" s="27"/>
      <c r="I230" s="27"/>
      <c r="J230" s="27"/>
      <c r="K230" s="27"/>
      <c r="L230" s="27"/>
      <c r="M230" s="27"/>
      <c r="N230" s="27"/>
      <c r="O230" s="27"/>
      <c r="P230" s="27"/>
      <c r="Q230" s="27"/>
      <c r="R230" s="27"/>
      <c r="S230" s="27"/>
      <c r="T230" s="27"/>
      <c r="U230" s="27"/>
      <c r="V230" s="25"/>
      <c r="W230" s="31" t="e">
        <f>INDEX(TBL_TRANSIT[TransitID],$A230)</f>
        <v>#REF!</v>
      </c>
      <c r="X230" s="31" t="e">
        <f>"TransitCapMin_"&amp;RIGHT($W230,11)</f>
        <v>#REF!</v>
      </c>
    </row>
    <row r="231" spans="1:24" x14ac:dyDescent="0.25">
      <c r="A231" s="94">
        <f t="shared" si="241"/>
        <v>57</v>
      </c>
      <c r="B231" s="116"/>
      <c r="C231" s="93" t="str">
        <f t="shared" ref="C231:D231" si="282">IF($B230&lt;&gt;"",C227,"")</f>
        <v/>
      </c>
      <c r="D231" s="93" t="str">
        <f t="shared" si="282"/>
        <v/>
      </c>
      <c r="E231" s="32"/>
      <c r="F231" s="32"/>
      <c r="G231" s="32"/>
      <c r="H231" s="32"/>
      <c r="I231" s="32"/>
      <c r="J231" s="32"/>
      <c r="K231" s="32"/>
      <c r="L231" s="32"/>
      <c r="M231" s="32"/>
      <c r="N231" s="32"/>
      <c r="O231" s="32"/>
      <c r="P231" s="32"/>
      <c r="Q231" s="32"/>
      <c r="R231" s="32"/>
      <c r="S231" s="32"/>
      <c r="T231" s="32"/>
      <c r="U231" s="32"/>
      <c r="V231" s="26"/>
      <c r="W231" s="31" t="e">
        <f>INDEX(TBL_TRANSIT[TransitID],$A231)</f>
        <v>#REF!</v>
      </c>
      <c r="X231" s="31" t="e">
        <f>"TransitCapMax_"&amp;RIGHT($W231,11)</f>
        <v>#REF!</v>
      </c>
    </row>
    <row r="232" spans="1:24" x14ac:dyDescent="0.25">
      <c r="A232" s="94">
        <f t="shared" si="241"/>
        <v>57</v>
      </c>
      <c r="B232" s="116"/>
      <c r="C232" s="93" t="str">
        <f t="shared" ref="C232:D232" si="283">IF($B230&lt;&gt;"",C228,"")</f>
        <v/>
      </c>
      <c r="D232" s="93" t="str">
        <f t="shared" si="283"/>
        <v/>
      </c>
      <c r="E232" s="27"/>
      <c r="F232" s="27"/>
      <c r="G232" s="27"/>
      <c r="H232" s="27"/>
      <c r="I232" s="27"/>
      <c r="J232" s="27"/>
      <c r="K232" s="27"/>
      <c r="L232" s="27"/>
      <c r="M232" s="27"/>
      <c r="N232" s="27"/>
      <c r="O232" s="27"/>
      <c r="P232" s="27"/>
      <c r="Q232" s="27"/>
      <c r="R232" s="27"/>
      <c r="S232" s="27"/>
      <c r="T232" s="27"/>
      <c r="U232" s="27"/>
      <c r="V232" s="25"/>
      <c r="W232" s="31" t="e">
        <f>INDEX(TBL_TRANSIT[TransitID],$A232)</f>
        <v>#REF!</v>
      </c>
      <c r="X232" s="31" t="e">
        <f>"TransitTariffFixed_"&amp;RIGHT($W232,11)</f>
        <v>#REF!</v>
      </c>
    </row>
    <row r="233" spans="1:24" x14ac:dyDescent="0.25">
      <c r="A233" s="94">
        <f t="shared" si="241"/>
        <v>57</v>
      </c>
      <c r="B233" s="117"/>
      <c r="C233" s="93" t="str">
        <f t="shared" ref="C233:D233" si="284">IF($B230&lt;&gt;"",C229,"")</f>
        <v/>
      </c>
      <c r="D233" s="93" t="str">
        <f t="shared" si="284"/>
        <v/>
      </c>
      <c r="E233" s="32"/>
      <c r="F233" s="32"/>
      <c r="G233" s="32"/>
      <c r="H233" s="32"/>
      <c r="I233" s="32"/>
      <c r="J233" s="32"/>
      <c r="K233" s="32"/>
      <c r="L233" s="32"/>
      <c r="M233" s="32"/>
      <c r="N233" s="32"/>
      <c r="O233" s="32"/>
      <c r="P233" s="32"/>
      <c r="Q233" s="32"/>
      <c r="R233" s="32"/>
      <c r="S233" s="32"/>
      <c r="T233" s="32"/>
      <c r="U233" s="32"/>
      <c r="V233" s="26"/>
      <c r="W233" s="31" t="e">
        <f>INDEX(TBL_TRANSIT[TransitID],$A233)</f>
        <v>#REF!</v>
      </c>
      <c r="X233" s="31" t="e">
        <f>"TransitTariffVar_"&amp;RIGHT($W233,11)</f>
        <v>#REF!</v>
      </c>
    </row>
    <row r="234" spans="1:24" x14ac:dyDescent="0.25">
      <c r="A234" s="94">
        <f t="shared" ref="A234" si="285">$A230+1</f>
        <v>58</v>
      </c>
      <c r="B234" s="115" t="str">
        <f>IFERROR(INDEX(TBL_TRANSIT[Name],$A234),"")</f>
        <v/>
      </c>
      <c r="C234" s="93" t="str">
        <f t="shared" ref="C234:D234" si="286">IF($B234&lt;&gt;"",C230,"")</f>
        <v/>
      </c>
      <c r="D234" s="93" t="str">
        <f t="shared" si="286"/>
        <v/>
      </c>
      <c r="E234" s="27"/>
      <c r="F234" s="27"/>
      <c r="G234" s="27"/>
      <c r="H234" s="27"/>
      <c r="I234" s="27"/>
      <c r="J234" s="27"/>
      <c r="K234" s="27"/>
      <c r="L234" s="27"/>
      <c r="M234" s="27"/>
      <c r="N234" s="27"/>
      <c r="O234" s="27"/>
      <c r="P234" s="27"/>
      <c r="Q234" s="27"/>
      <c r="R234" s="27"/>
      <c r="S234" s="27"/>
      <c r="T234" s="27"/>
      <c r="U234" s="27"/>
      <c r="V234" s="25"/>
      <c r="W234" s="31" t="e">
        <f>INDEX(TBL_TRANSIT[TransitID],$A234)</f>
        <v>#REF!</v>
      </c>
      <c r="X234" s="31" t="e">
        <f>"TransitCapMin_"&amp;RIGHT($W234,11)</f>
        <v>#REF!</v>
      </c>
    </row>
    <row r="235" spans="1:24" x14ac:dyDescent="0.25">
      <c r="A235" s="94">
        <f t="shared" si="241"/>
        <v>58</v>
      </c>
      <c r="B235" s="116"/>
      <c r="C235" s="93" t="str">
        <f t="shared" ref="C235:D235" si="287">IF($B234&lt;&gt;"",C231,"")</f>
        <v/>
      </c>
      <c r="D235" s="93" t="str">
        <f t="shared" si="287"/>
        <v/>
      </c>
      <c r="E235" s="32"/>
      <c r="F235" s="32"/>
      <c r="G235" s="32"/>
      <c r="H235" s="32"/>
      <c r="I235" s="32"/>
      <c r="J235" s="32"/>
      <c r="K235" s="32"/>
      <c r="L235" s="32"/>
      <c r="M235" s="32"/>
      <c r="N235" s="32"/>
      <c r="O235" s="32"/>
      <c r="P235" s="32"/>
      <c r="Q235" s="32"/>
      <c r="R235" s="32"/>
      <c r="S235" s="32"/>
      <c r="T235" s="32"/>
      <c r="U235" s="32"/>
      <c r="V235" s="26"/>
      <c r="W235" s="31" t="e">
        <f>INDEX(TBL_TRANSIT[TransitID],$A235)</f>
        <v>#REF!</v>
      </c>
      <c r="X235" s="31" t="e">
        <f>"TransitCapMax_"&amp;RIGHT($W235,11)</f>
        <v>#REF!</v>
      </c>
    </row>
    <row r="236" spans="1:24" x14ac:dyDescent="0.25">
      <c r="A236" s="94">
        <f t="shared" si="241"/>
        <v>58</v>
      </c>
      <c r="B236" s="116"/>
      <c r="C236" s="93" t="str">
        <f t="shared" ref="C236:D236" si="288">IF($B234&lt;&gt;"",C232,"")</f>
        <v/>
      </c>
      <c r="D236" s="93" t="str">
        <f t="shared" si="288"/>
        <v/>
      </c>
      <c r="E236" s="27"/>
      <c r="F236" s="27"/>
      <c r="G236" s="27"/>
      <c r="H236" s="27"/>
      <c r="I236" s="27"/>
      <c r="J236" s="27"/>
      <c r="K236" s="27"/>
      <c r="L236" s="27"/>
      <c r="M236" s="27"/>
      <c r="N236" s="27"/>
      <c r="O236" s="27"/>
      <c r="P236" s="27"/>
      <c r="Q236" s="27"/>
      <c r="R236" s="27"/>
      <c r="S236" s="27"/>
      <c r="T236" s="27"/>
      <c r="U236" s="27"/>
      <c r="V236" s="25"/>
      <c r="W236" s="31" t="e">
        <f>INDEX(TBL_TRANSIT[TransitID],$A236)</f>
        <v>#REF!</v>
      </c>
      <c r="X236" s="31" t="e">
        <f>"TransitTariffFixed_"&amp;RIGHT($W236,11)</f>
        <v>#REF!</v>
      </c>
    </row>
    <row r="237" spans="1:24" x14ac:dyDescent="0.25">
      <c r="A237" s="94">
        <f t="shared" si="241"/>
        <v>58</v>
      </c>
      <c r="B237" s="117"/>
      <c r="C237" s="93" t="str">
        <f t="shared" ref="C237:D237" si="289">IF($B234&lt;&gt;"",C233,"")</f>
        <v/>
      </c>
      <c r="D237" s="93" t="str">
        <f t="shared" si="289"/>
        <v/>
      </c>
      <c r="E237" s="32"/>
      <c r="F237" s="32"/>
      <c r="G237" s="32"/>
      <c r="H237" s="32"/>
      <c r="I237" s="32"/>
      <c r="J237" s="32"/>
      <c r="K237" s="32"/>
      <c r="L237" s="32"/>
      <c r="M237" s="32"/>
      <c r="N237" s="32"/>
      <c r="O237" s="32"/>
      <c r="P237" s="32"/>
      <c r="Q237" s="32"/>
      <c r="R237" s="32"/>
      <c r="S237" s="32"/>
      <c r="T237" s="32"/>
      <c r="U237" s="32"/>
      <c r="V237" s="26"/>
      <c r="W237" s="31" t="e">
        <f>INDEX(TBL_TRANSIT[TransitID],$A237)</f>
        <v>#REF!</v>
      </c>
      <c r="X237" s="31" t="e">
        <f>"TransitTariffVar_"&amp;RIGHT($W237,11)</f>
        <v>#REF!</v>
      </c>
    </row>
    <row r="238" spans="1:24" x14ac:dyDescent="0.25">
      <c r="A238" s="94">
        <f t="shared" ref="A238" si="290">$A234+1</f>
        <v>59</v>
      </c>
      <c r="B238" s="115" t="str">
        <f>IFERROR(INDEX(TBL_TRANSIT[Name],$A238),"")</f>
        <v/>
      </c>
      <c r="C238" s="93" t="str">
        <f t="shared" ref="C238:D238" si="291">IF($B238&lt;&gt;"",C234,"")</f>
        <v/>
      </c>
      <c r="D238" s="93" t="str">
        <f t="shared" si="291"/>
        <v/>
      </c>
      <c r="E238" s="27"/>
      <c r="F238" s="27"/>
      <c r="G238" s="27"/>
      <c r="H238" s="27"/>
      <c r="I238" s="27"/>
      <c r="J238" s="27"/>
      <c r="K238" s="27"/>
      <c r="L238" s="27"/>
      <c r="M238" s="27"/>
      <c r="N238" s="27"/>
      <c r="O238" s="27"/>
      <c r="P238" s="27"/>
      <c r="Q238" s="27"/>
      <c r="R238" s="27"/>
      <c r="S238" s="27"/>
      <c r="T238" s="27"/>
      <c r="U238" s="27"/>
      <c r="V238" s="25"/>
      <c r="W238" s="31" t="e">
        <f>INDEX(TBL_TRANSIT[TransitID],$A238)</f>
        <v>#REF!</v>
      </c>
      <c r="X238" s="31" t="e">
        <f>"TransitCapMin_"&amp;RIGHT($W238,11)</f>
        <v>#REF!</v>
      </c>
    </row>
    <row r="239" spans="1:24" x14ac:dyDescent="0.25">
      <c r="A239" s="94">
        <f t="shared" ref="A239:A293" si="292">$A238</f>
        <v>59</v>
      </c>
      <c r="B239" s="116"/>
      <c r="C239" s="93" t="str">
        <f t="shared" ref="C239:D239" si="293">IF($B238&lt;&gt;"",C235,"")</f>
        <v/>
      </c>
      <c r="D239" s="93" t="str">
        <f t="shared" si="293"/>
        <v/>
      </c>
      <c r="E239" s="32"/>
      <c r="F239" s="32"/>
      <c r="G239" s="32"/>
      <c r="H239" s="32"/>
      <c r="I239" s="32"/>
      <c r="J239" s="32"/>
      <c r="K239" s="32"/>
      <c r="L239" s="32"/>
      <c r="M239" s="32"/>
      <c r="N239" s="32"/>
      <c r="O239" s="32"/>
      <c r="P239" s="32"/>
      <c r="Q239" s="32"/>
      <c r="R239" s="32"/>
      <c r="S239" s="32"/>
      <c r="T239" s="32"/>
      <c r="U239" s="32"/>
      <c r="V239" s="26"/>
      <c r="W239" s="31" t="e">
        <f>INDEX(TBL_TRANSIT[TransitID],$A239)</f>
        <v>#REF!</v>
      </c>
      <c r="X239" s="31" t="e">
        <f>"TransitCapMax_"&amp;RIGHT($W239,11)</f>
        <v>#REF!</v>
      </c>
    </row>
    <row r="240" spans="1:24" x14ac:dyDescent="0.25">
      <c r="A240" s="94">
        <f t="shared" si="292"/>
        <v>59</v>
      </c>
      <c r="B240" s="116"/>
      <c r="C240" s="93" t="str">
        <f t="shared" ref="C240:D240" si="294">IF($B238&lt;&gt;"",C236,"")</f>
        <v/>
      </c>
      <c r="D240" s="93" t="str">
        <f t="shared" si="294"/>
        <v/>
      </c>
      <c r="E240" s="27"/>
      <c r="F240" s="27"/>
      <c r="G240" s="27"/>
      <c r="H240" s="27"/>
      <c r="I240" s="27"/>
      <c r="J240" s="27"/>
      <c r="K240" s="27"/>
      <c r="L240" s="27"/>
      <c r="M240" s="27"/>
      <c r="N240" s="27"/>
      <c r="O240" s="27"/>
      <c r="P240" s="27"/>
      <c r="Q240" s="27"/>
      <c r="R240" s="27"/>
      <c r="S240" s="27"/>
      <c r="T240" s="27"/>
      <c r="U240" s="27"/>
      <c r="V240" s="25"/>
      <c r="W240" s="31" t="e">
        <f>INDEX(TBL_TRANSIT[TransitID],$A240)</f>
        <v>#REF!</v>
      </c>
      <c r="X240" s="31" t="e">
        <f>"TransitTariffFixed_"&amp;RIGHT($W240,11)</f>
        <v>#REF!</v>
      </c>
    </row>
    <row r="241" spans="1:24" x14ac:dyDescent="0.25">
      <c r="A241" s="94">
        <f t="shared" si="292"/>
        <v>59</v>
      </c>
      <c r="B241" s="117"/>
      <c r="C241" s="93" t="str">
        <f t="shared" ref="C241:D241" si="295">IF($B238&lt;&gt;"",C237,"")</f>
        <v/>
      </c>
      <c r="D241" s="93" t="str">
        <f t="shared" si="295"/>
        <v/>
      </c>
      <c r="E241" s="32"/>
      <c r="F241" s="32"/>
      <c r="G241" s="32"/>
      <c r="H241" s="32"/>
      <c r="I241" s="32"/>
      <c r="J241" s="32"/>
      <c r="K241" s="32"/>
      <c r="L241" s="32"/>
      <c r="M241" s="32"/>
      <c r="N241" s="32"/>
      <c r="O241" s="32"/>
      <c r="P241" s="32"/>
      <c r="Q241" s="32"/>
      <c r="R241" s="32"/>
      <c r="S241" s="32"/>
      <c r="T241" s="32"/>
      <c r="U241" s="32"/>
      <c r="V241" s="26"/>
      <c r="W241" s="31" t="e">
        <f>INDEX(TBL_TRANSIT[TransitID],$A241)</f>
        <v>#REF!</v>
      </c>
      <c r="X241" s="31" t="e">
        <f>"TransitTariffVar_"&amp;RIGHT($W241,11)</f>
        <v>#REF!</v>
      </c>
    </row>
    <row r="242" spans="1:24" x14ac:dyDescent="0.25">
      <c r="A242" s="94">
        <f t="shared" ref="A242" si="296">$A238+1</f>
        <v>60</v>
      </c>
      <c r="B242" s="115" t="str">
        <f>IFERROR(INDEX(TBL_TRANSIT[Name],$A242),"")</f>
        <v/>
      </c>
      <c r="C242" s="93" t="str">
        <f t="shared" ref="C242:D242" si="297">IF($B242&lt;&gt;"",C238,"")</f>
        <v/>
      </c>
      <c r="D242" s="93" t="str">
        <f t="shared" si="297"/>
        <v/>
      </c>
      <c r="E242" s="27"/>
      <c r="F242" s="27"/>
      <c r="G242" s="27"/>
      <c r="H242" s="27"/>
      <c r="I242" s="27"/>
      <c r="J242" s="27"/>
      <c r="K242" s="27"/>
      <c r="L242" s="27"/>
      <c r="M242" s="27"/>
      <c r="N242" s="27"/>
      <c r="O242" s="27"/>
      <c r="P242" s="27"/>
      <c r="Q242" s="27"/>
      <c r="R242" s="27"/>
      <c r="S242" s="27"/>
      <c r="T242" s="27"/>
      <c r="U242" s="27"/>
      <c r="V242" s="25"/>
      <c r="W242" s="31" t="e">
        <f>INDEX(TBL_TRANSIT[TransitID],$A242)</f>
        <v>#REF!</v>
      </c>
      <c r="X242" s="31" t="e">
        <f>"TransitCapMin_"&amp;RIGHT($W242,11)</f>
        <v>#REF!</v>
      </c>
    </row>
    <row r="243" spans="1:24" x14ac:dyDescent="0.25">
      <c r="A243" s="94">
        <f t="shared" si="292"/>
        <v>60</v>
      </c>
      <c r="B243" s="116"/>
      <c r="C243" s="93" t="str">
        <f t="shared" ref="C243:D243" si="298">IF($B242&lt;&gt;"",C239,"")</f>
        <v/>
      </c>
      <c r="D243" s="93" t="str">
        <f t="shared" si="298"/>
        <v/>
      </c>
      <c r="E243" s="32"/>
      <c r="F243" s="32"/>
      <c r="G243" s="32"/>
      <c r="H243" s="32"/>
      <c r="I243" s="32"/>
      <c r="J243" s="32"/>
      <c r="K243" s="32"/>
      <c r="L243" s="32"/>
      <c r="M243" s="32"/>
      <c r="N243" s="32"/>
      <c r="O243" s="32"/>
      <c r="P243" s="32"/>
      <c r="Q243" s="32"/>
      <c r="R243" s="32"/>
      <c r="S243" s="32"/>
      <c r="T243" s="32"/>
      <c r="U243" s="32"/>
      <c r="V243" s="26"/>
      <c r="W243" s="31" t="e">
        <f>INDEX(TBL_TRANSIT[TransitID],$A243)</f>
        <v>#REF!</v>
      </c>
      <c r="X243" s="31" t="e">
        <f>"TransitCapMax_"&amp;RIGHT($W243,11)</f>
        <v>#REF!</v>
      </c>
    </row>
    <row r="244" spans="1:24" x14ac:dyDescent="0.25">
      <c r="A244" s="94">
        <f t="shared" si="292"/>
        <v>60</v>
      </c>
      <c r="B244" s="116"/>
      <c r="C244" s="93" t="str">
        <f t="shared" ref="C244:D244" si="299">IF($B242&lt;&gt;"",C240,"")</f>
        <v/>
      </c>
      <c r="D244" s="93" t="str">
        <f t="shared" si="299"/>
        <v/>
      </c>
      <c r="E244" s="27"/>
      <c r="F244" s="27"/>
      <c r="G244" s="27"/>
      <c r="H244" s="27"/>
      <c r="I244" s="27"/>
      <c r="J244" s="27"/>
      <c r="K244" s="27"/>
      <c r="L244" s="27"/>
      <c r="M244" s="27"/>
      <c r="N244" s="27"/>
      <c r="O244" s="27"/>
      <c r="P244" s="27"/>
      <c r="Q244" s="27"/>
      <c r="R244" s="27"/>
      <c r="S244" s="27"/>
      <c r="T244" s="27"/>
      <c r="U244" s="27"/>
      <c r="V244" s="25"/>
      <c r="W244" s="31" t="e">
        <f>INDEX(TBL_TRANSIT[TransitID],$A244)</f>
        <v>#REF!</v>
      </c>
      <c r="X244" s="31" t="e">
        <f>"TransitTariffFixed_"&amp;RIGHT($W244,11)</f>
        <v>#REF!</v>
      </c>
    </row>
    <row r="245" spans="1:24" x14ac:dyDescent="0.25">
      <c r="A245" s="94">
        <f t="shared" si="292"/>
        <v>60</v>
      </c>
      <c r="B245" s="117"/>
      <c r="C245" s="93" t="str">
        <f t="shared" ref="C245:D245" si="300">IF($B242&lt;&gt;"",C241,"")</f>
        <v/>
      </c>
      <c r="D245" s="93" t="str">
        <f t="shared" si="300"/>
        <v/>
      </c>
      <c r="E245" s="32"/>
      <c r="F245" s="32"/>
      <c r="G245" s="32"/>
      <c r="H245" s="32"/>
      <c r="I245" s="32"/>
      <c r="J245" s="32"/>
      <c r="K245" s="32"/>
      <c r="L245" s="32"/>
      <c r="M245" s="32"/>
      <c r="N245" s="32"/>
      <c r="O245" s="32"/>
      <c r="P245" s="32"/>
      <c r="Q245" s="32"/>
      <c r="R245" s="32"/>
      <c r="S245" s="32"/>
      <c r="T245" s="32"/>
      <c r="U245" s="32"/>
      <c r="V245" s="26"/>
      <c r="W245" s="31" t="e">
        <f>INDEX(TBL_TRANSIT[TransitID],$A245)</f>
        <v>#REF!</v>
      </c>
      <c r="X245" s="31" t="e">
        <f>"TransitTariffVar_"&amp;RIGHT($W245,11)</f>
        <v>#REF!</v>
      </c>
    </row>
    <row r="246" spans="1:24" x14ac:dyDescent="0.25">
      <c r="A246" s="94">
        <f t="shared" ref="A246" si="301">$A242+1</f>
        <v>61</v>
      </c>
      <c r="B246" s="115" t="str">
        <f>IFERROR(INDEX(TBL_TRANSIT[Name],$A246),"")</f>
        <v/>
      </c>
      <c r="C246" s="93" t="str">
        <f t="shared" ref="C246:D246" si="302">IF($B246&lt;&gt;"",C242,"")</f>
        <v/>
      </c>
      <c r="D246" s="93" t="str">
        <f t="shared" si="302"/>
        <v/>
      </c>
      <c r="E246" s="27"/>
      <c r="F246" s="27"/>
      <c r="G246" s="27"/>
      <c r="H246" s="27"/>
      <c r="I246" s="27"/>
      <c r="J246" s="27"/>
      <c r="K246" s="27"/>
      <c r="L246" s="27"/>
      <c r="M246" s="27"/>
      <c r="N246" s="27"/>
      <c r="O246" s="27"/>
      <c r="P246" s="27"/>
      <c r="Q246" s="27"/>
      <c r="R246" s="27"/>
      <c r="S246" s="27"/>
      <c r="T246" s="27"/>
      <c r="U246" s="27"/>
      <c r="V246" s="25"/>
      <c r="W246" s="31" t="e">
        <f>INDEX(TBL_TRANSIT[TransitID],$A246)</f>
        <v>#REF!</v>
      </c>
      <c r="X246" s="31" t="e">
        <f>"TransitCapMin_"&amp;RIGHT($W246,11)</f>
        <v>#REF!</v>
      </c>
    </row>
    <row r="247" spans="1:24" x14ac:dyDescent="0.25">
      <c r="A247" s="94">
        <f t="shared" si="292"/>
        <v>61</v>
      </c>
      <c r="B247" s="116"/>
      <c r="C247" s="93" t="str">
        <f t="shared" ref="C247:D247" si="303">IF($B246&lt;&gt;"",C243,"")</f>
        <v/>
      </c>
      <c r="D247" s="93" t="str">
        <f t="shared" si="303"/>
        <v/>
      </c>
      <c r="E247" s="32"/>
      <c r="F247" s="32"/>
      <c r="G247" s="32"/>
      <c r="H247" s="32"/>
      <c r="I247" s="32"/>
      <c r="J247" s="32"/>
      <c r="K247" s="32"/>
      <c r="L247" s="32"/>
      <c r="M247" s="32"/>
      <c r="N247" s="32"/>
      <c r="O247" s="32"/>
      <c r="P247" s="32"/>
      <c r="Q247" s="32"/>
      <c r="R247" s="32"/>
      <c r="S247" s="32"/>
      <c r="T247" s="32"/>
      <c r="U247" s="32"/>
      <c r="V247" s="26"/>
      <c r="W247" s="31" t="e">
        <f>INDEX(TBL_TRANSIT[TransitID],$A247)</f>
        <v>#REF!</v>
      </c>
      <c r="X247" s="31" t="e">
        <f>"TransitCapMax_"&amp;RIGHT($W247,11)</f>
        <v>#REF!</v>
      </c>
    </row>
    <row r="248" spans="1:24" x14ac:dyDescent="0.25">
      <c r="A248" s="94">
        <f t="shared" si="292"/>
        <v>61</v>
      </c>
      <c r="B248" s="116"/>
      <c r="C248" s="93" t="str">
        <f t="shared" ref="C248:D248" si="304">IF($B246&lt;&gt;"",C244,"")</f>
        <v/>
      </c>
      <c r="D248" s="93" t="str">
        <f t="shared" si="304"/>
        <v/>
      </c>
      <c r="E248" s="27"/>
      <c r="F248" s="27"/>
      <c r="G248" s="27"/>
      <c r="H248" s="27"/>
      <c r="I248" s="27"/>
      <c r="J248" s="27"/>
      <c r="K248" s="27"/>
      <c r="L248" s="27"/>
      <c r="M248" s="27"/>
      <c r="N248" s="27"/>
      <c r="O248" s="27"/>
      <c r="P248" s="27"/>
      <c r="Q248" s="27"/>
      <c r="R248" s="27"/>
      <c r="S248" s="27"/>
      <c r="T248" s="27"/>
      <c r="U248" s="27"/>
      <c r="V248" s="25"/>
      <c r="W248" s="31" t="e">
        <f>INDEX(TBL_TRANSIT[TransitID],$A248)</f>
        <v>#REF!</v>
      </c>
      <c r="X248" s="31" t="e">
        <f>"TransitTariffFixed_"&amp;RIGHT($W248,11)</f>
        <v>#REF!</v>
      </c>
    </row>
    <row r="249" spans="1:24" x14ac:dyDescent="0.25">
      <c r="A249" s="94">
        <f t="shared" si="292"/>
        <v>61</v>
      </c>
      <c r="B249" s="117"/>
      <c r="C249" s="93" t="str">
        <f t="shared" ref="C249:D249" si="305">IF($B246&lt;&gt;"",C245,"")</f>
        <v/>
      </c>
      <c r="D249" s="93" t="str">
        <f t="shared" si="305"/>
        <v/>
      </c>
      <c r="E249" s="32"/>
      <c r="F249" s="32"/>
      <c r="G249" s="32"/>
      <c r="H249" s="32"/>
      <c r="I249" s="32"/>
      <c r="J249" s="32"/>
      <c r="K249" s="32"/>
      <c r="L249" s="32"/>
      <c r="M249" s="32"/>
      <c r="N249" s="32"/>
      <c r="O249" s="32"/>
      <c r="P249" s="32"/>
      <c r="Q249" s="32"/>
      <c r="R249" s="32"/>
      <c r="S249" s="32"/>
      <c r="T249" s="32"/>
      <c r="U249" s="32"/>
      <c r="V249" s="26"/>
      <c r="W249" s="31" t="e">
        <f>INDEX(TBL_TRANSIT[TransitID],$A249)</f>
        <v>#REF!</v>
      </c>
      <c r="X249" s="31" t="e">
        <f>"TransitTariffVar_"&amp;RIGHT($W249,11)</f>
        <v>#REF!</v>
      </c>
    </row>
    <row r="250" spans="1:24" x14ac:dyDescent="0.25">
      <c r="A250" s="94">
        <f t="shared" ref="A250" si="306">$A246+1</f>
        <v>62</v>
      </c>
      <c r="B250" s="115" t="str">
        <f>IFERROR(INDEX(TBL_TRANSIT[Name],$A250),"")</f>
        <v/>
      </c>
      <c r="C250" s="93" t="str">
        <f t="shared" ref="C250:D250" si="307">IF($B250&lt;&gt;"",C246,"")</f>
        <v/>
      </c>
      <c r="D250" s="93" t="str">
        <f t="shared" si="307"/>
        <v/>
      </c>
      <c r="E250" s="27"/>
      <c r="F250" s="27"/>
      <c r="G250" s="27"/>
      <c r="H250" s="27"/>
      <c r="I250" s="27"/>
      <c r="J250" s="27"/>
      <c r="K250" s="27"/>
      <c r="L250" s="27"/>
      <c r="M250" s="27"/>
      <c r="N250" s="27"/>
      <c r="O250" s="27"/>
      <c r="P250" s="27"/>
      <c r="Q250" s="27"/>
      <c r="R250" s="27"/>
      <c r="S250" s="27"/>
      <c r="T250" s="27"/>
      <c r="U250" s="27"/>
      <c r="V250" s="25"/>
      <c r="W250" s="31" t="e">
        <f>INDEX(TBL_TRANSIT[TransitID],$A250)</f>
        <v>#REF!</v>
      </c>
      <c r="X250" s="31" t="e">
        <f>"TransitCapMin_"&amp;RIGHT($W250,11)</f>
        <v>#REF!</v>
      </c>
    </row>
    <row r="251" spans="1:24" x14ac:dyDescent="0.25">
      <c r="A251" s="94">
        <f t="shared" si="292"/>
        <v>62</v>
      </c>
      <c r="B251" s="116"/>
      <c r="C251" s="93" t="str">
        <f t="shared" ref="C251:D251" si="308">IF($B250&lt;&gt;"",C247,"")</f>
        <v/>
      </c>
      <c r="D251" s="93" t="str">
        <f t="shared" si="308"/>
        <v/>
      </c>
      <c r="E251" s="32"/>
      <c r="F251" s="32"/>
      <c r="G251" s="32"/>
      <c r="H251" s="32"/>
      <c r="I251" s="32"/>
      <c r="J251" s="32"/>
      <c r="K251" s="32"/>
      <c r="L251" s="32"/>
      <c r="M251" s="32"/>
      <c r="N251" s="32"/>
      <c r="O251" s="32"/>
      <c r="P251" s="32"/>
      <c r="Q251" s="32"/>
      <c r="R251" s="32"/>
      <c r="S251" s="32"/>
      <c r="T251" s="32"/>
      <c r="U251" s="32"/>
      <c r="V251" s="26"/>
      <c r="W251" s="31" t="e">
        <f>INDEX(TBL_TRANSIT[TransitID],$A251)</f>
        <v>#REF!</v>
      </c>
      <c r="X251" s="31" t="e">
        <f>"TransitCapMax_"&amp;RIGHT($W251,11)</f>
        <v>#REF!</v>
      </c>
    </row>
    <row r="252" spans="1:24" x14ac:dyDescent="0.25">
      <c r="A252" s="94">
        <f t="shared" si="292"/>
        <v>62</v>
      </c>
      <c r="B252" s="116"/>
      <c r="C252" s="93" t="str">
        <f t="shared" ref="C252:D252" si="309">IF($B250&lt;&gt;"",C248,"")</f>
        <v/>
      </c>
      <c r="D252" s="93" t="str">
        <f t="shared" si="309"/>
        <v/>
      </c>
      <c r="E252" s="27"/>
      <c r="F252" s="27"/>
      <c r="G252" s="27"/>
      <c r="H252" s="27"/>
      <c r="I252" s="27"/>
      <c r="J252" s="27"/>
      <c r="K252" s="27"/>
      <c r="L252" s="27"/>
      <c r="M252" s="27"/>
      <c r="N252" s="27"/>
      <c r="O252" s="27"/>
      <c r="P252" s="27"/>
      <c r="Q252" s="27"/>
      <c r="R252" s="27"/>
      <c r="S252" s="27"/>
      <c r="T252" s="27"/>
      <c r="U252" s="27"/>
      <c r="V252" s="25"/>
      <c r="W252" s="31" t="e">
        <f>INDEX(TBL_TRANSIT[TransitID],$A252)</f>
        <v>#REF!</v>
      </c>
      <c r="X252" s="31" t="e">
        <f>"TransitTariffFixed_"&amp;RIGHT($W252,11)</f>
        <v>#REF!</v>
      </c>
    </row>
    <row r="253" spans="1:24" x14ac:dyDescent="0.25">
      <c r="A253" s="94">
        <f t="shared" si="292"/>
        <v>62</v>
      </c>
      <c r="B253" s="117"/>
      <c r="C253" s="93" t="str">
        <f t="shared" ref="C253:D253" si="310">IF($B250&lt;&gt;"",C249,"")</f>
        <v/>
      </c>
      <c r="D253" s="93" t="str">
        <f t="shared" si="310"/>
        <v/>
      </c>
      <c r="E253" s="32"/>
      <c r="F253" s="32"/>
      <c r="G253" s="32"/>
      <c r="H253" s="32"/>
      <c r="I253" s="32"/>
      <c r="J253" s="32"/>
      <c r="K253" s="32"/>
      <c r="L253" s="32"/>
      <c r="M253" s="32"/>
      <c r="N253" s="32"/>
      <c r="O253" s="32"/>
      <c r="P253" s="32"/>
      <c r="Q253" s="32"/>
      <c r="R253" s="32"/>
      <c r="S253" s="32"/>
      <c r="T253" s="32"/>
      <c r="U253" s="32"/>
      <c r="V253" s="26"/>
      <c r="W253" s="31" t="e">
        <f>INDEX(TBL_TRANSIT[TransitID],$A253)</f>
        <v>#REF!</v>
      </c>
      <c r="X253" s="31" t="e">
        <f>"TransitTariffVar_"&amp;RIGHT($W253,11)</f>
        <v>#REF!</v>
      </c>
    </row>
    <row r="254" spans="1:24" x14ac:dyDescent="0.25">
      <c r="A254" s="94">
        <f t="shared" ref="A254" si="311">$A250+1</f>
        <v>63</v>
      </c>
      <c r="B254" s="115" t="str">
        <f>IFERROR(INDEX(TBL_TRANSIT[Name],$A254),"")</f>
        <v/>
      </c>
      <c r="C254" s="93" t="str">
        <f t="shared" ref="C254:D254" si="312">IF($B254&lt;&gt;"",C250,"")</f>
        <v/>
      </c>
      <c r="D254" s="93" t="str">
        <f t="shared" si="312"/>
        <v/>
      </c>
      <c r="E254" s="27"/>
      <c r="F254" s="27"/>
      <c r="G254" s="27"/>
      <c r="H254" s="27"/>
      <c r="I254" s="27"/>
      <c r="J254" s="27"/>
      <c r="K254" s="27"/>
      <c r="L254" s="27"/>
      <c r="M254" s="27"/>
      <c r="N254" s="27"/>
      <c r="O254" s="27"/>
      <c r="P254" s="27"/>
      <c r="Q254" s="27"/>
      <c r="R254" s="27"/>
      <c r="S254" s="27"/>
      <c r="T254" s="27"/>
      <c r="U254" s="27"/>
      <c r="V254" s="25"/>
      <c r="W254" s="31" t="e">
        <f>INDEX(TBL_TRANSIT[TransitID],$A254)</f>
        <v>#REF!</v>
      </c>
      <c r="X254" s="31" t="e">
        <f>"TransitCapMin_"&amp;RIGHT($W254,11)</f>
        <v>#REF!</v>
      </c>
    </row>
    <row r="255" spans="1:24" x14ac:dyDescent="0.25">
      <c r="A255" s="94">
        <f t="shared" si="292"/>
        <v>63</v>
      </c>
      <c r="B255" s="116"/>
      <c r="C255" s="93" t="str">
        <f t="shared" ref="C255:D255" si="313">IF($B254&lt;&gt;"",C251,"")</f>
        <v/>
      </c>
      <c r="D255" s="93" t="str">
        <f t="shared" si="313"/>
        <v/>
      </c>
      <c r="E255" s="32"/>
      <c r="F255" s="32"/>
      <c r="G255" s="32"/>
      <c r="H255" s="32"/>
      <c r="I255" s="32"/>
      <c r="J255" s="32"/>
      <c r="K255" s="32"/>
      <c r="L255" s="32"/>
      <c r="M255" s="32"/>
      <c r="N255" s="32"/>
      <c r="O255" s="32"/>
      <c r="P255" s="32"/>
      <c r="Q255" s="32"/>
      <c r="R255" s="32"/>
      <c r="S255" s="32"/>
      <c r="T255" s="32"/>
      <c r="U255" s="32"/>
      <c r="V255" s="26"/>
      <c r="W255" s="31" t="e">
        <f>INDEX(TBL_TRANSIT[TransitID],$A255)</f>
        <v>#REF!</v>
      </c>
      <c r="X255" s="31" t="e">
        <f>"TransitCapMax_"&amp;RIGHT($W255,11)</f>
        <v>#REF!</v>
      </c>
    </row>
    <row r="256" spans="1:24" x14ac:dyDescent="0.25">
      <c r="A256" s="94">
        <f t="shared" si="292"/>
        <v>63</v>
      </c>
      <c r="B256" s="116"/>
      <c r="C256" s="93" t="str">
        <f t="shared" ref="C256:D256" si="314">IF($B254&lt;&gt;"",C252,"")</f>
        <v/>
      </c>
      <c r="D256" s="93" t="str">
        <f t="shared" si="314"/>
        <v/>
      </c>
      <c r="E256" s="27"/>
      <c r="F256" s="27"/>
      <c r="G256" s="27"/>
      <c r="H256" s="27"/>
      <c r="I256" s="27"/>
      <c r="J256" s="27"/>
      <c r="K256" s="27"/>
      <c r="L256" s="27"/>
      <c r="M256" s="27"/>
      <c r="N256" s="27"/>
      <c r="O256" s="27"/>
      <c r="P256" s="27"/>
      <c r="Q256" s="27"/>
      <c r="R256" s="27"/>
      <c r="S256" s="27"/>
      <c r="T256" s="27"/>
      <c r="U256" s="27"/>
      <c r="V256" s="25"/>
      <c r="W256" s="31" t="e">
        <f>INDEX(TBL_TRANSIT[TransitID],$A256)</f>
        <v>#REF!</v>
      </c>
      <c r="X256" s="31" t="e">
        <f>"TransitTariffFixed_"&amp;RIGHT($W256,11)</f>
        <v>#REF!</v>
      </c>
    </row>
    <row r="257" spans="1:24" x14ac:dyDescent="0.25">
      <c r="A257" s="94">
        <f t="shared" si="292"/>
        <v>63</v>
      </c>
      <c r="B257" s="117"/>
      <c r="C257" s="93" t="str">
        <f t="shared" ref="C257:D257" si="315">IF($B254&lt;&gt;"",C253,"")</f>
        <v/>
      </c>
      <c r="D257" s="93" t="str">
        <f t="shared" si="315"/>
        <v/>
      </c>
      <c r="E257" s="32"/>
      <c r="F257" s="32"/>
      <c r="G257" s="32"/>
      <c r="H257" s="32"/>
      <c r="I257" s="32"/>
      <c r="J257" s="32"/>
      <c r="K257" s="32"/>
      <c r="L257" s="32"/>
      <c r="M257" s="32"/>
      <c r="N257" s="32"/>
      <c r="O257" s="32"/>
      <c r="P257" s="32"/>
      <c r="Q257" s="32"/>
      <c r="R257" s="32"/>
      <c r="S257" s="32"/>
      <c r="T257" s="32"/>
      <c r="U257" s="32"/>
      <c r="V257" s="26"/>
      <c r="W257" s="31" t="e">
        <f>INDEX(TBL_TRANSIT[TransitID],$A257)</f>
        <v>#REF!</v>
      </c>
      <c r="X257" s="31" t="e">
        <f>"TransitTariffVar_"&amp;RIGHT($W257,11)</f>
        <v>#REF!</v>
      </c>
    </row>
    <row r="258" spans="1:24" x14ac:dyDescent="0.25">
      <c r="A258" s="94">
        <f t="shared" ref="A258" si="316">$A254+1</f>
        <v>64</v>
      </c>
      <c r="B258" s="115" t="str">
        <f>IFERROR(INDEX(TBL_TRANSIT[Name],$A258),"")</f>
        <v/>
      </c>
      <c r="C258" s="93" t="str">
        <f t="shared" ref="C258:D258" si="317">IF($B258&lt;&gt;"",C254,"")</f>
        <v/>
      </c>
      <c r="D258" s="93" t="str">
        <f t="shared" si="317"/>
        <v/>
      </c>
      <c r="E258" s="27"/>
      <c r="F258" s="27"/>
      <c r="G258" s="27"/>
      <c r="H258" s="27"/>
      <c r="I258" s="27"/>
      <c r="J258" s="27"/>
      <c r="K258" s="27"/>
      <c r="L258" s="27"/>
      <c r="M258" s="27"/>
      <c r="N258" s="27"/>
      <c r="O258" s="27"/>
      <c r="P258" s="27"/>
      <c r="Q258" s="27"/>
      <c r="R258" s="27"/>
      <c r="S258" s="27"/>
      <c r="T258" s="27"/>
      <c r="U258" s="27"/>
      <c r="V258" s="25"/>
      <c r="W258" s="31" t="e">
        <f>INDEX(TBL_TRANSIT[TransitID],$A258)</f>
        <v>#REF!</v>
      </c>
      <c r="X258" s="31" t="e">
        <f>"TransitCapMin_"&amp;RIGHT($W258,11)</f>
        <v>#REF!</v>
      </c>
    </row>
    <row r="259" spans="1:24" x14ac:dyDescent="0.25">
      <c r="A259" s="94">
        <f t="shared" si="292"/>
        <v>64</v>
      </c>
      <c r="B259" s="116"/>
      <c r="C259" s="93" t="str">
        <f t="shared" ref="C259:D259" si="318">IF($B258&lt;&gt;"",C255,"")</f>
        <v/>
      </c>
      <c r="D259" s="93" t="str">
        <f t="shared" si="318"/>
        <v/>
      </c>
      <c r="E259" s="32"/>
      <c r="F259" s="32"/>
      <c r="G259" s="32"/>
      <c r="H259" s="32"/>
      <c r="I259" s="32"/>
      <c r="J259" s="32"/>
      <c r="K259" s="32"/>
      <c r="L259" s="32"/>
      <c r="M259" s="32"/>
      <c r="N259" s="32"/>
      <c r="O259" s="32"/>
      <c r="P259" s="32"/>
      <c r="Q259" s="32"/>
      <c r="R259" s="32"/>
      <c r="S259" s="32"/>
      <c r="T259" s="32"/>
      <c r="U259" s="32"/>
      <c r="V259" s="26"/>
      <c r="W259" s="31" t="e">
        <f>INDEX(TBL_TRANSIT[TransitID],$A259)</f>
        <v>#REF!</v>
      </c>
      <c r="X259" s="31" t="e">
        <f>"TransitCapMax_"&amp;RIGHT($W259,11)</f>
        <v>#REF!</v>
      </c>
    </row>
    <row r="260" spans="1:24" x14ac:dyDescent="0.25">
      <c r="A260" s="94">
        <f t="shared" si="292"/>
        <v>64</v>
      </c>
      <c r="B260" s="116"/>
      <c r="C260" s="93" t="str">
        <f t="shared" ref="C260:D260" si="319">IF($B258&lt;&gt;"",C256,"")</f>
        <v/>
      </c>
      <c r="D260" s="93" t="str">
        <f t="shared" si="319"/>
        <v/>
      </c>
      <c r="E260" s="27"/>
      <c r="F260" s="27"/>
      <c r="G260" s="27"/>
      <c r="H260" s="27"/>
      <c r="I260" s="27"/>
      <c r="J260" s="27"/>
      <c r="K260" s="27"/>
      <c r="L260" s="27"/>
      <c r="M260" s="27"/>
      <c r="N260" s="27"/>
      <c r="O260" s="27"/>
      <c r="P260" s="27"/>
      <c r="Q260" s="27"/>
      <c r="R260" s="27"/>
      <c r="S260" s="27"/>
      <c r="T260" s="27"/>
      <c r="U260" s="27"/>
      <c r="V260" s="25"/>
      <c r="W260" s="31" t="e">
        <f>INDEX(TBL_TRANSIT[TransitID],$A260)</f>
        <v>#REF!</v>
      </c>
      <c r="X260" s="31" t="e">
        <f>"TransitTariffFixed_"&amp;RIGHT($W260,11)</f>
        <v>#REF!</v>
      </c>
    </row>
    <row r="261" spans="1:24" x14ac:dyDescent="0.25">
      <c r="A261" s="94">
        <f t="shared" si="292"/>
        <v>64</v>
      </c>
      <c r="B261" s="117"/>
      <c r="C261" s="93" t="str">
        <f t="shared" ref="C261:D261" si="320">IF($B258&lt;&gt;"",C257,"")</f>
        <v/>
      </c>
      <c r="D261" s="93" t="str">
        <f t="shared" si="320"/>
        <v/>
      </c>
      <c r="E261" s="32"/>
      <c r="F261" s="32"/>
      <c r="G261" s="32"/>
      <c r="H261" s="32"/>
      <c r="I261" s="32"/>
      <c r="J261" s="32"/>
      <c r="K261" s="32"/>
      <c r="L261" s="32"/>
      <c r="M261" s="32"/>
      <c r="N261" s="32"/>
      <c r="O261" s="32"/>
      <c r="P261" s="32"/>
      <c r="Q261" s="32"/>
      <c r="R261" s="32"/>
      <c r="S261" s="32"/>
      <c r="T261" s="32"/>
      <c r="U261" s="32"/>
      <c r="V261" s="26"/>
      <c r="W261" s="31" t="e">
        <f>INDEX(TBL_TRANSIT[TransitID],$A261)</f>
        <v>#REF!</v>
      </c>
      <c r="X261" s="31" t="e">
        <f>"TransitTariffVar_"&amp;RIGHT($W261,11)</f>
        <v>#REF!</v>
      </c>
    </row>
    <row r="262" spans="1:24" x14ac:dyDescent="0.25">
      <c r="A262" s="94">
        <f t="shared" ref="A262" si="321">$A258+1</f>
        <v>65</v>
      </c>
      <c r="B262" s="115" t="str">
        <f>IFERROR(INDEX(TBL_TRANSIT[Name],$A262),"")</f>
        <v/>
      </c>
      <c r="C262" s="93" t="str">
        <f t="shared" ref="C262:D262" si="322">IF($B262&lt;&gt;"",C258,"")</f>
        <v/>
      </c>
      <c r="D262" s="93" t="str">
        <f t="shared" si="322"/>
        <v/>
      </c>
      <c r="E262" s="27"/>
      <c r="F262" s="27"/>
      <c r="G262" s="27"/>
      <c r="H262" s="27"/>
      <c r="I262" s="27"/>
      <c r="J262" s="27"/>
      <c r="K262" s="27"/>
      <c r="L262" s="27"/>
      <c r="M262" s="27"/>
      <c r="N262" s="27"/>
      <c r="O262" s="27"/>
      <c r="P262" s="27"/>
      <c r="Q262" s="27"/>
      <c r="R262" s="27"/>
      <c r="S262" s="27"/>
      <c r="T262" s="27"/>
      <c r="U262" s="27"/>
      <c r="V262" s="25"/>
      <c r="W262" s="31" t="e">
        <f>INDEX(TBL_TRANSIT[TransitID],$A262)</f>
        <v>#REF!</v>
      </c>
      <c r="X262" s="31" t="e">
        <f>"TransitCapMin_"&amp;RIGHT($W262,11)</f>
        <v>#REF!</v>
      </c>
    </row>
    <row r="263" spans="1:24" x14ac:dyDescent="0.25">
      <c r="A263" s="94">
        <f t="shared" si="292"/>
        <v>65</v>
      </c>
      <c r="B263" s="116"/>
      <c r="C263" s="93" t="str">
        <f t="shared" ref="C263:D263" si="323">IF($B262&lt;&gt;"",C259,"")</f>
        <v/>
      </c>
      <c r="D263" s="93" t="str">
        <f t="shared" si="323"/>
        <v/>
      </c>
      <c r="E263" s="32"/>
      <c r="F263" s="32"/>
      <c r="G263" s="32"/>
      <c r="H263" s="32"/>
      <c r="I263" s="32"/>
      <c r="J263" s="32"/>
      <c r="K263" s="32"/>
      <c r="L263" s="32"/>
      <c r="M263" s="32"/>
      <c r="N263" s="32"/>
      <c r="O263" s="32"/>
      <c r="P263" s="32"/>
      <c r="Q263" s="32"/>
      <c r="R263" s="32"/>
      <c r="S263" s="32"/>
      <c r="T263" s="32"/>
      <c r="U263" s="32"/>
      <c r="V263" s="26"/>
      <c r="W263" s="31" t="e">
        <f>INDEX(TBL_TRANSIT[TransitID],$A263)</f>
        <v>#REF!</v>
      </c>
      <c r="X263" s="31" t="e">
        <f>"TransitCapMax_"&amp;RIGHT($W263,11)</f>
        <v>#REF!</v>
      </c>
    </row>
    <row r="264" spans="1:24" x14ac:dyDescent="0.25">
      <c r="A264" s="94">
        <f t="shared" si="292"/>
        <v>65</v>
      </c>
      <c r="B264" s="116"/>
      <c r="C264" s="93" t="str">
        <f t="shared" ref="C264:D264" si="324">IF($B262&lt;&gt;"",C260,"")</f>
        <v/>
      </c>
      <c r="D264" s="93" t="str">
        <f t="shared" si="324"/>
        <v/>
      </c>
      <c r="E264" s="27"/>
      <c r="F264" s="27"/>
      <c r="G264" s="27"/>
      <c r="H264" s="27"/>
      <c r="I264" s="27"/>
      <c r="J264" s="27"/>
      <c r="K264" s="27"/>
      <c r="L264" s="27"/>
      <c r="M264" s="27"/>
      <c r="N264" s="27"/>
      <c r="O264" s="27"/>
      <c r="P264" s="27"/>
      <c r="Q264" s="27"/>
      <c r="R264" s="27"/>
      <c r="S264" s="27"/>
      <c r="T264" s="27"/>
      <c r="U264" s="27"/>
      <c r="V264" s="25"/>
      <c r="W264" s="31" t="e">
        <f>INDEX(TBL_TRANSIT[TransitID],$A264)</f>
        <v>#REF!</v>
      </c>
      <c r="X264" s="31" t="e">
        <f>"TransitTariffFixed_"&amp;RIGHT($W264,11)</f>
        <v>#REF!</v>
      </c>
    </row>
    <row r="265" spans="1:24" x14ac:dyDescent="0.25">
      <c r="A265" s="94">
        <f t="shared" si="292"/>
        <v>65</v>
      </c>
      <c r="B265" s="117"/>
      <c r="C265" s="93" t="str">
        <f t="shared" ref="C265:D265" si="325">IF($B262&lt;&gt;"",C261,"")</f>
        <v/>
      </c>
      <c r="D265" s="93" t="str">
        <f t="shared" si="325"/>
        <v/>
      </c>
      <c r="E265" s="32"/>
      <c r="F265" s="32"/>
      <c r="G265" s="32"/>
      <c r="H265" s="32"/>
      <c r="I265" s="32"/>
      <c r="J265" s="32"/>
      <c r="K265" s="32"/>
      <c r="L265" s="32"/>
      <c r="M265" s="32"/>
      <c r="N265" s="32"/>
      <c r="O265" s="32"/>
      <c r="P265" s="32"/>
      <c r="Q265" s="32"/>
      <c r="R265" s="32"/>
      <c r="S265" s="32"/>
      <c r="T265" s="32"/>
      <c r="U265" s="32"/>
      <c r="V265" s="26"/>
      <c r="W265" s="31" t="e">
        <f>INDEX(TBL_TRANSIT[TransitID],$A265)</f>
        <v>#REF!</v>
      </c>
      <c r="X265" s="31" t="e">
        <f>"TransitTariffVar_"&amp;RIGHT($W265,11)</f>
        <v>#REF!</v>
      </c>
    </row>
    <row r="266" spans="1:24" x14ac:dyDescent="0.25">
      <c r="A266" s="94">
        <f t="shared" ref="A266" si="326">$A262+1</f>
        <v>66</v>
      </c>
      <c r="B266" s="115" t="str">
        <f>IFERROR(INDEX(TBL_TRANSIT[Name],$A266),"")</f>
        <v/>
      </c>
      <c r="C266" s="93" t="str">
        <f t="shared" ref="C266:D266" si="327">IF($B266&lt;&gt;"",C262,"")</f>
        <v/>
      </c>
      <c r="D266" s="93" t="str">
        <f t="shared" si="327"/>
        <v/>
      </c>
      <c r="E266" s="27"/>
      <c r="F266" s="27"/>
      <c r="G266" s="27"/>
      <c r="H266" s="27"/>
      <c r="I266" s="27"/>
      <c r="J266" s="27"/>
      <c r="K266" s="27"/>
      <c r="L266" s="27"/>
      <c r="M266" s="27"/>
      <c r="N266" s="27"/>
      <c r="O266" s="27"/>
      <c r="P266" s="27"/>
      <c r="Q266" s="27"/>
      <c r="R266" s="27"/>
      <c r="S266" s="27"/>
      <c r="T266" s="27"/>
      <c r="U266" s="27"/>
      <c r="V266" s="25"/>
      <c r="W266" s="31" t="e">
        <f>INDEX(TBL_TRANSIT[TransitID],$A266)</f>
        <v>#REF!</v>
      </c>
      <c r="X266" s="31" t="e">
        <f>"TransitCapMin_"&amp;RIGHT($W266,11)</f>
        <v>#REF!</v>
      </c>
    </row>
    <row r="267" spans="1:24" x14ac:dyDescent="0.25">
      <c r="A267" s="94">
        <f t="shared" si="292"/>
        <v>66</v>
      </c>
      <c r="B267" s="116"/>
      <c r="C267" s="93" t="str">
        <f t="shared" ref="C267:D267" si="328">IF($B266&lt;&gt;"",C263,"")</f>
        <v/>
      </c>
      <c r="D267" s="93" t="str">
        <f t="shared" si="328"/>
        <v/>
      </c>
      <c r="E267" s="32"/>
      <c r="F267" s="32"/>
      <c r="G267" s="32"/>
      <c r="H267" s="32"/>
      <c r="I267" s="32"/>
      <c r="J267" s="32"/>
      <c r="K267" s="32"/>
      <c r="L267" s="32"/>
      <c r="M267" s="32"/>
      <c r="N267" s="32"/>
      <c r="O267" s="32"/>
      <c r="P267" s="32"/>
      <c r="Q267" s="32"/>
      <c r="R267" s="32"/>
      <c r="S267" s="32"/>
      <c r="T267" s="32"/>
      <c r="U267" s="32"/>
      <c r="V267" s="26"/>
      <c r="W267" s="31" t="e">
        <f>INDEX(TBL_TRANSIT[TransitID],$A267)</f>
        <v>#REF!</v>
      </c>
      <c r="X267" s="31" t="e">
        <f>"TransitCapMax_"&amp;RIGHT($W267,11)</f>
        <v>#REF!</v>
      </c>
    </row>
    <row r="268" spans="1:24" x14ac:dyDescent="0.25">
      <c r="A268" s="94">
        <f t="shared" si="292"/>
        <v>66</v>
      </c>
      <c r="B268" s="116"/>
      <c r="C268" s="93" t="str">
        <f t="shared" ref="C268:D268" si="329">IF($B266&lt;&gt;"",C264,"")</f>
        <v/>
      </c>
      <c r="D268" s="93" t="str">
        <f t="shared" si="329"/>
        <v/>
      </c>
      <c r="E268" s="27"/>
      <c r="F268" s="27"/>
      <c r="G268" s="27"/>
      <c r="H268" s="27"/>
      <c r="I268" s="27"/>
      <c r="J268" s="27"/>
      <c r="K268" s="27"/>
      <c r="L268" s="27"/>
      <c r="M268" s="27"/>
      <c r="N268" s="27"/>
      <c r="O268" s="27"/>
      <c r="P268" s="27"/>
      <c r="Q268" s="27"/>
      <c r="R268" s="27"/>
      <c r="S268" s="27"/>
      <c r="T268" s="27"/>
      <c r="U268" s="27"/>
      <c r="V268" s="25"/>
      <c r="W268" s="31" t="e">
        <f>INDEX(TBL_TRANSIT[TransitID],$A268)</f>
        <v>#REF!</v>
      </c>
      <c r="X268" s="31" t="e">
        <f>"TransitTariffFixed_"&amp;RIGHT($W268,11)</f>
        <v>#REF!</v>
      </c>
    </row>
    <row r="269" spans="1:24" x14ac:dyDescent="0.25">
      <c r="A269" s="94">
        <f t="shared" si="292"/>
        <v>66</v>
      </c>
      <c r="B269" s="117"/>
      <c r="C269" s="93" t="str">
        <f t="shared" ref="C269:D269" si="330">IF($B266&lt;&gt;"",C265,"")</f>
        <v/>
      </c>
      <c r="D269" s="93" t="str">
        <f t="shared" si="330"/>
        <v/>
      </c>
      <c r="E269" s="32"/>
      <c r="F269" s="32"/>
      <c r="G269" s="32"/>
      <c r="H269" s="32"/>
      <c r="I269" s="32"/>
      <c r="J269" s="32"/>
      <c r="K269" s="32"/>
      <c r="L269" s="32"/>
      <c r="M269" s="32"/>
      <c r="N269" s="32"/>
      <c r="O269" s="32"/>
      <c r="P269" s="32"/>
      <c r="Q269" s="32"/>
      <c r="R269" s="32"/>
      <c r="S269" s="32"/>
      <c r="T269" s="32"/>
      <c r="U269" s="32"/>
      <c r="V269" s="26"/>
      <c r="W269" s="31" t="e">
        <f>INDEX(TBL_TRANSIT[TransitID],$A269)</f>
        <v>#REF!</v>
      </c>
      <c r="X269" s="31" t="e">
        <f>"TransitTariffVar_"&amp;RIGHT($W269,11)</f>
        <v>#REF!</v>
      </c>
    </row>
    <row r="270" spans="1:24" x14ac:dyDescent="0.25">
      <c r="A270" s="94">
        <f t="shared" ref="A270" si="331">$A266+1</f>
        <v>67</v>
      </c>
      <c r="B270" s="115" t="str">
        <f>IFERROR(INDEX(TBL_TRANSIT[Name],$A270),"")</f>
        <v/>
      </c>
      <c r="C270" s="93" t="str">
        <f t="shared" ref="C270:D270" si="332">IF($B270&lt;&gt;"",C266,"")</f>
        <v/>
      </c>
      <c r="D270" s="93" t="str">
        <f t="shared" si="332"/>
        <v/>
      </c>
      <c r="E270" s="27"/>
      <c r="F270" s="27"/>
      <c r="G270" s="27"/>
      <c r="H270" s="27"/>
      <c r="I270" s="27"/>
      <c r="J270" s="27"/>
      <c r="K270" s="27"/>
      <c r="L270" s="27"/>
      <c r="M270" s="27"/>
      <c r="N270" s="27"/>
      <c r="O270" s="27"/>
      <c r="P270" s="27"/>
      <c r="Q270" s="27"/>
      <c r="R270" s="27"/>
      <c r="S270" s="27"/>
      <c r="T270" s="27"/>
      <c r="U270" s="27"/>
      <c r="V270" s="25"/>
      <c r="W270" s="31" t="e">
        <f>INDEX(TBL_TRANSIT[TransitID],$A270)</f>
        <v>#REF!</v>
      </c>
      <c r="X270" s="31" t="e">
        <f>"TransitCapMin_"&amp;RIGHT($W270,11)</f>
        <v>#REF!</v>
      </c>
    </row>
    <row r="271" spans="1:24" x14ac:dyDescent="0.25">
      <c r="A271" s="94">
        <f t="shared" si="292"/>
        <v>67</v>
      </c>
      <c r="B271" s="116"/>
      <c r="C271" s="93" t="str">
        <f t="shared" ref="C271:D271" si="333">IF($B270&lt;&gt;"",C267,"")</f>
        <v/>
      </c>
      <c r="D271" s="93" t="str">
        <f t="shared" si="333"/>
        <v/>
      </c>
      <c r="E271" s="32"/>
      <c r="F271" s="32"/>
      <c r="G271" s="32"/>
      <c r="H271" s="32"/>
      <c r="I271" s="32"/>
      <c r="J271" s="32"/>
      <c r="K271" s="32"/>
      <c r="L271" s="32"/>
      <c r="M271" s="32"/>
      <c r="N271" s="32"/>
      <c r="O271" s="32"/>
      <c r="P271" s="32"/>
      <c r="Q271" s="32"/>
      <c r="R271" s="32"/>
      <c r="S271" s="32"/>
      <c r="T271" s="32"/>
      <c r="U271" s="32"/>
      <c r="V271" s="26"/>
      <c r="W271" s="31" t="e">
        <f>INDEX(TBL_TRANSIT[TransitID],$A271)</f>
        <v>#REF!</v>
      </c>
      <c r="X271" s="31" t="e">
        <f>"TransitCapMax_"&amp;RIGHT($W271,11)</f>
        <v>#REF!</v>
      </c>
    </row>
    <row r="272" spans="1:24" x14ac:dyDescent="0.25">
      <c r="A272" s="94">
        <f t="shared" si="292"/>
        <v>67</v>
      </c>
      <c r="B272" s="116"/>
      <c r="C272" s="93" t="str">
        <f t="shared" ref="C272:D272" si="334">IF($B270&lt;&gt;"",C268,"")</f>
        <v/>
      </c>
      <c r="D272" s="93" t="str">
        <f t="shared" si="334"/>
        <v/>
      </c>
      <c r="E272" s="27"/>
      <c r="F272" s="27"/>
      <c r="G272" s="27"/>
      <c r="H272" s="27"/>
      <c r="I272" s="27"/>
      <c r="J272" s="27"/>
      <c r="K272" s="27"/>
      <c r="L272" s="27"/>
      <c r="M272" s="27"/>
      <c r="N272" s="27"/>
      <c r="O272" s="27"/>
      <c r="P272" s="27"/>
      <c r="Q272" s="27"/>
      <c r="R272" s="27"/>
      <c r="S272" s="27"/>
      <c r="T272" s="27"/>
      <c r="U272" s="27"/>
      <c r="V272" s="25"/>
      <c r="W272" s="31" t="e">
        <f>INDEX(TBL_TRANSIT[TransitID],$A272)</f>
        <v>#REF!</v>
      </c>
      <c r="X272" s="31" t="e">
        <f>"TransitTariffFixed_"&amp;RIGHT($W272,11)</f>
        <v>#REF!</v>
      </c>
    </row>
    <row r="273" spans="1:24" x14ac:dyDescent="0.25">
      <c r="A273" s="94">
        <f t="shared" si="292"/>
        <v>67</v>
      </c>
      <c r="B273" s="117"/>
      <c r="C273" s="93" t="str">
        <f t="shared" ref="C273:D273" si="335">IF($B270&lt;&gt;"",C269,"")</f>
        <v/>
      </c>
      <c r="D273" s="93" t="str">
        <f t="shared" si="335"/>
        <v/>
      </c>
      <c r="E273" s="32"/>
      <c r="F273" s="32"/>
      <c r="G273" s="32"/>
      <c r="H273" s="32"/>
      <c r="I273" s="32"/>
      <c r="J273" s="32"/>
      <c r="K273" s="32"/>
      <c r="L273" s="32"/>
      <c r="M273" s="32"/>
      <c r="N273" s="32"/>
      <c r="O273" s="32"/>
      <c r="P273" s="32"/>
      <c r="Q273" s="32"/>
      <c r="R273" s="32"/>
      <c r="S273" s="32"/>
      <c r="T273" s="32"/>
      <c r="U273" s="32"/>
      <c r="V273" s="26"/>
      <c r="W273" s="31" t="e">
        <f>INDEX(TBL_TRANSIT[TransitID],$A273)</f>
        <v>#REF!</v>
      </c>
      <c r="X273" s="31" t="e">
        <f>"TransitTariffVar_"&amp;RIGHT($W273,11)</f>
        <v>#REF!</v>
      </c>
    </row>
    <row r="274" spans="1:24" x14ac:dyDescent="0.25">
      <c r="A274" s="94">
        <f t="shared" ref="A274" si="336">$A270+1</f>
        <v>68</v>
      </c>
      <c r="B274" s="115" t="str">
        <f>IFERROR(INDEX(TBL_TRANSIT[Name],$A274),"")</f>
        <v/>
      </c>
      <c r="C274" s="93" t="str">
        <f t="shared" ref="C274:D274" si="337">IF($B274&lt;&gt;"",C270,"")</f>
        <v/>
      </c>
      <c r="D274" s="93" t="str">
        <f t="shared" si="337"/>
        <v/>
      </c>
      <c r="E274" s="27"/>
      <c r="F274" s="27"/>
      <c r="G274" s="27"/>
      <c r="H274" s="27"/>
      <c r="I274" s="27"/>
      <c r="J274" s="27"/>
      <c r="K274" s="27"/>
      <c r="L274" s="27"/>
      <c r="M274" s="27"/>
      <c r="N274" s="27"/>
      <c r="O274" s="27"/>
      <c r="P274" s="27"/>
      <c r="Q274" s="27"/>
      <c r="R274" s="27"/>
      <c r="S274" s="27"/>
      <c r="T274" s="27"/>
      <c r="U274" s="27"/>
      <c r="V274" s="25"/>
      <c r="W274" s="31" t="e">
        <f>INDEX(TBL_TRANSIT[TransitID],$A274)</f>
        <v>#REF!</v>
      </c>
      <c r="X274" s="31" t="e">
        <f>"TransitCapMin_"&amp;RIGHT($W274,11)</f>
        <v>#REF!</v>
      </c>
    </row>
    <row r="275" spans="1:24" x14ac:dyDescent="0.25">
      <c r="A275" s="94">
        <f t="shared" si="292"/>
        <v>68</v>
      </c>
      <c r="B275" s="116"/>
      <c r="C275" s="93" t="str">
        <f t="shared" ref="C275:D275" si="338">IF($B274&lt;&gt;"",C271,"")</f>
        <v/>
      </c>
      <c r="D275" s="93" t="str">
        <f t="shared" si="338"/>
        <v/>
      </c>
      <c r="E275" s="32"/>
      <c r="F275" s="32"/>
      <c r="G275" s="32"/>
      <c r="H275" s="32"/>
      <c r="I275" s="32"/>
      <c r="J275" s="32"/>
      <c r="K275" s="32"/>
      <c r="L275" s="32"/>
      <c r="M275" s="32"/>
      <c r="N275" s="32"/>
      <c r="O275" s="32"/>
      <c r="P275" s="32"/>
      <c r="Q275" s="32"/>
      <c r="R275" s="32"/>
      <c r="S275" s="32"/>
      <c r="T275" s="32"/>
      <c r="U275" s="32"/>
      <c r="V275" s="26"/>
      <c r="W275" s="31" t="e">
        <f>INDEX(TBL_TRANSIT[TransitID],$A275)</f>
        <v>#REF!</v>
      </c>
      <c r="X275" s="31" t="e">
        <f>"TransitCapMax_"&amp;RIGHT($W275,11)</f>
        <v>#REF!</v>
      </c>
    </row>
    <row r="276" spans="1:24" x14ac:dyDescent="0.25">
      <c r="A276" s="94">
        <f t="shared" si="292"/>
        <v>68</v>
      </c>
      <c r="B276" s="116"/>
      <c r="C276" s="93" t="str">
        <f t="shared" ref="C276:D276" si="339">IF($B274&lt;&gt;"",C272,"")</f>
        <v/>
      </c>
      <c r="D276" s="93" t="str">
        <f t="shared" si="339"/>
        <v/>
      </c>
      <c r="E276" s="27"/>
      <c r="F276" s="27"/>
      <c r="G276" s="27"/>
      <c r="H276" s="27"/>
      <c r="I276" s="27"/>
      <c r="J276" s="27"/>
      <c r="K276" s="27"/>
      <c r="L276" s="27"/>
      <c r="M276" s="27"/>
      <c r="N276" s="27"/>
      <c r="O276" s="27"/>
      <c r="P276" s="27"/>
      <c r="Q276" s="27"/>
      <c r="R276" s="27"/>
      <c r="S276" s="27"/>
      <c r="T276" s="27"/>
      <c r="U276" s="27"/>
      <c r="V276" s="25"/>
      <c r="W276" s="31" t="e">
        <f>INDEX(TBL_TRANSIT[TransitID],$A276)</f>
        <v>#REF!</v>
      </c>
      <c r="X276" s="31" t="e">
        <f>"TransitTariffFixed_"&amp;RIGHT($W276,11)</f>
        <v>#REF!</v>
      </c>
    </row>
    <row r="277" spans="1:24" x14ac:dyDescent="0.25">
      <c r="A277" s="94">
        <f t="shared" si="292"/>
        <v>68</v>
      </c>
      <c r="B277" s="117"/>
      <c r="C277" s="93" t="str">
        <f t="shared" ref="C277:D277" si="340">IF($B274&lt;&gt;"",C273,"")</f>
        <v/>
      </c>
      <c r="D277" s="93" t="str">
        <f t="shared" si="340"/>
        <v/>
      </c>
      <c r="E277" s="32"/>
      <c r="F277" s="32"/>
      <c r="G277" s="32"/>
      <c r="H277" s="32"/>
      <c r="I277" s="32"/>
      <c r="J277" s="32"/>
      <c r="K277" s="32"/>
      <c r="L277" s="32"/>
      <c r="M277" s="32"/>
      <c r="N277" s="32"/>
      <c r="O277" s="32"/>
      <c r="P277" s="32"/>
      <c r="Q277" s="32"/>
      <c r="R277" s="32"/>
      <c r="S277" s="32"/>
      <c r="T277" s="32"/>
      <c r="U277" s="32"/>
      <c r="V277" s="26"/>
      <c r="W277" s="31" t="e">
        <f>INDEX(TBL_TRANSIT[TransitID],$A277)</f>
        <v>#REF!</v>
      </c>
      <c r="X277" s="31" t="e">
        <f>"TransitTariffVar_"&amp;RIGHT($W277,11)</f>
        <v>#REF!</v>
      </c>
    </row>
    <row r="278" spans="1:24" x14ac:dyDescent="0.25">
      <c r="A278" s="94">
        <f t="shared" ref="A278" si="341">$A274+1</f>
        <v>69</v>
      </c>
      <c r="B278" s="115" t="str">
        <f>IFERROR(INDEX(TBL_TRANSIT[Name],$A278),"")</f>
        <v/>
      </c>
      <c r="C278" s="93" t="str">
        <f t="shared" ref="C278:D278" si="342">IF($B278&lt;&gt;"",C274,"")</f>
        <v/>
      </c>
      <c r="D278" s="93" t="str">
        <f t="shared" si="342"/>
        <v/>
      </c>
      <c r="E278" s="27"/>
      <c r="F278" s="27"/>
      <c r="G278" s="27"/>
      <c r="H278" s="27"/>
      <c r="I278" s="27"/>
      <c r="J278" s="27"/>
      <c r="K278" s="27"/>
      <c r="L278" s="27"/>
      <c r="M278" s="27"/>
      <c r="N278" s="27"/>
      <c r="O278" s="27"/>
      <c r="P278" s="27"/>
      <c r="Q278" s="27"/>
      <c r="R278" s="27"/>
      <c r="S278" s="27"/>
      <c r="T278" s="27"/>
      <c r="U278" s="27"/>
      <c r="V278" s="25"/>
      <c r="W278" s="31" t="e">
        <f>INDEX(TBL_TRANSIT[TransitID],$A278)</f>
        <v>#REF!</v>
      </c>
      <c r="X278" s="31" t="e">
        <f>"TransitCapMin_"&amp;RIGHT($W278,11)</f>
        <v>#REF!</v>
      </c>
    </row>
    <row r="279" spans="1:24" x14ac:dyDescent="0.25">
      <c r="A279" s="94">
        <f t="shared" si="292"/>
        <v>69</v>
      </c>
      <c r="B279" s="116"/>
      <c r="C279" s="93" t="str">
        <f t="shared" ref="C279:D279" si="343">IF($B278&lt;&gt;"",C275,"")</f>
        <v/>
      </c>
      <c r="D279" s="93" t="str">
        <f t="shared" si="343"/>
        <v/>
      </c>
      <c r="E279" s="32"/>
      <c r="F279" s="32"/>
      <c r="G279" s="32"/>
      <c r="H279" s="32"/>
      <c r="I279" s="32"/>
      <c r="J279" s="32"/>
      <c r="K279" s="32"/>
      <c r="L279" s="32"/>
      <c r="M279" s="32"/>
      <c r="N279" s="32"/>
      <c r="O279" s="32"/>
      <c r="P279" s="32"/>
      <c r="Q279" s="32"/>
      <c r="R279" s="32"/>
      <c r="S279" s="32"/>
      <c r="T279" s="32"/>
      <c r="U279" s="32"/>
      <c r="V279" s="26"/>
      <c r="W279" s="31" t="e">
        <f>INDEX(TBL_TRANSIT[TransitID],$A279)</f>
        <v>#REF!</v>
      </c>
      <c r="X279" s="31" t="e">
        <f>"TransitCapMax_"&amp;RIGHT($W279,11)</f>
        <v>#REF!</v>
      </c>
    </row>
    <row r="280" spans="1:24" x14ac:dyDescent="0.25">
      <c r="A280" s="94">
        <f t="shared" si="292"/>
        <v>69</v>
      </c>
      <c r="B280" s="116"/>
      <c r="C280" s="93" t="str">
        <f t="shared" ref="C280:D280" si="344">IF($B278&lt;&gt;"",C276,"")</f>
        <v/>
      </c>
      <c r="D280" s="93" t="str">
        <f t="shared" si="344"/>
        <v/>
      </c>
      <c r="E280" s="27"/>
      <c r="F280" s="27"/>
      <c r="G280" s="27"/>
      <c r="H280" s="27"/>
      <c r="I280" s="27"/>
      <c r="J280" s="27"/>
      <c r="K280" s="27"/>
      <c r="L280" s="27"/>
      <c r="M280" s="27"/>
      <c r="N280" s="27"/>
      <c r="O280" s="27"/>
      <c r="P280" s="27"/>
      <c r="Q280" s="27"/>
      <c r="R280" s="27"/>
      <c r="S280" s="27"/>
      <c r="T280" s="27"/>
      <c r="U280" s="27"/>
      <c r="V280" s="25"/>
      <c r="W280" s="31" t="e">
        <f>INDEX(TBL_TRANSIT[TransitID],$A280)</f>
        <v>#REF!</v>
      </c>
      <c r="X280" s="31" t="e">
        <f>"TransitTariffFixed_"&amp;RIGHT($W280,11)</f>
        <v>#REF!</v>
      </c>
    </row>
    <row r="281" spans="1:24" x14ac:dyDescent="0.25">
      <c r="A281" s="94">
        <f t="shared" si="292"/>
        <v>69</v>
      </c>
      <c r="B281" s="117"/>
      <c r="C281" s="93" t="str">
        <f t="shared" ref="C281:D281" si="345">IF($B278&lt;&gt;"",C277,"")</f>
        <v/>
      </c>
      <c r="D281" s="93" t="str">
        <f t="shared" si="345"/>
        <v/>
      </c>
      <c r="E281" s="32"/>
      <c r="F281" s="32"/>
      <c r="G281" s="32"/>
      <c r="H281" s="32"/>
      <c r="I281" s="32"/>
      <c r="J281" s="32"/>
      <c r="K281" s="32"/>
      <c r="L281" s="32"/>
      <c r="M281" s="32"/>
      <c r="N281" s="32"/>
      <c r="O281" s="32"/>
      <c r="P281" s="32"/>
      <c r="Q281" s="32"/>
      <c r="R281" s="32"/>
      <c r="S281" s="32"/>
      <c r="T281" s="32"/>
      <c r="U281" s="32"/>
      <c r="V281" s="26"/>
      <c r="W281" s="31" t="e">
        <f>INDEX(TBL_TRANSIT[TransitID],$A281)</f>
        <v>#REF!</v>
      </c>
      <c r="X281" s="31" t="e">
        <f>"TransitTariffVar_"&amp;RIGHT($W281,11)</f>
        <v>#REF!</v>
      </c>
    </row>
    <row r="282" spans="1:24" x14ac:dyDescent="0.25">
      <c r="A282" s="94">
        <f t="shared" ref="A282" si="346">$A278+1</f>
        <v>70</v>
      </c>
      <c r="B282" s="115" t="str">
        <f>IFERROR(INDEX(TBL_TRANSIT[Name],$A282),"")</f>
        <v/>
      </c>
      <c r="C282" s="93" t="str">
        <f t="shared" ref="C282:D282" si="347">IF($B282&lt;&gt;"",C278,"")</f>
        <v/>
      </c>
      <c r="D282" s="93" t="str">
        <f t="shared" si="347"/>
        <v/>
      </c>
      <c r="E282" s="27"/>
      <c r="F282" s="27"/>
      <c r="G282" s="27"/>
      <c r="H282" s="27"/>
      <c r="I282" s="27"/>
      <c r="J282" s="27"/>
      <c r="K282" s="27"/>
      <c r="L282" s="27"/>
      <c r="M282" s="27"/>
      <c r="N282" s="27"/>
      <c r="O282" s="27"/>
      <c r="P282" s="27"/>
      <c r="Q282" s="27"/>
      <c r="R282" s="27"/>
      <c r="S282" s="27"/>
      <c r="T282" s="27"/>
      <c r="U282" s="27"/>
      <c r="V282" s="25"/>
      <c r="W282" s="31" t="e">
        <f>INDEX(TBL_TRANSIT[TransitID],$A282)</f>
        <v>#REF!</v>
      </c>
      <c r="X282" s="31" t="e">
        <f>"TransitCapMin_"&amp;RIGHT($W282,11)</f>
        <v>#REF!</v>
      </c>
    </row>
    <row r="283" spans="1:24" x14ac:dyDescent="0.25">
      <c r="A283" s="94">
        <f t="shared" si="292"/>
        <v>70</v>
      </c>
      <c r="B283" s="116"/>
      <c r="C283" s="93" t="str">
        <f t="shared" ref="C283:D283" si="348">IF($B282&lt;&gt;"",C279,"")</f>
        <v/>
      </c>
      <c r="D283" s="93" t="str">
        <f t="shared" si="348"/>
        <v/>
      </c>
      <c r="E283" s="32"/>
      <c r="F283" s="32"/>
      <c r="G283" s="32"/>
      <c r="H283" s="32"/>
      <c r="I283" s="32"/>
      <c r="J283" s="32"/>
      <c r="K283" s="32"/>
      <c r="L283" s="32"/>
      <c r="M283" s="32"/>
      <c r="N283" s="32"/>
      <c r="O283" s="32"/>
      <c r="P283" s="32"/>
      <c r="Q283" s="32"/>
      <c r="R283" s="32"/>
      <c r="S283" s="32"/>
      <c r="T283" s="32"/>
      <c r="U283" s="32"/>
      <c r="V283" s="26"/>
      <c r="W283" s="31" t="e">
        <f>INDEX(TBL_TRANSIT[TransitID],$A283)</f>
        <v>#REF!</v>
      </c>
      <c r="X283" s="31" t="e">
        <f>"TransitCapMax_"&amp;RIGHT($W283,11)</f>
        <v>#REF!</v>
      </c>
    </row>
    <row r="284" spans="1:24" x14ac:dyDescent="0.25">
      <c r="A284" s="94">
        <f t="shared" si="292"/>
        <v>70</v>
      </c>
      <c r="B284" s="116"/>
      <c r="C284" s="93" t="str">
        <f t="shared" ref="C284:D284" si="349">IF($B282&lt;&gt;"",C280,"")</f>
        <v/>
      </c>
      <c r="D284" s="93" t="str">
        <f t="shared" si="349"/>
        <v/>
      </c>
      <c r="E284" s="27"/>
      <c r="F284" s="27"/>
      <c r="G284" s="27"/>
      <c r="H284" s="27"/>
      <c r="I284" s="27"/>
      <c r="J284" s="27"/>
      <c r="K284" s="27"/>
      <c r="L284" s="27"/>
      <c r="M284" s="27"/>
      <c r="N284" s="27"/>
      <c r="O284" s="27"/>
      <c r="P284" s="27"/>
      <c r="Q284" s="27"/>
      <c r="R284" s="27"/>
      <c r="S284" s="27"/>
      <c r="T284" s="27"/>
      <c r="U284" s="27"/>
      <c r="V284" s="25"/>
      <c r="W284" s="31" t="e">
        <f>INDEX(TBL_TRANSIT[TransitID],$A284)</f>
        <v>#REF!</v>
      </c>
      <c r="X284" s="31" t="e">
        <f>"TransitTariffFixed_"&amp;RIGHT($W284,11)</f>
        <v>#REF!</v>
      </c>
    </row>
    <row r="285" spans="1:24" x14ac:dyDescent="0.25">
      <c r="A285" s="94">
        <f t="shared" si="292"/>
        <v>70</v>
      </c>
      <c r="B285" s="117"/>
      <c r="C285" s="93" t="str">
        <f t="shared" ref="C285:D285" si="350">IF($B282&lt;&gt;"",C281,"")</f>
        <v/>
      </c>
      <c r="D285" s="93" t="str">
        <f t="shared" si="350"/>
        <v/>
      </c>
      <c r="E285" s="32"/>
      <c r="F285" s="32"/>
      <c r="G285" s="32"/>
      <c r="H285" s="32"/>
      <c r="I285" s="32"/>
      <c r="J285" s="32"/>
      <c r="K285" s="32"/>
      <c r="L285" s="32"/>
      <c r="M285" s="32"/>
      <c r="N285" s="32"/>
      <c r="O285" s="32"/>
      <c r="P285" s="32"/>
      <c r="Q285" s="32"/>
      <c r="R285" s="32"/>
      <c r="S285" s="32"/>
      <c r="T285" s="32"/>
      <c r="U285" s="32"/>
      <c r="V285" s="26"/>
      <c r="W285" s="31" t="e">
        <f>INDEX(TBL_TRANSIT[TransitID],$A285)</f>
        <v>#REF!</v>
      </c>
      <c r="X285" s="31" t="e">
        <f>"TransitTariffVar_"&amp;RIGHT($W285,11)</f>
        <v>#REF!</v>
      </c>
    </row>
    <row r="286" spans="1:24" x14ac:dyDescent="0.25">
      <c r="A286" s="94">
        <f t="shared" ref="A286" si="351">$A282+1</f>
        <v>71</v>
      </c>
      <c r="B286" s="115" t="str">
        <f>IFERROR(INDEX(TBL_TRANSIT[Name],$A286),"")</f>
        <v/>
      </c>
      <c r="C286" s="93" t="str">
        <f t="shared" ref="C286:D286" si="352">IF($B286&lt;&gt;"",C282,"")</f>
        <v/>
      </c>
      <c r="D286" s="93" t="str">
        <f t="shared" si="352"/>
        <v/>
      </c>
      <c r="E286" s="27"/>
      <c r="F286" s="27"/>
      <c r="G286" s="27"/>
      <c r="H286" s="27"/>
      <c r="I286" s="27"/>
      <c r="J286" s="27"/>
      <c r="K286" s="27"/>
      <c r="L286" s="27"/>
      <c r="M286" s="27"/>
      <c r="N286" s="27"/>
      <c r="O286" s="27"/>
      <c r="P286" s="27"/>
      <c r="Q286" s="27"/>
      <c r="R286" s="27"/>
      <c r="S286" s="27"/>
      <c r="T286" s="27"/>
      <c r="U286" s="27"/>
      <c r="V286" s="25"/>
      <c r="W286" s="31" t="e">
        <f>INDEX(TBL_TRANSIT[TransitID],$A286)</f>
        <v>#REF!</v>
      </c>
      <c r="X286" s="31" t="e">
        <f>"TransitCapMin_"&amp;RIGHT($W286,11)</f>
        <v>#REF!</v>
      </c>
    </row>
    <row r="287" spans="1:24" x14ac:dyDescent="0.25">
      <c r="A287" s="94">
        <f t="shared" si="292"/>
        <v>71</v>
      </c>
      <c r="B287" s="116"/>
      <c r="C287" s="93" t="str">
        <f t="shared" ref="C287:D287" si="353">IF($B286&lt;&gt;"",C283,"")</f>
        <v/>
      </c>
      <c r="D287" s="93" t="str">
        <f t="shared" si="353"/>
        <v/>
      </c>
      <c r="E287" s="32"/>
      <c r="F287" s="32"/>
      <c r="G287" s="32"/>
      <c r="H287" s="32"/>
      <c r="I287" s="32"/>
      <c r="J287" s="32"/>
      <c r="K287" s="32"/>
      <c r="L287" s="32"/>
      <c r="M287" s="32"/>
      <c r="N287" s="32"/>
      <c r="O287" s="32"/>
      <c r="P287" s="32"/>
      <c r="Q287" s="32"/>
      <c r="R287" s="32"/>
      <c r="S287" s="32"/>
      <c r="T287" s="32"/>
      <c r="U287" s="32"/>
      <c r="V287" s="26"/>
      <c r="W287" s="31" t="e">
        <f>INDEX(TBL_TRANSIT[TransitID],$A287)</f>
        <v>#REF!</v>
      </c>
      <c r="X287" s="31" t="e">
        <f>"TransitCapMax_"&amp;RIGHT($W287,11)</f>
        <v>#REF!</v>
      </c>
    </row>
    <row r="288" spans="1:24" x14ac:dyDescent="0.25">
      <c r="A288" s="94">
        <f t="shared" si="292"/>
        <v>71</v>
      </c>
      <c r="B288" s="116"/>
      <c r="C288" s="93" t="str">
        <f t="shared" ref="C288:D288" si="354">IF($B286&lt;&gt;"",C284,"")</f>
        <v/>
      </c>
      <c r="D288" s="93" t="str">
        <f t="shared" si="354"/>
        <v/>
      </c>
      <c r="E288" s="27"/>
      <c r="F288" s="27"/>
      <c r="G288" s="27"/>
      <c r="H288" s="27"/>
      <c r="I288" s="27"/>
      <c r="J288" s="27"/>
      <c r="K288" s="27"/>
      <c r="L288" s="27"/>
      <c r="M288" s="27"/>
      <c r="N288" s="27"/>
      <c r="O288" s="27"/>
      <c r="P288" s="27"/>
      <c r="Q288" s="27"/>
      <c r="R288" s="27"/>
      <c r="S288" s="27"/>
      <c r="T288" s="27"/>
      <c r="U288" s="27"/>
      <c r="V288" s="25"/>
      <c r="W288" s="31" t="e">
        <f>INDEX(TBL_TRANSIT[TransitID],$A288)</f>
        <v>#REF!</v>
      </c>
      <c r="X288" s="31" t="e">
        <f>"TransitTariffFixed_"&amp;RIGHT($W288,11)</f>
        <v>#REF!</v>
      </c>
    </row>
    <row r="289" spans="1:24" x14ac:dyDescent="0.25">
      <c r="A289" s="94">
        <f t="shared" si="292"/>
        <v>71</v>
      </c>
      <c r="B289" s="117"/>
      <c r="C289" s="93" t="str">
        <f t="shared" ref="C289:D289" si="355">IF($B286&lt;&gt;"",C285,"")</f>
        <v/>
      </c>
      <c r="D289" s="93" t="str">
        <f t="shared" si="355"/>
        <v/>
      </c>
      <c r="E289" s="32"/>
      <c r="F289" s="32"/>
      <c r="G289" s="32"/>
      <c r="H289" s="32"/>
      <c r="I289" s="32"/>
      <c r="J289" s="32"/>
      <c r="K289" s="32"/>
      <c r="L289" s="32"/>
      <c r="M289" s="32"/>
      <c r="N289" s="32"/>
      <c r="O289" s="32"/>
      <c r="P289" s="32"/>
      <c r="Q289" s="32"/>
      <c r="R289" s="32"/>
      <c r="S289" s="32"/>
      <c r="T289" s="32"/>
      <c r="U289" s="32"/>
      <c r="V289" s="26"/>
      <c r="W289" s="31" t="e">
        <f>INDEX(TBL_TRANSIT[TransitID],$A289)</f>
        <v>#REF!</v>
      </c>
      <c r="X289" s="31" t="e">
        <f>"TransitTariffVar_"&amp;RIGHT($W289,11)</f>
        <v>#REF!</v>
      </c>
    </row>
    <row r="290" spans="1:24" x14ac:dyDescent="0.25">
      <c r="A290" s="94">
        <f t="shared" ref="A290" si="356">$A286+1</f>
        <v>72</v>
      </c>
      <c r="B290" s="115" t="str">
        <f>IFERROR(INDEX(TBL_TRANSIT[Name],$A290),"")</f>
        <v/>
      </c>
      <c r="C290" s="93" t="str">
        <f t="shared" ref="C290:D290" si="357">IF($B290&lt;&gt;"",C286,"")</f>
        <v/>
      </c>
      <c r="D290" s="93" t="str">
        <f t="shared" si="357"/>
        <v/>
      </c>
      <c r="E290" s="27"/>
      <c r="F290" s="27"/>
      <c r="G290" s="27"/>
      <c r="H290" s="27"/>
      <c r="I290" s="27"/>
      <c r="J290" s="27"/>
      <c r="K290" s="27"/>
      <c r="L290" s="27"/>
      <c r="M290" s="27"/>
      <c r="N290" s="27"/>
      <c r="O290" s="27"/>
      <c r="P290" s="27"/>
      <c r="Q290" s="27"/>
      <c r="R290" s="27"/>
      <c r="S290" s="27"/>
      <c r="T290" s="27"/>
      <c r="U290" s="27"/>
      <c r="V290" s="25"/>
      <c r="W290" s="31" t="e">
        <f>INDEX(TBL_TRANSIT[TransitID],$A290)</f>
        <v>#REF!</v>
      </c>
      <c r="X290" s="31" t="e">
        <f>"TransitCapMin_"&amp;RIGHT($W290,11)</f>
        <v>#REF!</v>
      </c>
    </row>
    <row r="291" spans="1:24" x14ac:dyDescent="0.25">
      <c r="A291" s="94">
        <f t="shared" si="292"/>
        <v>72</v>
      </c>
      <c r="B291" s="116"/>
      <c r="C291" s="93" t="str">
        <f t="shared" ref="C291:D291" si="358">IF($B290&lt;&gt;"",C287,"")</f>
        <v/>
      </c>
      <c r="D291" s="93" t="str">
        <f t="shared" si="358"/>
        <v/>
      </c>
      <c r="E291" s="32"/>
      <c r="F291" s="32"/>
      <c r="G291" s="32"/>
      <c r="H291" s="32"/>
      <c r="I291" s="32"/>
      <c r="J291" s="32"/>
      <c r="K291" s="32"/>
      <c r="L291" s="32"/>
      <c r="M291" s="32"/>
      <c r="N291" s="32"/>
      <c r="O291" s="32"/>
      <c r="P291" s="32"/>
      <c r="Q291" s="32"/>
      <c r="R291" s="32"/>
      <c r="S291" s="32"/>
      <c r="T291" s="32"/>
      <c r="U291" s="32"/>
      <c r="V291" s="26"/>
      <c r="W291" s="31" t="e">
        <f>INDEX(TBL_TRANSIT[TransitID],$A291)</f>
        <v>#REF!</v>
      </c>
      <c r="X291" s="31" t="e">
        <f>"TransitCapMax_"&amp;RIGHT($W291,11)</f>
        <v>#REF!</v>
      </c>
    </row>
    <row r="292" spans="1:24" x14ac:dyDescent="0.25">
      <c r="A292" s="94">
        <f t="shared" si="292"/>
        <v>72</v>
      </c>
      <c r="B292" s="116"/>
      <c r="C292" s="93" t="str">
        <f t="shared" ref="C292:D292" si="359">IF($B290&lt;&gt;"",C288,"")</f>
        <v/>
      </c>
      <c r="D292" s="93" t="str">
        <f t="shared" si="359"/>
        <v/>
      </c>
      <c r="E292" s="27"/>
      <c r="F292" s="27"/>
      <c r="G292" s="27"/>
      <c r="H292" s="27"/>
      <c r="I292" s="27"/>
      <c r="J292" s="27"/>
      <c r="K292" s="27"/>
      <c r="L292" s="27"/>
      <c r="M292" s="27"/>
      <c r="N292" s="27"/>
      <c r="O292" s="27"/>
      <c r="P292" s="27"/>
      <c r="Q292" s="27"/>
      <c r="R292" s="27"/>
      <c r="S292" s="27"/>
      <c r="T292" s="27"/>
      <c r="U292" s="27"/>
      <c r="V292" s="25"/>
      <c r="W292" s="31" t="e">
        <f>INDEX(TBL_TRANSIT[TransitID],$A292)</f>
        <v>#REF!</v>
      </c>
      <c r="X292" s="31" t="e">
        <f>"TransitTariffFixed_"&amp;RIGHT($W292,11)</f>
        <v>#REF!</v>
      </c>
    </row>
    <row r="293" spans="1:24" x14ac:dyDescent="0.25">
      <c r="A293" s="94">
        <f t="shared" si="292"/>
        <v>72</v>
      </c>
      <c r="B293" s="117"/>
      <c r="C293" s="93" t="str">
        <f t="shared" ref="C293:D293" si="360">IF($B290&lt;&gt;"",C289,"")</f>
        <v/>
      </c>
      <c r="D293" s="93" t="str">
        <f t="shared" si="360"/>
        <v/>
      </c>
      <c r="E293" s="32"/>
      <c r="F293" s="32"/>
      <c r="G293" s="32"/>
      <c r="H293" s="32"/>
      <c r="I293" s="32"/>
      <c r="J293" s="32"/>
      <c r="K293" s="32"/>
      <c r="L293" s="32"/>
      <c r="M293" s="32"/>
      <c r="N293" s="32"/>
      <c r="O293" s="32"/>
      <c r="P293" s="32"/>
      <c r="Q293" s="32"/>
      <c r="R293" s="32"/>
      <c r="S293" s="32"/>
      <c r="T293" s="32"/>
      <c r="U293" s="32"/>
      <c r="V293" s="26"/>
      <c r="W293" s="31" t="e">
        <f>INDEX(TBL_TRANSIT[TransitID],$A293)</f>
        <v>#REF!</v>
      </c>
      <c r="X293" s="31" t="e">
        <f>"TransitTariffVar_"&amp;RIGHT($W293,11)</f>
        <v>#REF!</v>
      </c>
    </row>
    <row r="294" spans="1:24" x14ac:dyDescent="0.25">
      <c r="A294" s="94">
        <f t="shared" ref="A294" si="361">$A290+1</f>
        <v>73</v>
      </c>
      <c r="B294" s="115" t="str">
        <f>IFERROR(INDEX(TBL_TRANSIT[Name],$A294),"")</f>
        <v/>
      </c>
      <c r="C294" s="93" t="str">
        <f t="shared" ref="C294:D294" si="362">IF($B294&lt;&gt;"",C290,"")</f>
        <v/>
      </c>
      <c r="D294" s="93" t="str">
        <f t="shared" si="362"/>
        <v/>
      </c>
      <c r="E294" s="27"/>
      <c r="F294" s="27"/>
      <c r="G294" s="27"/>
      <c r="H294" s="27"/>
      <c r="I294" s="27"/>
      <c r="J294" s="27"/>
      <c r="K294" s="27"/>
      <c r="L294" s="27"/>
      <c r="M294" s="27"/>
      <c r="N294" s="27"/>
      <c r="O294" s="27"/>
      <c r="P294" s="27"/>
      <c r="Q294" s="27"/>
      <c r="R294" s="27"/>
      <c r="S294" s="27"/>
      <c r="T294" s="27"/>
      <c r="U294" s="27"/>
      <c r="V294" s="25"/>
      <c r="W294" s="31" t="e">
        <f>INDEX(TBL_TRANSIT[TransitID],$A294)</f>
        <v>#REF!</v>
      </c>
      <c r="X294" s="31" t="e">
        <f>"TransitCapMin_"&amp;RIGHT($W294,11)</f>
        <v>#REF!</v>
      </c>
    </row>
    <row r="295" spans="1:24" x14ac:dyDescent="0.25">
      <c r="A295" s="94">
        <f t="shared" ref="A295:A333" si="363">$A294</f>
        <v>73</v>
      </c>
      <c r="B295" s="116"/>
      <c r="C295" s="93" t="str">
        <f t="shared" ref="C295:D295" si="364">IF($B294&lt;&gt;"",C291,"")</f>
        <v/>
      </c>
      <c r="D295" s="93" t="str">
        <f t="shared" si="364"/>
        <v/>
      </c>
      <c r="E295" s="32"/>
      <c r="F295" s="32"/>
      <c r="G295" s="32"/>
      <c r="H295" s="32"/>
      <c r="I295" s="32"/>
      <c r="J295" s="32"/>
      <c r="K295" s="32"/>
      <c r="L295" s="32"/>
      <c r="M295" s="32"/>
      <c r="N295" s="32"/>
      <c r="O295" s="32"/>
      <c r="P295" s="32"/>
      <c r="Q295" s="32"/>
      <c r="R295" s="32"/>
      <c r="S295" s="32"/>
      <c r="T295" s="32"/>
      <c r="U295" s="32"/>
      <c r="V295" s="26"/>
      <c r="W295" s="31" t="e">
        <f>INDEX(TBL_TRANSIT[TransitID],$A295)</f>
        <v>#REF!</v>
      </c>
      <c r="X295" s="31" t="e">
        <f>"TransitCapMax_"&amp;RIGHT($W295,11)</f>
        <v>#REF!</v>
      </c>
    </row>
    <row r="296" spans="1:24" x14ac:dyDescent="0.25">
      <c r="A296" s="94">
        <f t="shared" si="363"/>
        <v>73</v>
      </c>
      <c r="B296" s="116"/>
      <c r="C296" s="93" t="str">
        <f t="shared" ref="C296:D296" si="365">IF($B294&lt;&gt;"",C292,"")</f>
        <v/>
      </c>
      <c r="D296" s="93" t="str">
        <f t="shared" si="365"/>
        <v/>
      </c>
      <c r="E296" s="27"/>
      <c r="F296" s="27"/>
      <c r="G296" s="27"/>
      <c r="H296" s="27"/>
      <c r="I296" s="27"/>
      <c r="J296" s="27"/>
      <c r="K296" s="27"/>
      <c r="L296" s="27"/>
      <c r="M296" s="27"/>
      <c r="N296" s="27"/>
      <c r="O296" s="27"/>
      <c r="P296" s="27"/>
      <c r="Q296" s="27"/>
      <c r="R296" s="27"/>
      <c r="S296" s="27"/>
      <c r="T296" s="27"/>
      <c r="U296" s="27"/>
      <c r="V296" s="25"/>
      <c r="W296" s="31" t="e">
        <f>INDEX(TBL_TRANSIT[TransitID],$A296)</f>
        <v>#REF!</v>
      </c>
      <c r="X296" s="31" t="e">
        <f>"TransitTariffFixed_"&amp;RIGHT($W296,11)</f>
        <v>#REF!</v>
      </c>
    </row>
    <row r="297" spans="1:24" x14ac:dyDescent="0.25">
      <c r="A297" s="94">
        <f t="shared" si="363"/>
        <v>73</v>
      </c>
      <c r="B297" s="117"/>
      <c r="C297" s="93" t="str">
        <f t="shared" ref="C297:D297" si="366">IF($B294&lt;&gt;"",C293,"")</f>
        <v/>
      </c>
      <c r="D297" s="93" t="str">
        <f t="shared" si="366"/>
        <v/>
      </c>
      <c r="E297" s="32"/>
      <c r="F297" s="32"/>
      <c r="G297" s="32"/>
      <c r="H297" s="32"/>
      <c r="I297" s="32"/>
      <c r="J297" s="32"/>
      <c r="K297" s="32"/>
      <c r="L297" s="32"/>
      <c r="M297" s="32"/>
      <c r="N297" s="32"/>
      <c r="O297" s="32"/>
      <c r="P297" s="32"/>
      <c r="Q297" s="32"/>
      <c r="R297" s="32"/>
      <c r="S297" s="32"/>
      <c r="T297" s="32"/>
      <c r="U297" s="32"/>
      <c r="V297" s="26"/>
      <c r="W297" s="31" t="e">
        <f>INDEX(TBL_TRANSIT[TransitID],$A297)</f>
        <v>#REF!</v>
      </c>
      <c r="X297" s="31" t="e">
        <f>"TransitTariffVar_"&amp;RIGHT($W297,11)</f>
        <v>#REF!</v>
      </c>
    </row>
    <row r="298" spans="1:24" x14ac:dyDescent="0.25">
      <c r="A298" s="94">
        <f t="shared" ref="A298" si="367">$A294+1</f>
        <v>74</v>
      </c>
      <c r="B298" s="115" t="str">
        <f>IFERROR(INDEX(TBL_TRANSIT[Name],$A298),"")</f>
        <v/>
      </c>
      <c r="C298" s="93" t="str">
        <f t="shared" ref="C298:D298" si="368">IF($B298&lt;&gt;"",C294,"")</f>
        <v/>
      </c>
      <c r="D298" s="93" t="str">
        <f t="shared" si="368"/>
        <v/>
      </c>
      <c r="E298" s="27"/>
      <c r="F298" s="27"/>
      <c r="G298" s="27"/>
      <c r="H298" s="27"/>
      <c r="I298" s="27"/>
      <c r="J298" s="27"/>
      <c r="K298" s="27"/>
      <c r="L298" s="27"/>
      <c r="M298" s="27"/>
      <c r="N298" s="27"/>
      <c r="O298" s="27"/>
      <c r="P298" s="27"/>
      <c r="Q298" s="27"/>
      <c r="R298" s="27"/>
      <c r="S298" s="27"/>
      <c r="T298" s="27"/>
      <c r="U298" s="27"/>
      <c r="V298" s="25"/>
      <c r="W298" s="31" t="e">
        <f>INDEX(TBL_TRANSIT[TransitID],$A298)</f>
        <v>#REF!</v>
      </c>
      <c r="X298" s="31" t="e">
        <f>"TransitCapMin_"&amp;RIGHT($W298,11)</f>
        <v>#REF!</v>
      </c>
    </row>
    <row r="299" spans="1:24" x14ac:dyDescent="0.25">
      <c r="A299" s="94">
        <f t="shared" si="363"/>
        <v>74</v>
      </c>
      <c r="B299" s="116"/>
      <c r="C299" s="93" t="str">
        <f t="shared" ref="C299:D299" si="369">IF($B298&lt;&gt;"",C295,"")</f>
        <v/>
      </c>
      <c r="D299" s="93" t="str">
        <f t="shared" si="369"/>
        <v/>
      </c>
      <c r="E299" s="32"/>
      <c r="F299" s="32"/>
      <c r="G299" s="32"/>
      <c r="H299" s="32"/>
      <c r="I299" s="32"/>
      <c r="J299" s="32"/>
      <c r="K299" s="32"/>
      <c r="L299" s="32"/>
      <c r="M299" s="32"/>
      <c r="N299" s="32"/>
      <c r="O299" s="32"/>
      <c r="P299" s="32"/>
      <c r="Q299" s="32"/>
      <c r="R299" s="32"/>
      <c r="S299" s="32"/>
      <c r="T299" s="32"/>
      <c r="U299" s="32"/>
      <c r="V299" s="26"/>
      <c r="W299" s="31" t="e">
        <f>INDEX(TBL_TRANSIT[TransitID],$A299)</f>
        <v>#REF!</v>
      </c>
      <c r="X299" s="31" t="e">
        <f>"TransitCapMax_"&amp;RIGHT($W299,11)</f>
        <v>#REF!</v>
      </c>
    </row>
    <row r="300" spans="1:24" x14ac:dyDescent="0.25">
      <c r="A300" s="94">
        <f t="shared" si="363"/>
        <v>74</v>
      </c>
      <c r="B300" s="116"/>
      <c r="C300" s="93" t="str">
        <f t="shared" ref="C300:D300" si="370">IF($B298&lt;&gt;"",C296,"")</f>
        <v/>
      </c>
      <c r="D300" s="93" t="str">
        <f t="shared" si="370"/>
        <v/>
      </c>
      <c r="E300" s="27"/>
      <c r="F300" s="27"/>
      <c r="G300" s="27"/>
      <c r="H300" s="27"/>
      <c r="I300" s="27"/>
      <c r="J300" s="27"/>
      <c r="K300" s="27"/>
      <c r="L300" s="27"/>
      <c r="M300" s="27"/>
      <c r="N300" s="27"/>
      <c r="O300" s="27"/>
      <c r="P300" s="27"/>
      <c r="Q300" s="27"/>
      <c r="R300" s="27"/>
      <c r="S300" s="27"/>
      <c r="T300" s="27"/>
      <c r="U300" s="27"/>
      <c r="V300" s="25"/>
      <c r="W300" s="31" t="e">
        <f>INDEX(TBL_TRANSIT[TransitID],$A300)</f>
        <v>#REF!</v>
      </c>
      <c r="X300" s="31" t="e">
        <f>"TransitTariffFixed_"&amp;RIGHT($W300,11)</f>
        <v>#REF!</v>
      </c>
    </row>
    <row r="301" spans="1:24" x14ac:dyDescent="0.25">
      <c r="A301" s="94">
        <f t="shared" si="363"/>
        <v>74</v>
      </c>
      <c r="B301" s="117"/>
      <c r="C301" s="93" t="str">
        <f t="shared" ref="C301:D301" si="371">IF($B298&lt;&gt;"",C297,"")</f>
        <v/>
      </c>
      <c r="D301" s="93" t="str">
        <f t="shared" si="371"/>
        <v/>
      </c>
      <c r="E301" s="32"/>
      <c r="F301" s="32"/>
      <c r="G301" s="32"/>
      <c r="H301" s="32"/>
      <c r="I301" s="32"/>
      <c r="J301" s="32"/>
      <c r="K301" s="32"/>
      <c r="L301" s="32"/>
      <c r="M301" s="32"/>
      <c r="N301" s="32"/>
      <c r="O301" s="32"/>
      <c r="P301" s="32"/>
      <c r="Q301" s="32"/>
      <c r="R301" s="32"/>
      <c r="S301" s="32"/>
      <c r="T301" s="32"/>
      <c r="U301" s="32"/>
      <c r="V301" s="26"/>
      <c r="W301" s="31" t="e">
        <f>INDEX(TBL_TRANSIT[TransitID],$A301)</f>
        <v>#REF!</v>
      </c>
      <c r="X301" s="31" t="e">
        <f>"TransitTariffVar_"&amp;RIGHT($W301,11)</f>
        <v>#REF!</v>
      </c>
    </row>
    <row r="302" spans="1:24" x14ac:dyDescent="0.25">
      <c r="A302" s="94">
        <f t="shared" ref="A302" si="372">$A298+1</f>
        <v>75</v>
      </c>
      <c r="B302" s="115" t="str">
        <f>IFERROR(INDEX(TBL_TRANSIT[Name],$A302),"")</f>
        <v/>
      </c>
      <c r="C302" s="93" t="str">
        <f t="shared" ref="C302:D302" si="373">IF($B302&lt;&gt;"",C298,"")</f>
        <v/>
      </c>
      <c r="D302" s="93" t="str">
        <f t="shared" si="373"/>
        <v/>
      </c>
      <c r="E302" s="27"/>
      <c r="F302" s="27"/>
      <c r="G302" s="27"/>
      <c r="H302" s="27"/>
      <c r="I302" s="27"/>
      <c r="J302" s="27"/>
      <c r="K302" s="27"/>
      <c r="L302" s="27"/>
      <c r="M302" s="27"/>
      <c r="N302" s="27"/>
      <c r="O302" s="27"/>
      <c r="P302" s="27"/>
      <c r="Q302" s="27"/>
      <c r="R302" s="27"/>
      <c r="S302" s="27"/>
      <c r="T302" s="27"/>
      <c r="U302" s="27"/>
      <c r="V302" s="25"/>
      <c r="W302" s="31" t="e">
        <f>INDEX(TBL_TRANSIT[TransitID],$A302)</f>
        <v>#REF!</v>
      </c>
      <c r="X302" s="31" t="e">
        <f>"TransitCapMin_"&amp;RIGHT($W302,11)</f>
        <v>#REF!</v>
      </c>
    </row>
    <row r="303" spans="1:24" x14ac:dyDescent="0.25">
      <c r="A303" s="94">
        <f t="shared" si="363"/>
        <v>75</v>
      </c>
      <c r="B303" s="116"/>
      <c r="C303" s="93" t="str">
        <f t="shared" ref="C303:D303" si="374">IF($B302&lt;&gt;"",C299,"")</f>
        <v/>
      </c>
      <c r="D303" s="93" t="str">
        <f t="shared" si="374"/>
        <v/>
      </c>
      <c r="E303" s="32"/>
      <c r="F303" s="32"/>
      <c r="G303" s="32"/>
      <c r="H303" s="32"/>
      <c r="I303" s="32"/>
      <c r="J303" s="32"/>
      <c r="K303" s="32"/>
      <c r="L303" s="32"/>
      <c r="M303" s="32"/>
      <c r="N303" s="32"/>
      <c r="O303" s="32"/>
      <c r="P303" s="32"/>
      <c r="Q303" s="32"/>
      <c r="R303" s="32"/>
      <c r="S303" s="32"/>
      <c r="T303" s="32"/>
      <c r="U303" s="32"/>
      <c r="V303" s="26"/>
      <c r="W303" s="31" t="e">
        <f>INDEX(TBL_TRANSIT[TransitID],$A303)</f>
        <v>#REF!</v>
      </c>
      <c r="X303" s="31" t="e">
        <f>"TransitCapMax_"&amp;RIGHT($W303,11)</f>
        <v>#REF!</v>
      </c>
    </row>
    <row r="304" spans="1:24" x14ac:dyDescent="0.25">
      <c r="A304" s="94">
        <f t="shared" si="363"/>
        <v>75</v>
      </c>
      <c r="B304" s="116"/>
      <c r="C304" s="93" t="str">
        <f t="shared" ref="C304:D304" si="375">IF($B302&lt;&gt;"",C300,"")</f>
        <v/>
      </c>
      <c r="D304" s="93" t="str">
        <f t="shared" si="375"/>
        <v/>
      </c>
      <c r="E304" s="27"/>
      <c r="F304" s="27"/>
      <c r="G304" s="27"/>
      <c r="H304" s="27"/>
      <c r="I304" s="27"/>
      <c r="J304" s="27"/>
      <c r="K304" s="27"/>
      <c r="L304" s="27"/>
      <c r="M304" s="27"/>
      <c r="N304" s="27"/>
      <c r="O304" s="27"/>
      <c r="P304" s="27"/>
      <c r="Q304" s="27"/>
      <c r="R304" s="27"/>
      <c r="S304" s="27"/>
      <c r="T304" s="27"/>
      <c r="U304" s="27"/>
      <c r="V304" s="25"/>
      <c r="W304" s="31" t="e">
        <f>INDEX(TBL_TRANSIT[TransitID],$A304)</f>
        <v>#REF!</v>
      </c>
      <c r="X304" s="31" t="e">
        <f>"TransitTariffFixed_"&amp;RIGHT($W304,11)</f>
        <v>#REF!</v>
      </c>
    </row>
    <row r="305" spans="1:24" x14ac:dyDescent="0.25">
      <c r="A305" s="94">
        <f t="shared" si="363"/>
        <v>75</v>
      </c>
      <c r="B305" s="117"/>
      <c r="C305" s="93" t="str">
        <f t="shared" ref="C305:D305" si="376">IF($B302&lt;&gt;"",C301,"")</f>
        <v/>
      </c>
      <c r="D305" s="93" t="str">
        <f t="shared" si="376"/>
        <v/>
      </c>
      <c r="E305" s="32"/>
      <c r="F305" s="32"/>
      <c r="G305" s="32"/>
      <c r="H305" s="32"/>
      <c r="I305" s="32"/>
      <c r="J305" s="32"/>
      <c r="K305" s="32"/>
      <c r="L305" s="32"/>
      <c r="M305" s="32"/>
      <c r="N305" s="32"/>
      <c r="O305" s="32"/>
      <c r="P305" s="32"/>
      <c r="Q305" s="32"/>
      <c r="R305" s="32"/>
      <c r="S305" s="32"/>
      <c r="T305" s="32"/>
      <c r="U305" s="32"/>
      <c r="V305" s="26"/>
      <c r="W305" s="31" t="e">
        <f>INDEX(TBL_TRANSIT[TransitID],$A305)</f>
        <v>#REF!</v>
      </c>
      <c r="X305" s="31" t="e">
        <f>"TransitTariffVar_"&amp;RIGHT($W305,11)</f>
        <v>#REF!</v>
      </c>
    </row>
    <row r="306" spans="1:24" x14ac:dyDescent="0.25">
      <c r="A306" s="94">
        <f t="shared" ref="A306" si="377">$A302+1</f>
        <v>76</v>
      </c>
      <c r="B306" s="115" t="str">
        <f>IFERROR(INDEX(TBL_TRANSIT[Name],$A306),"")</f>
        <v/>
      </c>
      <c r="C306" s="93" t="str">
        <f t="shared" ref="C306:D306" si="378">IF($B306&lt;&gt;"",C302,"")</f>
        <v/>
      </c>
      <c r="D306" s="93" t="str">
        <f t="shared" si="378"/>
        <v/>
      </c>
      <c r="E306" s="27"/>
      <c r="F306" s="27"/>
      <c r="G306" s="27"/>
      <c r="H306" s="27"/>
      <c r="I306" s="27"/>
      <c r="J306" s="27"/>
      <c r="K306" s="27"/>
      <c r="L306" s="27"/>
      <c r="M306" s="27"/>
      <c r="N306" s="27"/>
      <c r="O306" s="27"/>
      <c r="P306" s="27"/>
      <c r="Q306" s="27"/>
      <c r="R306" s="27"/>
      <c r="S306" s="27"/>
      <c r="T306" s="27"/>
      <c r="U306" s="27"/>
      <c r="V306" s="25"/>
      <c r="W306" s="31" t="e">
        <f>INDEX(TBL_TRANSIT[TransitID],$A306)</f>
        <v>#REF!</v>
      </c>
      <c r="X306" s="31" t="e">
        <f>"TransitCapMin_"&amp;RIGHT($W306,11)</f>
        <v>#REF!</v>
      </c>
    </row>
    <row r="307" spans="1:24" x14ac:dyDescent="0.25">
      <c r="A307" s="94">
        <f t="shared" si="363"/>
        <v>76</v>
      </c>
      <c r="B307" s="116"/>
      <c r="C307" s="93" t="str">
        <f t="shared" ref="C307:D307" si="379">IF($B306&lt;&gt;"",C303,"")</f>
        <v/>
      </c>
      <c r="D307" s="93" t="str">
        <f t="shared" si="379"/>
        <v/>
      </c>
      <c r="E307" s="32"/>
      <c r="F307" s="32"/>
      <c r="G307" s="32"/>
      <c r="H307" s="32"/>
      <c r="I307" s="32"/>
      <c r="J307" s="32"/>
      <c r="K307" s="32"/>
      <c r="L307" s="32"/>
      <c r="M307" s="32"/>
      <c r="N307" s="32"/>
      <c r="O307" s="32"/>
      <c r="P307" s="32"/>
      <c r="Q307" s="32"/>
      <c r="R307" s="32"/>
      <c r="S307" s="32"/>
      <c r="T307" s="32"/>
      <c r="U307" s="32"/>
      <c r="V307" s="26"/>
      <c r="W307" s="31" t="e">
        <f>INDEX(TBL_TRANSIT[TransitID],$A307)</f>
        <v>#REF!</v>
      </c>
      <c r="X307" s="31" t="e">
        <f>"TransitCapMax_"&amp;RIGHT($W307,11)</f>
        <v>#REF!</v>
      </c>
    </row>
    <row r="308" spans="1:24" x14ac:dyDescent="0.25">
      <c r="A308" s="94">
        <f t="shared" si="363"/>
        <v>76</v>
      </c>
      <c r="B308" s="116"/>
      <c r="C308" s="93" t="str">
        <f t="shared" ref="C308:D308" si="380">IF($B306&lt;&gt;"",C304,"")</f>
        <v/>
      </c>
      <c r="D308" s="93" t="str">
        <f t="shared" si="380"/>
        <v/>
      </c>
      <c r="E308" s="27"/>
      <c r="F308" s="27"/>
      <c r="G308" s="27"/>
      <c r="H308" s="27"/>
      <c r="I308" s="27"/>
      <c r="J308" s="27"/>
      <c r="K308" s="27"/>
      <c r="L308" s="27"/>
      <c r="M308" s="27"/>
      <c r="N308" s="27"/>
      <c r="O308" s="27"/>
      <c r="P308" s="27"/>
      <c r="Q308" s="27"/>
      <c r="R308" s="27"/>
      <c r="S308" s="27"/>
      <c r="T308" s="27"/>
      <c r="U308" s="27"/>
      <c r="V308" s="25"/>
      <c r="W308" s="31" t="e">
        <f>INDEX(TBL_TRANSIT[TransitID],$A308)</f>
        <v>#REF!</v>
      </c>
      <c r="X308" s="31" t="e">
        <f>"TransitTariffFixed_"&amp;RIGHT($W308,11)</f>
        <v>#REF!</v>
      </c>
    </row>
    <row r="309" spans="1:24" x14ac:dyDescent="0.25">
      <c r="A309" s="94">
        <f t="shared" si="363"/>
        <v>76</v>
      </c>
      <c r="B309" s="117"/>
      <c r="C309" s="93" t="str">
        <f t="shared" ref="C309:D309" si="381">IF($B306&lt;&gt;"",C305,"")</f>
        <v/>
      </c>
      <c r="D309" s="93" t="str">
        <f t="shared" si="381"/>
        <v/>
      </c>
      <c r="E309" s="32"/>
      <c r="F309" s="32"/>
      <c r="G309" s="32"/>
      <c r="H309" s="32"/>
      <c r="I309" s="32"/>
      <c r="J309" s="32"/>
      <c r="K309" s="32"/>
      <c r="L309" s="32"/>
      <c r="M309" s="32"/>
      <c r="N309" s="32"/>
      <c r="O309" s="32"/>
      <c r="P309" s="32"/>
      <c r="Q309" s="32"/>
      <c r="R309" s="32"/>
      <c r="S309" s="32"/>
      <c r="T309" s="32"/>
      <c r="U309" s="32"/>
      <c r="V309" s="26"/>
      <c r="W309" s="31" t="e">
        <f>INDEX(TBL_TRANSIT[TransitID],$A309)</f>
        <v>#REF!</v>
      </c>
      <c r="X309" s="31" t="e">
        <f>"TransitTariffVar_"&amp;RIGHT($W309,11)</f>
        <v>#REF!</v>
      </c>
    </row>
    <row r="310" spans="1:24" x14ac:dyDescent="0.25">
      <c r="A310" s="94">
        <f t="shared" ref="A310" si="382">$A306+1</f>
        <v>77</v>
      </c>
      <c r="B310" s="115" t="str">
        <f>IFERROR(INDEX(TBL_TRANSIT[Name],$A310),"")</f>
        <v/>
      </c>
      <c r="C310" s="93" t="str">
        <f t="shared" ref="C310:D310" si="383">IF($B310&lt;&gt;"",C306,"")</f>
        <v/>
      </c>
      <c r="D310" s="93" t="str">
        <f t="shared" si="383"/>
        <v/>
      </c>
      <c r="E310" s="27"/>
      <c r="F310" s="27"/>
      <c r="G310" s="27"/>
      <c r="H310" s="27"/>
      <c r="I310" s="27"/>
      <c r="J310" s="27"/>
      <c r="K310" s="27"/>
      <c r="L310" s="27"/>
      <c r="M310" s="27"/>
      <c r="N310" s="27"/>
      <c r="O310" s="27"/>
      <c r="P310" s="27"/>
      <c r="Q310" s="27"/>
      <c r="R310" s="27"/>
      <c r="S310" s="27"/>
      <c r="T310" s="27"/>
      <c r="U310" s="27"/>
      <c r="V310" s="25"/>
      <c r="W310" s="31" t="e">
        <f>INDEX(TBL_TRANSIT[TransitID],$A310)</f>
        <v>#REF!</v>
      </c>
      <c r="X310" s="31" t="e">
        <f>"TransitCapMin_"&amp;RIGHT($W310,11)</f>
        <v>#REF!</v>
      </c>
    </row>
    <row r="311" spans="1:24" x14ac:dyDescent="0.25">
      <c r="A311" s="94">
        <f t="shared" si="363"/>
        <v>77</v>
      </c>
      <c r="B311" s="116"/>
      <c r="C311" s="93" t="str">
        <f t="shared" ref="C311:D311" si="384">IF($B310&lt;&gt;"",C307,"")</f>
        <v/>
      </c>
      <c r="D311" s="93" t="str">
        <f t="shared" si="384"/>
        <v/>
      </c>
      <c r="E311" s="32"/>
      <c r="F311" s="32"/>
      <c r="G311" s="32"/>
      <c r="H311" s="32"/>
      <c r="I311" s="32"/>
      <c r="J311" s="32"/>
      <c r="K311" s="32"/>
      <c r="L311" s="32"/>
      <c r="M311" s="32"/>
      <c r="N311" s="32"/>
      <c r="O311" s="32"/>
      <c r="P311" s="32"/>
      <c r="Q311" s="32"/>
      <c r="R311" s="32"/>
      <c r="S311" s="32"/>
      <c r="T311" s="32"/>
      <c r="U311" s="32"/>
      <c r="V311" s="26"/>
      <c r="W311" s="31" t="e">
        <f>INDEX(TBL_TRANSIT[TransitID],$A311)</f>
        <v>#REF!</v>
      </c>
      <c r="X311" s="31" t="e">
        <f>"TransitCapMax_"&amp;RIGHT($W311,11)</f>
        <v>#REF!</v>
      </c>
    </row>
    <row r="312" spans="1:24" x14ac:dyDescent="0.25">
      <c r="A312" s="94">
        <f t="shared" si="363"/>
        <v>77</v>
      </c>
      <c r="B312" s="116"/>
      <c r="C312" s="93" t="str">
        <f t="shared" ref="C312:D312" si="385">IF($B310&lt;&gt;"",C308,"")</f>
        <v/>
      </c>
      <c r="D312" s="93" t="str">
        <f t="shared" si="385"/>
        <v/>
      </c>
      <c r="E312" s="27"/>
      <c r="F312" s="27"/>
      <c r="G312" s="27"/>
      <c r="H312" s="27"/>
      <c r="I312" s="27"/>
      <c r="J312" s="27"/>
      <c r="K312" s="27"/>
      <c r="L312" s="27"/>
      <c r="M312" s="27"/>
      <c r="N312" s="27"/>
      <c r="O312" s="27"/>
      <c r="P312" s="27"/>
      <c r="Q312" s="27"/>
      <c r="R312" s="27"/>
      <c r="S312" s="27"/>
      <c r="T312" s="27"/>
      <c r="U312" s="27"/>
      <c r="V312" s="25"/>
      <c r="W312" s="31" t="e">
        <f>INDEX(TBL_TRANSIT[TransitID],$A312)</f>
        <v>#REF!</v>
      </c>
      <c r="X312" s="31" t="e">
        <f>"TransitTariffFixed_"&amp;RIGHT($W312,11)</f>
        <v>#REF!</v>
      </c>
    </row>
    <row r="313" spans="1:24" x14ac:dyDescent="0.25">
      <c r="A313" s="94">
        <f t="shared" si="363"/>
        <v>77</v>
      </c>
      <c r="B313" s="117"/>
      <c r="C313" s="93" t="str">
        <f t="shared" ref="C313:D313" si="386">IF($B310&lt;&gt;"",C309,"")</f>
        <v/>
      </c>
      <c r="D313" s="93" t="str">
        <f t="shared" si="386"/>
        <v/>
      </c>
      <c r="E313" s="32"/>
      <c r="F313" s="32"/>
      <c r="G313" s="32"/>
      <c r="H313" s="32"/>
      <c r="I313" s="32"/>
      <c r="J313" s="32"/>
      <c r="K313" s="32"/>
      <c r="L313" s="32"/>
      <c r="M313" s="32"/>
      <c r="N313" s="32"/>
      <c r="O313" s="32"/>
      <c r="P313" s="32"/>
      <c r="Q313" s="32"/>
      <c r="R313" s="32"/>
      <c r="S313" s="32"/>
      <c r="T313" s="32"/>
      <c r="U313" s="32"/>
      <c r="V313" s="26"/>
      <c r="W313" s="31" t="e">
        <f>INDEX(TBL_TRANSIT[TransitID],$A313)</f>
        <v>#REF!</v>
      </c>
      <c r="X313" s="31" t="e">
        <f>"TransitTariffVar_"&amp;RIGHT($W313,11)</f>
        <v>#REF!</v>
      </c>
    </row>
    <row r="314" spans="1:24" x14ac:dyDescent="0.25">
      <c r="A314" s="94">
        <f t="shared" ref="A314" si="387">$A310+1</f>
        <v>78</v>
      </c>
      <c r="B314" s="115" t="str">
        <f>IFERROR(INDEX(TBL_TRANSIT[Name],$A314),"")</f>
        <v/>
      </c>
      <c r="C314" s="93" t="str">
        <f t="shared" ref="C314:D314" si="388">IF($B314&lt;&gt;"",C310,"")</f>
        <v/>
      </c>
      <c r="D314" s="93" t="str">
        <f t="shared" si="388"/>
        <v/>
      </c>
      <c r="E314" s="27"/>
      <c r="F314" s="27"/>
      <c r="G314" s="27"/>
      <c r="H314" s="27"/>
      <c r="I314" s="27"/>
      <c r="J314" s="27"/>
      <c r="K314" s="27"/>
      <c r="L314" s="27"/>
      <c r="M314" s="27"/>
      <c r="N314" s="27"/>
      <c r="O314" s="27"/>
      <c r="P314" s="27"/>
      <c r="Q314" s="27"/>
      <c r="R314" s="27"/>
      <c r="S314" s="27"/>
      <c r="T314" s="27"/>
      <c r="U314" s="27"/>
      <c r="V314" s="25"/>
      <c r="W314" s="31" t="e">
        <f>INDEX(TBL_TRANSIT[TransitID],$A314)</f>
        <v>#REF!</v>
      </c>
      <c r="X314" s="31" t="e">
        <f>"TransitCapMin_"&amp;RIGHT($W314,11)</f>
        <v>#REF!</v>
      </c>
    </row>
    <row r="315" spans="1:24" x14ac:dyDescent="0.25">
      <c r="A315" s="94">
        <f t="shared" si="363"/>
        <v>78</v>
      </c>
      <c r="B315" s="116"/>
      <c r="C315" s="93" t="str">
        <f t="shared" ref="C315:D315" si="389">IF($B314&lt;&gt;"",C311,"")</f>
        <v/>
      </c>
      <c r="D315" s="93" t="str">
        <f t="shared" si="389"/>
        <v/>
      </c>
      <c r="E315" s="32"/>
      <c r="F315" s="32"/>
      <c r="G315" s="32"/>
      <c r="H315" s="32"/>
      <c r="I315" s="32"/>
      <c r="J315" s="32"/>
      <c r="K315" s="32"/>
      <c r="L315" s="32"/>
      <c r="M315" s="32"/>
      <c r="N315" s="32"/>
      <c r="O315" s="32"/>
      <c r="P315" s="32"/>
      <c r="Q315" s="32"/>
      <c r="R315" s="32"/>
      <c r="S315" s="32"/>
      <c r="T315" s="32"/>
      <c r="U315" s="32"/>
      <c r="V315" s="26"/>
      <c r="W315" s="31" t="e">
        <f>INDEX(TBL_TRANSIT[TransitID],$A315)</f>
        <v>#REF!</v>
      </c>
      <c r="X315" s="31" t="e">
        <f>"TransitCapMax_"&amp;RIGHT($W315,11)</f>
        <v>#REF!</v>
      </c>
    </row>
    <row r="316" spans="1:24" x14ac:dyDescent="0.25">
      <c r="A316" s="94">
        <f t="shared" si="363"/>
        <v>78</v>
      </c>
      <c r="B316" s="116"/>
      <c r="C316" s="93" t="str">
        <f t="shared" ref="C316:D316" si="390">IF($B314&lt;&gt;"",C312,"")</f>
        <v/>
      </c>
      <c r="D316" s="93" t="str">
        <f t="shared" si="390"/>
        <v/>
      </c>
      <c r="E316" s="27"/>
      <c r="F316" s="27"/>
      <c r="G316" s="27"/>
      <c r="H316" s="27"/>
      <c r="I316" s="27"/>
      <c r="J316" s="27"/>
      <c r="K316" s="27"/>
      <c r="L316" s="27"/>
      <c r="M316" s="27"/>
      <c r="N316" s="27"/>
      <c r="O316" s="27"/>
      <c r="P316" s="27"/>
      <c r="Q316" s="27"/>
      <c r="R316" s="27"/>
      <c r="S316" s="27"/>
      <c r="T316" s="27"/>
      <c r="U316" s="27"/>
      <c r="V316" s="25"/>
      <c r="W316" s="31" t="e">
        <f>INDEX(TBL_TRANSIT[TransitID],$A316)</f>
        <v>#REF!</v>
      </c>
      <c r="X316" s="31" t="e">
        <f>"TransitTariffFixed_"&amp;RIGHT($W316,11)</f>
        <v>#REF!</v>
      </c>
    </row>
    <row r="317" spans="1:24" x14ac:dyDescent="0.25">
      <c r="A317" s="94">
        <f t="shared" si="363"/>
        <v>78</v>
      </c>
      <c r="B317" s="117"/>
      <c r="C317" s="93" t="str">
        <f t="shared" ref="C317:D317" si="391">IF($B314&lt;&gt;"",C313,"")</f>
        <v/>
      </c>
      <c r="D317" s="93" t="str">
        <f t="shared" si="391"/>
        <v/>
      </c>
      <c r="E317" s="32"/>
      <c r="F317" s="32"/>
      <c r="G317" s="32"/>
      <c r="H317" s="32"/>
      <c r="I317" s="32"/>
      <c r="J317" s="32"/>
      <c r="K317" s="32"/>
      <c r="L317" s="32"/>
      <c r="M317" s="32"/>
      <c r="N317" s="32"/>
      <c r="O317" s="32"/>
      <c r="P317" s="32"/>
      <c r="Q317" s="32"/>
      <c r="R317" s="32"/>
      <c r="S317" s="32"/>
      <c r="T317" s="32"/>
      <c r="U317" s="32"/>
      <c r="V317" s="26"/>
      <c r="W317" s="31" t="e">
        <f>INDEX(TBL_TRANSIT[TransitID],$A317)</f>
        <v>#REF!</v>
      </c>
      <c r="X317" s="31" t="e">
        <f>"TransitTariffVar_"&amp;RIGHT($W317,11)</f>
        <v>#REF!</v>
      </c>
    </row>
    <row r="318" spans="1:24" x14ac:dyDescent="0.25">
      <c r="A318" s="94">
        <f t="shared" ref="A318" si="392">$A314+1</f>
        <v>79</v>
      </c>
      <c r="B318" s="115" t="str">
        <f>IFERROR(INDEX(TBL_TRANSIT[Name],$A318),"")</f>
        <v/>
      </c>
      <c r="C318" s="93" t="str">
        <f t="shared" ref="C318:D318" si="393">IF($B318&lt;&gt;"",C314,"")</f>
        <v/>
      </c>
      <c r="D318" s="93" t="str">
        <f t="shared" si="393"/>
        <v/>
      </c>
      <c r="E318" s="27"/>
      <c r="F318" s="27"/>
      <c r="G318" s="27"/>
      <c r="H318" s="27"/>
      <c r="I318" s="27"/>
      <c r="J318" s="27"/>
      <c r="K318" s="27"/>
      <c r="L318" s="27"/>
      <c r="M318" s="27"/>
      <c r="N318" s="27"/>
      <c r="O318" s="27"/>
      <c r="P318" s="27"/>
      <c r="Q318" s="27"/>
      <c r="R318" s="27"/>
      <c r="S318" s="27"/>
      <c r="T318" s="27"/>
      <c r="U318" s="27"/>
      <c r="V318" s="25"/>
      <c r="W318" s="31" t="e">
        <f>INDEX(TBL_TRANSIT[TransitID],$A318)</f>
        <v>#REF!</v>
      </c>
      <c r="X318" s="31" t="e">
        <f>"TransitCapMin_"&amp;RIGHT($W318,11)</f>
        <v>#REF!</v>
      </c>
    </row>
    <row r="319" spans="1:24" x14ac:dyDescent="0.25">
      <c r="A319" s="94">
        <f t="shared" si="363"/>
        <v>79</v>
      </c>
      <c r="B319" s="116"/>
      <c r="C319" s="93" t="str">
        <f t="shared" ref="C319:D319" si="394">IF($B318&lt;&gt;"",C315,"")</f>
        <v/>
      </c>
      <c r="D319" s="93" t="str">
        <f t="shared" si="394"/>
        <v/>
      </c>
      <c r="E319" s="32"/>
      <c r="F319" s="32"/>
      <c r="G319" s="32"/>
      <c r="H319" s="32"/>
      <c r="I319" s="32"/>
      <c r="J319" s="32"/>
      <c r="K319" s="32"/>
      <c r="L319" s="32"/>
      <c r="M319" s="32"/>
      <c r="N319" s="32"/>
      <c r="O319" s="32"/>
      <c r="P319" s="32"/>
      <c r="Q319" s="32"/>
      <c r="R319" s="32"/>
      <c r="S319" s="32"/>
      <c r="T319" s="32"/>
      <c r="U319" s="32"/>
      <c r="V319" s="26"/>
      <c r="W319" s="31" t="e">
        <f>INDEX(TBL_TRANSIT[TransitID],$A319)</f>
        <v>#REF!</v>
      </c>
      <c r="X319" s="31" t="e">
        <f>"TransitCapMax_"&amp;RIGHT($W319,11)</f>
        <v>#REF!</v>
      </c>
    </row>
    <row r="320" spans="1:24" x14ac:dyDescent="0.25">
      <c r="A320" s="94">
        <f t="shared" si="363"/>
        <v>79</v>
      </c>
      <c r="B320" s="116"/>
      <c r="C320" s="93" t="str">
        <f t="shared" ref="C320:D320" si="395">IF($B318&lt;&gt;"",C316,"")</f>
        <v/>
      </c>
      <c r="D320" s="93" t="str">
        <f t="shared" si="395"/>
        <v/>
      </c>
      <c r="E320" s="27"/>
      <c r="F320" s="27"/>
      <c r="G320" s="27"/>
      <c r="H320" s="27"/>
      <c r="I320" s="27"/>
      <c r="J320" s="27"/>
      <c r="K320" s="27"/>
      <c r="L320" s="27"/>
      <c r="M320" s="27"/>
      <c r="N320" s="27"/>
      <c r="O320" s="27"/>
      <c r="P320" s="27"/>
      <c r="Q320" s="27"/>
      <c r="R320" s="27"/>
      <c r="S320" s="27"/>
      <c r="T320" s="27"/>
      <c r="U320" s="27"/>
      <c r="V320" s="25"/>
      <c r="W320" s="31" t="e">
        <f>INDEX(TBL_TRANSIT[TransitID],$A320)</f>
        <v>#REF!</v>
      </c>
      <c r="X320" s="31" t="e">
        <f>"TransitTariffFixed_"&amp;RIGHT($W320,11)</f>
        <v>#REF!</v>
      </c>
    </row>
    <row r="321" spans="1:24" x14ac:dyDescent="0.25">
      <c r="A321" s="94">
        <f t="shared" si="363"/>
        <v>79</v>
      </c>
      <c r="B321" s="117"/>
      <c r="C321" s="93" t="str">
        <f t="shared" ref="C321:D321" si="396">IF($B318&lt;&gt;"",C317,"")</f>
        <v/>
      </c>
      <c r="D321" s="93" t="str">
        <f t="shared" si="396"/>
        <v/>
      </c>
      <c r="E321" s="32"/>
      <c r="F321" s="32"/>
      <c r="G321" s="32"/>
      <c r="H321" s="32"/>
      <c r="I321" s="32"/>
      <c r="J321" s="32"/>
      <c r="K321" s="32"/>
      <c r="L321" s="32"/>
      <c r="M321" s="32"/>
      <c r="N321" s="32"/>
      <c r="O321" s="32"/>
      <c r="P321" s="32"/>
      <c r="Q321" s="32"/>
      <c r="R321" s="32"/>
      <c r="S321" s="32"/>
      <c r="T321" s="32"/>
      <c r="U321" s="32"/>
      <c r="V321" s="26"/>
      <c r="W321" s="31" t="e">
        <f>INDEX(TBL_TRANSIT[TransitID],$A321)</f>
        <v>#REF!</v>
      </c>
      <c r="X321" s="31" t="e">
        <f>"TransitTariffVar_"&amp;RIGHT($W321,11)</f>
        <v>#REF!</v>
      </c>
    </row>
    <row r="322" spans="1:24" x14ac:dyDescent="0.25">
      <c r="A322" s="94">
        <f t="shared" ref="A322" si="397">$A318+1</f>
        <v>80</v>
      </c>
      <c r="B322" s="115" t="str">
        <f>IFERROR(INDEX(TBL_TRANSIT[Name],$A322),"")</f>
        <v/>
      </c>
      <c r="C322" s="93" t="str">
        <f t="shared" ref="C322:D322" si="398">IF($B322&lt;&gt;"",C318,"")</f>
        <v/>
      </c>
      <c r="D322" s="93" t="str">
        <f t="shared" si="398"/>
        <v/>
      </c>
      <c r="E322" s="27"/>
      <c r="F322" s="27"/>
      <c r="G322" s="27"/>
      <c r="H322" s="27"/>
      <c r="I322" s="27"/>
      <c r="J322" s="27"/>
      <c r="K322" s="27"/>
      <c r="L322" s="27"/>
      <c r="M322" s="27"/>
      <c r="N322" s="27"/>
      <c r="O322" s="27"/>
      <c r="P322" s="27"/>
      <c r="Q322" s="27"/>
      <c r="R322" s="27"/>
      <c r="S322" s="27"/>
      <c r="T322" s="27"/>
      <c r="U322" s="27"/>
      <c r="V322" s="25"/>
      <c r="W322" s="31" t="e">
        <f>INDEX(TBL_TRANSIT[TransitID],$A322)</f>
        <v>#REF!</v>
      </c>
      <c r="X322" s="31" t="e">
        <f>"TransitCapMin_"&amp;RIGHT($W322,11)</f>
        <v>#REF!</v>
      </c>
    </row>
    <row r="323" spans="1:24" x14ac:dyDescent="0.25">
      <c r="A323" s="94">
        <f t="shared" si="363"/>
        <v>80</v>
      </c>
      <c r="B323" s="116"/>
      <c r="C323" s="93" t="str">
        <f t="shared" ref="C323:D323" si="399">IF($B322&lt;&gt;"",C319,"")</f>
        <v/>
      </c>
      <c r="D323" s="93" t="str">
        <f t="shared" si="399"/>
        <v/>
      </c>
      <c r="E323" s="32"/>
      <c r="F323" s="32"/>
      <c r="G323" s="32"/>
      <c r="H323" s="32"/>
      <c r="I323" s="32"/>
      <c r="J323" s="32"/>
      <c r="K323" s="32"/>
      <c r="L323" s="32"/>
      <c r="M323" s="32"/>
      <c r="N323" s="32"/>
      <c r="O323" s="32"/>
      <c r="P323" s="32"/>
      <c r="Q323" s="32"/>
      <c r="R323" s="32"/>
      <c r="S323" s="32"/>
      <c r="T323" s="32"/>
      <c r="U323" s="32"/>
      <c r="V323" s="26"/>
      <c r="W323" s="31" t="e">
        <f>INDEX(TBL_TRANSIT[TransitID],$A323)</f>
        <v>#REF!</v>
      </c>
      <c r="X323" s="31" t="e">
        <f>"TransitCapMax_"&amp;RIGHT($W323,11)</f>
        <v>#REF!</v>
      </c>
    </row>
    <row r="324" spans="1:24" x14ac:dyDescent="0.25">
      <c r="A324" s="94">
        <f t="shared" si="363"/>
        <v>80</v>
      </c>
      <c r="B324" s="116"/>
      <c r="C324" s="93" t="str">
        <f t="shared" ref="C324:D324" si="400">IF($B322&lt;&gt;"",C320,"")</f>
        <v/>
      </c>
      <c r="D324" s="93" t="str">
        <f t="shared" si="400"/>
        <v/>
      </c>
      <c r="E324" s="27"/>
      <c r="F324" s="27"/>
      <c r="G324" s="27"/>
      <c r="H324" s="27"/>
      <c r="I324" s="27"/>
      <c r="J324" s="27"/>
      <c r="K324" s="27"/>
      <c r="L324" s="27"/>
      <c r="M324" s="27"/>
      <c r="N324" s="27"/>
      <c r="O324" s="27"/>
      <c r="P324" s="27"/>
      <c r="Q324" s="27"/>
      <c r="R324" s="27"/>
      <c r="S324" s="27"/>
      <c r="T324" s="27"/>
      <c r="U324" s="27"/>
      <c r="V324" s="25"/>
      <c r="W324" s="31" t="e">
        <f>INDEX(TBL_TRANSIT[TransitID],$A324)</f>
        <v>#REF!</v>
      </c>
      <c r="X324" s="31" t="e">
        <f>"TransitTariffFixed_"&amp;RIGHT($W324,11)</f>
        <v>#REF!</v>
      </c>
    </row>
    <row r="325" spans="1:24" x14ac:dyDescent="0.25">
      <c r="A325" s="94">
        <f t="shared" si="363"/>
        <v>80</v>
      </c>
      <c r="B325" s="117"/>
      <c r="C325" s="93" t="str">
        <f t="shared" ref="C325:D325" si="401">IF($B322&lt;&gt;"",C321,"")</f>
        <v/>
      </c>
      <c r="D325" s="93" t="str">
        <f t="shared" si="401"/>
        <v/>
      </c>
      <c r="E325" s="32"/>
      <c r="F325" s="32"/>
      <c r="G325" s="32"/>
      <c r="H325" s="32"/>
      <c r="I325" s="32"/>
      <c r="J325" s="32"/>
      <c r="K325" s="32"/>
      <c r="L325" s="32"/>
      <c r="M325" s="32"/>
      <c r="N325" s="32"/>
      <c r="O325" s="32"/>
      <c r="P325" s="32"/>
      <c r="Q325" s="32"/>
      <c r="R325" s="32"/>
      <c r="S325" s="32"/>
      <c r="T325" s="32"/>
      <c r="U325" s="32"/>
      <c r="V325" s="26"/>
      <c r="W325" s="31" t="e">
        <f>INDEX(TBL_TRANSIT[TransitID],$A325)</f>
        <v>#REF!</v>
      </c>
      <c r="X325" s="31" t="e">
        <f>"TransitTariffVar_"&amp;RIGHT($W325,11)</f>
        <v>#REF!</v>
      </c>
    </row>
    <row r="326" spans="1:24" x14ac:dyDescent="0.25">
      <c r="A326" s="94">
        <f t="shared" ref="A326" si="402">$A322+1</f>
        <v>81</v>
      </c>
      <c r="B326" s="115" t="str">
        <f>IFERROR(INDEX(TBL_TRANSIT[Name],$A326),"")</f>
        <v/>
      </c>
      <c r="C326" s="93" t="str">
        <f t="shared" ref="C326:D326" si="403">IF($B326&lt;&gt;"",C322,"")</f>
        <v/>
      </c>
      <c r="D326" s="93" t="str">
        <f t="shared" si="403"/>
        <v/>
      </c>
      <c r="E326" s="27"/>
      <c r="F326" s="27"/>
      <c r="G326" s="27"/>
      <c r="H326" s="27"/>
      <c r="I326" s="27"/>
      <c r="J326" s="27"/>
      <c r="K326" s="27"/>
      <c r="L326" s="27"/>
      <c r="M326" s="27"/>
      <c r="N326" s="27"/>
      <c r="O326" s="27"/>
      <c r="P326" s="27"/>
      <c r="Q326" s="27"/>
      <c r="R326" s="27"/>
      <c r="S326" s="27"/>
      <c r="T326" s="27"/>
      <c r="U326" s="27"/>
      <c r="V326" s="25"/>
      <c r="W326" s="31" t="e">
        <f>INDEX(TBL_TRANSIT[TransitID],$A326)</f>
        <v>#REF!</v>
      </c>
      <c r="X326" s="31" t="e">
        <f>"TransitCapMin_"&amp;RIGHT($W326,11)</f>
        <v>#REF!</v>
      </c>
    </row>
    <row r="327" spans="1:24" x14ac:dyDescent="0.25">
      <c r="A327" s="94">
        <f t="shared" si="363"/>
        <v>81</v>
      </c>
      <c r="B327" s="116"/>
      <c r="C327" s="93" t="str">
        <f t="shared" ref="C327:D327" si="404">IF($B326&lt;&gt;"",C323,"")</f>
        <v/>
      </c>
      <c r="D327" s="93" t="str">
        <f t="shared" si="404"/>
        <v/>
      </c>
      <c r="E327" s="32"/>
      <c r="F327" s="32"/>
      <c r="G327" s="32"/>
      <c r="H327" s="32"/>
      <c r="I327" s="32"/>
      <c r="J327" s="32"/>
      <c r="K327" s="32"/>
      <c r="L327" s="32"/>
      <c r="M327" s="32"/>
      <c r="N327" s="32"/>
      <c r="O327" s="32"/>
      <c r="P327" s="32"/>
      <c r="Q327" s="32"/>
      <c r="R327" s="32"/>
      <c r="S327" s="32"/>
      <c r="T327" s="32"/>
      <c r="U327" s="32"/>
      <c r="V327" s="26"/>
      <c r="W327" s="31" t="e">
        <f>INDEX(TBL_TRANSIT[TransitID],$A327)</f>
        <v>#REF!</v>
      </c>
      <c r="X327" s="31" t="e">
        <f>"TransitCapMax_"&amp;RIGHT($W327,11)</f>
        <v>#REF!</v>
      </c>
    </row>
    <row r="328" spans="1:24" x14ac:dyDescent="0.25">
      <c r="A328" s="94">
        <f t="shared" si="363"/>
        <v>81</v>
      </c>
      <c r="B328" s="116"/>
      <c r="C328" s="93" t="str">
        <f t="shared" ref="C328:D328" si="405">IF($B326&lt;&gt;"",C324,"")</f>
        <v/>
      </c>
      <c r="D328" s="93" t="str">
        <f t="shared" si="405"/>
        <v/>
      </c>
      <c r="E328" s="27"/>
      <c r="F328" s="27"/>
      <c r="G328" s="27"/>
      <c r="H328" s="27"/>
      <c r="I328" s="27"/>
      <c r="J328" s="27"/>
      <c r="K328" s="27"/>
      <c r="L328" s="27"/>
      <c r="M328" s="27"/>
      <c r="N328" s="27"/>
      <c r="O328" s="27"/>
      <c r="P328" s="27"/>
      <c r="Q328" s="27"/>
      <c r="R328" s="27"/>
      <c r="S328" s="27"/>
      <c r="T328" s="27"/>
      <c r="U328" s="27"/>
      <c r="V328" s="25"/>
      <c r="W328" s="31" t="e">
        <f>INDEX(TBL_TRANSIT[TransitID],$A328)</f>
        <v>#REF!</v>
      </c>
      <c r="X328" s="31" t="e">
        <f>"TransitTariffFixed_"&amp;RIGHT($W328,11)</f>
        <v>#REF!</v>
      </c>
    </row>
    <row r="329" spans="1:24" x14ac:dyDescent="0.25">
      <c r="A329" s="94">
        <f t="shared" si="363"/>
        <v>81</v>
      </c>
      <c r="B329" s="117"/>
      <c r="C329" s="93" t="str">
        <f t="shared" ref="C329:D329" si="406">IF($B326&lt;&gt;"",C325,"")</f>
        <v/>
      </c>
      <c r="D329" s="93" t="str">
        <f t="shared" si="406"/>
        <v/>
      </c>
      <c r="E329" s="32"/>
      <c r="F329" s="32"/>
      <c r="G329" s="32"/>
      <c r="H329" s="32"/>
      <c r="I329" s="32"/>
      <c r="J329" s="32"/>
      <c r="K329" s="32"/>
      <c r="L329" s="32"/>
      <c r="M329" s="32"/>
      <c r="N329" s="32"/>
      <c r="O329" s="32"/>
      <c r="P329" s="32"/>
      <c r="Q329" s="32"/>
      <c r="R329" s="32"/>
      <c r="S329" s="32"/>
      <c r="T329" s="32"/>
      <c r="U329" s="32"/>
      <c r="V329" s="26"/>
      <c r="W329" s="31" t="e">
        <f>INDEX(TBL_TRANSIT[TransitID],$A329)</f>
        <v>#REF!</v>
      </c>
      <c r="X329" s="31" t="e">
        <f>"TransitTariffVar_"&amp;RIGHT($W329,11)</f>
        <v>#REF!</v>
      </c>
    </row>
    <row r="330" spans="1:24" x14ac:dyDescent="0.25">
      <c r="A330" s="94">
        <f t="shared" ref="A330" si="407">$A326+1</f>
        <v>82</v>
      </c>
      <c r="B330" s="115" t="str">
        <f>IFERROR(INDEX(TBL_TRANSIT[Name],$A330),"")</f>
        <v/>
      </c>
      <c r="C330" s="93" t="str">
        <f t="shared" ref="C330:D330" si="408">IF($B330&lt;&gt;"",C326,"")</f>
        <v/>
      </c>
      <c r="D330" s="93" t="str">
        <f t="shared" si="408"/>
        <v/>
      </c>
      <c r="E330" s="27"/>
      <c r="F330" s="27"/>
      <c r="G330" s="27"/>
      <c r="H330" s="27"/>
      <c r="I330" s="27"/>
      <c r="J330" s="27"/>
      <c r="K330" s="27"/>
      <c r="L330" s="27"/>
      <c r="M330" s="27"/>
      <c r="N330" s="27"/>
      <c r="O330" s="27"/>
      <c r="P330" s="27"/>
      <c r="Q330" s="27"/>
      <c r="R330" s="27"/>
      <c r="S330" s="27"/>
      <c r="T330" s="27"/>
      <c r="U330" s="27"/>
      <c r="V330" s="25"/>
      <c r="W330" s="31" t="e">
        <f>INDEX(TBL_TRANSIT[TransitID],$A330)</f>
        <v>#REF!</v>
      </c>
      <c r="X330" s="31" t="e">
        <f>"TransitCapMin_"&amp;RIGHT($W330,11)</f>
        <v>#REF!</v>
      </c>
    </row>
    <row r="331" spans="1:24" x14ac:dyDescent="0.25">
      <c r="A331" s="94">
        <f t="shared" si="363"/>
        <v>82</v>
      </c>
      <c r="B331" s="116"/>
      <c r="C331" s="93" t="str">
        <f t="shared" ref="C331:D331" si="409">IF($B330&lt;&gt;"",C327,"")</f>
        <v/>
      </c>
      <c r="D331" s="93" t="str">
        <f t="shared" si="409"/>
        <v/>
      </c>
      <c r="E331" s="32"/>
      <c r="F331" s="32"/>
      <c r="G331" s="32"/>
      <c r="H331" s="32"/>
      <c r="I331" s="32"/>
      <c r="J331" s="32"/>
      <c r="K331" s="32"/>
      <c r="L331" s="32"/>
      <c r="M331" s="32"/>
      <c r="N331" s="32"/>
      <c r="O331" s="32"/>
      <c r="P331" s="32"/>
      <c r="Q331" s="32"/>
      <c r="R331" s="32"/>
      <c r="S331" s="32"/>
      <c r="T331" s="32"/>
      <c r="U331" s="32"/>
      <c r="V331" s="26"/>
      <c r="W331" s="31" t="e">
        <f>INDEX(TBL_TRANSIT[TransitID],$A331)</f>
        <v>#REF!</v>
      </c>
      <c r="X331" s="31" t="e">
        <f>"TransitCapMax_"&amp;RIGHT($W331,11)</f>
        <v>#REF!</v>
      </c>
    </row>
    <row r="332" spans="1:24" x14ac:dyDescent="0.25">
      <c r="A332" s="94">
        <f t="shared" si="363"/>
        <v>82</v>
      </c>
      <c r="B332" s="116"/>
      <c r="C332" s="93" t="str">
        <f t="shared" ref="C332:D332" si="410">IF($B330&lt;&gt;"",C328,"")</f>
        <v/>
      </c>
      <c r="D332" s="93" t="str">
        <f t="shared" si="410"/>
        <v/>
      </c>
      <c r="E332" s="27"/>
      <c r="F332" s="27"/>
      <c r="G332" s="27"/>
      <c r="H332" s="27"/>
      <c r="I332" s="27"/>
      <c r="J332" s="27"/>
      <c r="K332" s="27"/>
      <c r="L332" s="27"/>
      <c r="M332" s="27"/>
      <c r="N332" s="27"/>
      <c r="O332" s="27"/>
      <c r="P332" s="27"/>
      <c r="Q332" s="27"/>
      <c r="R332" s="27"/>
      <c r="S332" s="27"/>
      <c r="T332" s="27"/>
      <c r="U332" s="27"/>
      <c r="V332" s="25"/>
      <c r="W332" s="31" t="e">
        <f>INDEX(TBL_TRANSIT[TransitID],$A332)</f>
        <v>#REF!</v>
      </c>
      <c r="X332" s="31" t="e">
        <f>"TransitTariffFixed_"&amp;RIGHT($W332,11)</f>
        <v>#REF!</v>
      </c>
    </row>
    <row r="333" spans="1:24" x14ac:dyDescent="0.25">
      <c r="A333" s="94">
        <f t="shared" si="363"/>
        <v>82</v>
      </c>
      <c r="B333" s="117"/>
      <c r="C333" s="93" t="str">
        <f t="shared" ref="C333:D333" si="411">IF($B330&lt;&gt;"",C329,"")</f>
        <v/>
      </c>
      <c r="D333" s="93" t="str">
        <f t="shared" si="411"/>
        <v/>
      </c>
      <c r="E333" s="32"/>
      <c r="F333" s="32"/>
      <c r="G333" s="32"/>
      <c r="H333" s="32"/>
      <c r="I333" s="32"/>
      <c r="J333" s="32"/>
      <c r="K333" s="32"/>
      <c r="L333" s="32"/>
      <c r="M333" s="32"/>
      <c r="N333" s="32"/>
      <c r="O333" s="32"/>
      <c r="P333" s="32"/>
      <c r="Q333" s="32"/>
      <c r="R333" s="32"/>
      <c r="S333" s="32"/>
      <c r="T333" s="32"/>
      <c r="U333" s="32"/>
      <c r="V333" s="26"/>
      <c r="W333" s="31" t="e">
        <f>INDEX(TBL_TRANSIT[TransitID],$A333)</f>
        <v>#REF!</v>
      </c>
      <c r="X333" s="31" t="e">
        <f>"TransitTariffVar_"&amp;RIGHT($W333,11)</f>
        <v>#REF!</v>
      </c>
    </row>
    <row r="334" spans="1:24" x14ac:dyDescent="0.25">
      <c r="A334" s="94">
        <f t="shared" ref="A334" si="412">$A330+1</f>
        <v>83</v>
      </c>
      <c r="B334" s="115" t="str">
        <f>IFERROR(INDEX(TBL_TRANSIT[Name],$A334),"")</f>
        <v/>
      </c>
      <c r="C334" s="93" t="str">
        <f t="shared" ref="C334:D334" si="413">IF($B334&lt;&gt;"",C330,"")</f>
        <v/>
      </c>
      <c r="D334" s="93" t="str">
        <f t="shared" si="413"/>
        <v/>
      </c>
      <c r="E334" s="27"/>
      <c r="F334" s="27"/>
      <c r="G334" s="27"/>
      <c r="H334" s="27"/>
      <c r="I334" s="27"/>
      <c r="J334" s="27"/>
      <c r="K334" s="27"/>
      <c r="L334" s="27"/>
      <c r="M334" s="27"/>
      <c r="N334" s="27"/>
      <c r="O334" s="27"/>
      <c r="P334" s="27"/>
      <c r="Q334" s="27"/>
      <c r="R334" s="27"/>
      <c r="S334" s="27"/>
      <c r="T334" s="27"/>
      <c r="U334" s="27"/>
      <c r="V334" s="25"/>
      <c r="W334" s="31" t="e">
        <f>INDEX(TBL_TRANSIT[TransitID],$A334)</f>
        <v>#REF!</v>
      </c>
      <c r="X334" s="31" t="e">
        <f>"TransitCapMin_"&amp;RIGHT($W334,11)</f>
        <v>#REF!</v>
      </c>
    </row>
    <row r="335" spans="1:24" x14ac:dyDescent="0.25">
      <c r="A335" s="94">
        <f t="shared" ref="A335:A389" si="414">$A334</f>
        <v>83</v>
      </c>
      <c r="B335" s="116"/>
      <c r="C335" s="93" t="str">
        <f t="shared" ref="C335:D335" si="415">IF($B334&lt;&gt;"",C331,"")</f>
        <v/>
      </c>
      <c r="D335" s="93" t="str">
        <f t="shared" si="415"/>
        <v/>
      </c>
      <c r="E335" s="32"/>
      <c r="F335" s="32"/>
      <c r="G335" s="32"/>
      <c r="H335" s="32"/>
      <c r="I335" s="32"/>
      <c r="J335" s="32"/>
      <c r="K335" s="32"/>
      <c r="L335" s="32"/>
      <c r="M335" s="32"/>
      <c r="N335" s="32"/>
      <c r="O335" s="32"/>
      <c r="P335" s="32"/>
      <c r="Q335" s="32"/>
      <c r="R335" s="32"/>
      <c r="S335" s="32"/>
      <c r="T335" s="32"/>
      <c r="U335" s="32"/>
      <c r="V335" s="26"/>
      <c r="W335" s="31" t="e">
        <f>INDEX(TBL_TRANSIT[TransitID],$A335)</f>
        <v>#REF!</v>
      </c>
      <c r="X335" s="31" t="e">
        <f>"TransitCapMax_"&amp;RIGHT($W335,11)</f>
        <v>#REF!</v>
      </c>
    </row>
    <row r="336" spans="1:24" x14ac:dyDescent="0.25">
      <c r="A336" s="94">
        <f t="shared" si="414"/>
        <v>83</v>
      </c>
      <c r="B336" s="116"/>
      <c r="C336" s="93" t="str">
        <f t="shared" ref="C336:D336" si="416">IF($B334&lt;&gt;"",C332,"")</f>
        <v/>
      </c>
      <c r="D336" s="93" t="str">
        <f t="shared" si="416"/>
        <v/>
      </c>
      <c r="E336" s="27"/>
      <c r="F336" s="27"/>
      <c r="G336" s="27"/>
      <c r="H336" s="27"/>
      <c r="I336" s="27"/>
      <c r="J336" s="27"/>
      <c r="K336" s="27"/>
      <c r="L336" s="27"/>
      <c r="M336" s="27"/>
      <c r="N336" s="27"/>
      <c r="O336" s="27"/>
      <c r="P336" s="27"/>
      <c r="Q336" s="27"/>
      <c r="R336" s="27"/>
      <c r="S336" s="27"/>
      <c r="T336" s="27"/>
      <c r="U336" s="27"/>
      <c r="V336" s="25"/>
      <c r="W336" s="31" t="e">
        <f>INDEX(TBL_TRANSIT[TransitID],$A336)</f>
        <v>#REF!</v>
      </c>
      <c r="X336" s="31" t="e">
        <f>"TransitTariffFixed_"&amp;RIGHT($W336,11)</f>
        <v>#REF!</v>
      </c>
    </row>
    <row r="337" spans="1:24" x14ac:dyDescent="0.25">
      <c r="A337" s="94">
        <f t="shared" si="414"/>
        <v>83</v>
      </c>
      <c r="B337" s="117"/>
      <c r="C337" s="93" t="str">
        <f t="shared" ref="C337:D337" si="417">IF($B334&lt;&gt;"",C333,"")</f>
        <v/>
      </c>
      <c r="D337" s="93" t="str">
        <f t="shared" si="417"/>
        <v/>
      </c>
      <c r="E337" s="32"/>
      <c r="F337" s="32"/>
      <c r="G337" s="32"/>
      <c r="H337" s="32"/>
      <c r="I337" s="32"/>
      <c r="J337" s="32"/>
      <c r="K337" s="32"/>
      <c r="L337" s="32"/>
      <c r="M337" s="32"/>
      <c r="N337" s="32"/>
      <c r="O337" s="32"/>
      <c r="P337" s="32"/>
      <c r="Q337" s="32"/>
      <c r="R337" s="32"/>
      <c r="S337" s="32"/>
      <c r="T337" s="32"/>
      <c r="U337" s="32"/>
      <c r="V337" s="26"/>
      <c r="W337" s="31" t="e">
        <f>INDEX(TBL_TRANSIT[TransitID],$A337)</f>
        <v>#REF!</v>
      </c>
      <c r="X337" s="31" t="e">
        <f>"TransitTariffVar_"&amp;RIGHT($W337,11)</f>
        <v>#REF!</v>
      </c>
    </row>
    <row r="338" spans="1:24" x14ac:dyDescent="0.25">
      <c r="A338" s="94">
        <f t="shared" ref="A338" si="418">$A334+1</f>
        <v>84</v>
      </c>
      <c r="B338" s="115" t="str">
        <f>IFERROR(INDEX(TBL_TRANSIT[Name],$A338),"")</f>
        <v/>
      </c>
      <c r="C338" s="93" t="str">
        <f t="shared" ref="C338:D338" si="419">IF($B338&lt;&gt;"",C334,"")</f>
        <v/>
      </c>
      <c r="D338" s="93" t="str">
        <f t="shared" si="419"/>
        <v/>
      </c>
      <c r="E338" s="27"/>
      <c r="F338" s="27"/>
      <c r="G338" s="27"/>
      <c r="H338" s="27"/>
      <c r="I338" s="27"/>
      <c r="J338" s="27"/>
      <c r="K338" s="27"/>
      <c r="L338" s="27"/>
      <c r="M338" s="27"/>
      <c r="N338" s="27"/>
      <c r="O338" s="27"/>
      <c r="P338" s="27"/>
      <c r="Q338" s="27"/>
      <c r="R338" s="27"/>
      <c r="S338" s="27"/>
      <c r="T338" s="27"/>
      <c r="U338" s="27"/>
      <c r="V338" s="25"/>
      <c r="W338" s="31" t="e">
        <f>INDEX(TBL_TRANSIT[TransitID],$A338)</f>
        <v>#REF!</v>
      </c>
      <c r="X338" s="31" t="e">
        <f>"TransitCapMin_"&amp;RIGHT($W338,11)</f>
        <v>#REF!</v>
      </c>
    </row>
    <row r="339" spans="1:24" x14ac:dyDescent="0.25">
      <c r="A339" s="94">
        <f t="shared" si="414"/>
        <v>84</v>
      </c>
      <c r="B339" s="116"/>
      <c r="C339" s="93" t="str">
        <f t="shared" ref="C339:D339" si="420">IF($B338&lt;&gt;"",C335,"")</f>
        <v/>
      </c>
      <c r="D339" s="93" t="str">
        <f t="shared" si="420"/>
        <v/>
      </c>
      <c r="E339" s="32"/>
      <c r="F339" s="32"/>
      <c r="G339" s="32"/>
      <c r="H339" s="32"/>
      <c r="I339" s="32"/>
      <c r="J339" s="32"/>
      <c r="K339" s="32"/>
      <c r="L339" s="32"/>
      <c r="M339" s="32"/>
      <c r="N339" s="32"/>
      <c r="O339" s="32"/>
      <c r="P339" s="32"/>
      <c r="Q339" s="32"/>
      <c r="R339" s="32"/>
      <c r="S339" s="32"/>
      <c r="T339" s="32"/>
      <c r="U339" s="32"/>
      <c r="V339" s="26"/>
      <c r="W339" s="31" t="e">
        <f>INDEX(TBL_TRANSIT[TransitID],$A339)</f>
        <v>#REF!</v>
      </c>
      <c r="X339" s="31" t="e">
        <f>"TransitCapMax_"&amp;RIGHT($W339,11)</f>
        <v>#REF!</v>
      </c>
    </row>
    <row r="340" spans="1:24" x14ac:dyDescent="0.25">
      <c r="A340" s="94">
        <f t="shared" si="414"/>
        <v>84</v>
      </c>
      <c r="B340" s="116"/>
      <c r="C340" s="93" t="str">
        <f t="shared" ref="C340:D340" si="421">IF($B338&lt;&gt;"",C336,"")</f>
        <v/>
      </c>
      <c r="D340" s="93" t="str">
        <f t="shared" si="421"/>
        <v/>
      </c>
      <c r="E340" s="27"/>
      <c r="F340" s="27"/>
      <c r="G340" s="27"/>
      <c r="H340" s="27"/>
      <c r="I340" s="27"/>
      <c r="J340" s="27"/>
      <c r="K340" s="27"/>
      <c r="L340" s="27"/>
      <c r="M340" s="27"/>
      <c r="N340" s="27"/>
      <c r="O340" s="27"/>
      <c r="P340" s="27"/>
      <c r="Q340" s="27"/>
      <c r="R340" s="27"/>
      <c r="S340" s="27"/>
      <c r="T340" s="27"/>
      <c r="U340" s="27"/>
      <c r="V340" s="25"/>
      <c r="W340" s="31" t="e">
        <f>INDEX(TBL_TRANSIT[TransitID],$A340)</f>
        <v>#REF!</v>
      </c>
      <c r="X340" s="31" t="e">
        <f>"TransitTariffFixed_"&amp;RIGHT($W340,11)</f>
        <v>#REF!</v>
      </c>
    </row>
    <row r="341" spans="1:24" x14ac:dyDescent="0.25">
      <c r="A341" s="94">
        <f t="shared" si="414"/>
        <v>84</v>
      </c>
      <c r="B341" s="117"/>
      <c r="C341" s="93" t="str">
        <f t="shared" ref="C341:D341" si="422">IF($B338&lt;&gt;"",C337,"")</f>
        <v/>
      </c>
      <c r="D341" s="93" t="str">
        <f t="shared" si="422"/>
        <v/>
      </c>
      <c r="E341" s="32"/>
      <c r="F341" s="32"/>
      <c r="G341" s="32"/>
      <c r="H341" s="32"/>
      <c r="I341" s="32"/>
      <c r="J341" s="32"/>
      <c r="K341" s="32"/>
      <c r="L341" s="32"/>
      <c r="M341" s="32"/>
      <c r="N341" s="32"/>
      <c r="O341" s="32"/>
      <c r="P341" s="32"/>
      <c r="Q341" s="32"/>
      <c r="R341" s="32"/>
      <c r="S341" s="32"/>
      <c r="T341" s="32"/>
      <c r="U341" s="32"/>
      <c r="V341" s="26"/>
      <c r="W341" s="31" t="e">
        <f>INDEX(TBL_TRANSIT[TransitID],$A341)</f>
        <v>#REF!</v>
      </c>
      <c r="X341" s="31" t="e">
        <f>"TransitTariffVar_"&amp;RIGHT($W341,11)</f>
        <v>#REF!</v>
      </c>
    </row>
    <row r="342" spans="1:24" x14ac:dyDescent="0.25">
      <c r="A342" s="94">
        <f t="shared" ref="A342" si="423">$A338+1</f>
        <v>85</v>
      </c>
      <c r="B342" s="115" t="str">
        <f>IFERROR(INDEX(TBL_TRANSIT[Name],$A342),"")</f>
        <v/>
      </c>
      <c r="C342" s="93" t="str">
        <f t="shared" ref="C342:D342" si="424">IF($B342&lt;&gt;"",C338,"")</f>
        <v/>
      </c>
      <c r="D342" s="93" t="str">
        <f t="shared" si="424"/>
        <v/>
      </c>
      <c r="E342" s="27"/>
      <c r="F342" s="27"/>
      <c r="G342" s="27"/>
      <c r="H342" s="27"/>
      <c r="I342" s="27"/>
      <c r="J342" s="27"/>
      <c r="K342" s="27"/>
      <c r="L342" s="27"/>
      <c r="M342" s="27"/>
      <c r="N342" s="27"/>
      <c r="O342" s="27"/>
      <c r="P342" s="27"/>
      <c r="Q342" s="27"/>
      <c r="R342" s="27"/>
      <c r="S342" s="27"/>
      <c r="T342" s="27"/>
      <c r="U342" s="27"/>
      <c r="V342" s="25"/>
      <c r="W342" s="31" t="e">
        <f>INDEX(TBL_TRANSIT[TransitID],$A342)</f>
        <v>#REF!</v>
      </c>
      <c r="X342" s="31" t="e">
        <f>"TransitCapMin_"&amp;RIGHT($W342,11)</f>
        <v>#REF!</v>
      </c>
    </row>
    <row r="343" spans="1:24" x14ac:dyDescent="0.25">
      <c r="A343" s="94">
        <f t="shared" si="414"/>
        <v>85</v>
      </c>
      <c r="B343" s="116"/>
      <c r="C343" s="93" t="str">
        <f t="shared" ref="C343:D343" si="425">IF($B342&lt;&gt;"",C339,"")</f>
        <v/>
      </c>
      <c r="D343" s="93" t="str">
        <f t="shared" si="425"/>
        <v/>
      </c>
      <c r="E343" s="32"/>
      <c r="F343" s="32"/>
      <c r="G343" s="32"/>
      <c r="H343" s="32"/>
      <c r="I343" s="32"/>
      <c r="J343" s="32"/>
      <c r="K343" s="32"/>
      <c r="L343" s="32"/>
      <c r="M343" s="32"/>
      <c r="N343" s="32"/>
      <c r="O343" s="32"/>
      <c r="P343" s="32"/>
      <c r="Q343" s="32"/>
      <c r="R343" s="32"/>
      <c r="S343" s="32"/>
      <c r="T343" s="32"/>
      <c r="U343" s="32"/>
      <c r="V343" s="26"/>
      <c r="W343" s="31" t="e">
        <f>INDEX(TBL_TRANSIT[TransitID],$A343)</f>
        <v>#REF!</v>
      </c>
      <c r="X343" s="31" t="e">
        <f>"TransitCapMax_"&amp;RIGHT($W343,11)</f>
        <v>#REF!</v>
      </c>
    </row>
    <row r="344" spans="1:24" x14ac:dyDescent="0.25">
      <c r="A344" s="94">
        <f t="shared" si="414"/>
        <v>85</v>
      </c>
      <c r="B344" s="116"/>
      <c r="C344" s="93" t="str">
        <f t="shared" ref="C344:D344" si="426">IF($B342&lt;&gt;"",C340,"")</f>
        <v/>
      </c>
      <c r="D344" s="93" t="str">
        <f t="shared" si="426"/>
        <v/>
      </c>
      <c r="E344" s="27"/>
      <c r="F344" s="27"/>
      <c r="G344" s="27"/>
      <c r="H344" s="27"/>
      <c r="I344" s="27"/>
      <c r="J344" s="27"/>
      <c r="K344" s="27"/>
      <c r="L344" s="27"/>
      <c r="M344" s="27"/>
      <c r="N344" s="27"/>
      <c r="O344" s="27"/>
      <c r="P344" s="27"/>
      <c r="Q344" s="27"/>
      <c r="R344" s="27"/>
      <c r="S344" s="27"/>
      <c r="T344" s="27"/>
      <c r="U344" s="27"/>
      <c r="V344" s="25"/>
      <c r="W344" s="31" t="e">
        <f>INDEX(TBL_TRANSIT[TransitID],$A344)</f>
        <v>#REF!</v>
      </c>
      <c r="X344" s="31" t="e">
        <f>"TransitTariffFixed_"&amp;RIGHT($W344,11)</f>
        <v>#REF!</v>
      </c>
    </row>
    <row r="345" spans="1:24" x14ac:dyDescent="0.25">
      <c r="A345" s="94">
        <f t="shared" si="414"/>
        <v>85</v>
      </c>
      <c r="B345" s="117"/>
      <c r="C345" s="93" t="str">
        <f t="shared" ref="C345:D345" si="427">IF($B342&lt;&gt;"",C341,"")</f>
        <v/>
      </c>
      <c r="D345" s="93" t="str">
        <f t="shared" si="427"/>
        <v/>
      </c>
      <c r="E345" s="32"/>
      <c r="F345" s="32"/>
      <c r="G345" s="32"/>
      <c r="H345" s="32"/>
      <c r="I345" s="32"/>
      <c r="J345" s="32"/>
      <c r="K345" s="32"/>
      <c r="L345" s="32"/>
      <c r="M345" s="32"/>
      <c r="N345" s="32"/>
      <c r="O345" s="32"/>
      <c r="P345" s="32"/>
      <c r="Q345" s="32"/>
      <c r="R345" s="32"/>
      <c r="S345" s="32"/>
      <c r="T345" s="32"/>
      <c r="U345" s="32"/>
      <c r="V345" s="26"/>
      <c r="W345" s="31" t="e">
        <f>INDEX(TBL_TRANSIT[TransitID],$A345)</f>
        <v>#REF!</v>
      </c>
      <c r="X345" s="31" t="e">
        <f>"TransitTariffVar_"&amp;RIGHT($W345,11)</f>
        <v>#REF!</v>
      </c>
    </row>
    <row r="346" spans="1:24" x14ac:dyDescent="0.25">
      <c r="A346" s="94">
        <f t="shared" ref="A346" si="428">$A342+1</f>
        <v>86</v>
      </c>
      <c r="B346" s="115" t="str">
        <f>IFERROR(INDEX(TBL_TRANSIT[Name],$A346),"")</f>
        <v/>
      </c>
      <c r="C346" s="93" t="str">
        <f t="shared" ref="C346:D346" si="429">IF($B346&lt;&gt;"",C342,"")</f>
        <v/>
      </c>
      <c r="D346" s="93" t="str">
        <f t="shared" si="429"/>
        <v/>
      </c>
      <c r="E346" s="27"/>
      <c r="F346" s="27"/>
      <c r="G346" s="27"/>
      <c r="H346" s="27"/>
      <c r="I346" s="27"/>
      <c r="J346" s="27"/>
      <c r="K346" s="27"/>
      <c r="L346" s="27"/>
      <c r="M346" s="27"/>
      <c r="N346" s="27"/>
      <c r="O346" s="27"/>
      <c r="P346" s="27"/>
      <c r="Q346" s="27"/>
      <c r="R346" s="27"/>
      <c r="S346" s="27"/>
      <c r="T346" s="27"/>
      <c r="U346" s="27"/>
      <c r="V346" s="25"/>
      <c r="W346" s="31" t="e">
        <f>INDEX(TBL_TRANSIT[TransitID],$A346)</f>
        <v>#REF!</v>
      </c>
      <c r="X346" s="31" t="e">
        <f>"TransitCapMin_"&amp;RIGHT($W346,11)</f>
        <v>#REF!</v>
      </c>
    </row>
    <row r="347" spans="1:24" x14ac:dyDescent="0.25">
      <c r="A347" s="94">
        <f t="shared" si="414"/>
        <v>86</v>
      </c>
      <c r="B347" s="116"/>
      <c r="C347" s="93" t="str">
        <f t="shared" ref="C347:D347" si="430">IF($B346&lt;&gt;"",C343,"")</f>
        <v/>
      </c>
      <c r="D347" s="93" t="str">
        <f t="shared" si="430"/>
        <v/>
      </c>
      <c r="E347" s="32"/>
      <c r="F347" s="32"/>
      <c r="G347" s="32"/>
      <c r="H347" s="32"/>
      <c r="I347" s="32"/>
      <c r="J347" s="32"/>
      <c r="K347" s="32"/>
      <c r="L347" s="32"/>
      <c r="M347" s="32"/>
      <c r="N347" s="32"/>
      <c r="O347" s="32"/>
      <c r="P347" s="32"/>
      <c r="Q347" s="32"/>
      <c r="R347" s="32"/>
      <c r="S347" s="32"/>
      <c r="T347" s="32"/>
      <c r="U347" s="32"/>
      <c r="V347" s="26"/>
      <c r="W347" s="31" t="e">
        <f>INDEX(TBL_TRANSIT[TransitID],$A347)</f>
        <v>#REF!</v>
      </c>
      <c r="X347" s="31" t="e">
        <f>"TransitCapMax_"&amp;RIGHT($W347,11)</f>
        <v>#REF!</v>
      </c>
    </row>
    <row r="348" spans="1:24" x14ac:dyDescent="0.25">
      <c r="A348" s="94">
        <f t="shared" si="414"/>
        <v>86</v>
      </c>
      <c r="B348" s="116"/>
      <c r="C348" s="93" t="str">
        <f t="shared" ref="C348:D348" si="431">IF($B346&lt;&gt;"",C344,"")</f>
        <v/>
      </c>
      <c r="D348" s="93" t="str">
        <f t="shared" si="431"/>
        <v/>
      </c>
      <c r="E348" s="27"/>
      <c r="F348" s="27"/>
      <c r="G348" s="27"/>
      <c r="H348" s="27"/>
      <c r="I348" s="27"/>
      <c r="J348" s="27"/>
      <c r="K348" s="27"/>
      <c r="L348" s="27"/>
      <c r="M348" s="27"/>
      <c r="N348" s="27"/>
      <c r="O348" s="27"/>
      <c r="P348" s="27"/>
      <c r="Q348" s="27"/>
      <c r="R348" s="27"/>
      <c r="S348" s="27"/>
      <c r="T348" s="27"/>
      <c r="U348" s="27"/>
      <c r="V348" s="25"/>
      <c r="W348" s="31" t="e">
        <f>INDEX(TBL_TRANSIT[TransitID],$A348)</f>
        <v>#REF!</v>
      </c>
      <c r="X348" s="31" t="e">
        <f>"TransitTariffFixed_"&amp;RIGHT($W348,11)</f>
        <v>#REF!</v>
      </c>
    </row>
    <row r="349" spans="1:24" x14ac:dyDescent="0.25">
      <c r="A349" s="94">
        <f t="shared" si="414"/>
        <v>86</v>
      </c>
      <c r="B349" s="117"/>
      <c r="C349" s="93" t="str">
        <f t="shared" ref="C349:D349" si="432">IF($B346&lt;&gt;"",C345,"")</f>
        <v/>
      </c>
      <c r="D349" s="93" t="str">
        <f t="shared" si="432"/>
        <v/>
      </c>
      <c r="E349" s="32"/>
      <c r="F349" s="32"/>
      <c r="G349" s="32"/>
      <c r="H349" s="32"/>
      <c r="I349" s="32"/>
      <c r="J349" s="32"/>
      <c r="K349" s="32"/>
      <c r="L349" s="32"/>
      <c r="M349" s="32"/>
      <c r="N349" s="32"/>
      <c r="O349" s="32"/>
      <c r="P349" s="32"/>
      <c r="Q349" s="32"/>
      <c r="R349" s="32"/>
      <c r="S349" s="32"/>
      <c r="T349" s="32"/>
      <c r="U349" s="32"/>
      <c r="V349" s="26"/>
      <c r="W349" s="31" t="e">
        <f>INDEX(TBL_TRANSIT[TransitID],$A349)</f>
        <v>#REF!</v>
      </c>
      <c r="X349" s="31" t="e">
        <f>"TransitTariffVar_"&amp;RIGHT($W349,11)</f>
        <v>#REF!</v>
      </c>
    </row>
    <row r="350" spans="1:24" x14ac:dyDescent="0.25">
      <c r="A350" s="94">
        <f t="shared" ref="A350" si="433">$A346+1</f>
        <v>87</v>
      </c>
      <c r="B350" s="115" t="str">
        <f>IFERROR(INDEX(TBL_TRANSIT[Name],$A350),"")</f>
        <v/>
      </c>
      <c r="C350" s="93" t="str">
        <f t="shared" ref="C350:D350" si="434">IF($B350&lt;&gt;"",C346,"")</f>
        <v/>
      </c>
      <c r="D350" s="93" t="str">
        <f t="shared" si="434"/>
        <v/>
      </c>
      <c r="E350" s="27"/>
      <c r="F350" s="27"/>
      <c r="G350" s="27"/>
      <c r="H350" s="27"/>
      <c r="I350" s="27"/>
      <c r="J350" s="27"/>
      <c r="K350" s="27"/>
      <c r="L350" s="27"/>
      <c r="M350" s="27"/>
      <c r="N350" s="27"/>
      <c r="O350" s="27"/>
      <c r="P350" s="27"/>
      <c r="Q350" s="27"/>
      <c r="R350" s="27"/>
      <c r="S350" s="27"/>
      <c r="T350" s="27"/>
      <c r="U350" s="27"/>
      <c r="V350" s="25"/>
      <c r="W350" s="31" t="e">
        <f>INDEX(TBL_TRANSIT[TransitID],$A350)</f>
        <v>#REF!</v>
      </c>
      <c r="X350" s="31" t="e">
        <f>"TransitCapMin_"&amp;RIGHT($W350,11)</f>
        <v>#REF!</v>
      </c>
    </row>
    <row r="351" spans="1:24" x14ac:dyDescent="0.25">
      <c r="A351" s="94">
        <f t="shared" si="414"/>
        <v>87</v>
      </c>
      <c r="B351" s="116"/>
      <c r="C351" s="93" t="str">
        <f t="shared" ref="C351:D351" si="435">IF($B350&lt;&gt;"",C347,"")</f>
        <v/>
      </c>
      <c r="D351" s="93" t="str">
        <f t="shared" si="435"/>
        <v/>
      </c>
      <c r="E351" s="32"/>
      <c r="F351" s="32"/>
      <c r="G351" s="32"/>
      <c r="H351" s="32"/>
      <c r="I351" s="32"/>
      <c r="J351" s="32"/>
      <c r="K351" s="32"/>
      <c r="L351" s="32"/>
      <c r="M351" s="32"/>
      <c r="N351" s="32"/>
      <c r="O351" s="32"/>
      <c r="P351" s="32"/>
      <c r="Q351" s="32"/>
      <c r="R351" s="32"/>
      <c r="S351" s="32"/>
      <c r="T351" s="32"/>
      <c r="U351" s="32"/>
      <c r="V351" s="26"/>
      <c r="W351" s="31" t="e">
        <f>INDEX(TBL_TRANSIT[TransitID],$A351)</f>
        <v>#REF!</v>
      </c>
      <c r="X351" s="31" t="e">
        <f>"TransitCapMax_"&amp;RIGHT($W351,11)</f>
        <v>#REF!</v>
      </c>
    </row>
    <row r="352" spans="1:24" x14ac:dyDescent="0.25">
      <c r="A352" s="94">
        <f t="shared" si="414"/>
        <v>87</v>
      </c>
      <c r="B352" s="116"/>
      <c r="C352" s="93" t="str">
        <f t="shared" ref="C352:D352" si="436">IF($B350&lt;&gt;"",C348,"")</f>
        <v/>
      </c>
      <c r="D352" s="93" t="str">
        <f t="shared" si="436"/>
        <v/>
      </c>
      <c r="E352" s="27"/>
      <c r="F352" s="27"/>
      <c r="G352" s="27"/>
      <c r="H352" s="27"/>
      <c r="I352" s="27"/>
      <c r="J352" s="27"/>
      <c r="K352" s="27"/>
      <c r="L352" s="27"/>
      <c r="M352" s="27"/>
      <c r="N352" s="27"/>
      <c r="O352" s="27"/>
      <c r="P352" s="27"/>
      <c r="Q352" s="27"/>
      <c r="R352" s="27"/>
      <c r="S352" s="27"/>
      <c r="T352" s="27"/>
      <c r="U352" s="27"/>
      <c r="V352" s="25"/>
      <c r="W352" s="31" t="e">
        <f>INDEX(TBL_TRANSIT[TransitID],$A352)</f>
        <v>#REF!</v>
      </c>
      <c r="X352" s="31" t="e">
        <f>"TransitTariffFixed_"&amp;RIGHT($W352,11)</f>
        <v>#REF!</v>
      </c>
    </row>
    <row r="353" spans="1:24" x14ac:dyDescent="0.25">
      <c r="A353" s="94">
        <f t="shared" si="414"/>
        <v>87</v>
      </c>
      <c r="B353" s="117"/>
      <c r="C353" s="93" t="str">
        <f t="shared" ref="C353:D353" si="437">IF($B350&lt;&gt;"",C349,"")</f>
        <v/>
      </c>
      <c r="D353" s="93" t="str">
        <f t="shared" si="437"/>
        <v/>
      </c>
      <c r="E353" s="32"/>
      <c r="F353" s="32"/>
      <c r="G353" s="32"/>
      <c r="H353" s="32"/>
      <c r="I353" s="32"/>
      <c r="J353" s="32"/>
      <c r="K353" s="32"/>
      <c r="L353" s="32"/>
      <c r="M353" s="32"/>
      <c r="N353" s="32"/>
      <c r="O353" s="32"/>
      <c r="P353" s="32"/>
      <c r="Q353" s="32"/>
      <c r="R353" s="32"/>
      <c r="S353" s="32"/>
      <c r="T353" s="32"/>
      <c r="U353" s="32"/>
      <c r="V353" s="26"/>
      <c r="W353" s="31" t="e">
        <f>INDEX(TBL_TRANSIT[TransitID],$A353)</f>
        <v>#REF!</v>
      </c>
      <c r="X353" s="31" t="e">
        <f>"TransitTariffVar_"&amp;RIGHT($W353,11)</f>
        <v>#REF!</v>
      </c>
    </row>
    <row r="354" spans="1:24" x14ac:dyDescent="0.25">
      <c r="A354" s="94">
        <f t="shared" ref="A354" si="438">$A350+1</f>
        <v>88</v>
      </c>
      <c r="B354" s="115" t="str">
        <f>IFERROR(INDEX(TBL_TRANSIT[Name],$A354),"")</f>
        <v/>
      </c>
      <c r="C354" s="93" t="str">
        <f t="shared" ref="C354:D354" si="439">IF($B354&lt;&gt;"",C350,"")</f>
        <v/>
      </c>
      <c r="D354" s="93" t="str">
        <f t="shared" si="439"/>
        <v/>
      </c>
      <c r="E354" s="27"/>
      <c r="F354" s="27"/>
      <c r="G354" s="27"/>
      <c r="H354" s="27"/>
      <c r="I354" s="27"/>
      <c r="J354" s="27"/>
      <c r="K354" s="27"/>
      <c r="L354" s="27"/>
      <c r="M354" s="27"/>
      <c r="N354" s="27"/>
      <c r="O354" s="27"/>
      <c r="P354" s="27"/>
      <c r="Q354" s="27"/>
      <c r="R354" s="27"/>
      <c r="S354" s="27"/>
      <c r="T354" s="27"/>
      <c r="U354" s="27"/>
      <c r="V354" s="25"/>
      <c r="W354" s="31" t="e">
        <f>INDEX(TBL_TRANSIT[TransitID],$A354)</f>
        <v>#REF!</v>
      </c>
      <c r="X354" s="31" t="e">
        <f>"TransitCapMin_"&amp;RIGHT($W354,11)</f>
        <v>#REF!</v>
      </c>
    </row>
    <row r="355" spans="1:24" x14ac:dyDescent="0.25">
      <c r="A355" s="94">
        <f t="shared" si="414"/>
        <v>88</v>
      </c>
      <c r="B355" s="116"/>
      <c r="C355" s="93" t="str">
        <f t="shared" ref="C355:D355" si="440">IF($B354&lt;&gt;"",C351,"")</f>
        <v/>
      </c>
      <c r="D355" s="93" t="str">
        <f t="shared" si="440"/>
        <v/>
      </c>
      <c r="E355" s="32"/>
      <c r="F355" s="32"/>
      <c r="G355" s="32"/>
      <c r="H355" s="32"/>
      <c r="I355" s="32"/>
      <c r="J355" s="32"/>
      <c r="K355" s="32"/>
      <c r="L355" s="32"/>
      <c r="M355" s="32"/>
      <c r="N355" s="32"/>
      <c r="O355" s="32"/>
      <c r="P355" s="32"/>
      <c r="Q355" s="32"/>
      <c r="R355" s="32"/>
      <c r="S355" s="32"/>
      <c r="T355" s="32"/>
      <c r="U355" s="32"/>
      <c r="V355" s="26"/>
      <c r="W355" s="31" t="e">
        <f>INDEX(TBL_TRANSIT[TransitID],$A355)</f>
        <v>#REF!</v>
      </c>
      <c r="X355" s="31" t="e">
        <f>"TransitCapMax_"&amp;RIGHT($W355,11)</f>
        <v>#REF!</v>
      </c>
    </row>
    <row r="356" spans="1:24" x14ac:dyDescent="0.25">
      <c r="A356" s="94">
        <f t="shared" si="414"/>
        <v>88</v>
      </c>
      <c r="B356" s="116"/>
      <c r="C356" s="93" t="str">
        <f t="shared" ref="C356:D356" si="441">IF($B354&lt;&gt;"",C352,"")</f>
        <v/>
      </c>
      <c r="D356" s="93" t="str">
        <f t="shared" si="441"/>
        <v/>
      </c>
      <c r="E356" s="27"/>
      <c r="F356" s="27"/>
      <c r="G356" s="27"/>
      <c r="H356" s="27"/>
      <c r="I356" s="27"/>
      <c r="J356" s="27"/>
      <c r="K356" s="27"/>
      <c r="L356" s="27"/>
      <c r="M356" s="27"/>
      <c r="N356" s="27"/>
      <c r="O356" s="27"/>
      <c r="P356" s="27"/>
      <c r="Q356" s="27"/>
      <c r="R356" s="27"/>
      <c r="S356" s="27"/>
      <c r="T356" s="27"/>
      <c r="U356" s="27"/>
      <c r="V356" s="25"/>
      <c r="W356" s="31" t="e">
        <f>INDEX(TBL_TRANSIT[TransitID],$A356)</f>
        <v>#REF!</v>
      </c>
      <c r="X356" s="31" t="e">
        <f>"TransitTariffFixed_"&amp;RIGHT($W356,11)</f>
        <v>#REF!</v>
      </c>
    </row>
    <row r="357" spans="1:24" x14ac:dyDescent="0.25">
      <c r="A357" s="94">
        <f t="shared" si="414"/>
        <v>88</v>
      </c>
      <c r="B357" s="117"/>
      <c r="C357" s="93" t="str">
        <f t="shared" ref="C357:D357" si="442">IF($B354&lt;&gt;"",C353,"")</f>
        <v/>
      </c>
      <c r="D357" s="93" t="str">
        <f t="shared" si="442"/>
        <v/>
      </c>
      <c r="E357" s="32"/>
      <c r="F357" s="32"/>
      <c r="G357" s="32"/>
      <c r="H357" s="32"/>
      <c r="I357" s="32"/>
      <c r="J357" s="32"/>
      <c r="K357" s="32"/>
      <c r="L357" s="32"/>
      <c r="M357" s="32"/>
      <c r="N357" s="32"/>
      <c r="O357" s="32"/>
      <c r="P357" s="32"/>
      <c r="Q357" s="32"/>
      <c r="R357" s="32"/>
      <c r="S357" s="32"/>
      <c r="T357" s="32"/>
      <c r="U357" s="32"/>
      <c r="V357" s="26"/>
      <c r="W357" s="31" t="e">
        <f>INDEX(TBL_TRANSIT[TransitID],$A357)</f>
        <v>#REF!</v>
      </c>
      <c r="X357" s="31" t="e">
        <f>"TransitTariffVar_"&amp;RIGHT($W357,11)</f>
        <v>#REF!</v>
      </c>
    </row>
    <row r="358" spans="1:24" x14ac:dyDescent="0.25">
      <c r="A358" s="94">
        <f t="shared" ref="A358" si="443">$A354+1</f>
        <v>89</v>
      </c>
      <c r="B358" s="115" t="str">
        <f>IFERROR(INDEX(TBL_TRANSIT[Name],$A358),"")</f>
        <v/>
      </c>
      <c r="C358" s="93" t="str">
        <f t="shared" ref="C358:D358" si="444">IF($B358&lt;&gt;"",C354,"")</f>
        <v/>
      </c>
      <c r="D358" s="93" t="str">
        <f t="shared" si="444"/>
        <v/>
      </c>
      <c r="E358" s="27"/>
      <c r="F358" s="27"/>
      <c r="G358" s="27"/>
      <c r="H358" s="27"/>
      <c r="I358" s="27"/>
      <c r="J358" s="27"/>
      <c r="K358" s="27"/>
      <c r="L358" s="27"/>
      <c r="M358" s="27"/>
      <c r="N358" s="27"/>
      <c r="O358" s="27"/>
      <c r="P358" s="27"/>
      <c r="Q358" s="27"/>
      <c r="R358" s="27"/>
      <c r="S358" s="27"/>
      <c r="T358" s="27"/>
      <c r="U358" s="27"/>
      <c r="V358" s="25"/>
      <c r="W358" s="31" t="e">
        <f>INDEX(TBL_TRANSIT[TransitID],$A358)</f>
        <v>#REF!</v>
      </c>
      <c r="X358" s="31" t="e">
        <f>"TransitCapMin_"&amp;RIGHT($W358,11)</f>
        <v>#REF!</v>
      </c>
    </row>
    <row r="359" spans="1:24" x14ac:dyDescent="0.25">
      <c r="A359" s="94">
        <f t="shared" si="414"/>
        <v>89</v>
      </c>
      <c r="B359" s="116"/>
      <c r="C359" s="93" t="str">
        <f t="shared" ref="C359:D359" si="445">IF($B358&lt;&gt;"",C355,"")</f>
        <v/>
      </c>
      <c r="D359" s="93" t="str">
        <f t="shared" si="445"/>
        <v/>
      </c>
      <c r="E359" s="32"/>
      <c r="F359" s="32"/>
      <c r="G359" s="32"/>
      <c r="H359" s="32"/>
      <c r="I359" s="32"/>
      <c r="J359" s="32"/>
      <c r="K359" s="32"/>
      <c r="L359" s="32"/>
      <c r="M359" s="32"/>
      <c r="N359" s="32"/>
      <c r="O359" s="32"/>
      <c r="P359" s="32"/>
      <c r="Q359" s="32"/>
      <c r="R359" s="32"/>
      <c r="S359" s="32"/>
      <c r="T359" s="32"/>
      <c r="U359" s="32"/>
      <c r="V359" s="26"/>
      <c r="W359" s="31" t="e">
        <f>INDEX(TBL_TRANSIT[TransitID],$A359)</f>
        <v>#REF!</v>
      </c>
      <c r="X359" s="31" t="e">
        <f>"TransitCapMax_"&amp;RIGHT($W359,11)</f>
        <v>#REF!</v>
      </c>
    </row>
    <row r="360" spans="1:24" x14ac:dyDescent="0.25">
      <c r="A360" s="94">
        <f t="shared" si="414"/>
        <v>89</v>
      </c>
      <c r="B360" s="116"/>
      <c r="C360" s="93" t="str">
        <f t="shared" ref="C360:D360" si="446">IF($B358&lt;&gt;"",C356,"")</f>
        <v/>
      </c>
      <c r="D360" s="93" t="str">
        <f t="shared" si="446"/>
        <v/>
      </c>
      <c r="E360" s="27"/>
      <c r="F360" s="27"/>
      <c r="G360" s="27"/>
      <c r="H360" s="27"/>
      <c r="I360" s="27"/>
      <c r="J360" s="27"/>
      <c r="K360" s="27"/>
      <c r="L360" s="27"/>
      <c r="M360" s="27"/>
      <c r="N360" s="27"/>
      <c r="O360" s="27"/>
      <c r="P360" s="27"/>
      <c r="Q360" s="27"/>
      <c r="R360" s="27"/>
      <c r="S360" s="27"/>
      <c r="T360" s="27"/>
      <c r="U360" s="27"/>
      <c r="V360" s="25"/>
      <c r="W360" s="31" t="e">
        <f>INDEX(TBL_TRANSIT[TransitID],$A360)</f>
        <v>#REF!</v>
      </c>
      <c r="X360" s="31" t="e">
        <f>"TransitTariffFixed_"&amp;RIGHT($W360,11)</f>
        <v>#REF!</v>
      </c>
    </row>
    <row r="361" spans="1:24" x14ac:dyDescent="0.25">
      <c r="A361" s="94">
        <f t="shared" si="414"/>
        <v>89</v>
      </c>
      <c r="B361" s="117"/>
      <c r="C361" s="93" t="str">
        <f t="shared" ref="C361:D361" si="447">IF($B358&lt;&gt;"",C357,"")</f>
        <v/>
      </c>
      <c r="D361" s="93" t="str">
        <f t="shared" si="447"/>
        <v/>
      </c>
      <c r="E361" s="32"/>
      <c r="F361" s="32"/>
      <c r="G361" s="32"/>
      <c r="H361" s="32"/>
      <c r="I361" s="32"/>
      <c r="J361" s="32"/>
      <c r="K361" s="32"/>
      <c r="L361" s="32"/>
      <c r="M361" s="32"/>
      <c r="N361" s="32"/>
      <c r="O361" s="32"/>
      <c r="P361" s="32"/>
      <c r="Q361" s="32"/>
      <c r="R361" s="32"/>
      <c r="S361" s="32"/>
      <c r="T361" s="32"/>
      <c r="U361" s="32"/>
      <c r="V361" s="26"/>
      <c r="W361" s="31" t="e">
        <f>INDEX(TBL_TRANSIT[TransitID],$A361)</f>
        <v>#REF!</v>
      </c>
      <c r="X361" s="31" t="e">
        <f>"TransitTariffVar_"&amp;RIGHT($W361,11)</f>
        <v>#REF!</v>
      </c>
    </row>
    <row r="362" spans="1:24" x14ac:dyDescent="0.25">
      <c r="A362" s="94">
        <f t="shared" ref="A362" si="448">$A358+1</f>
        <v>90</v>
      </c>
      <c r="B362" s="115" t="str">
        <f>IFERROR(INDEX(TBL_TRANSIT[Name],$A362),"")</f>
        <v/>
      </c>
      <c r="C362" s="93" t="str">
        <f t="shared" ref="C362:D362" si="449">IF($B362&lt;&gt;"",C358,"")</f>
        <v/>
      </c>
      <c r="D362" s="93" t="str">
        <f t="shared" si="449"/>
        <v/>
      </c>
      <c r="E362" s="27"/>
      <c r="F362" s="27"/>
      <c r="G362" s="27"/>
      <c r="H362" s="27"/>
      <c r="I362" s="27"/>
      <c r="J362" s="27"/>
      <c r="K362" s="27"/>
      <c r="L362" s="27"/>
      <c r="M362" s="27"/>
      <c r="N362" s="27"/>
      <c r="O362" s="27"/>
      <c r="P362" s="27"/>
      <c r="Q362" s="27"/>
      <c r="R362" s="27"/>
      <c r="S362" s="27"/>
      <c r="T362" s="27"/>
      <c r="U362" s="27"/>
      <c r="V362" s="25"/>
      <c r="W362" s="31" t="e">
        <f>INDEX(TBL_TRANSIT[TransitID],$A362)</f>
        <v>#REF!</v>
      </c>
      <c r="X362" s="31" t="e">
        <f>"TransitCapMin_"&amp;RIGHT($W362,11)</f>
        <v>#REF!</v>
      </c>
    </row>
    <row r="363" spans="1:24" x14ac:dyDescent="0.25">
      <c r="A363" s="94">
        <f t="shared" si="414"/>
        <v>90</v>
      </c>
      <c r="B363" s="116"/>
      <c r="C363" s="93" t="str">
        <f t="shared" ref="C363:D363" si="450">IF($B362&lt;&gt;"",C359,"")</f>
        <v/>
      </c>
      <c r="D363" s="93" t="str">
        <f t="shared" si="450"/>
        <v/>
      </c>
      <c r="E363" s="32"/>
      <c r="F363" s="32"/>
      <c r="G363" s="32"/>
      <c r="H363" s="32"/>
      <c r="I363" s="32"/>
      <c r="J363" s="32"/>
      <c r="K363" s="32"/>
      <c r="L363" s="32"/>
      <c r="M363" s="32"/>
      <c r="N363" s="32"/>
      <c r="O363" s="32"/>
      <c r="P363" s="32"/>
      <c r="Q363" s="32"/>
      <c r="R363" s="32"/>
      <c r="S363" s="32"/>
      <c r="T363" s="32"/>
      <c r="U363" s="32"/>
      <c r="V363" s="26"/>
      <c r="W363" s="31" t="e">
        <f>INDEX(TBL_TRANSIT[TransitID],$A363)</f>
        <v>#REF!</v>
      </c>
      <c r="X363" s="31" t="e">
        <f>"TransitCapMax_"&amp;RIGHT($W363,11)</f>
        <v>#REF!</v>
      </c>
    </row>
    <row r="364" spans="1:24" x14ac:dyDescent="0.25">
      <c r="A364" s="94">
        <f t="shared" si="414"/>
        <v>90</v>
      </c>
      <c r="B364" s="116"/>
      <c r="C364" s="93" t="str">
        <f t="shared" ref="C364:D364" si="451">IF($B362&lt;&gt;"",C360,"")</f>
        <v/>
      </c>
      <c r="D364" s="93" t="str">
        <f t="shared" si="451"/>
        <v/>
      </c>
      <c r="E364" s="27"/>
      <c r="F364" s="27"/>
      <c r="G364" s="27"/>
      <c r="H364" s="27"/>
      <c r="I364" s="27"/>
      <c r="J364" s="27"/>
      <c r="K364" s="27"/>
      <c r="L364" s="27"/>
      <c r="M364" s="27"/>
      <c r="N364" s="27"/>
      <c r="O364" s="27"/>
      <c r="P364" s="27"/>
      <c r="Q364" s="27"/>
      <c r="R364" s="27"/>
      <c r="S364" s="27"/>
      <c r="T364" s="27"/>
      <c r="U364" s="27"/>
      <c r="V364" s="25"/>
      <c r="W364" s="31" t="e">
        <f>INDEX(TBL_TRANSIT[TransitID],$A364)</f>
        <v>#REF!</v>
      </c>
      <c r="X364" s="31" t="e">
        <f>"TransitTariffFixed_"&amp;RIGHT($W364,11)</f>
        <v>#REF!</v>
      </c>
    </row>
    <row r="365" spans="1:24" x14ac:dyDescent="0.25">
      <c r="A365" s="94">
        <f t="shared" si="414"/>
        <v>90</v>
      </c>
      <c r="B365" s="117"/>
      <c r="C365" s="93" t="str">
        <f t="shared" ref="C365:D365" si="452">IF($B362&lt;&gt;"",C361,"")</f>
        <v/>
      </c>
      <c r="D365" s="93" t="str">
        <f t="shared" si="452"/>
        <v/>
      </c>
      <c r="E365" s="32"/>
      <c r="F365" s="32"/>
      <c r="G365" s="32"/>
      <c r="H365" s="32"/>
      <c r="I365" s="32"/>
      <c r="J365" s="32"/>
      <c r="K365" s="32"/>
      <c r="L365" s="32"/>
      <c r="M365" s="32"/>
      <c r="N365" s="32"/>
      <c r="O365" s="32"/>
      <c r="P365" s="32"/>
      <c r="Q365" s="32"/>
      <c r="R365" s="32"/>
      <c r="S365" s="32"/>
      <c r="T365" s="32"/>
      <c r="U365" s="32"/>
      <c r="V365" s="26"/>
      <c r="W365" s="31" t="e">
        <f>INDEX(TBL_TRANSIT[TransitID],$A365)</f>
        <v>#REF!</v>
      </c>
      <c r="X365" s="31" t="e">
        <f>"TransitTariffVar_"&amp;RIGHT($W365,11)</f>
        <v>#REF!</v>
      </c>
    </row>
    <row r="366" spans="1:24" x14ac:dyDescent="0.25">
      <c r="A366" s="94">
        <f t="shared" ref="A366" si="453">$A362+1</f>
        <v>91</v>
      </c>
      <c r="B366" s="115" t="str">
        <f>IFERROR(INDEX(TBL_TRANSIT[Name],$A366),"")</f>
        <v/>
      </c>
      <c r="C366" s="93" t="str">
        <f t="shared" ref="C366:D366" si="454">IF($B366&lt;&gt;"",C362,"")</f>
        <v/>
      </c>
      <c r="D366" s="93" t="str">
        <f t="shared" si="454"/>
        <v/>
      </c>
      <c r="E366" s="27"/>
      <c r="F366" s="27"/>
      <c r="G366" s="27"/>
      <c r="H366" s="27"/>
      <c r="I366" s="27"/>
      <c r="J366" s="27"/>
      <c r="K366" s="27"/>
      <c r="L366" s="27"/>
      <c r="M366" s="27"/>
      <c r="N366" s="27"/>
      <c r="O366" s="27"/>
      <c r="P366" s="27"/>
      <c r="Q366" s="27"/>
      <c r="R366" s="27"/>
      <c r="S366" s="27"/>
      <c r="T366" s="27"/>
      <c r="U366" s="27"/>
      <c r="V366" s="25"/>
      <c r="W366" s="31" t="e">
        <f>INDEX(TBL_TRANSIT[TransitID],$A366)</f>
        <v>#REF!</v>
      </c>
      <c r="X366" s="31" t="e">
        <f>"TransitCapMin_"&amp;RIGHT($W366,11)</f>
        <v>#REF!</v>
      </c>
    </row>
    <row r="367" spans="1:24" x14ac:dyDescent="0.25">
      <c r="A367" s="94">
        <f t="shared" si="414"/>
        <v>91</v>
      </c>
      <c r="B367" s="116"/>
      <c r="C367" s="93" t="str">
        <f t="shared" ref="C367:D367" si="455">IF($B366&lt;&gt;"",C363,"")</f>
        <v/>
      </c>
      <c r="D367" s="93" t="str">
        <f t="shared" si="455"/>
        <v/>
      </c>
      <c r="E367" s="32"/>
      <c r="F367" s="32"/>
      <c r="G367" s="32"/>
      <c r="H367" s="32"/>
      <c r="I367" s="32"/>
      <c r="J367" s="32"/>
      <c r="K367" s="32"/>
      <c r="L367" s="32"/>
      <c r="M367" s="32"/>
      <c r="N367" s="32"/>
      <c r="O367" s="32"/>
      <c r="P367" s="32"/>
      <c r="Q367" s="32"/>
      <c r="R367" s="32"/>
      <c r="S367" s="32"/>
      <c r="T367" s="32"/>
      <c r="U367" s="32"/>
      <c r="V367" s="26"/>
      <c r="W367" s="31" t="e">
        <f>INDEX(TBL_TRANSIT[TransitID],$A367)</f>
        <v>#REF!</v>
      </c>
      <c r="X367" s="31" t="e">
        <f>"TransitCapMax_"&amp;RIGHT($W367,11)</f>
        <v>#REF!</v>
      </c>
    </row>
    <row r="368" spans="1:24" x14ac:dyDescent="0.25">
      <c r="A368" s="94">
        <f t="shared" si="414"/>
        <v>91</v>
      </c>
      <c r="B368" s="116"/>
      <c r="C368" s="93" t="str">
        <f t="shared" ref="C368:D368" si="456">IF($B366&lt;&gt;"",C364,"")</f>
        <v/>
      </c>
      <c r="D368" s="93" t="str">
        <f t="shared" si="456"/>
        <v/>
      </c>
      <c r="E368" s="27"/>
      <c r="F368" s="27"/>
      <c r="G368" s="27"/>
      <c r="H368" s="27"/>
      <c r="I368" s="27"/>
      <c r="J368" s="27"/>
      <c r="K368" s="27"/>
      <c r="L368" s="27"/>
      <c r="M368" s="27"/>
      <c r="N368" s="27"/>
      <c r="O368" s="27"/>
      <c r="P368" s="27"/>
      <c r="Q368" s="27"/>
      <c r="R368" s="27"/>
      <c r="S368" s="27"/>
      <c r="T368" s="27"/>
      <c r="U368" s="27"/>
      <c r="V368" s="25"/>
      <c r="W368" s="31" t="e">
        <f>INDEX(TBL_TRANSIT[TransitID],$A368)</f>
        <v>#REF!</v>
      </c>
      <c r="X368" s="31" t="e">
        <f>"TransitTariffFixed_"&amp;RIGHT($W368,11)</f>
        <v>#REF!</v>
      </c>
    </row>
    <row r="369" spans="1:24" x14ac:dyDescent="0.25">
      <c r="A369" s="94">
        <f t="shared" si="414"/>
        <v>91</v>
      </c>
      <c r="B369" s="117"/>
      <c r="C369" s="93" t="str">
        <f t="shared" ref="C369:D369" si="457">IF($B366&lt;&gt;"",C365,"")</f>
        <v/>
      </c>
      <c r="D369" s="93" t="str">
        <f t="shared" si="457"/>
        <v/>
      </c>
      <c r="E369" s="32"/>
      <c r="F369" s="32"/>
      <c r="G369" s="32"/>
      <c r="H369" s="32"/>
      <c r="I369" s="32"/>
      <c r="J369" s="32"/>
      <c r="K369" s="32"/>
      <c r="L369" s="32"/>
      <c r="M369" s="32"/>
      <c r="N369" s="32"/>
      <c r="O369" s="32"/>
      <c r="P369" s="32"/>
      <c r="Q369" s="32"/>
      <c r="R369" s="32"/>
      <c r="S369" s="32"/>
      <c r="T369" s="32"/>
      <c r="U369" s="32"/>
      <c r="V369" s="26"/>
      <c r="W369" s="31" t="e">
        <f>INDEX(TBL_TRANSIT[TransitID],$A369)</f>
        <v>#REF!</v>
      </c>
      <c r="X369" s="31" t="e">
        <f>"TransitTariffVar_"&amp;RIGHT($W369,11)</f>
        <v>#REF!</v>
      </c>
    </row>
    <row r="370" spans="1:24" x14ac:dyDescent="0.25">
      <c r="A370" s="94">
        <f t="shared" ref="A370" si="458">$A366+1</f>
        <v>92</v>
      </c>
      <c r="B370" s="115" t="str">
        <f>IFERROR(INDEX(TBL_TRANSIT[Name],$A370),"")</f>
        <v/>
      </c>
      <c r="C370" s="93" t="str">
        <f t="shared" ref="C370:D370" si="459">IF($B370&lt;&gt;"",C366,"")</f>
        <v/>
      </c>
      <c r="D370" s="93" t="str">
        <f t="shared" si="459"/>
        <v/>
      </c>
      <c r="E370" s="27"/>
      <c r="F370" s="27"/>
      <c r="G370" s="27"/>
      <c r="H370" s="27"/>
      <c r="I370" s="27"/>
      <c r="J370" s="27"/>
      <c r="K370" s="27"/>
      <c r="L370" s="27"/>
      <c r="M370" s="27"/>
      <c r="N370" s="27"/>
      <c r="O370" s="27"/>
      <c r="P370" s="27"/>
      <c r="Q370" s="27"/>
      <c r="R370" s="27"/>
      <c r="S370" s="27"/>
      <c r="T370" s="27"/>
      <c r="U370" s="27"/>
      <c r="V370" s="25"/>
      <c r="W370" s="31" t="e">
        <f>INDEX(TBL_TRANSIT[TransitID],$A370)</f>
        <v>#REF!</v>
      </c>
      <c r="X370" s="31" t="e">
        <f>"TransitCapMin_"&amp;RIGHT($W370,11)</f>
        <v>#REF!</v>
      </c>
    </row>
    <row r="371" spans="1:24" x14ac:dyDescent="0.25">
      <c r="A371" s="94">
        <f t="shared" si="414"/>
        <v>92</v>
      </c>
      <c r="B371" s="116"/>
      <c r="C371" s="93" t="str">
        <f t="shared" ref="C371:D371" si="460">IF($B370&lt;&gt;"",C367,"")</f>
        <v/>
      </c>
      <c r="D371" s="93" t="str">
        <f t="shared" si="460"/>
        <v/>
      </c>
      <c r="E371" s="32"/>
      <c r="F371" s="32"/>
      <c r="G371" s="32"/>
      <c r="H371" s="32"/>
      <c r="I371" s="32"/>
      <c r="J371" s="32"/>
      <c r="K371" s="32"/>
      <c r="L371" s="32"/>
      <c r="M371" s="32"/>
      <c r="N371" s="32"/>
      <c r="O371" s="32"/>
      <c r="P371" s="32"/>
      <c r="Q371" s="32"/>
      <c r="R371" s="32"/>
      <c r="S371" s="32"/>
      <c r="T371" s="32"/>
      <c r="U371" s="32"/>
      <c r="V371" s="26"/>
      <c r="W371" s="31" t="e">
        <f>INDEX(TBL_TRANSIT[TransitID],$A371)</f>
        <v>#REF!</v>
      </c>
      <c r="X371" s="31" t="e">
        <f>"TransitCapMax_"&amp;RIGHT($W371,11)</f>
        <v>#REF!</v>
      </c>
    </row>
    <row r="372" spans="1:24" x14ac:dyDescent="0.25">
      <c r="A372" s="94">
        <f t="shared" si="414"/>
        <v>92</v>
      </c>
      <c r="B372" s="116"/>
      <c r="C372" s="93" t="str">
        <f t="shared" ref="C372:D372" si="461">IF($B370&lt;&gt;"",C368,"")</f>
        <v/>
      </c>
      <c r="D372" s="93" t="str">
        <f t="shared" si="461"/>
        <v/>
      </c>
      <c r="E372" s="27"/>
      <c r="F372" s="27"/>
      <c r="G372" s="27"/>
      <c r="H372" s="27"/>
      <c r="I372" s="27"/>
      <c r="J372" s="27"/>
      <c r="K372" s="27"/>
      <c r="L372" s="27"/>
      <c r="M372" s="27"/>
      <c r="N372" s="27"/>
      <c r="O372" s="27"/>
      <c r="P372" s="27"/>
      <c r="Q372" s="27"/>
      <c r="R372" s="27"/>
      <c r="S372" s="27"/>
      <c r="T372" s="27"/>
      <c r="U372" s="27"/>
      <c r="V372" s="25"/>
      <c r="W372" s="31" t="e">
        <f>INDEX(TBL_TRANSIT[TransitID],$A372)</f>
        <v>#REF!</v>
      </c>
      <c r="X372" s="31" t="e">
        <f>"TransitTariffFixed_"&amp;RIGHT($W372,11)</f>
        <v>#REF!</v>
      </c>
    </row>
    <row r="373" spans="1:24" x14ac:dyDescent="0.25">
      <c r="A373" s="94">
        <f t="shared" si="414"/>
        <v>92</v>
      </c>
      <c r="B373" s="117"/>
      <c r="C373" s="93" t="str">
        <f t="shared" ref="C373:D373" si="462">IF($B370&lt;&gt;"",C369,"")</f>
        <v/>
      </c>
      <c r="D373" s="93" t="str">
        <f t="shared" si="462"/>
        <v/>
      </c>
      <c r="E373" s="32"/>
      <c r="F373" s="32"/>
      <c r="G373" s="32"/>
      <c r="H373" s="32"/>
      <c r="I373" s="32"/>
      <c r="J373" s="32"/>
      <c r="K373" s="32"/>
      <c r="L373" s="32"/>
      <c r="M373" s="32"/>
      <c r="N373" s="32"/>
      <c r="O373" s="32"/>
      <c r="P373" s="32"/>
      <c r="Q373" s="32"/>
      <c r="R373" s="32"/>
      <c r="S373" s="32"/>
      <c r="T373" s="32"/>
      <c r="U373" s="32"/>
      <c r="V373" s="26"/>
      <c r="W373" s="31" t="e">
        <f>INDEX(TBL_TRANSIT[TransitID],$A373)</f>
        <v>#REF!</v>
      </c>
      <c r="X373" s="31" t="e">
        <f>"TransitTariffVar_"&amp;RIGHT($W373,11)</f>
        <v>#REF!</v>
      </c>
    </row>
    <row r="374" spans="1:24" x14ac:dyDescent="0.25">
      <c r="A374" s="94">
        <f t="shared" ref="A374" si="463">$A370+1</f>
        <v>93</v>
      </c>
      <c r="B374" s="115" t="str">
        <f>IFERROR(INDEX(TBL_TRANSIT[Name],$A374),"")</f>
        <v/>
      </c>
      <c r="C374" s="93" t="str">
        <f t="shared" ref="C374:D374" si="464">IF($B374&lt;&gt;"",C370,"")</f>
        <v/>
      </c>
      <c r="D374" s="93" t="str">
        <f t="shared" si="464"/>
        <v/>
      </c>
      <c r="E374" s="27"/>
      <c r="F374" s="27"/>
      <c r="G374" s="27"/>
      <c r="H374" s="27"/>
      <c r="I374" s="27"/>
      <c r="J374" s="27"/>
      <c r="K374" s="27"/>
      <c r="L374" s="27"/>
      <c r="M374" s="27"/>
      <c r="N374" s="27"/>
      <c r="O374" s="27"/>
      <c r="P374" s="27"/>
      <c r="Q374" s="27"/>
      <c r="R374" s="27"/>
      <c r="S374" s="27"/>
      <c r="T374" s="27"/>
      <c r="U374" s="27"/>
      <c r="V374" s="25"/>
      <c r="W374" s="31" t="e">
        <f>INDEX(TBL_TRANSIT[TransitID],$A374)</f>
        <v>#REF!</v>
      </c>
      <c r="X374" s="31" t="e">
        <f>"TransitCapMin_"&amp;RIGHT($W374,11)</f>
        <v>#REF!</v>
      </c>
    </row>
    <row r="375" spans="1:24" x14ac:dyDescent="0.25">
      <c r="A375" s="94">
        <f t="shared" si="414"/>
        <v>93</v>
      </c>
      <c r="B375" s="116"/>
      <c r="C375" s="93" t="str">
        <f t="shared" ref="C375:D375" si="465">IF($B374&lt;&gt;"",C371,"")</f>
        <v/>
      </c>
      <c r="D375" s="93" t="str">
        <f t="shared" si="465"/>
        <v/>
      </c>
      <c r="E375" s="32"/>
      <c r="F375" s="32"/>
      <c r="G375" s="32"/>
      <c r="H375" s="32"/>
      <c r="I375" s="32"/>
      <c r="J375" s="32"/>
      <c r="K375" s="32"/>
      <c r="L375" s="32"/>
      <c r="M375" s="32"/>
      <c r="N375" s="32"/>
      <c r="O375" s="32"/>
      <c r="P375" s="32"/>
      <c r="Q375" s="32"/>
      <c r="R375" s="32"/>
      <c r="S375" s="32"/>
      <c r="T375" s="32"/>
      <c r="U375" s="32"/>
      <c r="V375" s="26"/>
      <c r="W375" s="31" t="e">
        <f>INDEX(TBL_TRANSIT[TransitID],$A375)</f>
        <v>#REF!</v>
      </c>
      <c r="X375" s="31" t="e">
        <f>"TransitCapMax_"&amp;RIGHT($W375,11)</f>
        <v>#REF!</v>
      </c>
    </row>
    <row r="376" spans="1:24" x14ac:dyDescent="0.25">
      <c r="A376" s="94">
        <f t="shared" si="414"/>
        <v>93</v>
      </c>
      <c r="B376" s="116"/>
      <c r="C376" s="93" t="str">
        <f t="shared" ref="C376:D376" si="466">IF($B374&lt;&gt;"",C372,"")</f>
        <v/>
      </c>
      <c r="D376" s="93" t="str">
        <f t="shared" si="466"/>
        <v/>
      </c>
      <c r="E376" s="27"/>
      <c r="F376" s="27"/>
      <c r="G376" s="27"/>
      <c r="H376" s="27"/>
      <c r="I376" s="27"/>
      <c r="J376" s="27"/>
      <c r="K376" s="27"/>
      <c r="L376" s="27"/>
      <c r="M376" s="27"/>
      <c r="N376" s="27"/>
      <c r="O376" s="27"/>
      <c r="P376" s="27"/>
      <c r="Q376" s="27"/>
      <c r="R376" s="27"/>
      <c r="S376" s="27"/>
      <c r="T376" s="27"/>
      <c r="U376" s="27"/>
      <c r="V376" s="25"/>
      <c r="W376" s="31" t="e">
        <f>INDEX(TBL_TRANSIT[TransitID],$A376)</f>
        <v>#REF!</v>
      </c>
      <c r="X376" s="31" t="e">
        <f>"TransitTariffFixed_"&amp;RIGHT($W376,11)</f>
        <v>#REF!</v>
      </c>
    </row>
    <row r="377" spans="1:24" x14ac:dyDescent="0.25">
      <c r="A377" s="94">
        <f t="shared" si="414"/>
        <v>93</v>
      </c>
      <c r="B377" s="117"/>
      <c r="C377" s="93" t="str">
        <f t="shared" ref="C377:D377" si="467">IF($B374&lt;&gt;"",C373,"")</f>
        <v/>
      </c>
      <c r="D377" s="93" t="str">
        <f t="shared" si="467"/>
        <v/>
      </c>
      <c r="E377" s="32"/>
      <c r="F377" s="32"/>
      <c r="G377" s="32"/>
      <c r="H377" s="32"/>
      <c r="I377" s="32"/>
      <c r="J377" s="32"/>
      <c r="K377" s="32"/>
      <c r="L377" s="32"/>
      <c r="M377" s="32"/>
      <c r="N377" s="32"/>
      <c r="O377" s="32"/>
      <c r="P377" s="32"/>
      <c r="Q377" s="32"/>
      <c r="R377" s="32"/>
      <c r="S377" s="32"/>
      <c r="T377" s="32"/>
      <c r="U377" s="32"/>
      <c r="V377" s="26"/>
      <c r="W377" s="31" t="e">
        <f>INDEX(TBL_TRANSIT[TransitID],$A377)</f>
        <v>#REF!</v>
      </c>
      <c r="X377" s="31" t="e">
        <f>"TransitTariffVar_"&amp;RIGHT($W377,11)</f>
        <v>#REF!</v>
      </c>
    </row>
    <row r="378" spans="1:24" x14ac:dyDescent="0.25">
      <c r="A378" s="94">
        <f t="shared" ref="A378" si="468">$A374+1</f>
        <v>94</v>
      </c>
      <c r="B378" s="115" t="str">
        <f>IFERROR(INDEX(TBL_TRANSIT[Name],$A378),"")</f>
        <v/>
      </c>
      <c r="C378" s="93" t="str">
        <f t="shared" ref="C378:D378" si="469">IF($B378&lt;&gt;"",C374,"")</f>
        <v/>
      </c>
      <c r="D378" s="93" t="str">
        <f t="shared" si="469"/>
        <v/>
      </c>
      <c r="E378" s="27"/>
      <c r="F378" s="27"/>
      <c r="G378" s="27"/>
      <c r="H378" s="27"/>
      <c r="I378" s="27"/>
      <c r="J378" s="27"/>
      <c r="K378" s="27"/>
      <c r="L378" s="27"/>
      <c r="M378" s="27"/>
      <c r="N378" s="27"/>
      <c r="O378" s="27"/>
      <c r="P378" s="27"/>
      <c r="Q378" s="27"/>
      <c r="R378" s="27"/>
      <c r="S378" s="27"/>
      <c r="T378" s="27"/>
      <c r="U378" s="27"/>
      <c r="V378" s="25"/>
      <c r="W378" s="31" t="e">
        <f>INDEX(TBL_TRANSIT[TransitID],$A378)</f>
        <v>#REF!</v>
      </c>
      <c r="X378" s="31" t="e">
        <f>"TransitCapMin_"&amp;RIGHT($W378,11)</f>
        <v>#REF!</v>
      </c>
    </row>
    <row r="379" spans="1:24" x14ac:dyDescent="0.25">
      <c r="A379" s="94">
        <f t="shared" si="414"/>
        <v>94</v>
      </c>
      <c r="B379" s="116"/>
      <c r="C379" s="93" t="str">
        <f t="shared" ref="C379:D379" si="470">IF($B378&lt;&gt;"",C375,"")</f>
        <v/>
      </c>
      <c r="D379" s="93" t="str">
        <f t="shared" si="470"/>
        <v/>
      </c>
      <c r="E379" s="32"/>
      <c r="F379" s="32"/>
      <c r="G379" s="32"/>
      <c r="H379" s="32"/>
      <c r="I379" s="32"/>
      <c r="J379" s="32"/>
      <c r="K379" s="32"/>
      <c r="L379" s="32"/>
      <c r="M379" s="32"/>
      <c r="N379" s="32"/>
      <c r="O379" s="32"/>
      <c r="P379" s="32"/>
      <c r="Q379" s="32"/>
      <c r="R379" s="32"/>
      <c r="S379" s="32"/>
      <c r="T379" s="32"/>
      <c r="U379" s="32"/>
      <c r="V379" s="26"/>
      <c r="W379" s="31" t="e">
        <f>INDEX(TBL_TRANSIT[TransitID],$A379)</f>
        <v>#REF!</v>
      </c>
      <c r="X379" s="31" t="e">
        <f>"TransitCapMax_"&amp;RIGHT($W379,11)</f>
        <v>#REF!</v>
      </c>
    </row>
    <row r="380" spans="1:24" x14ac:dyDescent="0.25">
      <c r="A380" s="94">
        <f t="shared" si="414"/>
        <v>94</v>
      </c>
      <c r="B380" s="116"/>
      <c r="C380" s="93" t="str">
        <f t="shared" ref="C380:D380" si="471">IF($B378&lt;&gt;"",C376,"")</f>
        <v/>
      </c>
      <c r="D380" s="93" t="str">
        <f t="shared" si="471"/>
        <v/>
      </c>
      <c r="E380" s="27"/>
      <c r="F380" s="27"/>
      <c r="G380" s="27"/>
      <c r="H380" s="27"/>
      <c r="I380" s="27"/>
      <c r="J380" s="27"/>
      <c r="K380" s="27"/>
      <c r="L380" s="27"/>
      <c r="M380" s="27"/>
      <c r="N380" s="27"/>
      <c r="O380" s="27"/>
      <c r="P380" s="27"/>
      <c r="Q380" s="27"/>
      <c r="R380" s="27"/>
      <c r="S380" s="27"/>
      <c r="T380" s="27"/>
      <c r="U380" s="27"/>
      <c r="V380" s="25"/>
      <c r="W380" s="31" t="e">
        <f>INDEX(TBL_TRANSIT[TransitID],$A380)</f>
        <v>#REF!</v>
      </c>
      <c r="X380" s="31" t="e">
        <f>"TransitTariffFixed_"&amp;RIGHT($W380,11)</f>
        <v>#REF!</v>
      </c>
    </row>
    <row r="381" spans="1:24" x14ac:dyDescent="0.25">
      <c r="A381" s="94">
        <f t="shared" si="414"/>
        <v>94</v>
      </c>
      <c r="B381" s="117"/>
      <c r="C381" s="93" t="str">
        <f t="shared" ref="C381:D381" si="472">IF($B378&lt;&gt;"",C377,"")</f>
        <v/>
      </c>
      <c r="D381" s="93" t="str">
        <f t="shared" si="472"/>
        <v/>
      </c>
      <c r="E381" s="32"/>
      <c r="F381" s="32"/>
      <c r="G381" s="32"/>
      <c r="H381" s="32"/>
      <c r="I381" s="32"/>
      <c r="J381" s="32"/>
      <c r="K381" s="32"/>
      <c r="L381" s="32"/>
      <c r="M381" s="32"/>
      <c r="N381" s="32"/>
      <c r="O381" s="32"/>
      <c r="P381" s="32"/>
      <c r="Q381" s="32"/>
      <c r="R381" s="32"/>
      <c r="S381" s="32"/>
      <c r="T381" s="32"/>
      <c r="U381" s="32"/>
      <c r="V381" s="26"/>
      <c r="W381" s="31" t="e">
        <f>INDEX(TBL_TRANSIT[TransitID],$A381)</f>
        <v>#REF!</v>
      </c>
      <c r="X381" s="31" t="e">
        <f>"TransitTariffVar_"&amp;RIGHT($W381,11)</f>
        <v>#REF!</v>
      </c>
    </row>
    <row r="382" spans="1:24" x14ac:dyDescent="0.25">
      <c r="A382" s="94">
        <f t="shared" ref="A382" si="473">$A378+1</f>
        <v>95</v>
      </c>
      <c r="B382" s="115" t="str">
        <f>IFERROR(INDEX(TBL_TRANSIT[Name],$A382),"")</f>
        <v/>
      </c>
      <c r="C382" s="93" t="str">
        <f t="shared" ref="C382:D382" si="474">IF($B382&lt;&gt;"",C378,"")</f>
        <v/>
      </c>
      <c r="D382" s="93" t="str">
        <f t="shared" si="474"/>
        <v/>
      </c>
      <c r="E382" s="27"/>
      <c r="F382" s="27"/>
      <c r="G382" s="27"/>
      <c r="H382" s="27"/>
      <c r="I382" s="27"/>
      <c r="J382" s="27"/>
      <c r="K382" s="27"/>
      <c r="L382" s="27"/>
      <c r="M382" s="27"/>
      <c r="N382" s="27"/>
      <c r="O382" s="27"/>
      <c r="P382" s="27"/>
      <c r="Q382" s="27"/>
      <c r="R382" s="27"/>
      <c r="S382" s="27"/>
      <c r="T382" s="27"/>
      <c r="U382" s="27"/>
      <c r="V382" s="25"/>
      <c r="W382" s="31" t="e">
        <f>INDEX(TBL_TRANSIT[TransitID],$A382)</f>
        <v>#REF!</v>
      </c>
      <c r="X382" s="31" t="e">
        <f>"TransitCapMin_"&amp;RIGHT($W382,11)</f>
        <v>#REF!</v>
      </c>
    </row>
    <row r="383" spans="1:24" x14ac:dyDescent="0.25">
      <c r="A383" s="94">
        <f t="shared" si="414"/>
        <v>95</v>
      </c>
      <c r="B383" s="116"/>
      <c r="C383" s="93" t="str">
        <f t="shared" ref="C383:D383" si="475">IF($B382&lt;&gt;"",C379,"")</f>
        <v/>
      </c>
      <c r="D383" s="93" t="str">
        <f t="shared" si="475"/>
        <v/>
      </c>
      <c r="E383" s="32"/>
      <c r="F383" s="32"/>
      <c r="G383" s="32"/>
      <c r="H383" s="32"/>
      <c r="I383" s="32"/>
      <c r="J383" s="32"/>
      <c r="K383" s="32"/>
      <c r="L383" s="32"/>
      <c r="M383" s="32"/>
      <c r="N383" s="32"/>
      <c r="O383" s="32"/>
      <c r="P383" s="32"/>
      <c r="Q383" s="32"/>
      <c r="R383" s="32"/>
      <c r="S383" s="32"/>
      <c r="T383" s="32"/>
      <c r="U383" s="32"/>
      <c r="V383" s="26"/>
      <c r="W383" s="31" t="e">
        <f>INDEX(TBL_TRANSIT[TransitID],$A383)</f>
        <v>#REF!</v>
      </c>
      <c r="X383" s="31" t="e">
        <f>"TransitCapMax_"&amp;RIGHT($W383,11)</f>
        <v>#REF!</v>
      </c>
    </row>
    <row r="384" spans="1:24" x14ac:dyDescent="0.25">
      <c r="A384" s="94">
        <f t="shared" si="414"/>
        <v>95</v>
      </c>
      <c r="B384" s="116"/>
      <c r="C384" s="93" t="str">
        <f t="shared" ref="C384:D384" si="476">IF($B382&lt;&gt;"",C380,"")</f>
        <v/>
      </c>
      <c r="D384" s="93" t="str">
        <f t="shared" si="476"/>
        <v/>
      </c>
      <c r="E384" s="27"/>
      <c r="F384" s="27"/>
      <c r="G384" s="27"/>
      <c r="H384" s="27"/>
      <c r="I384" s="27"/>
      <c r="J384" s="27"/>
      <c r="K384" s="27"/>
      <c r="L384" s="27"/>
      <c r="M384" s="27"/>
      <c r="N384" s="27"/>
      <c r="O384" s="27"/>
      <c r="P384" s="27"/>
      <c r="Q384" s="27"/>
      <c r="R384" s="27"/>
      <c r="S384" s="27"/>
      <c r="T384" s="27"/>
      <c r="U384" s="27"/>
      <c r="V384" s="25"/>
      <c r="W384" s="31" t="e">
        <f>INDEX(TBL_TRANSIT[TransitID],$A384)</f>
        <v>#REF!</v>
      </c>
      <c r="X384" s="31" t="e">
        <f>"TransitTariffFixed_"&amp;RIGHT($W384,11)</f>
        <v>#REF!</v>
      </c>
    </row>
    <row r="385" spans="1:24" x14ac:dyDescent="0.25">
      <c r="A385" s="94">
        <f t="shared" si="414"/>
        <v>95</v>
      </c>
      <c r="B385" s="117"/>
      <c r="C385" s="93" t="str">
        <f t="shared" ref="C385:D385" si="477">IF($B382&lt;&gt;"",C381,"")</f>
        <v/>
      </c>
      <c r="D385" s="93" t="str">
        <f t="shared" si="477"/>
        <v/>
      </c>
      <c r="E385" s="32"/>
      <c r="F385" s="32"/>
      <c r="G385" s="32"/>
      <c r="H385" s="32"/>
      <c r="I385" s="32"/>
      <c r="J385" s="32"/>
      <c r="K385" s="32"/>
      <c r="L385" s="32"/>
      <c r="M385" s="32"/>
      <c r="N385" s="32"/>
      <c r="O385" s="32"/>
      <c r="P385" s="32"/>
      <c r="Q385" s="32"/>
      <c r="R385" s="32"/>
      <c r="S385" s="32"/>
      <c r="T385" s="32"/>
      <c r="U385" s="32"/>
      <c r="V385" s="26"/>
      <c r="W385" s="31" t="e">
        <f>INDEX(TBL_TRANSIT[TransitID],$A385)</f>
        <v>#REF!</v>
      </c>
      <c r="X385" s="31" t="e">
        <f>"TransitTariffVar_"&amp;RIGHT($W385,11)</f>
        <v>#REF!</v>
      </c>
    </row>
    <row r="386" spans="1:24" x14ac:dyDescent="0.25">
      <c r="A386" s="94">
        <f t="shared" ref="A386" si="478">$A382+1</f>
        <v>96</v>
      </c>
      <c r="B386" s="115" t="str">
        <f>IFERROR(INDEX(TBL_TRANSIT[Name],$A386),"")</f>
        <v/>
      </c>
      <c r="C386" s="93" t="str">
        <f t="shared" ref="C386:D386" si="479">IF($B386&lt;&gt;"",C382,"")</f>
        <v/>
      </c>
      <c r="D386" s="93" t="str">
        <f t="shared" si="479"/>
        <v/>
      </c>
      <c r="E386" s="27"/>
      <c r="F386" s="27"/>
      <c r="G386" s="27"/>
      <c r="H386" s="27"/>
      <c r="I386" s="27"/>
      <c r="J386" s="27"/>
      <c r="K386" s="27"/>
      <c r="L386" s="27"/>
      <c r="M386" s="27"/>
      <c r="N386" s="27"/>
      <c r="O386" s="27"/>
      <c r="P386" s="27"/>
      <c r="Q386" s="27"/>
      <c r="R386" s="27"/>
      <c r="S386" s="27"/>
      <c r="T386" s="27"/>
      <c r="U386" s="27"/>
      <c r="V386" s="25"/>
      <c r="W386" s="31" t="e">
        <f>INDEX(TBL_TRANSIT[TransitID],$A386)</f>
        <v>#REF!</v>
      </c>
      <c r="X386" s="31" t="e">
        <f>"TransitCapMin_"&amp;RIGHT($W386,11)</f>
        <v>#REF!</v>
      </c>
    </row>
    <row r="387" spans="1:24" x14ac:dyDescent="0.25">
      <c r="A387" s="94">
        <f t="shared" si="414"/>
        <v>96</v>
      </c>
      <c r="B387" s="116"/>
      <c r="C387" s="93" t="str">
        <f t="shared" ref="C387:D387" si="480">IF($B386&lt;&gt;"",C383,"")</f>
        <v/>
      </c>
      <c r="D387" s="93" t="str">
        <f t="shared" si="480"/>
        <v/>
      </c>
      <c r="E387" s="32"/>
      <c r="F387" s="32"/>
      <c r="G387" s="32"/>
      <c r="H387" s="32"/>
      <c r="I387" s="32"/>
      <c r="J387" s="32"/>
      <c r="K387" s="32"/>
      <c r="L387" s="32"/>
      <c r="M387" s="32"/>
      <c r="N387" s="32"/>
      <c r="O387" s="32"/>
      <c r="P387" s="32"/>
      <c r="Q387" s="32"/>
      <c r="R387" s="32"/>
      <c r="S387" s="32"/>
      <c r="T387" s="32"/>
      <c r="U387" s="32"/>
      <c r="V387" s="26"/>
      <c r="W387" s="31" t="e">
        <f>INDEX(TBL_TRANSIT[TransitID],$A387)</f>
        <v>#REF!</v>
      </c>
      <c r="X387" s="31" t="e">
        <f>"TransitCapMax_"&amp;RIGHT($W387,11)</f>
        <v>#REF!</v>
      </c>
    </row>
    <row r="388" spans="1:24" x14ac:dyDescent="0.25">
      <c r="A388" s="94">
        <f t="shared" si="414"/>
        <v>96</v>
      </c>
      <c r="B388" s="116"/>
      <c r="C388" s="93" t="str">
        <f t="shared" ref="C388:D388" si="481">IF($B386&lt;&gt;"",C384,"")</f>
        <v/>
      </c>
      <c r="D388" s="93" t="str">
        <f t="shared" si="481"/>
        <v/>
      </c>
      <c r="E388" s="27"/>
      <c r="F388" s="27"/>
      <c r="G388" s="27"/>
      <c r="H388" s="27"/>
      <c r="I388" s="27"/>
      <c r="J388" s="27"/>
      <c r="K388" s="27"/>
      <c r="L388" s="27"/>
      <c r="M388" s="27"/>
      <c r="N388" s="27"/>
      <c r="O388" s="27"/>
      <c r="P388" s="27"/>
      <c r="Q388" s="27"/>
      <c r="R388" s="27"/>
      <c r="S388" s="27"/>
      <c r="T388" s="27"/>
      <c r="U388" s="27"/>
      <c r="V388" s="25"/>
      <c r="W388" s="31" t="e">
        <f>INDEX(TBL_TRANSIT[TransitID],$A388)</f>
        <v>#REF!</v>
      </c>
      <c r="X388" s="31" t="e">
        <f>"TransitTariffFixed_"&amp;RIGHT($W388,11)</f>
        <v>#REF!</v>
      </c>
    </row>
    <row r="389" spans="1:24" x14ac:dyDescent="0.25">
      <c r="A389" s="94">
        <f t="shared" si="414"/>
        <v>96</v>
      </c>
      <c r="B389" s="117"/>
      <c r="C389" s="93" t="str">
        <f t="shared" ref="C389:D389" si="482">IF($B386&lt;&gt;"",C385,"")</f>
        <v/>
      </c>
      <c r="D389" s="93" t="str">
        <f t="shared" si="482"/>
        <v/>
      </c>
      <c r="E389" s="32"/>
      <c r="F389" s="32"/>
      <c r="G389" s="32"/>
      <c r="H389" s="32"/>
      <c r="I389" s="32"/>
      <c r="J389" s="32"/>
      <c r="K389" s="32"/>
      <c r="L389" s="32"/>
      <c r="M389" s="32"/>
      <c r="N389" s="32"/>
      <c r="O389" s="32"/>
      <c r="P389" s="32"/>
      <c r="Q389" s="32"/>
      <c r="R389" s="32"/>
      <c r="S389" s="32"/>
      <c r="T389" s="32"/>
      <c r="U389" s="32"/>
      <c r="V389" s="26"/>
      <c r="W389" s="31" t="e">
        <f>INDEX(TBL_TRANSIT[TransitID],$A389)</f>
        <v>#REF!</v>
      </c>
      <c r="X389" s="31" t="e">
        <f>"TransitTariffVar_"&amp;RIGHT($W389,11)</f>
        <v>#REF!</v>
      </c>
    </row>
    <row r="390" spans="1:24" x14ac:dyDescent="0.25">
      <c r="A390" s="94">
        <f t="shared" ref="A390" si="483">$A386+1</f>
        <v>97</v>
      </c>
      <c r="B390" s="115" t="str">
        <f>IFERROR(INDEX(TBL_TRANSIT[Name],$A390),"")</f>
        <v/>
      </c>
      <c r="C390" s="93" t="str">
        <f t="shared" ref="C390:D390" si="484">IF($B390&lt;&gt;"",C386,"")</f>
        <v/>
      </c>
      <c r="D390" s="93" t="str">
        <f t="shared" si="484"/>
        <v/>
      </c>
      <c r="E390" s="27"/>
      <c r="F390" s="27"/>
      <c r="G390" s="27"/>
      <c r="H390" s="27"/>
      <c r="I390" s="27"/>
      <c r="J390" s="27"/>
      <c r="K390" s="27"/>
      <c r="L390" s="27"/>
      <c r="M390" s="27"/>
      <c r="N390" s="27"/>
      <c r="O390" s="27"/>
      <c r="P390" s="27"/>
      <c r="Q390" s="27"/>
      <c r="R390" s="27"/>
      <c r="S390" s="27"/>
      <c r="T390" s="27"/>
      <c r="U390" s="27"/>
      <c r="V390" s="25"/>
      <c r="W390" s="31" t="e">
        <f>INDEX(TBL_TRANSIT[TransitID],$A390)</f>
        <v>#REF!</v>
      </c>
      <c r="X390" s="31" t="e">
        <f>"TransitCapMin_"&amp;RIGHT($W390,11)</f>
        <v>#REF!</v>
      </c>
    </row>
    <row r="391" spans="1:24" x14ac:dyDescent="0.25">
      <c r="A391" s="94">
        <f t="shared" ref="A391:A445" si="485">$A390</f>
        <v>97</v>
      </c>
      <c r="B391" s="116"/>
      <c r="C391" s="93" t="str">
        <f t="shared" ref="C391:D391" si="486">IF($B390&lt;&gt;"",C387,"")</f>
        <v/>
      </c>
      <c r="D391" s="93" t="str">
        <f t="shared" si="486"/>
        <v/>
      </c>
      <c r="E391" s="32"/>
      <c r="F391" s="32"/>
      <c r="G391" s="32"/>
      <c r="H391" s="32"/>
      <c r="I391" s="32"/>
      <c r="J391" s="32"/>
      <c r="K391" s="32"/>
      <c r="L391" s="32"/>
      <c r="M391" s="32"/>
      <c r="N391" s="32"/>
      <c r="O391" s="32"/>
      <c r="P391" s="32"/>
      <c r="Q391" s="32"/>
      <c r="R391" s="32"/>
      <c r="S391" s="32"/>
      <c r="T391" s="32"/>
      <c r="U391" s="32"/>
      <c r="V391" s="26"/>
      <c r="W391" s="31" t="e">
        <f>INDEX(TBL_TRANSIT[TransitID],$A391)</f>
        <v>#REF!</v>
      </c>
      <c r="X391" s="31" t="e">
        <f>"TransitCapMax_"&amp;RIGHT($W391,11)</f>
        <v>#REF!</v>
      </c>
    </row>
    <row r="392" spans="1:24" x14ac:dyDescent="0.25">
      <c r="A392" s="94">
        <f t="shared" si="485"/>
        <v>97</v>
      </c>
      <c r="B392" s="116"/>
      <c r="C392" s="93" t="str">
        <f t="shared" ref="C392:D392" si="487">IF($B390&lt;&gt;"",C388,"")</f>
        <v/>
      </c>
      <c r="D392" s="93" t="str">
        <f t="shared" si="487"/>
        <v/>
      </c>
      <c r="E392" s="27"/>
      <c r="F392" s="27"/>
      <c r="G392" s="27"/>
      <c r="H392" s="27"/>
      <c r="I392" s="27"/>
      <c r="J392" s="27"/>
      <c r="K392" s="27"/>
      <c r="L392" s="27"/>
      <c r="M392" s="27"/>
      <c r="N392" s="27"/>
      <c r="O392" s="27"/>
      <c r="P392" s="27"/>
      <c r="Q392" s="27"/>
      <c r="R392" s="27"/>
      <c r="S392" s="27"/>
      <c r="T392" s="27"/>
      <c r="U392" s="27"/>
      <c r="V392" s="25"/>
      <c r="W392" s="31" t="e">
        <f>INDEX(TBL_TRANSIT[TransitID],$A392)</f>
        <v>#REF!</v>
      </c>
      <c r="X392" s="31" t="e">
        <f>"TransitTariffFixed_"&amp;RIGHT($W392,11)</f>
        <v>#REF!</v>
      </c>
    </row>
    <row r="393" spans="1:24" x14ac:dyDescent="0.25">
      <c r="A393" s="94">
        <f t="shared" si="485"/>
        <v>97</v>
      </c>
      <c r="B393" s="117"/>
      <c r="C393" s="93" t="str">
        <f t="shared" ref="C393:D393" si="488">IF($B390&lt;&gt;"",C389,"")</f>
        <v/>
      </c>
      <c r="D393" s="93" t="str">
        <f t="shared" si="488"/>
        <v/>
      </c>
      <c r="E393" s="32"/>
      <c r="F393" s="32"/>
      <c r="G393" s="32"/>
      <c r="H393" s="32"/>
      <c r="I393" s="32"/>
      <c r="J393" s="32"/>
      <c r="K393" s="32"/>
      <c r="L393" s="32"/>
      <c r="M393" s="32"/>
      <c r="N393" s="32"/>
      <c r="O393" s="32"/>
      <c r="P393" s="32"/>
      <c r="Q393" s="32"/>
      <c r="R393" s="32"/>
      <c r="S393" s="32"/>
      <c r="T393" s="32"/>
      <c r="U393" s="32"/>
      <c r="V393" s="26"/>
      <c r="W393" s="31" t="e">
        <f>INDEX(TBL_TRANSIT[TransitID],$A393)</f>
        <v>#REF!</v>
      </c>
      <c r="X393" s="31" t="e">
        <f>"TransitTariffVar_"&amp;RIGHT($W393,11)</f>
        <v>#REF!</v>
      </c>
    </row>
    <row r="394" spans="1:24" x14ac:dyDescent="0.25">
      <c r="A394" s="94">
        <f t="shared" ref="A394" si="489">$A390+1</f>
        <v>98</v>
      </c>
      <c r="B394" s="115" t="str">
        <f>IFERROR(INDEX(TBL_TRANSIT[Name],$A394),"")</f>
        <v/>
      </c>
      <c r="C394" s="93" t="str">
        <f t="shared" ref="C394:D394" si="490">IF($B394&lt;&gt;"",C390,"")</f>
        <v/>
      </c>
      <c r="D394" s="93" t="str">
        <f t="shared" si="490"/>
        <v/>
      </c>
      <c r="E394" s="27"/>
      <c r="F394" s="27"/>
      <c r="G394" s="27"/>
      <c r="H394" s="27"/>
      <c r="I394" s="27"/>
      <c r="J394" s="27"/>
      <c r="K394" s="27"/>
      <c r="L394" s="27"/>
      <c r="M394" s="27"/>
      <c r="N394" s="27"/>
      <c r="O394" s="27"/>
      <c r="P394" s="27"/>
      <c r="Q394" s="27"/>
      <c r="R394" s="27"/>
      <c r="S394" s="27"/>
      <c r="T394" s="27"/>
      <c r="U394" s="27"/>
      <c r="V394" s="25"/>
      <c r="W394" s="31" t="e">
        <f>INDEX(TBL_TRANSIT[TransitID],$A394)</f>
        <v>#REF!</v>
      </c>
      <c r="X394" s="31" t="e">
        <f>"TransitCapMin_"&amp;RIGHT($W394,11)</f>
        <v>#REF!</v>
      </c>
    </row>
    <row r="395" spans="1:24" x14ac:dyDescent="0.25">
      <c r="A395" s="94">
        <f t="shared" si="485"/>
        <v>98</v>
      </c>
      <c r="B395" s="116"/>
      <c r="C395" s="93" t="str">
        <f t="shared" ref="C395:D395" si="491">IF($B394&lt;&gt;"",C391,"")</f>
        <v/>
      </c>
      <c r="D395" s="93" t="str">
        <f t="shared" si="491"/>
        <v/>
      </c>
      <c r="E395" s="32"/>
      <c r="F395" s="32"/>
      <c r="G395" s="32"/>
      <c r="H395" s="32"/>
      <c r="I395" s="32"/>
      <c r="J395" s="32"/>
      <c r="K395" s="32"/>
      <c r="L395" s="32"/>
      <c r="M395" s="32"/>
      <c r="N395" s="32"/>
      <c r="O395" s="32"/>
      <c r="P395" s="32"/>
      <c r="Q395" s="32"/>
      <c r="R395" s="32"/>
      <c r="S395" s="32"/>
      <c r="T395" s="32"/>
      <c r="U395" s="32"/>
      <c r="V395" s="26"/>
      <c r="W395" s="31" t="e">
        <f>INDEX(TBL_TRANSIT[TransitID],$A395)</f>
        <v>#REF!</v>
      </c>
      <c r="X395" s="31" t="e">
        <f>"TransitCapMax_"&amp;RIGHT($W395,11)</f>
        <v>#REF!</v>
      </c>
    </row>
    <row r="396" spans="1:24" x14ac:dyDescent="0.25">
      <c r="A396" s="94">
        <f t="shared" si="485"/>
        <v>98</v>
      </c>
      <c r="B396" s="116"/>
      <c r="C396" s="93" t="str">
        <f t="shared" ref="C396:D396" si="492">IF($B394&lt;&gt;"",C392,"")</f>
        <v/>
      </c>
      <c r="D396" s="93" t="str">
        <f t="shared" si="492"/>
        <v/>
      </c>
      <c r="E396" s="27"/>
      <c r="F396" s="27"/>
      <c r="G396" s="27"/>
      <c r="H396" s="27"/>
      <c r="I396" s="27"/>
      <c r="J396" s="27"/>
      <c r="K396" s="27"/>
      <c r="L396" s="27"/>
      <c r="M396" s="27"/>
      <c r="N396" s="27"/>
      <c r="O396" s="27"/>
      <c r="P396" s="27"/>
      <c r="Q396" s="27"/>
      <c r="R396" s="27"/>
      <c r="S396" s="27"/>
      <c r="T396" s="27"/>
      <c r="U396" s="27"/>
      <c r="V396" s="25"/>
      <c r="W396" s="31" t="e">
        <f>INDEX(TBL_TRANSIT[TransitID],$A396)</f>
        <v>#REF!</v>
      </c>
      <c r="X396" s="31" t="e">
        <f>"TransitTariffFixed_"&amp;RIGHT($W396,11)</f>
        <v>#REF!</v>
      </c>
    </row>
    <row r="397" spans="1:24" x14ac:dyDescent="0.25">
      <c r="A397" s="94">
        <f t="shared" si="485"/>
        <v>98</v>
      </c>
      <c r="B397" s="117"/>
      <c r="C397" s="93" t="str">
        <f t="shared" ref="C397:D397" si="493">IF($B394&lt;&gt;"",C393,"")</f>
        <v/>
      </c>
      <c r="D397" s="93" t="str">
        <f t="shared" si="493"/>
        <v/>
      </c>
      <c r="E397" s="32"/>
      <c r="F397" s="32"/>
      <c r="G397" s="32"/>
      <c r="H397" s="32"/>
      <c r="I397" s="32"/>
      <c r="J397" s="32"/>
      <c r="K397" s="32"/>
      <c r="L397" s="32"/>
      <c r="M397" s="32"/>
      <c r="N397" s="32"/>
      <c r="O397" s="32"/>
      <c r="P397" s="32"/>
      <c r="Q397" s="32"/>
      <c r="R397" s="32"/>
      <c r="S397" s="32"/>
      <c r="T397" s="32"/>
      <c r="U397" s="32"/>
      <c r="V397" s="26"/>
      <c r="W397" s="31" t="e">
        <f>INDEX(TBL_TRANSIT[TransitID],$A397)</f>
        <v>#REF!</v>
      </c>
      <c r="X397" s="31" t="e">
        <f>"TransitTariffVar_"&amp;RIGHT($W397,11)</f>
        <v>#REF!</v>
      </c>
    </row>
    <row r="398" spans="1:24" x14ac:dyDescent="0.25">
      <c r="A398" s="94">
        <f t="shared" ref="A398" si="494">$A394+1</f>
        <v>99</v>
      </c>
      <c r="B398" s="115" t="str">
        <f>IFERROR(INDEX(TBL_TRANSIT[Name],$A398),"")</f>
        <v/>
      </c>
      <c r="C398" s="93" t="str">
        <f t="shared" ref="C398:D398" si="495">IF($B398&lt;&gt;"",C394,"")</f>
        <v/>
      </c>
      <c r="D398" s="93" t="str">
        <f t="shared" si="495"/>
        <v/>
      </c>
      <c r="E398" s="27"/>
      <c r="F398" s="27"/>
      <c r="G398" s="27"/>
      <c r="H398" s="27"/>
      <c r="I398" s="27"/>
      <c r="J398" s="27"/>
      <c r="K398" s="27"/>
      <c r="L398" s="27"/>
      <c r="M398" s="27"/>
      <c r="N398" s="27"/>
      <c r="O398" s="27"/>
      <c r="P398" s="27"/>
      <c r="Q398" s="27"/>
      <c r="R398" s="27"/>
      <c r="S398" s="27"/>
      <c r="T398" s="27"/>
      <c r="U398" s="27"/>
      <c r="V398" s="25"/>
      <c r="W398" s="31" t="e">
        <f>INDEX(TBL_TRANSIT[TransitID],$A398)</f>
        <v>#REF!</v>
      </c>
      <c r="X398" s="31" t="e">
        <f>"TransitCapMin_"&amp;RIGHT($W398,11)</f>
        <v>#REF!</v>
      </c>
    </row>
    <row r="399" spans="1:24" x14ac:dyDescent="0.25">
      <c r="A399" s="94">
        <f t="shared" si="485"/>
        <v>99</v>
      </c>
      <c r="B399" s="116"/>
      <c r="C399" s="93" t="str">
        <f t="shared" ref="C399:D399" si="496">IF($B398&lt;&gt;"",C395,"")</f>
        <v/>
      </c>
      <c r="D399" s="93" t="str">
        <f t="shared" si="496"/>
        <v/>
      </c>
      <c r="E399" s="32"/>
      <c r="F399" s="32"/>
      <c r="G399" s="32"/>
      <c r="H399" s="32"/>
      <c r="I399" s="32"/>
      <c r="J399" s="32"/>
      <c r="K399" s="32"/>
      <c r="L399" s="32"/>
      <c r="M399" s="32"/>
      <c r="N399" s="32"/>
      <c r="O399" s="32"/>
      <c r="P399" s="32"/>
      <c r="Q399" s="32"/>
      <c r="R399" s="32"/>
      <c r="S399" s="32"/>
      <c r="T399" s="32"/>
      <c r="U399" s="32"/>
      <c r="V399" s="26"/>
      <c r="W399" s="31" t="e">
        <f>INDEX(TBL_TRANSIT[TransitID],$A399)</f>
        <v>#REF!</v>
      </c>
      <c r="X399" s="31" t="e">
        <f>"TransitCapMax_"&amp;RIGHT($W399,11)</f>
        <v>#REF!</v>
      </c>
    </row>
    <row r="400" spans="1:24" x14ac:dyDescent="0.25">
      <c r="A400" s="94">
        <f t="shared" si="485"/>
        <v>99</v>
      </c>
      <c r="B400" s="116"/>
      <c r="C400" s="93" t="str">
        <f t="shared" ref="C400:D400" si="497">IF($B398&lt;&gt;"",C396,"")</f>
        <v/>
      </c>
      <c r="D400" s="93" t="str">
        <f t="shared" si="497"/>
        <v/>
      </c>
      <c r="E400" s="27"/>
      <c r="F400" s="27"/>
      <c r="G400" s="27"/>
      <c r="H400" s="27"/>
      <c r="I400" s="27"/>
      <c r="J400" s="27"/>
      <c r="K400" s="27"/>
      <c r="L400" s="27"/>
      <c r="M400" s="27"/>
      <c r="N400" s="27"/>
      <c r="O400" s="27"/>
      <c r="P400" s="27"/>
      <c r="Q400" s="27"/>
      <c r="R400" s="27"/>
      <c r="S400" s="27"/>
      <c r="T400" s="27"/>
      <c r="U400" s="27"/>
      <c r="V400" s="25"/>
      <c r="W400" s="31" t="e">
        <f>INDEX(TBL_TRANSIT[TransitID],$A400)</f>
        <v>#REF!</v>
      </c>
      <c r="X400" s="31" t="e">
        <f>"TransitTariffFixed_"&amp;RIGHT($W400,11)</f>
        <v>#REF!</v>
      </c>
    </row>
    <row r="401" spans="1:24" x14ac:dyDescent="0.25">
      <c r="A401" s="94">
        <f t="shared" si="485"/>
        <v>99</v>
      </c>
      <c r="B401" s="117"/>
      <c r="C401" s="93" t="str">
        <f t="shared" ref="C401:D401" si="498">IF($B398&lt;&gt;"",C397,"")</f>
        <v/>
      </c>
      <c r="D401" s="93" t="str">
        <f t="shared" si="498"/>
        <v/>
      </c>
      <c r="E401" s="32"/>
      <c r="F401" s="32"/>
      <c r="G401" s="32"/>
      <c r="H401" s="32"/>
      <c r="I401" s="32"/>
      <c r="J401" s="32"/>
      <c r="K401" s="32"/>
      <c r="L401" s="32"/>
      <c r="M401" s="32"/>
      <c r="N401" s="32"/>
      <c r="O401" s="32"/>
      <c r="P401" s="32"/>
      <c r="Q401" s="32"/>
      <c r="R401" s="32"/>
      <c r="S401" s="32"/>
      <c r="T401" s="32"/>
      <c r="U401" s="32"/>
      <c r="V401" s="26"/>
      <c r="W401" s="31" t="e">
        <f>INDEX(TBL_TRANSIT[TransitID],$A401)</f>
        <v>#REF!</v>
      </c>
      <c r="X401" s="31" t="e">
        <f>"TransitTariffVar_"&amp;RIGHT($W401,11)</f>
        <v>#REF!</v>
      </c>
    </row>
    <row r="402" spans="1:24" x14ac:dyDescent="0.25">
      <c r="A402" s="94">
        <f t="shared" ref="A402" si="499">$A398+1</f>
        <v>100</v>
      </c>
      <c r="B402" s="115" t="str">
        <f>IFERROR(INDEX(TBL_TRANSIT[Name],$A402),"")</f>
        <v/>
      </c>
      <c r="C402" s="93" t="str">
        <f t="shared" ref="C402:D402" si="500">IF($B402&lt;&gt;"",C398,"")</f>
        <v/>
      </c>
      <c r="D402" s="93" t="str">
        <f t="shared" si="500"/>
        <v/>
      </c>
      <c r="E402" s="27"/>
      <c r="F402" s="27"/>
      <c r="G402" s="27"/>
      <c r="H402" s="27"/>
      <c r="I402" s="27"/>
      <c r="J402" s="27"/>
      <c r="K402" s="27"/>
      <c r="L402" s="27"/>
      <c r="M402" s="27"/>
      <c r="N402" s="27"/>
      <c r="O402" s="27"/>
      <c r="P402" s="27"/>
      <c r="Q402" s="27"/>
      <c r="R402" s="27"/>
      <c r="S402" s="27"/>
      <c r="T402" s="27"/>
      <c r="U402" s="27"/>
      <c r="V402" s="25"/>
      <c r="W402" s="31" t="e">
        <f>INDEX(TBL_TRANSIT[TransitID],$A402)</f>
        <v>#REF!</v>
      </c>
      <c r="X402" s="31" t="e">
        <f>"TransitCapMin_"&amp;RIGHT($W402,11)</f>
        <v>#REF!</v>
      </c>
    </row>
    <row r="403" spans="1:24" x14ac:dyDescent="0.25">
      <c r="A403" s="94">
        <f t="shared" si="485"/>
        <v>100</v>
      </c>
      <c r="B403" s="116"/>
      <c r="C403" s="93" t="str">
        <f t="shared" ref="C403:D403" si="501">IF($B402&lt;&gt;"",C399,"")</f>
        <v/>
      </c>
      <c r="D403" s="93" t="str">
        <f t="shared" si="501"/>
        <v/>
      </c>
      <c r="E403" s="32"/>
      <c r="F403" s="32"/>
      <c r="G403" s="32"/>
      <c r="H403" s="32"/>
      <c r="I403" s="32"/>
      <c r="J403" s="32"/>
      <c r="K403" s="32"/>
      <c r="L403" s="32"/>
      <c r="M403" s="32"/>
      <c r="N403" s="32"/>
      <c r="O403" s="32"/>
      <c r="P403" s="32"/>
      <c r="Q403" s="32"/>
      <c r="R403" s="32"/>
      <c r="S403" s="32"/>
      <c r="T403" s="32"/>
      <c r="U403" s="32"/>
      <c r="V403" s="26"/>
      <c r="W403" s="31" t="e">
        <f>INDEX(TBL_TRANSIT[TransitID],$A403)</f>
        <v>#REF!</v>
      </c>
      <c r="X403" s="31" t="e">
        <f>"TransitCapMax_"&amp;RIGHT($W403,11)</f>
        <v>#REF!</v>
      </c>
    </row>
    <row r="404" spans="1:24" x14ac:dyDescent="0.25">
      <c r="A404" s="94">
        <f t="shared" si="485"/>
        <v>100</v>
      </c>
      <c r="B404" s="116"/>
      <c r="C404" s="93" t="str">
        <f t="shared" ref="C404:D404" si="502">IF($B402&lt;&gt;"",C400,"")</f>
        <v/>
      </c>
      <c r="D404" s="93" t="str">
        <f t="shared" si="502"/>
        <v/>
      </c>
      <c r="E404" s="27"/>
      <c r="F404" s="27"/>
      <c r="G404" s="27"/>
      <c r="H404" s="27"/>
      <c r="I404" s="27"/>
      <c r="J404" s="27"/>
      <c r="K404" s="27"/>
      <c r="L404" s="27"/>
      <c r="M404" s="27"/>
      <c r="N404" s="27"/>
      <c r="O404" s="27"/>
      <c r="P404" s="27"/>
      <c r="Q404" s="27"/>
      <c r="R404" s="27"/>
      <c r="S404" s="27"/>
      <c r="T404" s="27"/>
      <c r="U404" s="27"/>
      <c r="V404" s="25"/>
      <c r="W404" s="31" t="e">
        <f>INDEX(TBL_TRANSIT[TransitID],$A404)</f>
        <v>#REF!</v>
      </c>
      <c r="X404" s="31" t="e">
        <f>"TransitTariffFixed_"&amp;RIGHT($W404,11)</f>
        <v>#REF!</v>
      </c>
    </row>
    <row r="405" spans="1:24" x14ac:dyDescent="0.25">
      <c r="A405" s="94">
        <f t="shared" si="485"/>
        <v>100</v>
      </c>
      <c r="B405" s="117"/>
      <c r="C405" s="93" t="str">
        <f t="shared" ref="C405:D405" si="503">IF($B402&lt;&gt;"",C401,"")</f>
        <v/>
      </c>
      <c r="D405" s="93" t="str">
        <f t="shared" si="503"/>
        <v/>
      </c>
      <c r="E405" s="32"/>
      <c r="F405" s="32"/>
      <c r="G405" s="32"/>
      <c r="H405" s="32"/>
      <c r="I405" s="32"/>
      <c r="J405" s="32"/>
      <c r="K405" s="32"/>
      <c r="L405" s="32"/>
      <c r="M405" s="32"/>
      <c r="N405" s="32"/>
      <c r="O405" s="32"/>
      <c r="P405" s="32"/>
      <c r="Q405" s="32"/>
      <c r="R405" s="32"/>
      <c r="S405" s="32"/>
      <c r="T405" s="32"/>
      <c r="U405" s="32"/>
      <c r="V405" s="26"/>
      <c r="W405" s="31" t="e">
        <f>INDEX(TBL_TRANSIT[TransitID],$A405)</f>
        <v>#REF!</v>
      </c>
      <c r="X405" s="31" t="e">
        <f>"TransitTariffVar_"&amp;RIGHT($W405,11)</f>
        <v>#REF!</v>
      </c>
    </row>
    <row r="406" spans="1:24" x14ac:dyDescent="0.25">
      <c r="A406" s="94">
        <f t="shared" ref="A406" si="504">$A402+1</f>
        <v>101</v>
      </c>
      <c r="B406" s="115" t="str">
        <f>IFERROR(INDEX(TBL_TRANSIT[Name],$A406),"")</f>
        <v/>
      </c>
      <c r="C406" s="93" t="str">
        <f t="shared" ref="C406:D406" si="505">IF($B406&lt;&gt;"",C402,"")</f>
        <v/>
      </c>
      <c r="D406" s="93" t="str">
        <f t="shared" si="505"/>
        <v/>
      </c>
      <c r="E406" s="27"/>
      <c r="F406" s="27"/>
      <c r="G406" s="27"/>
      <c r="H406" s="27"/>
      <c r="I406" s="27"/>
      <c r="J406" s="27"/>
      <c r="K406" s="27"/>
      <c r="L406" s="27"/>
      <c r="M406" s="27"/>
      <c r="N406" s="27"/>
      <c r="O406" s="27"/>
      <c r="P406" s="27"/>
      <c r="Q406" s="27"/>
      <c r="R406" s="27"/>
      <c r="S406" s="27"/>
      <c r="T406" s="27"/>
      <c r="U406" s="27"/>
      <c r="V406" s="25"/>
      <c r="W406" s="31" t="e">
        <f>INDEX(TBL_TRANSIT[TransitID],$A406)</f>
        <v>#REF!</v>
      </c>
      <c r="X406" s="31" t="e">
        <f>"TransitCapMin_"&amp;RIGHT($W406,11)</f>
        <v>#REF!</v>
      </c>
    </row>
    <row r="407" spans="1:24" x14ac:dyDescent="0.25">
      <c r="A407" s="94">
        <f t="shared" si="485"/>
        <v>101</v>
      </c>
      <c r="B407" s="116"/>
      <c r="C407" s="93" t="str">
        <f t="shared" ref="C407:D407" si="506">IF($B406&lt;&gt;"",C403,"")</f>
        <v/>
      </c>
      <c r="D407" s="93" t="str">
        <f t="shared" si="506"/>
        <v/>
      </c>
      <c r="E407" s="32"/>
      <c r="F407" s="32"/>
      <c r="G407" s="32"/>
      <c r="H407" s="32"/>
      <c r="I407" s="32"/>
      <c r="J407" s="32"/>
      <c r="K407" s="32"/>
      <c r="L407" s="32"/>
      <c r="M407" s="32"/>
      <c r="N407" s="32"/>
      <c r="O407" s="32"/>
      <c r="P407" s="32"/>
      <c r="Q407" s="32"/>
      <c r="R407" s="32"/>
      <c r="S407" s="32"/>
      <c r="T407" s="32"/>
      <c r="U407" s="32"/>
      <c r="V407" s="26"/>
      <c r="W407" s="31" t="e">
        <f>INDEX(TBL_TRANSIT[TransitID],$A407)</f>
        <v>#REF!</v>
      </c>
      <c r="X407" s="31" t="e">
        <f>"TransitCapMax_"&amp;RIGHT($W407,11)</f>
        <v>#REF!</v>
      </c>
    </row>
    <row r="408" spans="1:24" x14ac:dyDescent="0.25">
      <c r="A408" s="94">
        <f t="shared" si="485"/>
        <v>101</v>
      </c>
      <c r="B408" s="116"/>
      <c r="C408" s="93" t="str">
        <f t="shared" ref="C408:D408" si="507">IF($B406&lt;&gt;"",C404,"")</f>
        <v/>
      </c>
      <c r="D408" s="93" t="str">
        <f t="shared" si="507"/>
        <v/>
      </c>
      <c r="E408" s="27"/>
      <c r="F408" s="27"/>
      <c r="G408" s="27"/>
      <c r="H408" s="27"/>
      <c r="I408" s="27"/>
      <c r="J408" s="27"/>
      <c r="K408" s="27"/>
      <c r="L408" s="27"/>
      <c r="M408" s="27"/>
      <c r="N408" s="27"/>
      <c r="O408" s="27"/>
      <c r="P408" s="27"/>
      <c r="Q408" s="27"/>
      <c r="R408" s="27"/>
      <c r="S408" s="27"/>
      <c r="T408" s="27"/>
      <c r="U408" s="27"/>
      <c r="V408" s="25"/>
      <c r="W408" s="31" t="e">
        <f>INDEX(TBL_TRANSIT[TransitID],$A408)</f>
        <v>#REF!</v>
      </c>
      <c r="X408" s="31" t="e">
        <f>"TransitTariffFixed_"&amp;RIGHT($W408,11)</f>
        <v>#REF!</v>
      </c>
    </row>
    <row r="409" spans="1:24" x14ac:dyDescent="0.25">
      <c r="A409" s="94">
        <f t="shared" si="485"/>
        <v>101</v>
      </c>
      <c r="B409" s="117"/>
      <c r="C409" s="93" t="str">
        <f t="shared" ref="C409:D409" si="508">IF($B406&lt;&gt;"",C405,"")</f>
        <v/>
      </c>
      <c r="D409" s="93" t="str">
        <f t="shared" si="508"/>
        <v/>
      </c>
      <c r="E409" s="32"/>
      <c r="F409" s="32"/>
      <c r="G409" s="32"/>
      <c r="H409" s="32"/>
      <c r="I409" s="32"/>
      <c r="J409" s="32"/>
      <c r="K409" s="32"/>
      <c r="L409" s="32"/>
      <c r="M409" s="32"/>
      <c r="N409" s="32"/>
      <c r="O409" s="32"/>
      <c r="P409" s="32"/>
      <c r="Q409" s="32"/>
      <c r="R409" s="32"/>
      <c r="S409" s="32"/>
      <c r="T409" s="32"/>
      <c r="U409" s="32"/>
      <c r="V409" s="26"/>
      <c r="W409" s="31" t="e">
        <f>INDEX(TBL_TRANSIT[TransitID],$A409)</f>
        <v>#REF!</v>
      </c>
      <c r="X409" s="31" t="e">
        <f>"TransitTariffVar_"&amp;RIGHT($W409,11)</f>
        <v>#REF!</v>
      </c>
    </row>
    <row r="410" spans="1:24" x14ac:dyDescent="0.25">
      <c r="A410" s="94">
        <f t="shared" ref="A410" si="509">$A406+1</f>
        <v>102</v>
      </c>
      <c r="B410" s="115" t="str">
        <f>IFERROR(INDEX(TBL_TRANSIT[Name],$A410),"")</f>
        <v/>
      </c>
      <c r="C410" s="93" t="str">
        <f t="shared" ref="C410:D410" si="510">IF($B410&lt;&gt;"",C406,"")</f>
        <v/>
      </c>
      <c r="D410" s="93" t="str">
        <f t="shared" si="510"/>
        <v/>
      </c>
      <c r="E410" s="27"/>
      <c r="F410" s="27"/>
      <c r="G410" s="27"/>
      <c r="H410" s="27"/>
      <c r="I410" s="27"/>
      <c r="J410" s="27"/>
      <c r="K410" s="27"/>
      <c r="L410" s="27"/>
      <c r="M410" s="27"/>
      <c r="N410" s="27"/>
      <c r="O410" s="27"/>
      <c r="P410" s="27"/>
      <c r="Q410" s="27"/>
      <c r="R410" s="27"/>
      <c r="S410" s="27"/>
      <c r="T410" s="27"/>
      <c r="U410" s="27"/>
      <c r="V410" s="25"/>
      <c r="W410" s="31" t="e">
        <f>INDEX(TBL_TRANSIT[TransitID],$A410)</f>
        <v>#REF!</v>
      </c>
      <c r="X410" s="31" t="e">
        <f>"TransitCapMin_"&amp;RIGHT($W410,11)</f>
        <v>#REF!</v>
      </c>
    </row>
    <row r="411" spans="1:24" x14ac:dyDescent="0.25">
      <c r="A411" s="94">
        <f t="shared" si="485"/>
        <v>102</v>
      </c>
      <c r="B411" s="116"/>
      <c r="C411" s="93" t="str">
        <f t="shared" ref="C411:D411" si="511">IF($B410&lt;&gt;"",C407,"")</f>
        <v/>
      </c>
      <c r="D411" s="93" t="str">
        <f t="shared" si="511"/>
        <v/>
      </c>
      <c r="E411" s="32"/>
      <c r="F411" s="32"/>
      <c r="G411" s="32"/>
      <c r="H411" s="32"/>
      <c r="I411" s="32"/>
      <c r="J411" s="32"/>
      <c r="K411" s="32"/>
      <c r="L411" s="32"/>
      <c r="M411" s="32"/>
      <c r="N411" s="32"/>
      <c r="O411" s="32"/>
      <c r="P411" s="32"/>
      <c r="Q411" s="32"/>
      <c r="R411" s="32"/>
      <c r="S411" s="32"/>
      <c r="T411" s="32"/>
      <c r="U411" s="32"/>
      <c r="V411" s="26"/>
      <c r="W411" s="31" t="e">
        <f>INDEX(TBL_TRANSIT[TransitID],$A411)</f>
        <v>#REF!</v>
      </c>
      <c r="X411" s="31" t="e">
        <f>"TransitCapMax_"&amp;RIGHT($W411,11)</f>
        <v>#REF!</v>
      </c>
    </row>
    <row r="412" spans="1:24" x14ac:dyDescent="0.25">
      <c r="A412" s="94">
        <f t="shared" si="485"/>
        <v>102</v>
      </c>
      <c r="B412" s="116"/>
      <c r="C412" s="93" t="str">
        <f t="shared" ref="C412:D412" si="512">IF($B410&lt;&gt;"",C408,"")</f>
        <v/>
      </c>
      <c r="D412" s="93" t="str">
        <f t="shared" si="512"/>
        <v/>
      </c>
      <c r="E412" s="27"/>
      <c r="F412" s="27"/>
      <c r="G412" s="27"/>
      <c r="H412" s="27"/>
      <c r="I412" s="27"/>
      <c r="J412" s="27"/>
      <c r="K412" s="27"/>
      <c r="L412" s="27"/>
      <c r="M412" s="27"/>
      <c r="N412" s="27"/>
      <c r="O412" s="27"/>
      <c r="P412" s="27"/>
      <c r="Q412" s="27"/>
      <c r="R412" s="27"/>
      <c r="S412" s="27"/>
      <c r="T412" s="27"/>
      <c r="U412" s="27"/>
      <c r="V412" s="25"/>
      <c r="W412" s="31" t="e">
        <f>INDEX(TBL_TRANSIT[TransitID],$A412)</f>
        <v>#REF!</v>
      </c>
      <c r="X412" s="31" t="e">
        <f>"TransitTariffFixed_"&amp;RIGHT($W412,11)</f>
        <v>#REF!</v>
      </c>
    </row>
    <row r="413" spans="1:24" x14ac:dyDescent="0.25">
      <c r="A413" s="94">
        <f t="shared" si="485"/>
        <v>102</v>
      </c>
      <c r="B413" s="117"/>
      <c r="C413" s="93" t="str">
        <f t="shared" ref="C413:D413" si="513">IF($B410&lt;&gt;"",C409,"")</f>
        <v/>
      </c>
      <c r="D413" s="93" t="str">
        <f t="shared" si="513"/>
        <v/>
      </c>
      <c r="E413" s="32"/>
      <c r="F413" s="32"/>
      <c r="G413" s="32"/>
      <c r="H413" s="32"/>
      <c r="I413" s="32"/>
      <c r="J413" s="32"/>
      <c r="K413" s="32"/>
      <c r="L413" s="32"/>
      <c r="M413" s="32"/>
      <c r="N413" s="32"/>
      <c r="O413" s="32"/>
      <c r="P413" s="32"/>
      <c r="Q413" s="32"/>
      <c r="R413" s="32"/>
      <c r="S413" s="32"/>
      <c r="T413" s="32"/>
      <c r="U413" s="32"/>
      <c r="V413" s="26"/>
      <c r="W413" s="31" t="e">
        <f>INDEX(TBL_TRANSIT[TransitID],$A413)</f>
        <v>#REF!</v>
      </c>
      <c r="X413" s="31" t="e">
        <f>"TransitTariffVar_"&amp;RIGHT($W413,11)</f>
        <v>#REF!</v>
      </c>
    </row>
    <row r="414" spans="1:24" x14ac:dyDescent="0.25">
      <c r="A414" s="94">
        <f t="shared" ref="A414" si="514">$A410+1</f>
        <v>103</v>
      </c>
      <c r="B414" s="115" t="str">
        <f>IFERROR(INDEX(TBL_TRANSIT[Name],$A414),"")</f>
        <v/>
      </c>
      <c r="C414" s="93" t="str">
        <f t="shared" ref="C414:D414" si="515">IF($B414&lt;&gt;"",C410,"")</f>
        <v/>
      </c>
      <c r="D414" s="93" t="str">
        <f t="shared" si="515"/>
        <v/>
      </c>
      <c r="E414" s="27"/>
      <c r="F414" s="27"/>
      <c r="G414" s="27"/>
      <c r="H414" s="27"/>
      <c r="I414" s="27"/>
      <c r="J414" s="27"/>
      <c r="K414" s="27"/>
      <c r="L414" s="27"/>
      <c r="M414" s="27"/>
      <c r="N414" s="27"/>
      <c r="O414" s="27"/>
      <c r="P414" s="27"/>
      <c r="Q414" s="27"/>
      <c r="R414" s="27"/>
      <c r="S414" s="27"/>
      <c r="T414" s="27"/>
      <c r="U414" s="27"/>
      <c r="V414" s="25"/>
      <c r="W414" s="31" t="e">
        <f>INDEX(TBL_TRANSIT[TransitID],$A414)</f>
        <v>#REF!</v>
      </c>
      <c r="X414" s="31" t="e">
        <f>"TransitCapMin_"&amp;RIGHT($W414,11)</f>
        <v>#REF!</v>
      </c>
    </row>
    <row r="415" spans="1:24" x14ac:dyDescent="0.25">
      <c r="A415" s="94">
        <f t="shared" si="485"/>
        <v>103</v>
      </c>
      <c r="B415" s="116"/>
      <c r="C415" s="93" t="str">
        <f t="shared" ref="C415:D415" si="516">IF($B414&lt;&gt;"",C411,"")</f>
        <v/>
      </c>
      <c r="D415" s="93" t="str">
        <f t="shared" si="516"/>
        <v/>
      </c>
      <c r="E415" s="32"/>
      <c r="F415" s="32"/>
      <c r="G415" s="32"/>
      <c r="H415" s="32"/>
      <c r="I415" s="32"/>
      <c r="J415" s="32"/>
      <c r="K415" s="32"/>
      <c r="L415" s="32"/>
      <c r="M415" s="32"/>
      <c r="N415" s="32"/>
      <c r="O415" s="32"/>
      <c r="P415" s="32"/>
      <c r="Q415" s="32"/>
      <c r="R415" s="32"/>
      <c r="S415" s="32"/>
      <c r="T415" s="32"/>
      <c r="U415" s="32"/>
      <c r="V415" s="26"/>
      <c r="W415" s="31" t="e">
        <f>INDEX(TBL_TRANSIT[TransitID],$A415)</f>
        <v>#REF!</v>
      </c>
      <c r="X415" s="31" t="e">
        <f>"TransitCapMax_"&amp;RIGHT($W415,11)</f>
        <v>#REF!</v>
      </c>
    </row>
    <row r="416" spans="1:24" x14ac:dyDescent="0.25">
      <c r="A416" s="94">
        <f t="shared" si="485"/>
        <v>103</v>
      </c>
      <c r="B416" s="116"/>
      <c r="C416" s="93" t="str">
        <f t="shared" ref="C416:D416" si="517">IF($B414&lt;&gt;"",C412,"")</f>
        <v/>
      </c>
      <c r="D416" s="93" t="str">
        <f t="shared" si="517"/>
        <v/>
      </c>
      <c r="E416" s="27"/>
      <c r="F416" s="27"/>
      <c r="G416" s="27"/>
      <c r="H416" s="27"/>
      <c r="I416" s="27"/>
      <c r="J416" s="27"/>
      <c r="K416" s="27"/>
      <c r="L416" s="27"/>
      <c r="M416" s="27"/>
      <c r="N416" s="27"/>
      <c r="O416" s="27"/>
      <c r="P416" s="27"/>
      <c r="Q416" s="27"/>
      <c r="R416" s="27"/>
      <c r="S416" s="27"/>
      <c r="T416" s="27"/>
      <c r="U416" s="27"/>
      <c r="V416" s="25"/>
      <c r="W416" s="31" t="e">
        <f>INDEX(TBL_TRANSIT[TransitID],$A416)</f>
        <v>#REF!</v>
      </c>
      <c r="X416" s="31" t="e">
        <f>"TransitTariffFixed_"&amp;RIGHT($W416,11)</f>
        <v>#REF!</v>
      </c>
    </row>
    <row r="417" spans="1:24" x14ac:dyDescent="0.25">
      <c r="A417" s="94">
        <f t="shared" si="485"/>
        <v>103</v>
      </c>
      <c r="B417" s="117"/>
      <c r="C417" s="93" t="str">
        <f t="shared" ref="C417:D417" si="518">IF($B414&lt;&gt;"",C413,"")</f>
        <v/>
      </c>
      <c r="D417" s="93" t="str">
        <f t="shared" si="518"/>
        <v/>
      </c>
      <c r="E417" s="32"/>
      <c r="F417" s="32"/>
      <c r="G417" s="32"/>
      <c r="H417" s="32"/>
      <c r="I417" s="32"/>
      <c r="J417" s="32"/>
      <c r="K417" s="32"/>
      <c r="L417" s="32"/>
      <c r="M417" s="32"/>
      <c r="N417" s="32"/>
      <c r="O417" s="32"/>
      <c r="P417" s="32"/>
      <c r="Q417" s="32"/>
      <c r="R417" s="32"/>
      <c r="S417" s="32"/>
      <c r="T417" s="32"/>
      <c r="U417" s="32"/>
      <c r="V417" s="26"/>
      <c r="W417" s="31" t="e">
        <f>INDEX(TBL_TRANSIT[TransitID],$A417)</f>
        <v>#REF!</v>
      </c>
      <c r="X417" s="31" t="e">
        <f>"TransitTariffVar_"&amp;RIGHT($W417,11)</f>
        <v>#REF!</v>
      </c>
    </row>
    <row r="418" spans="1:24" x14ac:dyDescent="0.25">
      <c r="A418" s="94">
        <f t="shared" ref="A418" si="519">$A414+1</f>
        <v>104</v>
      </c>
      <c r="B418" s="115" t="str">
        <f>IFERROR(INDEX(TBL_TRANSIT[Name],$A418),"")</f>
        <v/>
      </c>
      <c r="C418" s="93" t="str">
        <f t="shared" ref="C418:D418" si="520">IF($B418&lt;&gt;"",C414,"")</f>
        <v/>
      </c>
      <c r="D418" s="93" t="str">
        <f t="shared" si="520"/>
        <v/>
      </c>
      <c r="E418" s="27"/>
      <c r="F418" s="27"/>
      <c r="G418" s="27"/>
      <c r="H418" s="27"/>
      <c r="I418" s="27"/>
      <c r="J418" s="27"/>
      <c r="K418" s="27"/>
      <c r="L418" s="27"/>
      <c r="M418" s="27"/>
      <c r="N418" s="27"/>
      <c r="O418" s="27"/>
      <c r="P418" s="27"/>
      <c r="Q418" s="27"/>
      <c r="R418" s="27"/>
      <c r="S418" s="27"/>
      <c r="T418" s="27"/>
      <c r="U418" s="27"/>
      <c r="V418" s="25"/>
      <c r="W418" s="31" t="e">
        <f>INDEX(TBL_TRANSIT[TransitID],$A418)</f>
        <v>#REF!</v>
      </c>
      <c r="X418" s="31" t="e">
        <f>"TransitCapMin_"&amp;RIGHT($W418,11)</f>
        <v>#REF!</v>
      </c>
    </row>
    <row r="419" spans="1:24" x14ac:dyDescent="0.25">
      <c r="A419" s="94">
        <f t="shared" si="485"/>
        <v>104</v>
      </c>
      <c r="B419" s="116"/>
      <c r="C419" s="93" t="str">
        <f t="shared" ref="C419:D419" si="521">IF($B418&lt;&gt;"",C415,"")</f>
        <v/>
      </c>
      <c r="D419" s="93" t="str">
        <f t="shared" si="521"/>
        <v/>
      </c>
      <c r="E419" s="32"/>
      <c r="F419" s="32"/>
      <c r="G419" s="32"/>
      <c r="H419" s="32"/>
      <c r="I419" s="32"/>
      <c r="J419" s="32"/>
      <c r="K419" s="32"/>
      <c r="L419" s="32"/>
      <c r="M419" s="32"/>
      <c r="N419" s="32"/>
      <c r="O419" s="32"/>
      <c r="P419" s="32"/>
      <c r="Q419" s="32"/>
      <c r="R419" s="32"/>
      <c r="S419" s="32"/>
      <c r="T419" s="32"/>
      <c r="U419" s="32"/>
      <c r="V419" s="26"/>
      <c r="W419" s="31" t="e">
        <f>INDEX(TBL_TRANSIT[TransitID],$A419)</f>
        <v>#REF!</v>
      </c>
      <c r="X419" s="31" t="e">
        <f>"TransitCapMax_"&amp;RIGHT($W419,11)</f>
        <v>#REF!</v>
      </c>
    </row>
    <row r="420" spans="1:24" x14ac:dyDescent="0.25">
      <c r="A420" s="94">
        <f t="shared" si="485"/>
        <v>104</v>
      </c>
      <c r="B420" s="116"/>
      <c r="C420" s="93" t="str">
        <f t="shared" ref="C420:D420" si="522">IF($B418&lt;&gt;"",C416,"")</f>
        <v/>
      </c>
      <c r="D420" s="93" t="str">
        <f t="shared" si="522"/>
        <v/>
      </c>
      <c r="E420" s="27"/>
      <c r="F420" s="27"/>
      <c r="G420" s="27"/>
      <c r="H420" s="27"/>
      <c r="I420" s="27"/>
      <c r="J420" s="27"/>
      <c r="K420" s="27"/>
      <c r="L420" s="27"/>
      <c r="M420" s="27"/>
      <c r="N420" s="27"/>
      <c r="O420" s="27"/>
      <c r="P420" s="27"/>
      <c r="Q420" s="27"/>
      <c r="R420" s="27"/>
      <c r="S420" s="27"/>
      <c r="T420" s="27"/>
      <c r="U420" s="27"/>
      <c r="V420" s="25"/>
      <c r="W420" s="31" t="e">
        <f>INDEX(TBL_TRANSIT[TransitID],$A420)</f>
        <v>#REF!</v>
      </c>
      <c r="X420" s="31" t="e">
        <f>"TransitTariffFixed_"&amp;RIGHT($W420,11)</f>
        <v>#REF!</v>
      </c>
    </row>
    <row r="421" spans="1:24" x14ac:dyDescent="0.25">
      <c r="A421" s="94">
        <f t="shared" si="485"/>
        <v>104</v>
      </c>
      <c r="B421" s="117"/>
      <c r="C421" s="93" t="str">
        <f t="shared" ref="C421:D421" si="523">IF($B418&lt;&gt;"",C417,"")</f>
        <v/>
      </c>
      <c r="D421" s="93" t="str">
        <f t="shared" si="523"/>
        <v/>
      </c>
      <c r="E421" s="32"/>
      <c r="F421" s="32"/>
      <c r="G421" s="32"/>
      <c r="H421" s="32"/>
      <c r="I421" s="32"/>
      <c r="J421" s="32"/>
      <c r="K421" s="32"/>
      <c r="L421" s="32"/>
      <c r="M421" s="32"/>
      <c r="N421" s="32"/>
      <c r="O421" s="32"/>
      <c r="P421" s="32"/>
      <c r="Q421" s="32"/>
      <c r="R421" s="32"/>
      <c r="S421" s="32"/>
      <c r="T421" s="32"/>
      <c r="U421" s="32"/>
      <c r="V421" s="26"/>
      <c r="W421" s="31" t="e">
        <f>INDEX(TBL_TRANSIT[TransitID],$A421)</f>
        <v>#REF!</v>
      </c>
      <c r="X421" s="31" t="e">
        <f>"TransitTariffVar_"&amp;RIGHT($W421,11)</f>
        <v>#REF!</v>
      </c>
    </row>
    <row r="422" spans="1:24" x14ac:dyDescent="0.25">
      <c r="A422" s="94">
        <f t="shared" ref="A422" si="524">$A418+1</f>
        <v>105</v>
      </c>
      <c r="B422" s="115" t="str">
        <f>IFERROR(INDEX(TBL_TRANSIT[Name],$A422),"")</f>
        <v/>
      </c>
      <c r="C422" s="93" t="str">
        <f t="shared" ref="C422:D422" si="525">IF($B422&lt;&gt;"",C418,"")</f>
        <v/>
      </c>
      <c r="D422" s="93" t="str">
        <f t="shared" si="525"/>
        <v/>
      </c>
      <c r="E422" s="27"/>
      <c r="F422" s="27"/>
      <c r="G422" s="27"/>
      <c r="H422" s="27"/>
      <c r="I422" s="27"/>
      <c r="J422" s="27"/>
      <c r="K422" s="27"/>
      <c r="L422" s="27"/>
      <c r="M422" s="27"/>
      <c r="N422" s="27"/>
      <c r="O422" s="27"/>
      <c r="P422" s="27"/>
      <c r="Q422" s="27"/>
      <c r="R422" s="27"/>
      <c r="S422" s="27"/>
      <c r="T422" s="27"/>
      <c r="U422" s="27"/>
      <c r="V422" s="25"/>
      <c r="W422" s="31" t="e">
        <f>INDEX(TBL_TRANSIT[TransitID],$A422)</f>
        <v>#REF!</v>
      </c>
      <c r="X422" s="31" t="e">
        <f>"TransitCapMin_"&amp;RIGHT($W422,11)</f>
        <v>#REF!</v>
      </c>
    </row>
    <row r="423" spans="1:24" x14ac:dyDescent="0.25">
      <c r="A423" s="94">
        <f t="shared" si="485"/>
        <v>105</v>
      </c>
      <c r="B423" s="116"/>
      <c r="C423" s="93" t="str">
        <f t="shared" ref="C423:D423" si="526">IF($B422&lt;&gt;"",C419,"")</f>
        <v/>
      </c>
      <c r="D423" s="93" t="str">
        <f t="shared" si="526"/>
        <v/>
      </c>
      <c r="E423" s="32"/>
      <c r="F423" s="32"/>
      <c r="G423" s="32"/>
      <c r="H423" s="32"/>
      <c r="I423" s="32"/>
      <c r="J423" s="32"/>
      <c r="K423" s="32"/>
      <c r="L423" s="32"/>
      <c r="M423" s="32"/>
      <c r="N423" s="32"/>
      <c r="O423" s="32"/>
      <c r="P423" s="32"/>
      <c r="Q423" s="32"/>
      <c r="R423" s="32"/>
      <c r="S423" s="32"/>
      <c r="T423" s="32"/>
      <c r="U423" s="32"/>
      <c r="V423" s="26"/>
      <c r="W423" s="31" t="e">
        <f>INDEX(TBL_TRANSIT[TransitID],$A423)</f>
        <v>#REF!</v>
      </c>
      <c r="X423" s="31" t="e">
        <f>"TransitCapMax_"&amp;RIGHT($W423,11)</f>
        <v>#REF!</v>
      </c>
    </row>
    <row r="424" spans="1:24" x14ac:dyDescent="0.25">
      <c r="A424" s="94">
        <f t="shared" si="485"/>
        <v>105</v>
      </c>
      <c r="B424" s="116"/>
      <c r="C424" s="93" t="str">
        <f t="shared" ref="C424:D424" si="527">IF($B422&lt;&gt;"",C420,"")</f>
        <v/>
      </c>
      <c r="D424" s="93" t="str">
        <f t="shared" si="527"/>
        <v/>
      </c>
      <c r="E424" s="27"/>
      <c r="F424" s="27"/>
      <c r="G424" s="27"/>
      <c r="H424" s="27"/>
      <c r="I424" s="27"/>
      <c r="J424" s="27"/>
      <c r="K424" s="27"/>
      <c r="L424" s="27"/>
      <c r="M424" s="27"/>
      <c r="N424" s="27"/>
      <c r="O424" s="27"/>
      <c r="P424" s="27"/>
      <c r="Q424" s="27"/>
      <c r="R424" s="27"/>
      <c r="S424" s="27"/>
      <c r="T424" s="27"/>
      <c r="U424" s="27"/>
      <c r="V424" s="25"/>
      <c r="W424" s="31" t="e">
        <f>INDEX(TBL_TRANSIT[TransitID],$A424)</f>
        <v>#REF!</v>
      </c>
      <c r="X424" s="31" t="e">
        <f>"TransitTariffFixed_"&amp;RIGHT($W424,11)</f>
        <v>#REF!</v>
      </c>
    </row>
    <row r="425" spans="1:24" x14ac:dyDescent="0.25">
      <c r="A425" s="94">
        <f t="shared" si="485"/>
        <v>105</v>
      </c>
      <c r="B425" s="117"/>
      <c r="C425" s="93" t="str">
        <f t="shared" ref="C425:D425" si="528">IF($B422&lt;&gt;"",C421,"")</f>
        <v/>
      </c>
      <c r="D425" s="93" t="str">
        <f t="shared" si="528"/>
        <v/>
      </c>
      <c r="E425" s="32"/>
      <c r="F425" s="32"/>
      <c r="G425" s="32"/>
      <c r="H425" s="32"/>
      <c r="I425" s="32"/>
      <c r="J425" s="32"/>
      <c r="K425" s="32"/>
      <c r="L425" s="32"/>
      <c r="M425" s="32"/>
      <c r="N425" s="32"/>
      <c r="O425" s="32"/>
      <c r="P425" s="32"/>
      <c r="Q425" s="32"/>
      <c r="R425" s="32"/>
      <c r="S425" s="32"/>
      <c r="T425" s="32"/>
      <c r="U425" s="32"/>
      <c r="V425" s="26"/>
      <c r="W425" s="31" t="e">
        <f>INDEX(TBL_TRANSIT[TransitID],$A425)</f>
        <v>#REF!</v>
      </c>
      <c r="X425" s="31" t="e">
        <f>"TransitTariffVar_"&amp;RIGHT($W425,11)</f>
        <v>#REF!</v>
      </c>
    </row>
    <row r="426" spans="1:24" x14ac:dyDescent="0.25">
      <c r="A426" s="94">
        <f t="shared" ref="A426" si="529">$A422+1</f>
        <v>106</v>
      </c>
      <c r="B426" s="115" t="str">
        <f>IFERROR(INDEX(TBL_TRANSIT[Name],$A426),"")</f>
        <v/>
      </c>
      <c r="C426" s="93" t="str">
        <f t="shared" ref="C426:D426" si="530">IF($B426&lt;&gt;"",C422,"")</f>
        <v/>
      </c>
      <c r="D426" s="93" t="str">
        <f t="shared" si="530"/>
        <v/>
      </c>
      <c r="E426" s="27"/>
      <c r="F426" s="27"/>
      <c r="G426" s="27"/>
      <c r="H426" s="27"/>
      <c r="I426" s="27"/>
      <c r="J426" s="27"/>
      <c r="K426" s="27"/>
      <c r="L426" s="27"/>
      <c r="M426" s="27"/>
      <c r="N426" s="27"/>
      <c r="O426" s="27"/>
      <c r="P426" s="27"/>
      <c r="Q426" s="27"/>
      <c r="R426" s="27"/>
      <c r="S426" s="27"/>
      <c r="T426" s="27"/>
      <c r="U426" s="27"/>
      <c r="V426" s="25"/>
      <c r="W426" s="31" t="e">
        <f>INDEX(TBL_TRANSIT[TransitID],$A426)</f>
        <v>#REF!</v>
      </c>
      <c r="X426" s="31" t="e">
        <f>"TransitCapMin_"&amp;RIGHT($W426,11)</f>
        <v>#REF!</v>
      </c>
    </row>
    <row r="427" spans="1:24" x14ac:dyDescent="0.25">
      <c r="A427" s="94">
        <f t="shared" si="485"/>
        <v>106</v>
      </c>
      <c r="B427" s="116"/>
      <c r="C427" s="93" t="str">
        <f t="shared" ref="C427:D427" si="531">IF($B426&lt;&gt;"",C423,"")</f>
        <v/>
      </c>
      <c r="D427" s="93" t="str">
        <f t="shared" si="531"/>
        <v/>
      </c>
      <c r="E427" s="32"/>
      <c r="F427" s="32"/>
      <c r="G427" s="32"/>
      <c r="H427" s="32"/>
      <c r="I427" s="32"/>
      <c r="J427" s="32"/>
      <c r="K427" s="32"/>
      <c r="L427" s="32"/>
      <c r="M427" s="32"/>
      <c r="N427" s="32"/>
      <c r="O427" s="32"/>
      <c r="P427" s="32"/>
      <c r="Q427" s="32"/>
      <c r="R427" s="32"/>
      <c r="S427" s="32"/>
      <c r="T427" s="32"/>
      <c r="U427" s="32"/>
      <c r="V427" s="26"/>
      <c r="W427" s="31" t="e">
        <f>INDEX(TBL_TRANSIT[TransitID],$A427)</f>
        <v>#REF!</v>
      </c>
      <c r="X427" s="31" t="e">
        <f>"TransitCapMax_"&amp;RIGHT($W427,11)</f>
        <v>#REF!</v>
      </c>
    </row>
    <row r="428" spans="1:24" x14ac:dyDescent="0.25">
      <c r="A428" s="94">
        <f t="shared" si="485"/>
        <v>106</v>
      </c>
      <c r="B428" s="116"/>
      <c r="C428" s="93" t="str">
        <f t="shared" ref="C428:D428" si="532">IF($B426&lt;&gt;"",C424,"")</f>
        <v/>
      </c>
      <c r="D428" s="93" t="str">
        <f t="shared" si="532"/>
        <v/>
      </c>
      <c r="E428" s="27"/>
      <c r="F428" s="27"/>
      <c r="G428" s="27"/>
      <c r="H428" s="27"/>
      <c r="I428" s="27"/>
      <c r="J428" s="27"/>
      <c r="K428" s="27"/>
      <c r="L428" s="27"/>
      <c r="M428" s="27"/>
      <c r="N428" s="27"/>
      <c r="O428" s="27"/>
      <c r="P428" s="27"/>
      <c r="Q428" s="27"/>
      <c r="R428" s="27"/>
      <c r="S428" s="27"/>
      <c r="T428" s="27"/>
      <c r="U428" s="27"/>
      <c r="V428" s="25"/>
      <c r="W428" s="31" t="e">
        <f>INDEX(TBL_TRANSIT[TransitID],$A428)</f>
        <v>#REF!</v>
      </c>
      <c r="X428" s="31" t="e">
        <f>"TransitTariffFixed_"&amp;RIGHT($W428,11)</f>
        <v>#REF!</v>
      </c>
    </row>
    <row r="429" spans="1:24" x14ac:dyDescent="0.25">
      <c r="A429" s="94">
        <f t="shared" si="485"/>
        <v>106</v>
      </c>
      <c r="B429" s="117"/>
      <c r="C429" s="93" t="str">
        <f t="shared" ref="C429:D429" si="533">IF($B426&lt;&gt;"",C425,"")</f>
        <v/>
      </c>
      <c r="D429" s="93" t="str">
        <f t="shared" si="533"/>
        <v/>
      </c>
      <c r="E429" s="32"/>
      <c r="F429" s="32"/>
      <c r="G429" s="32"/>
      <c r="H429" s="32"/>
      <c r="I429" s="32"/>
      <c r="J429" s="32"/>
      <c r="K429" s="32"/>
      <c r="L429" s="32"/>
      <c r="M429" s="32"/>
      <c r="N429" s="32"/>
      <c r="O429" s="32"/>
      <c r="P429" s="32"/>
      <c r="Q429" s="32"/>
      <c r="R429" s="32"/>
      <c r="S429" s="32"/>
      <c r="T429" s="32"/>
      <c r="U429" s="32"/>
      <c r="V429" s="26"/>
      <c r="W429" s="31" t="e">
        <f>INDEX(TBL_TRANSIT[TransitID],$A429)</f>
        <v>#REF!</v>
      </c>
      <c r="X429" s="31" t="e">
        <f>"TransitTariffVar_"&amp;RIGHT($W429,11)</f>
        <v>#REF!</v>
      </c>
    </row>
    <row r="430" spans="1:24" x14ac:dyDescent="0.25">
      <c r="A430" s="94">
        <f t="shared" ref="A430" si="534">$A426+1</f>
        <v>107</v>
      </c>
      <c r="B430" s="115" t="str">
        <f>IFERROR(INDEX(TBL_TRANSIT[Name],$A430),"")</f>
        <v/>
      </c>
      <c r="C430" s="93" t="str">
        <f t="shared" ref="C430:D430" si="535">IF($B430&lt;&gt;"",C426,"")</f>
        <v/>
      </c>
      <c r="D430" s="93" t="str">
        <f t="shared" si="535"/>
        <v/>
      </c>
      <c r="E430" s="27"/>
      <c r="F430" s="27"/>
      <c r="G430" s="27"/>
      <c r="H430" s="27"/>
      <c r="I430" s="27"/>
      <c r="J430" s="27"/>
      <c r="K430" s="27"/>
      <c r="L430" s="27"/>
      <c r="M430" s="27"/>
      <c r="N430" s="27"/>
      <c r="O430" s="27"/>
      <c r="P430" s="27"/>
      <c r="Q430" s="27"/>
      <c r="R430" s="27"/>
      <c r="S430" s="27"/>
      <c r="T430" s="27"/>
      <c r="U430" s="27"/>
      <c r="V430" s="25"/>
      <c r="W430" s="31" t="e">
        <f>INDEX(TBL_TRANSIT[TransitID],$A430)</f>
        <v>#REF!</v>
      </c>
      <c r="X430" s="31" t="e">
        <f>"TransitCapMin_"&amp;RIGHT($W430,11)</f>
        <v>#REF!</v>
      </c>
    </row>
    <row r="431" spans="1:24" x14ac:dyDescent="0.25">
      <c r="A431" s="94">
        <f t="shared" si="485"/>
        <v>107</v>
      </c>
      <c r="B431" s="116"/>
      <c r="C431" s="93" t="str">
        <f t="shared" ref="C431:D431" si="536">IF($B430&lt;&gt;"",C427,"")</f>
        <v/>
      </c>
      <c r="D431" s="93" t="str">
        <f t="shared" si="536"/>
        <v/>
      </c>
      <c r="E431" s="32"/>
      <c r="F431" s="32"/>
      <c r="G431" s="32"/>
      <c r="H431" s="32"/>
      <c r="I431" s="32"/>
      <c r="J431" s="32"/>
      <c r="K431" s="32"/>
      <c r="L431" s="32"/>
      <c r="M431" s="32"/>
      <c r="N431" s="32"/>
      <c r="O431" s="32"/>
      <c r="P431" s="32"/>
      <c r="Q431" s="32"/>
      <c r="R431" s="32"/>
      <c r="S431" s="32"/>
      <c r="T431" s="32"/>
      <c r="U431" s="32"/>
      <c r="V431" s="26"/>
      <c r="W431" s="31" t="e">
        <f>INDEX(TBL_TRANSIT[TransitID],$A431)</f>
        <v>#REF!</v>
      </c>
      <c r="X431" s="31" t="e">
        <f>"TransitCapMax_"&amp;RIGHT($W431,11)</f>
        <v>#REF!</v>
      </c>
    </row>
    <row r="432" spans="1:24" x14ac:dyDescent="0.25">
      <c r="A432" s="94">
        <f t="shared" si="485"/>
        <v>107</v>
      </c>
      <c r="B432" s="116"/>
      <c r="C432" s="93" t="str">
        <f t="shared" ref="C432:D432" si="537">IF($B430&lt;&gt;"",C428,"")</f>
        <v/>
      </c>
      <c r="D432" s="93" t="str">
        <f t="shared" si="537"/>
        <v/>
      </c>
      <c r="E432" s="27"/>
      <c r="F432" s="27"/>
      <c r="G432" s="27"/>
      <c r="H432" s="27"/>
      <c r="I432" s="27"/>
      <c r="J432" s="27"/>
      <c r="K432" s="27"/>
      <c r="L432" s="27"/>
      <c r="M432" s="27"/>
      <c r="N432" s="27"/>
      <c r="O432" s="27"/>
      <c r="P432" s="27"/>
      <c r="Q432" s="27"/>
      <c r="R432" s="27"/>
      <c r="S432" s="27"/>
      <c r="T432" s="27"/>
      <c r="U432" s="27"/>
      <c r="V432" s="25"/>
      <c r="W432" s="31" t="e">
        <f>INDEX(TBL_TRANSIT[TransitID],$A432)</f>
        <v>#REF!</v>
      </c>
      <c r="X432" s="31" t="e">
        <f>"TransitTariffFixed_"&amp;RIGHT($W432,11)</f>
        <v>#REF!</v>
      </c>
    </row>
    <row r="433" spans="1:24" x14ac:dyDescent="0.25">
      <c r="A433" s="94">
        <f t="shared" si="485"/>
        <v>107</v>
      </c>
      <c r="B433" s="117"/>
      <c r="C433" s="93" t="str">
        <f t="shared" ref="C433:D433" si="538">IF($B430&lt;&gt;"",C429,"")</f>
        <v/>
      </c>
      <c r="D433" s="93" t="str">
        <f t="shared" si="538"/>
        <v/>
      </c>
      <c r="E433" s="32"/>
      <c r="F433" s="32"/>
      <c r="G433" s="32"/>
      <c r="H433" s="32"/>
      <c r="I433" s="32"/>
      <c r="J433" s="32"/>
      <c r="K433" s="32"/>
      <c r="L433" s="32"/>
      <c r="M433" s="32"/>
      <c r="N433" s="32"/>
      <c r="O433" s="32"/>
      <c r="P433" s="32"/>
      <c r="Q433" s="32"/>
      <c r="R433" s="32"/>
      <c r="S433" s="32"/>
      <c r="T433" s="32"/>
      <c r="U433" s="32"/>
      <c r="V433" s="26"/>
      <c r="W433" s="31" t="e">
        <f>INDEX(TBL_TRANSIT[TransitID],$A433)</f>
        <v>#REF!</v>
      </c>
      <c r="X433" s="31" t="e">
        <f>"TransitTariffVar_"&amp;RIGHT($W433,11)</f>
        <v>#REF!</v>
      </c>
    </row>
    <row r="434" spans="1:24" x14ac:dyDescent="0.25">
      <c r="A434" s="94">
        <f t="shared" ref="A434" si="539">$A430+1</f>
        <v>108</v>
      </c>
      <c r="B434" s="115" t="str">
        <f>IFERROR(INDEX(TBL_TRANSIT[Name],$A434),"")</f>
        <v/>
      </c>
      <c r="C434" s="93" t="str">
        <f t="shared" ref="C434:D434" si="540">IF($B434&lt;&gt;"",C430,"")</f>
        <v/>
      </c>
      <c r="D434" s="93" t="str">
        <f t="shared" si="540"/>
        <v/>
      </c>
      <c r="E434" s="27"/>
      <c r="F434" s="27"/>
      <c r="G434" s="27"/>
      <c r="H434" s="27"/>
      <c r="I434" s="27"/>
      <c r="J434" s="27"/>
      <c r="K434" s="27"/>
      <c r="L434" s="27"/>
      <c r="M434" s="27"/>
      <c r="N434" s="27"/>
      <c r="O434" s="27"/>
      <c r="P434" s="27"/>
      <c r="Q434" s="27"/>
      <c r="R434" s="27"/>
      <c r="S434" s="27"/>
      <c r="T434" s="27"/>
      <c r="U434" s="27"/>
      <c r="V434" s="25"/>
      <c r="W434" s="31" t="e">
        <f>INDEX(TBL_TRANSIT[TransitID],$A434)</f>
        <v>#REF!</v>
      </c>
      <c r="X434" s="31" t="e">
        <f>"TransitCapMin_"&amp;RIGHT($W434,11)</f>
        <v>#REF!</v>
      </c>
    </row>
    <row r="435" spans="1:24" x14ac:dyDescent="0.25">
      <c r="A435" s="94">
        <f t="shared" si="485"/>
        <v>108</v>
      </c>
      <c r="B435" s="116"/>
      <c r="C435" s="93" t="str">
        <f t="shared" ref="C435:D435" si="541">IF($B434&lt;&gt;"",C431,"")</f>
        <v/>
      </c>
      <c r="D435" s="93" t="str">
        <f t="shared" si="541"/>
        <v/>
      </c>
      <c r="E435" s="32"/>
      <c r="F435" s="32"/>
      <c r="G435" s="32"/>
      <c r="H435" s="32"/>
      <c r="I435" s="32"/>
      <c r="J435" s="32"/>
      <c r="K435" s="32"/>
      <c r="L435" s="32"/>
      <c r="M435" s="32"/>
      <c r="N435" s="32"/>
      <c r="O435" s="32"/>
      <c r="P435" s="32"/>
      <c r="Q435" s="32"/>
      <c r="R435" s="32"/>
      <c r="S435" s="32"/>
      <c r="T435" s="32"/>
      <c r="U435" s="32"/>
      <c r="V435" s="26"/>
      <c r="W435" s="31" t="e">
        <f>INDEX(TBL_TRANSIT[TransitID],$A435)</f>
        <v>#REF!</v>
      </c>
      <c r="X435" s="31" t="e">
        <f>"TransitCapMax_"&amp;RIGHT($W435,11)</f>
        <v>#REF!</v>
      </c>
    </row>
    <row r="436" spans="1:24" x14ac:dyDescent="0.25">
      <c r="A436" s="94">
        <f t="shared" si="485"/>
        <v>108</v>
      </c>
      <c r="B436" s="116"/>
      <c r="C436" s="93" t="str">
        <f t="shared" ref="C436:D436" si="542">IF($B434&lt;&gt;"",C432,"")</f>
        <v/>
      </c>
      <c r="D436" s="93" t="str">
        <f t="shared" si="542"/>
        <v/>
      </c>
      <c r="E436" s="27"/>
      <c r="F436" s="27"/>
      <c r="G436" s="27"/>
      <c r="H436" s="27"/>
      <c r="I436" s="27"/>
      <c r="J436" s="27"/>
      <c r="K436" s="27"/>
      <c r="L436" s="27"/>
      <c r="M436" s="27"/>
      <c r="N436" s="27"/>
      <c r="O436" s="27"/>
      <c r="P436" s="27"/>
      <c r="Q436" s="27"/>
      <c r="R436" s="27"/>
      <c r="S436" s="27"/>
      <c r="T436" s="27"/>
      <c r="U436" s="27"/>
      <c r="V436" s="25"/>
      <c r="W436" s="31" t="e">
        <f>INDEX(TBL_TRANSIT[TransitID],$A436)</f>
        <v>#REF!</v>
      </c>
      <c r="X436" s="31" t="e">
        <f>"TransitTariffFixed_"&amp;RIGHT($W436,11)</f>
        <v>#REF!</v>
      </c>
    </row>
    <row r="437" spans="1:24" x14ac:dyDescent="0.25">
      <c r="A437" s="94">
        <f t="shared" si="485"/>
        <v>108</v>
      </c>
      <c r="B437" s="117"/>
      <c r="C437" s="93" t="str">
        <f t="shared" ref="C437:D437" si="543">IF($B434&lt;&gt;"",C433,"")</f>
        <v/>
      </c>
      <c r="D437" s="93" t="str">
        <f t="shared" si="543"/>
        <v/>
      </c>
      <c r="E437" s="32"/>
      <c r="F437" s="32"/>
      <c r="G437" s="32"/>
      <c r="H437" s="32"/>
      <c r="I437" s="32"/>
      <c r="J437" s="32"/>
      <c r="K437" s="32"/>
      <c r="L437" s="32"/>
      <c r="M437" s="32"/>
      <c r="N437" s="32"/>
      <c r="O437" s="32"/>
      <c r="P437" s="32"/>
      <c r="Q437" s="32"/>
      <c r="R437" s="32"/>
      <c r="S437" s="32"/>
      <c r="T437" s="32"/>
      <c r="U437" s="32"/>
      <c r="V437" s="26"/>
      <c r="W437" s="31" t="e">
        <f>INDEX(TBL_TRANSIT[TransitID],$A437)</f>
        <v>#REF!</v>
      </c>
      <c r="X437" s="31" t="e">
        <f>"TransitTariffVar_"&amp;RIGHT($W437,11)</f>
        <v>#REF!</v>
      </c>
    </row>
    <row r="438" spans="1:24" x14ac:dyDescent="0.25">
      <c r="A438" s="94">
        <f t="shared" ref="A438" si="544">$A434+1</f>
        <v>109</v>
      </c>
      <c r="B438" s="115" t="str">
        <f>IFERROR(INDEX(TBL_TRANSIT[Name],$A438),"")</f>
        <v/>
      </c>
      <c r="C438" s="93" t="str">
        <f t="shared" ref="C438:D438" si="545">IF($B438&lt;&gt;"",C434,"")</f>
        <v/>
      </c>
      <c r="D438" s="93" t="str">
        <f t="shared" si="545"/>
        <v/>
      </c>
      <c r="E438" s="27"/>
      <c r="F438" s="27"/>
      <c r="G438" s="27"/>
      <c r="H438" s="27"/>
      <c r="I438" s="27"/>
      <c r="J438" s="27"/>
      <c r="K438" s="27"/>
      <c r="L438" s="27"/>
      <c r="M438" s="27"/>
      <c r="N438" s="27"/>
      <c r="O438" s="27"/>
      <c r="P438" s="27"/>
      <c r="Q438" s="27"/>
      <c r="R438" s="27"/>
      <c r="S438" s="27"/>
      <c r="T438" s="27"/>
      <c r="U438" s="27"/>
      <c r="V438" s="25"/>
      <c r="W438" s="31" t="e">
        <f>INDEX(TBL_TRANSIT[TransitID],$A438)</f>
        <v>#REF!</v>
      </c>
      <c r="X438" s="31" t="e">
        <f>"TransitCapMin_"&amp;RIGHT($W438,11)</f>
        <v>#REF!</v>
      </c>
    </row>
    <row r="439" spans="1:24" x14ac:dyDescent="0.25">
      <c r="A439" s="94">
        <f t="shared" si="485"/>
        <v>109</v>
      </c>
      <c r="B439" s="116"/>
      <c r="C439" s="93" t="str">
        <f t="shared" ref="C439:D439" si="546">IF($B438&lt;&gt;"",C435,"")</f>
        <v/>
      </c>
      <c r="D439" s="93" t="str">
        <f t="shared" si="546"/>
        <v/>
      </c>
      <c r="E439" s="32"/>
      <c r="F439" s="32"/>
      <c r="G439" s="32"/>
      <c r="H439" s="32"/>
      <c r="I439" s="32"/>
      <c r="J439" s="32"/>
      <c r="K439" s="32"/>
      <c r="L439" s="32"/>
      <c r="M439" s="32"/>
      <c r="N439" s="32"/>
      <c r="O439" s="32"/>
      <c r="P439" s="32"/>
      <c r="Q439" s="32"/>
      <c r="R439" s="32"/>
      <c r="S439" s="32"/>
      <c r="T439" s="32"/>
      <c r="U439" s="32"/>
      <c r="V439" s="26"/>
      <c r="W439" s="31" t="e">
        <f>INDEX(TBL_TRANSIT[TransitID],$A439)</f>
        <v>#REF!</v>
      </c>
      <c r="X439" s="31" t="e">
        <f>"TransitCapMax_"&amp;RIGHT($W439,11)</f>
        <v>#REF!</v>
      </c>
    </row>
    <row r="440" spans="1:24" x14ac:dyDescent="0.25">
      <c r="A440" s="94">
        <f t="shared" si="485"/>
        <v>109</v>
      </c>
      <c r="B440" s="116"/>
      <c r="C440" s="93" t="str">
        <f t="shared" ref="C440:D440" si="547">IF($B438&lt;&gt;"",C436,"")</f>
        <v/>
      </c>
      <c r="D440" s="93" t="str">
        <f t="shared" si="547"/>
        <v/>
      </c>
      <c r="E440" s="27"/>
      <c r="F440" s="27"/>
      <c r="G440" s="27"/>
      <c r="H440" s="27"/>
      <c r="I440" s="27"/>
      <c r="J440" s="27"/>
      <c r="K440" s="27"/>
      <c r="L440" s="27"/>
      <c r="M440" s="27"/>
      <c r="N440" s="27"/>
      <c r="O440" s="27"/>
      <c r="P440" s="27"/>
      <c r="Q440" s="27"/>
      <c r="R440" s="27"/>
      <c r="S440" s="27"/>
      <c r="T440" s="27"/>
      <c r="U440" s="27"/>
      <c r="V440" s="25"/>
      <c r="W440" s="31" t="e">
        <f>INDEX(TBL_TRANSIT[TransitID],$A440)</f>
        <v>#REF!</v>
      </c>
      <c r="X440" s="31" t="e">
        <f>"TransitTariffFixed_"&amp;RIGHT($W440,11)</f>
        <v>#REF!</v>
      </c>
    </row>
    <row r="441" spans="1:24" x14ac:dyDescent="0.25">
      <c r="A441" s="94">
        <f t="shared" si="485"/>
        <v>109</v>
      </c>
      <c r="B441" s="117"/>
      <c r="C441" s="93" t="str">
        <f t="shared" ref="C441:D441" si="548">IF($B438&lt;&gt;"",C437,"")</f>
        <v/>
      </c>
      <c r="D441" s="93" t="str">
        <f t="shared" si="548"/>
        <v/>
      </c>
      <c r="E441" s="32"/>
      <c r="F441" s="32"/>
      <c r="G441" s="32"/>
      <c r="H441" s="32"/>
      <c r="I441" s="32"/>
      <c r="J441" s="32"/>
      <c r="K441" s="32"/>
      <c r="L441" s="32"/>
      <c r="M441" s="32"/>
      <c r="N441" s="32"/>
      <c r="O441" s="32"/>
      <c r="P441" s="32"/>
      <c r="Q441" s="32"/>
      <c r="R441" s="32"/>
      <c r="S441" s="32"/>
      <c r="T441" s="32"/>
      <c r="U441" s="32"/>
      <c r="V441" s="26"/>
      <c r="W441" s="31" t="e">
        <f>INDEX(TBL_TRANSIT[TransitID],$A441)</f>
        <v>#REF!</v>
      </c>
      <c r="X441" s="31" t="e">
        <f>"TransitTariffVar_"&amp;RIGHT($W441,11)</f>
        <v>#REF!</v>
      </c>
    </row>
    <row r="442" spans="1:24" x14ac:dyDescent="0.25">
      <c r="A442" s="94">
        <f t="shared" ref="A442" si="549">$A438+1</f>
        <v>110</v>
      </c>
      <c r="B442" s="115" t="str">
        <f>IFERROR(INDEX(TBL_TRANSIT[Name],$A442),"")</f>
        <v/>
      </c>
      <c r="C442" s="93" t="str">
        <f t="shared" ref="C442:D442" si="550">IF($B442&lt;&gt;"",C438,"")</f>
        <v/>
      </c>
      <c r="D442" s="93" t="str">
        <f t="shared" si="550"/>
        <v/>
      </c>
      <c r="E442" s="27"/>
      <c r="F442" s="27"/>
      <c r="G442" s="27"/>
      <c r="H442" s="27"/>
      <c r="I442" s="27"/>
      <c r="J442" s="27"/>
      <c r="K442" s="27"/>
      <c r="L442" s="27"/>
      <c r="M442" s="27"/>
      <c r="N442" s="27"/>
      <c r="O442" s="27"/>
      <c r="P442" s="27"/>
      <c r="Q442" s="27"/>
      <c r="R442" s="27"/>
      <c r="S442" s="27"/>
      <c r="T442" s="27"/>
      <c r="U442" s="27"/>
      <c r="V442" s="25"/>
      <c r="W442" s="31" t="e">
        <f>INDEX(TBL_TRANSIT[TransitID],$A442)</f>
        <v>#REF!</v>
      </c>
      <c r="X442" s="31" t="e">
        <f>"TransitCapMin_"&amp;RIGHT($W442,11)</f>
        <v>#REF!</v>
      </c>
    </row>
    <row r="443" spans="1:24" x14ac:dyDescent="0.25">
      <c r="A443" s="94">
        <f t="shared" si="485"/>
        <v>110</v>
      </c>
      <c r="B443" s="116"/>
      <c r="C443" s="93" t="str">
        <f t="shared" ref="C443:D443" si="551">IF($B442&lt;&gt;"",C439,"")</f>
        <v/>
      </c>
      <c r="D443" s="93" t="str">
        <f t="shared" si="551"/>
        <v/>
      </c>
      <c r="E443" s="32"/>
      <c r="F443" s="32"/>
      <c r="G443" s="32"/>
      <c r="H443" s="32"/>
      <c r="I443" s="32"/>
      <c r="J443" s="32"/>
      <c r="K443" s="32"/>
      <c r="L443" s="32"/>
      <c r="M443" s="32"/>
      <c r="N443" s="32"/>
      <c r="O443" s="32"/>
      <c r="P443" s="32"/>
      <c r="Q443" s="32"/>
      <c r="R443" s="32"/>
      <c r="S443" s="32"/>
      <c r="T443" s="32"/>
      <c r="U443" s="32"/>
      <c r="V443" s="26"/>
      <c r="W443" s="31" t="e">
        <f>INDEX(TBL_TRANSIT[TransitID],$A443)</f>
        <v>#REF!</v>
      </c>
      <c r="X443" s="31" t="e">
        <f>"TransitCapMax_"&amp;RIGHT($W443,11)</f>
        <v>#REF!</v>
      </c>
    </row>
    <row r="444" spans="1:24" x14ac:dyDescent="0.25">
      <c r="A444" s="94">
        <f t="shared" si="485"/>
        <v>110</v>
      </c>
      <c r="B444" s="116"/>
      <c r="C444" s="93" t="str">
        <f t="shared" ref="C444:D444" si="552">IF($B442&lt;&gt;"",C440,"")</f>
        <v/>
      </c>
      <c r="D444" s="93" t="str">
        <f t="shared" si="552"/>
        <v/>
      </c>
      <c r="E444" s="27"/>
      <c r="F444" s="27"/>
      <c r="G444" s="27"/>
      <c r="H444" s="27"/>
      <c r="I444" s="27"/>
      <c r="J444" s="27"/>
      <c r="K444" s="27"/>
      <c r="L444" s="27"/>
      <c r="M444" s="27"/>
      <c r="N444" s="27"/>
      <c r="O444" s="27"/>
      <c r="P444" s="27"/>
      <c r="Q444" s="27"/>
      <c r="R444" s="27"/>
      <c r="S444" s="27"/>
      <c r="T444" s="27"/>
      <c r="U444" s="27"/>
      <c r="V444" s="25"/>
      <c r="W444" s="31" t="e">
        <f>INDEX(TBL_TRANSIT[TransitID],$A444)</f>
        <v>#REF!</v>
      </c>
      <c r="X444" s="31" t="e">
        <f>"TransitTariffFixed_"&amp;RIGHT($W444,11)</f>
        <v>#REF!</v>
      </c>
    </row>
    <row r="445" spans="1:24" x14ac:dyDescent="0.25">
      <c r="A445" s="94">
        <f t="shared" si="485"/>
        <v>110</v>
      </c>
      <c r="B445" s="117"/>
      <c r="C445" s="93" t="str">
        <f t="shared" ref="C445:D445" si="553">IF($B442&lt;&gt;"",C441,"")</f>
        <v/>
      </c>
      <c r="D445" s="93" t="str">
        <f t="shared" si="553"/>
        <v/>
      </c>
      <c r="E445" s="32"/>
      <c r="F445" s="32"/>
      <c r="G445" s="32"/>
      <c r="H445" s="32"/>
      <c r="I445" s="32"/>
      <c r="J445" s="32"/>
      <c r="K445" s="32"/>
      <c r="L445" s="32"/>
      <c r="M445" s="32"/>
      <c r="N445" s="32"/>
      <c r="O445" s="32"/>
      <c r="P445" s="32"/>
      <c r="Q445" s="32"/>
      <c r="R445" s="32"/>
      <c r="S445" s="32"/>
      <c r="T445" s="32"/>
      <c r="U445" s="32"/>
      <c r="V445" s="26"/>
      <c r="W445" s="31" t="e">
        <f>INDEX(TBL_TRANSIT[TransitID],$A445)</f>
        <v>#REF!</v>
      </c>
      <c r="X445" s="31" t="e">
        <f>"TransitTariffVar_"&amp;RIGHT($W445,11)</f>
        <v>#REF!</v>
      </c>
    </row>
  </sheetData>
  <mergeCells count="110">
    <mergeCell ref="B438:B441"/>
    <mergeCell ref="B442:B445"/>
    <mergeCell ref="B418:B421"/>
    <mergeCell ref="B422:B425"/>
    <mergeCell ref="B426:B429"/>
    <mergeCell ref="B430:B433"/>
    <mergeCell ref="B434:B437"/>
    <mergeCell ref="B398:B401"/>
    <mergeCell ref="B402:B405"/>
    <mergeCell ref="B406:B409"/>
    <mergeCell ref="B410:B413"/>
    <mergeCell ref="B414:B417"/>
    <mergeCell ref="B378:B381"/>
    <mergeCell ref="B382:B385"/>
    <mergeCell ref="B386:B389"/>
    <mergeCell ref="B390:B393"/>
    <mergeCell ref="B394:B397"/>
    <mergeCell ref="B358:B361"/>
    <mergeCell ref="B362:B365"/>
    <mergeCell ref="B366:B369"/>
    <mergeCell ref="B370:B373"/>
    <mergeCell ref="B374:B377"/>
    <mergeCell ref="B338:B341"/>
    <mergeCell ref="B342:B345"/>
    <mergeCell ref="B346:B349"/>
    <mergeCell ref="B350:B353"/>
    <mergeCell ref="B354:B357"/>
    <mergeCell ref="B318:B321"/>
    <mergeCell ref="B322:B325"/>
    <mergeCell ref="B326:B329"/>
    <mergeCell ref="B330:B333"/>
    <mergeCell ref="B334:B337"/>
    <mergeCell ref="B298:B301"/>
    <mergeCell ref="B302:B305"/>
    <mergeCell ref="B306:B309"/>
    <mergeCell ref="B310:B313"/>
    <mergeCell ref="B314:B317"/>
    <mergeCell ref="B278:B281"/>
    <mergeCell ref="B282:B285"/>
    <mergeCell ref="B286:B289"/>
    <mergeCell ref="B290:B293"/>
    <mergeCell ref="B294:B297"/>
    <mergeCell ref="B258:B261"/>
    <mergeCell ref="B262:B265"/>
    <mergeCell ref="B266:B269"/>
    <mergeCell ref="B270:B273"/>
    <mergeCell ref="B274:B277"/>
    <mergeCell ref="B238:B241"/>
    <mergeCell ref="B242:B245"/>
    <mergeCell ref="B246:B249"/>
    <mergeCell ref="B250:B253"/>
    <mergeCell ref="B254:B257"/>
    <mergeCell ref="B218:B221"/>
    <mergeCell ref="B222:B225"/>
    <mergeCell ref="B226:B229"/>
    <mergeCell ref="B230:B233"/>
    <mergeCell ref="B234:B237"/>
    <mergeCell ref="B198:B201"/>
    <mergeCell ref="B202:B205"/>
    <mergeCell ref="B206:B209"/>
    <mergeCell ref="B210:B213"/>
    <mergeCell ref="B214:B217"/>
    <mergeCell ref="B178:B181"/>
    <mergeCell ref="B182:B185"/>
    <mergeCell ref="B186:B189"/>
    <mergeCell ref="B190:B193"/>
    <mergeCell ref="B194:B197"/>
    <mergeCell ref="B158:B161"/>
    <mergeCell ref="B162:B165"/>
    <mergeCell ref="B166:B169"/>
    <mergeCell ref="B170:B173"/>
    <mergeCell ref="B174:B177"/>
    <mergeCell ref="B138:B141"/>
    <mergeCell ref="B142:B145"/>
    <mergeCell ref="B146:B149"/>
    <mergeCell ref="B150:B153"/>
    <mergeCell ref="B154:B157"/>
    <mergeCell ref="B118:B121"/>
    <mergeCell ref="B122:B125"/>
    <mergeCell ref="B126:B129"/>
    <mergeCell ref="B130:B133"/>
    <mergeCell ref="B134:B137"/>
    <mergeCell ref="B98:B101"/>
    <mergeCell ref="B102:B105"/>
    <mergeCell ref="B106:B109"/>
    <mergeCell ref="B110:B113"/>
    <mergeCell ref="B114:B117"/>
    <mergeCell ref="B78:B81"/>
    <mergeCell ref="B82:B85"/>
    <mergeCell ref="B86:B89"/>
    <mergeCell ref="B90:B93"/>
    <mergeCell ref="B94:B97"/>
    <mergeCell ref="B58:B61"/>
    <mergeCell ref="B62:B65"/>
    <mergeCell ref="B66:B69"/>
    <mergeCell ref="B70:B73"/>
    <mergeCell ref="B74:B77"/>
    <mergeCell ref="B26:B29"/>
    <mergeCell ref="B6:B9"/>
    <mergeCell ref="B10:B13"/>
    <mergeCell ref="B14:B17"/>
    <mergeCell ref="B18:B21"/>
    <mergeCell ref="B22:B25"/>
    <mergeCell ref="B54:B57"/>
    <mergeCell ref="B30:B33"/>
    <mergeCell ref="B34:B37"/>
    <mergeCell ref="B38:B41"/>
    <mergeCell ref="B42:B45"/>
    <mergeCell ref="B46:B49"/>
    <mergeCell ref="B50:B53"/>
  </mergeCells>
  <conditionalFormatting sqref="D6:D7">
    <cfRule type="cellIs" dxfId="86" priority="2" operator="equal">
      <formula>#REF!</formula>
    </cfRule>
  </conditionalFormatting>
  <conditionalFormatting sqref="D8:D9">
    <cfRule type="cellIs" dxfId="85" priority="1" operator="equal">
      <formula>#REF!</formula>
    </cfRule>
  </conditionalFormatting>
  <dataValidations count="2">
    <dataValidation operator="greaterThanOrEqual" allowBlank="1" showInputMessage="1" showErrorMessage="1" sqref="V6:V445" xr:uid="{FE9C5299-8914-4CA8-873C-DCB1DAF6CC6D}"/>
    <dataValidation type="decimal" operator="greaterThanOrEqual" allowBlank="1" showInputMessage="1" showErrorMessage="1" sqref="E6:U445" xr:uid="{393CC6FB-0A72-4FD6-8FBF-E5F38A62575A}">
      <formula1>0</formula1>
    </dataValidation>
  </dataValidations>
  <pageMargins left="0.7" right="0.7" top="0.75" bottom="0.75" header="0.3" footer="0.3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C08F07F-F7B3-4EDC-9846-B23724EFB62C}">
  <sheetPr>
    <tabColor theme="9"/>
  </sheetPr>
  <dimension ref="A1:U7"/>
  <sheetViews>
    <sheetView workbookViewId="0">
      <selection activeCell="C8" sqref="C8"/>
    </sheetView>
  </sheetViews>
  <sheetFormatPr baseColWidth="10" defaultColWidth="9.140625" defaultRowHeight="15" outlineLevelCol="1" x14ac:dyDescent="0.25"/>
  <cols>
    <col min="1" max="1" width="28.5703125" customWidth="1"/>
    <col min="2" max="2" width="19.7109375" customWidth="1"/>
    <col min="3" max="19" width="10.140625" customWidth="1"/>
    <col min="20" max="20" width="83.85546875" customWidth="1"/>
    <col min="21" max="21" width="18.28515625" customWidth="1" outlineLevel="1"/>
  </cols>
  <sheetData>
    <row r="1" spans="1:21" x14ac:dyDescent="0.25">
      <c r="A1" s="1" t="s">
        <v>171</v>
      </c>
    </row>
    <row r="2" spans="1:21" x14ac:dyDescent="0.25">
      <c r="A2" s="1" t="s">
        <v>172</v>
      </c>
    </row>
    <row r="4" spans="1:21" x14ac:dyDescent="0.25">
      <c r="C4" s="118" t="s">
        <v>81</v>
      </c>
    </row>
    <row r="5" spans="1:21" x14ac:dyDescent="0.25">
      <c r="A5" t="s">
        <v>97</v>
      </c>
      <c r="B5" t="s">
        <v>173</v>
      </c>
      <c r="C5" t="s">
        <v>4</v>
      </c>
      <c r="D5" t="s">
        <v>5</v>
      </c>
      <c r="E5" t="s">
        <v>6</v>
      </c>
      <c r="F5" t="s">
        <v>7</v>
      </c>
      <c r="G5" t="s">
        <v>8</v>
      </c>
      <c r="H5" t="s">
        <v>9</v>
      </c>
      <c r="I5" t="s">
        <v>10</v>
      </c>
      <c r="J5" t="s">
        <v>11</v>
      </c>
      <c r="K5" t="s">
        <v>12</v>
      </c>
      <c r="L5" t="s">
        <v>13</v>
      </c>
      <c r="M5" t="s">
        <v>14</v>
      </c>
      <c r="N5" t="s">
        <v>15</v>
      </c>
      <c r="O5" t="s">
        <v>16</v>
      </c>
      <c r="P5" t="s">
        <v>17</v>
      </c>
      <c r="Q5" t="s">
        <v>18</v>
      </c>
      <c r="R5" t="s">
        <v>19</v>
      </c>
      <c r="S5" t="s">
        <v>20</v>
      </c>
      <c r="T5" t="s">
        <v>3</v>
      </c>
      <c r="U5" s="2" t="s">
        <v>98</v>
      </c>
    </row>
    <row r="6" spans="1:21" x14ac:dyDescent="0.25">
      <c r="A6" s="83" t="s">
        <v>55</v>
      </c>
      <c r="B6" s="35">
        <v>200</v>
      </c>
      <c r="C6" s="35">
        <v>190</v>
      </c>
      <c r="D6" s="35"/>
      <c r="E6" s="35"/>
      <c r="F6" s="35"/>
      <c r="G6" s="35"/>
      <c r="H6" s="35"/>
      <c r="I6" s="35"/>
      <c r="J6" s="35"/>
      <c r="K6" s="35"/>
      <c r="L6" s="35"/>
      <c r="M6" s="35"/>
      <c r="N6" s="35"/>
      <c r="O6" s="35"/>
      <c r="P6" s="35"/>
      <c r="Q6" s="35"/>
      <c r="R6" s="35"/>
      <c r="S6" s="35"/>
      <c r="T6" s="20"/>
      <c r="U6" s="21" t="e">
        <f>"Storage_"&amp;TEXT(INDEX([1]!TBL_REGIONS_INDEX[[#This Row],[Region]],LOOKUP(TBL_STORAGE[[#This Row],[Storage]],[1]!TBL_REGIONS_INDEX[[#This Row],[Index]],0)),"000")</f>
        <v>#N/A</v>
      </c>
    </row>
    <row r="7" spans="1:21" x14ac:dyDescent="0.25">
      <c r="A7" s="82" t="s">
        <v>56</v>
      </c>
      <c r="B7" s="35">
        <v>200</v>
      </c>
      <c r="C7" s="35">
        <v>150</v>
      </c>
      <c r="D7" s="35"/>
      <c r="E7" s="35"/>
      <c r="F7" s="35"/>
      <c r="G7" s="35"/>
      <c r="H7" s="35"/>
      <c r="I7" s="35"/>
      <c r="J7" s="35"/>
      <c r="K7" s="35"/>
      <c r="L7" s="35"/>
      <c r="M7" s="35"/>
      <c r="N7" s="35"/>
      <c r="O7" s="35"/>
      <c r="P7" s="35"/>
      <c r="Q7" s="35"/>
      <c r="R7" s="35"/>
      <c r="S7" s="35"/>
      <c r="T7" s="20"/>
      <c r="U7" s="85" t="e">
        <f>"Storage_"&amp;TEXT(INDEX([1]!TBL_REGIONS_INDEX[[#This Row],[Region]],LOOKUP(TBL_STORAGE[[#This Row],[Storage]],[1]!TBL_REGIONS_INDEX[[#This Row],[Index]],0)),"000")</f>
        <v>#VALUE!</v>
      </c>
    </row>
  </sheetData>
  <dataValidations count="2">
    <dataValidation type="custom" allowBlank="1" showInputMessage="1" showErrorMessage="1" sqref="B6:T7" xr:uid="{A944D3C7-E395-4772-8AA4-C81D6282374B}">
      <formula1>COUNTIF($A$6:$A6,$A6)&lt;2</formula1>
    </dataValidation>
    <dataValidation type="list" allowBlank="1" showInputMessage="1" showErrorMessage="1" sqref="A6:A7" xr:uid="{73DD77B9-80E8-4373-A3DC-C300938214BA}">
      <formula1>INDIRECT("TBL_REGIONS_INDEX[Region]")</formula1>
    </dataValidation>
  </dataValidations>
  <pageMargins left="0.7" right="0.7" top="0.75" bottom="0.75" header="0.3" footer="0.3"/>
  <pageSetup paperSize="9" orientation="portrait" r:id="rId1"/>
  <tableParts count="1">
    <tablePart r:id="rId2"/>
  </tableParts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FC48A91-52AF-4847-AD81-7A60D2A59A31}">
  <sheetPr>
    <tabColor theme="9"/>
  </sheetPr>
  <dimension ref="A1:S6"/>
  <sheetViews>
    <sheetView workbookViewId="0">
      <selection activeCell="C7" sqref="C7"/>
    </sheetView>
  </sheetViews>
  <sheetFormatPr baseColWidth="10" defaultColWidth="9.140625" defaultRowHeight="15" x14ac:dyDescent="0.25"/>
  <cols>
    <col min="1" max="1" width="28.5703125" customWidth="1"/>
    <col min="2" max="2" width="10.140625" customWidth="1"/>
    <col min="3" max="3" width="10.140625" bestFit="1" customWidth="1"/>
    <col min="5" max="5" width="9.42578125" customWidth="1"/>
    <col min="9" max="9" width="9.28515625" customWidth="1"/>
    <col min="11" max="11" width="9.28515625" customWidth="1"/>
    <col min="14" max="14" width="9.28515625" customWidth="1"/>
    <col min="17" max="17" width="9.42578125" customWidth="1"/>
    <col min="19" max="19" width="83.85546875" customWidth="1"/>
  </cols>
  <sheetData>
    <row r="1" spans="1:19" x14ac:dyDescent="0.25">
      <c r="A1" s="1" t="s">
        <v>174</v>
      </c>
    </row>
    <row r="2" spans="1:19" x14ac:dyDescent="0.25">
      <c r="A2" s="1" t="s">
        <v>157</v>
      </c>
    </row>
    <row r="4" spans="1:19" x14ac:dyDescent="0.25">
      <c r="A4" s="5" t="s">
        <v>175</v>
      </c>
      <c r="B4" s="51"/>
    </row>
    <row r="5" spans="1:19" x14ac:dyDescent="0.25">
      <c r="A5" t="s">
        <v>158</v>
      </c>
      <c r="B5" s="2" t="s">
        <v>4</v>
      </c>
      <c r="C5" s="2" t="s">
        <v>5</v>
      </c>
      <c r="D5" s="2" t="s">
        <v>6</v>
      </c>
      <c r="E5" s="2" t="s">
        <v>7</v>
      </c>
      <c r="F5" s="2" t="s">
        <v>8</v>
      </c>
      <c r="G5" s="2" t="s">
        <v>9</v>
      </c>
      <c r="H5" s="2" t="s">
        <v>10</v>
      </c>
      <c r="I5" s="2" t="s">
        <v>11</v>
      </c>
      <c r="J5" s="2" t="s">
        <v>12</v>
      </c>
      <c r="K5" s="2" t="s">
        <v>13</v>
      </c>
      <c r="L5" s="2" t="s">
        <v>14</v>
      </c>
      <c r="M5" s="2" t="s">
        <v>15</v>
      </c>
      <c r="N5" s="2" t="s">
        <v>16</v>
      </c>
      <c r="O5" s="2" t="s">
        <v>17</v>
      </c>
      <c r="P5" s="2" t="s">
        <v>18</v>
      </c>
      <c r="Q5" s="2" t="s">
        <v>19</v>
      </c>
      <c r="R5" s="2" t="s">
        <v>20</v>
      </c>
      <c r="S5" s="2" t="s">
        <v>27</v>
      </c>
    </row>
    <row r="6" spans="1:19" x14ac:dyDescent="0.25">
      <c r="A6" s="97" t="s">
        <v>176</v>
      </c>
      <c r="B6" s="119">
        <v>0.9</v>
      </c>
      <c r="C6" s="119">
        <v>0.8</v>
      </c>
      <c r="D6" s="119"/>
      <c r="E6" s="119"/>
      <c r="F6" s="119"/>
      <c r="G6" s="119"/>
      <c r="H6" s="119"/>
      <c r="I6" s="119"/>
      <c r="J6" s="119"/>
      <c r="K6" s="119"/>
      <c r="L6" s="119"/>
      <c r="M6" s="119"/>
      <c r="N6" s="119"/>
      <c r="O6" s="119"/>
      <c r="P6" s="119"/>
      <c r="Q6" s="119"/>
      <c r="R6" s="119"/>
      <c r="S6" s="17"/>
    </row>
  </sheetData>
  <dataValidations count="1">
    <dataValidation type="decimal" allowBlank="1" showInputMessage="1" showErrorMessage="1" sqref="B6:R6" xr:uid="{2753CD7C-228D-4142-AEAA-9818F84BE6B4}">
      <formula1>0</formula1>
      <formula2>1</formula2>
    </dataValidation>
  </dataValidations>
  <pageMargins left="0.7" right="0.7" top="0.75" bottom="0.75" header="0.3" footer="0.3"/>
  <tableParts count="1">
    <tablePart r:id="rId1"/>
  </tableParts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12968A2-8BC4-4F8C-A084-0FE83555B215}">
  <sheetPr>
    <tabColor theme="1"/>
  </sheetPr>
  <dimension ref="A1:J16"/>
  <sheetViews>
    <sheetView workbookViewId="0"/>
  </sheetViews>
  <sheetFormatPr baseColWidth="10" defaultColWidth="9.140625" defaultRowHeight="15" x14ac:dyDescent="0.25"/>
  <cols>
    <col min="1" max="1" width="13.42578125" bestFit="1" customWidth="1"/>
    <col min="2" max="10" width="24.85546875" customWidth="1"/>
  </cols>
  <sheetData>
    <row r="1" spans="1:10" x14ac:dyDescent="0.25">
      <c r="A1" s="1" t="s">
        <v>84</v>
      </c>
    </row>
    <row r="2" spans="1:10" x14ac:dyDescent="0.25">
      <c r="A2" s="1" t="str">
        <f>"Tabelle liest sich: ""1 bcm entspricht "&amp;TEXT($H$8,"0,00")&amp;" TWh."""</f>
        <v>Tabelle liest sich: "1 bcm entspricht 9,77 TWh."</v>
      </c>
    </row>
    <row r="3" spans="1:10" x14ac:dyDescent="0.25">
      <c r="A3" s="1"/>
    </row>
    <row r="4" spans="1:10" x14ac:dyDescent="0.25">
      <c r="A4" s="18" t="s">
        <v>83</v>
      </c>
      <c r="B4" s="33">
        <v>35.17</v>
      </c>
    </row>
    <row r="5" spans="1:10" x14ac:dyDescent="0.25">
      <c r="A5" s="34" t="s">
        <v>120</v>
      </c>
      <c r="B5" s="55">
        <v>1330</v>
      </c>
    </row>
    <row r="6" spans="1:10" ht="15.75" thickBot="1" x14ac:dyDescent="0.3"/>
    <row r="7" spans="1:10" ht="15.75" thickBot="1" x14ac:dyDescent="0.3">
      <c r="A7" s="41"/>
      <c r="B7" s="39" t="str">
        <f t="array" ref="B7:J7">TRANSPOSE($A$8:$A$16)</f>
        <v>bcm</v>
      </c>
      <c r="C7" s="38" t="str">
        <v>mcm</v>
      </c>
      <c r="D7" s="38" t="str">
        <v>cm</v>
      </c>
      <c r="E7" s="38" t="str">
        <v>kWh</v>
      </c>
      <c r="F7" s="38" t="str">
        <v>MWh</v>
      </c>
      <c r="G7" s="38" t="str">
        <v>GWh</v>
      </c>
      <c r="H7" s="38" t="str">
        <v>TWh</v>
      </c>
      <c r="I7" s="63" t="str">
        <v>MMBTU</v>
      </c>
      <c r="J7" s="64" t="str">
        <v>Mt LNG</v>
      </c>
    </row>
    <row r="8" spans="1:10" x14ac:dyDescent="0.25">
      <c r="A8" s="40" t="s">
        <v>76</v>
      </c>
      <c r="B8" s="42">
        <v>1</v>
      </c>
      <c r="C8" s="43">
        <f>B8*1000</f>
        <v>1000</v>
      </c>
      <c r="D8" s="43">
        <f>C8*1000000</f>
        <v>1000000000</v>
      </c>
      <c r="E8" s="49">
        <f>E9*1000</f>
        <v>9769444444.4444466</v>
      </c>
      <c r="F8" s="49">
        <f>E8/1000</f>
        <v>9769444.4444444459</v>
      </c>
      <c r="G8" s="49">
        <f t="shared" ref="G8:H10" si="0">F8/1000</f>
        <v>9769.4444444444453</v>
      </c>
      <c r="H8" s="49">
        <f t="shared" si="0"/>
        <v>9.7694444444444457</v>
      </c>
      <c r="I8" s="62">
        <f>1/B15</f>
        <v>33334728.121419374</v>
      </c>
      <c r="J8" s="65">
        <f>J9*1000</f>
        <v>0.75187969924812037</v>
      </c>
    </row>
    <row r="9" spans="1:10" x14ac:dyDescent="0.25">
      <c r="A9" s="37" t="s">
        <v>77</v>
      </c>
      <c r="B9" s="44">
        <f>1/C8</f>
        <v>1E-3</v>
      </c>
      <c r="C9" s="45">
        <v>1</v>
      </c>
      <c r="D9" s="45">
        <f>C9*1000000</f>
        <v>1000000</v>
      </c>
      <c r="E9" s="48">
        <f>E10*1000000</f>
        <v>9769444.4444444459</v>
      </c>
      <c r="F9" s="48">
        <f>E9/1000</f>
        <v>9769.4444444444453</v>
      </c>
      <c r="G9" s="48">
        <f t="shared" si="0"/>
        <v>9.7694444444444457</v>
      </c>
      <c r="H9" s="48">
        <f t="shared" si="0"/>
        <v>9.7694444444444452E-3</v>
      </c>
      <c r="I9" s="56">
        <f>1/C15</f>
        <v>33334.728121419372</v>
      </c>
      <c r="J9" s="66">
        <f>1/$B$5</f>
        <v>7.5187969924812035E-4</v>
      </c>
    </row>
    <row r="10" spans="1:10" x14ac:dyDescent="0.25">
      <c r="A10" s="37" t="s">
        <v>78</v>
      </c>
      <c r="B10" s="44">
        <f>1/D8</f>
        <v>1.0000000000000001E-9</v>
      </c>
      <c r="C10" s="45">
        <f>1/D9</f>
        <v>9.9999999999999995E-7</v>
      </c>
      <c r="D10" s="45">
        <v>1</v>
      </c>
      <c r="E10" s="48">
        <f>D_GCV/3600*1000</f>
        <v>9.7694444444444457</v>
      </c>
      <c r="F10" s="48">
        <f>E10/1000</f>
        <v>9.7694444444444452E-3</v>
      </c>
      <c r="G10" s="48">
        <f t="shared" si="0"/>
        <v>9.7694444444444457E-6</v>
      </c>
      <c r="H10" s="48">
        <f t="shared" si="0"/>
        <v>9.7694444444444464E-9</v>
      </c>
      <c r="I10" s="56">
        <f>1/D15</f>
        <v>3.3334728121419369E-2</v>
      </c>
      <c r="J10" s="66">
        <f>J9/1000000</f>
        <v>7.5187969924812033E-10</v>
      </c>
    </row>
    <row r="11" spans="1:10" x14ac:dyDescent="0.25">
      <c r="A11" s="37" t="s">
        <v>79</v>
      </c>
      <c r="B11" s="47">
        <f>C11/1000</f>
        <v>1.0235996588001136E-7</v>
      </c>
      <c r="C11" s="48">
        <f>D11/1000</f>
        <v>1.0235996588001136E-4</v>
      </c>
      <c r="D11" s="48">
        <f>1/E10</f>
        <v>0.10235996588001137</v>
      </c>
      <c r="E11" s="46">
        <v>1</v>
      </c>
      <c r="F11" s="46">
        <f>E11/1000</f>
        <v>1E-3</v>
      </c>
      <c r="G11" s="46">
        <f>F11/1000</f>
        <v>9.9999999999999995E-7</v>
      </c>
      <c r="H11" s="46">
        <f>G11/1000</f>
        <v>9.9999999999999986E-10</v>
      </c>
      <c r="I11" s="57">
        <f>1/E15</f>
        <v>3.412141633127942E-3</v>
      </c>
      <c r="J11" s="67">
        <f>1/E16</f>
        <v>7.6962380360910794E-11</v>
      </c>
    </row>
    <row r="12" spans="1:10" x14ac:dyDescent="0.25">
      <c r="A12" s="37" t="s">
        <v>80</v>
      </c>
      <c r="B12" s="47">
        <f t="shared" ref="B12:E14" si="1">B11/1000</f>
        <v>1.0235996588001135E-10</v>
      </c>
      <c r="C12" s="48">
        <f t="shared" si="1"/>
        <v>1.0235996588001136E-7</v>
      </c>
      <c r="D12" s="48">
        <f t="shared" si="1"/>
        <v>1.0235996588001136E-4</v>
      </c>
      <c r="E12" s="46">
        <f t="shared" si="1"/>
        <v>1E-3</v>
      </c>
      <c r="F12" s="46">
        <v>1</v>
      </c>
      <c r="G12" s="46">
        <f>F12/1000</f>
        <v>1E-3</v>
      </c>
      <c r="H12" s="46">
        <f>G12/1000</f>
        <v>9.9999999999999995E-7</v>
      </c>
      <c r="I12" s="57">
        <f>1/F15</f>
        <v>3.4121416331279417</v>
      </c>
      <c r="J12" s="67">
        <f>1/F16</f>
        <v>7.6962380360910799E-8</v>
      </c>
    </row>
    <row r="13" spans="1:10" x14ac:dyDescent="0.25">
      <c r="A13" s="37" t="s">
        <v>81</v>
      </c>
      <c r="B13" s="47">
        <f t="shared" si="1"/>
        <v>1.0235996588001135E-13</v>
      </c>
      <c r="C13" s="48">
        <f t="shared" si="1"/>
        <v>1.0235996588001135E-10</v>
      </c>
      <c r="D13" s="48">
        <f t="shared" si="1"/>
        <v>1.0235996588001136E-7</v>
      </c>
      <c r="E13" s="46">
        <f t="shared" si="1"/>
        <v>9.9999999999999995E-7</v>
      </c>
      <c r="F13" s="46">
        <f>F12/1000</f>
        <v>1E-3</v>
      </c>
      <c r="G13" s="46">
        <v>1</v>
      </c>
      <c r="H13" s="46">
        <f>G13/1000</f>
        <v>1E-3</v>
      </c>
      <c r="I13" s="57">
        <f>1/G15</f>
        <v>3412.141633127942</v>
      </c>
      <c r="J13" s="67">
        <f>1/G16</f>
        <v>7.6962380360910804E-5</v>
      </c>
    </row>
    <row r="14" spans="1:10" x14ac:dyDescent="0.25">
      <c r="A14" s="37" t="s">
        <v>82</v>
      </c>
      <c r="B14" s="47">
        <f t="shared" si="1"/>
        <v>1.0235996588001135E-16</v>
      </c>
      <c r="C14" s="48">
        <f t="shared" si="1"/>
        <v>1.0235996588001135E-13</v>
      </c>
      <c r="D14" s="48">
        <f t="shared" si="1"/>
        <v>1.0235996588001135E-10</v>
      </c>
      <c r="E14" s="46">
        <f t="shared" si="1"/>
        <v>9.9999999999999986E-10</v>
      </c>
      <c r="F14" s="46">
        <f>F13/1000</f>
        <v>9.9999999999999995E-7</v>
      </c>
      <c r="G14" s="46">
        <f>G13/1000</f>
        <v>1E-3</v>
      </c>
      <c r="H14" s="46">
        <v>1</v>
      </c>
      <c r="I14" s="57">
        <f>1/H15</f>
        <v>3412141.6331279422</v>
      </c>
      <c r="J14" s="67">
        <f>1/H16</f>
        <v>7.6962380360910798E-2</v>
      </c>
    </row>
    <row r="15" spans="1:10" x14ac:dyDescent="0.25">
      <c r="A15" s="59" t="s">
        <v>85</v>
      </c>
      <c r="B15" s="58">
        <f>C15/1000</f>
        <v>2.9998744743247079E-8</v>
      </c>
      <c r="C15" s="56">
        <f>D15/1000000</f>
        <v>2.9998744743247079E-5</v>
      </c>
      <c r="D15" s="56">
        <f>D9/E9*E15</f>
        <v>29.99874474324708</v>
      </c>
      <c r="E15" s="57">
        <f>F15*1000</f>
        <v>293.07107017222222</v>
      </c>
      <c r="F15" s="57">
        <f>1055.05585262/3600</f>
        <v>0.29307107017222223</v>
      </c>
      <c r="G15" s="57">
        <f>F15/1000</f>
        <v>2.930710701722222E-4</v>
      </c>
      <c r="H15" s="57">
        <f>G15/1000</f>
        <v>2.9307107017222221E-7</v>
      </c>
      <c r="I15" s="61">
        <v>1</v>
      </c>
      <c r="J15" s="68">
        <f>1/I16</f>
        <v>2.2555447175373747E-8</v>
      </c>
    </row>
    <row r="16" spans="1:10" ht="15.75" thickBot="1" x14ac:dyDescent="0.3">
      <c r="A16" s="60" t="s">
        <v>121</v>
      </c>
      <c r="B16" s="71">
        <f>1/J8</f>
        <v>1.3299999999999998</v>
      </c>
      <c r="C16" s="72">
        <f>1/J9</f>
        <v>1330</v>
      </c>
      <c r="D16" s="72">
        <f>1/J10</f>
        <v>1330000000</v>
      </c>
      <c r="E16" s="70">
        <f>E8/D8*D16</f>
        <v>12993361111.111113</v>
      </c>
      <c r="F16" s="70">
        <f>E16/1000</f>
        <v>12993361.111111112</v>
      </c>
      <c r="G16" s="70">
        <f t="shared" ref="G16" si="2">F16/1000</f>
        <v>12993.361111111111</v>
      </c>
      <c r="H16" s="70">
        <f t="shared" ref="H16" si="3">G16/1000</f>
        <v>12.993361111111112</v>
      </c>
      <c r="I16" s="69">
        <f>I8/H8*H16</f>
        <v>44335188.40148776</v>
      </c>
      <c r="J16" s="36">
        <v>1</v>
      </c>
    </row>
  </sheetData>
  <pageMargins left="0.7" right="0.7" top="0.75" bottom="0.75" header="0.3" footer="0.3"/>
  <pageSetup paperSize="9" orientation="portrait" r:id="rId1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69C22A0-F5EE-472C-A9C6-148BFED26AE6}">
  <sheetPr>
    <tabColor theme="1"/>
  </sheetPr>
  <dimension ref="A1:S7"/>
  <sheetViews>
    <sheetView workbookViewId="0">
      <selection activeCell="J18" sqref="J18"/>
    </sheetView>
  </sheetViews>
  <sheetFormatPr baseColWidth="10" defaultColWidth="9.140625" defaultRowHeight="15" x14ac:dyDescent="0.25"/>
  <cols>
    <col min="1" max="1" width="11" customWidth="1"/>
    <col min="2" max="2" width="9.28515625" customWidth="1"/>
    <col min="5" max="5" width="9.42578125" customWidth="1"/>
    <col min="9" max="9" width="9.28515625" customWidth="1"/>
    <col min="11" max="11" width="9.28515625" customWidth="1"/>
    <col min="14" max="14" width="9.28515625" customWidth="1"/>
    <col min="17" max="17" width="9.42578125" customWidth="1"/>
    <col min="19" max="19" width="19.5703125" customWidth="1"/>
  </cols>
  <sheetData>
    <row r="1" spans="1:19" x14ac:dyDescent="0.25">
      <c r="A1" s="1" t="s">
        <v>118</v>
      </c>
    </row>
    <row r="5" spans="1:19" x14ac:dyDescent="0.25">
      <c r="A5" t="s">
        <v>110</v>
      </c>
      <c r="B5" t="s">
        <v>4</v>
      </c>
      <c r="C5" t="s">
        <v>5</v>
      </c>
      <c r="D5" t="s">
        <v>6</v>
      </c>
      <c r="E5" t="s">
        <v>7</v>
      </c>
      <c r="F5" t="s">
        <v>8</v>
      </c>
      <c r="G5" t="s">
        <v>9</v>
      </c>
      <c r="H5" t="s">
        <v>10</v>
      </c>
      <c r="I5" t="s">
        <v>11</v>
      </c>
      <c r="J5" t="s">
        <v>12</v>
      </c>
      <c r="K5" t="s">
        <v>13</v>
      </c>
      <c r="L5" t="s">
        <v>14</v>
      </c>
      <c r="M5" t="s">
        <v>15</v>
      </c>
      <c r="N5" t="s">
        <v>16</v>
      </c>
      <c r="O5" t="s">
        <v>17</v>
      </c>
      <c r="P5" t="s">
        <v>18</v>
      </c>
      <c r="Q5" t="s">
        <v>19</v>
      </c>
      <c r="R5" t="s">
        <v>20</v>
      </c>
      <c r="S5" t="s">
        <v>27</v>
      </c>
    </row>
    <row r="6" spans="1:19" x14ac:dyDescent="0.25">
      <c r="A6" t="s">
        <v>111</v>
      </c>
      <c r="B6">
        <f>IFERROR(GETPIVOTDATA("Interbank Rate",'External Data'!$A$3,"Month",MONTH(B$5),"Year",YEAR(B$5),"Currency",TBL_FOREX[[#This Row],[Currency]]),A6)</f>
        <v>1.1770229999999999</v>
      </c>
      <c r="C6">
        <f>IFERROR(GETPIVOTDATA("Interbank Rate",'External Data'!$A$3,"Month",MONTH(C$5),"Year",YEAR(C$5),"Currency",TBL_FOREX[[#This Row],[Currency]]),B6)</f>
        <v>1.1773579999999999</v>
      </c>
      <c r="D6">
        <f>IFERROR(GETPIVOTDATA("Interbank Rate",'External Data'!$A$3,"Month",MONTH(D$5),"Year",YEAR(D$5),"Currency",TBL_FOREX[[#This Row],[Currency]]),C6)</f>
        <v>1.158342</v>
      </c>
      <c r="E6">
        <f>IFERROR(GETPIVOTDATA("Interbank Rate",'External Data'!$A$3,"Month",MONTH(E$5),"Year",YEAR(E$5),"Currency",TBL_FOREX[[#This Row],[Currency]]),D6)</f>
        <v>1.158342</v>
      </c>
      <c r="F6">
        <f>IFERROR(GETPIVOTDATA("Interbank Rate",'External Data'!$A$3,"Month",MONTH(F$5),"Year",YEAR(F$5),"Currency",TBL_FOREX[[#This Row],[Currency]]),E6)</f>
        <v>1.158342</v>
      </c>
      <c r="G6">
        <f>IFERROR(GETPIVOTDATA("Interbank Rate",'External Data'!$A$3,"Month",MONTH(G$5),"Year",YEAR(G$5),"Currency",TBL_FOREX[[#This Row],[Currency]]),F6)</f>
        <v>1.158342</v>
      </c>
      <c r="H6">
        <f>IFERROR(GETPIVOTDATA("Interbank Rate",'External Data'!$A$3,"Month",MONTH(H$5),"Year",YEAR(H$5),"Currency",TBL_FOREX[[#This Row],[Currency]]),G6)</f>
        <v>1.158342</v>
      </c>
      <c r="I6">
        <f>IFERROR(GETPIVOTDATA("Interbank Rate",'External Data'!$A$3,"Month",MONTH(I$5),"Year",YEAR(I$5),"Currency",TBL_FOREX[[#This Row],[Currency]]),H6)</f>
        <v>1.158342</v>
      </c>
      <c r="J6">
        <f>IFERROR(GETPIVOTDATA("Interbank Rate",'External Data'!$A$3,"Month",MONTH(J$5),"Year",YEAR(J$5),"Currency",TBL_FOREX[[#This Row],[Currency]]),I6)</f>
        <v>1.158342</v>
      </c>
      <c r="K6">
        <f>IFERROR(GETPIVOTDATA("Interbank Rate",'External Data'!$A$3,"Month",MONTH(K$5),"Year",YEAR(K$5),"Currency",TBL_FOREX[[#This Row],[Currency]]),J6)</f>
        <v>1.158342</v>
      </c>
      <c r="L6">
        <f>IFERROR(GETPIVOTDATA("Interbank Rate",'External Data'!$A$3,"Month",MONTH(L$5),"Year",YEAR(L$5),"Currency",TBL_FOREX[[#This Row],[Currency]]),K6)</f>
        <v>1.158342</v>
      </c>
      <c r="M6">
        <f>IFERROR(GETPIVOTDATA("Interbank Rate",'External Data'!$A$3,"Month",MONTH(M$5),"Year",YEAR(M$5),"Currency",TBL_FOREX[[#This Row],[Currency]]),L6)</f>
        <v>1.158342</v>
      </c>
      <c r="N6">
        <f>IFERROR(GETPIVOTDATA("Interbank Rate",'External Data'!$A$3,"Month",MONTH(N$5),"Year",YEAR(N$5),"Currency",TBL_FOREX[[#This Row],[Currency]]),M6)</f>
        <v>1.158342</v>
      </c>
      <c r="O6">
        <f>IFERROR(GETPIVOTDATA("Interbank Rate",'External Data'!$A$3,"Month",MONTH(O$5),"Year",YEAR(O$5),"Currency",TBL_FOREX[[#This Row],[Currency]]),N6)</f>
        <v>1.158342</v>
      </c>
      <c r="P6">
        <f>IFERROR(GETPIVOTDATA("Interbank Rate",'External Data'!$A$3,"Month",MONTH(P$5),"Year",YEAR(P$5),"Currency",TBL_FOREX[[#This Row],[Currency]]),O6)</f>
        <v>1.158342</v>
      </c>
      <c r="Q6">
        <f>IFERROR(GETPIVOTDATA("Interbank Rate",'External Data'!$A$3,"Month",MONTH(Q$5),"Year",YEAR(Q$5),"Currency",TBL_FOREX[[#This Row],[Currency]]),P6)</f>
        <v>1.158342</v>
      </c>
      <c r="R6">
        <f>IFERROR(GETPIVOTDATA("Interbank Rate",'External Data'!$A$3,"Month",MONTH(R$5),"Year",YEAR(R$5),"Currency",TBL_FOREX[[#This Row],[Currency]]),Q6)</f>
        <v>1.158342</v>
      </c>
      <c r="S6" t="s">
        <v>117</v>
      </c>
    </row>
    <row r="7" spans="1:19" x14ac:dyDescent="0.25">
      <c r="A7" t="s">
        <v>112</v>
      </c>
      <c r="B7">
        <f>IFERROR(GETPIVOTDATA("Interbank Rate",'External Data'!$A$3,"Month",MONTH(B$5),"Year",YEAR(B$5),"Currency",TBL_FOREX[[#This Row],[Currency]]),A7)</f>
        <v>0.85315600000000003</v>
      </c>
      <c r="C7">
        <f>IFERROR(GETPIVOTDATA("Interbank Rate",'External Data'!$A$3,"Month",MONTH(C$5),"Year",YEAR(C$5),"Currency",TBL_FOREX[[#This Row],[Currency]]),B7)</f>
        <v>0.85644299999999995</v>
      </c>
      <c r="D7">
        <f>IFERROR(GETPIVOTDATA("Interbank Rate",'External Data'!$A$3,"Month",MONTH(D$5),"Year",YEAR(D$5),"Currency",TBL_FOREX[[#This Row],[Currency]]),C7)</f>
        <v>0.84920600000000002</v>
      </c>
      <c r="E7">
        <f>IFERROR(GETPIVOTDATA("Interbank Rate",'External Data'!$A$3,"Month",MONTH(E$5),"Year",YEAR(E$5),"Currency",TBL_FOREX[[#This Row],[Currency]]),D7)</f>
        <v>0.84920600000000002</v>
      </c>
      <c r="F7">
        <f>IFERROR(GETPIVOTDATA("Interbank Rate",'External Data'!$A$3,"Month",MONTH(F$5),"Year",YEAR(F$5),"Currency",TBL_FOREX[[#This Row],[Currency]]),E7)</f>
        <v>0.84920600000000002</v>
      </c>
      <c r="G7">
        <f>IFERROR(GETPIVOTDATA("Interbank Rate",'External Data'!$A$3,"Month",MONTH(G$5),"Year",YEAR(G$5),"Currency",TBL_FOREX[[#This Row],[Currency]]),F7)</f>
        <v>0.84920600000000002</v>
      </c>
      <c r="H7">
        <f>IFERROR(GETPIVOTDATA("Interbank Rate",'External Data'!$A$3,"Month",MONTH(H$5),"Year",YEAR(H$5),"Currency",TBL_FOREX[[#This Row],[Currency]]),G7)</f>
        <v>0.84920600000000002</v>
      </c>
      <c r="I7">
        <f>IFERROR(GETPIVOTDATA("Interbank Rate",'External Data'!$A$3,"Month",MONTH(I$5),"Year",YEAR(I$5),"Currency",TBL_FOREX[[#This Row],[Currency]]),H7)</f>
        <v>0.84920600000000002</v>
      </c>
      <c r="J7">
        <f>IFERROR(GETPIVOTDATA("Interbank Rate",'External Data'!$A$3,"Month",MONTH(J$5),"Year",YEAR(J$5),"Currency",TBL_FOREX[[#This Row],[Currency]]),I7)</f>
        <v>0.84920600000000002</v>
      </c>
      <c r="K7">
        <f>IFERROR(GETPIVOTDATA("Interbank Rate",'External Data'!$A$3,"Month",MONTH(K$5),"Year",YEAR(K$5),"Currency",TBL_FOREX[[#This Row],[Currency]]),J7)</f>
        <v>0.84920600000000002</v>
      </c>
      <c r="L7">
        <f>IFERROR(GETPIVOTDATA("Interbank Rate",'External Data'!$A$3,"Month",MONTH(L$5),"Year",YEAR(L$5),"Currency",TBL_FOREX[[#This Row],[Currency]]),K7)</f>
        <v>0.84920600000000002</v>
      </c>
      <c r="M7">
        <f>IFERROR(GETPIVOTDATA("Interbank Rate",'External Data'!$A$3,"Month",MONTH(M$5),"Year",YEAR(M$5),"Currency",TBL_FOREX[[#This Row],[Currency]]),L7)</f>
        <v>0.84920600000000002</v>
      </c>
      <c r="N7">
        <f>IFERROR(GETPIVOTDATA("Interbank Rate",'External Data'!$A$3,"Month",MONTH(N$5),"Year",YEAR(N$5),"Currency",TBL_FOREX[[#This Row],[Currency]]),M7)</f>
        <v>0.84920600000000002</v>
      </c>
      <c r="O7">
        <f>IFERROR(GETPIVOTDATA("Interbank Rate",'External Data'!$A$3,"Month",MONTH(O$5),"Year",YEAR(O$5),"Currency",TBL_FOREX[[#This Row],[Currency]]),N7)</f>
        <v>0.84920600000000002</v>
      </c>
      <c r="P7">
        <f>IFERROR(GETPIVOTDATA("Interbank Rate",'External Data'!$A$3,"Month",MONTH(P$5),"Year",YEAR(P$5),"Currency",TBL_FOREX[[#This Row],[Currency]]),O7)</f>
        <v>0.84920600000000002</v>
      </c>
      <c r="Q7">
        <f>IFERROR(GETPIVOTDATA("Interbank Rate",'External Data'!$A$3,"Month",MONTH(Q$5),"Year",YEAR(Q$5),"Currency",TBL_FOREX[[#This Row],[Currency]]),P7)</f>
        <v>0.84920600000000002</v>
      </c>
      <c r="R7">
        <f>IFERROR(GETPIVOTDATA("Interbank Rate",'External Data'!$A$3,"Month",MONTH(R$5),"Year",YEAR(R$5),"Currency",TBL_FOREX[[#This Row],[Currency]]),Q7)</f>
        <v>0.84920600000000002</v>
      </c>
      <c r="S7" t="s">
        <v>117</v>
      </c>
    </row>
  </sheetData>
  <pageMargins left="0.7" right="0.7" top="0.75" bottom="0.75" header="0.3" footer="0.3"/>
  <tableParts count="1">
    <tablePart r:id="rId1"/>
  </tableParts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E09321F-2D2B-4A9E-902E-C40595B8556C}">
  <sheetPr>
    <tabColor theme="1"/>
  </sheetPr>
  <dimension ref="A5:R6"/>
  <sheetViews>
    <sheetView workbookViewId="0">
      <selection activeCell="H6" sqref="H6"/>
    </sheetView>
  </sheetViews>
  <sheetFormatPr baseColWidth="10" defaultColWidth="9.140625" defaultRowHeight="15" x14ac:dyDescent="0.25"/>
  <sheetData>
    <row r="5" spans="1:18" x14ac:dyDescent="0.25">
      <c r="A5" s="5" t="s">
        <v>166</v>
      </c>
      <c r="B5" s="101" t="s">
        <v>4</v>
      </c>
      <c r="C5" s="101" t="s">
        <v>5</v>
      </c>
      <c r="D5" s="101" t="s">
        <v>6</v>
      </c>
      <c r="E5" s="101" t="s">
        <v>7</v>
      </c>
      <c r="F5" s="101" t="s">
        <v>8</v>
      </c>
      <c r="G5" s="101" t="s">
        <v>9</v>
      </c>
      <c r="H5" s="101" t="s">
        <v>10</v>
      </c>
      <c r="I5" s="101" t="s">
        <v>11</v>
      </c>
      <c r="J5" s="101" t="s">
        <v>12</v>
      </c>
      <c r="K5" s="101" t="s">
        <v>13</v>
      </c>
      <c r="L5" s="101" t="s">
        <v>14</v>
      </c>
      <c r="M5" s="101" t="s">
        <v>15</v>
      </c>
      <c r="N5" s="101" t="s">
        <v>16</v>
      </c>
      <c r="O5" s="101" t="s">
        <v>17</v>
      </c>
      <c r="P5" s="101" t="s">
        <v>18</v>
      </c>
      <c r="Q5" s="101" t="s">
        <v>19</v>
      </c>
      <c r="R5" s="101" t="s">
        <v>20</v>
      </c>
    </row>
    <row r="6" spans="1:18" x14ac:dyDescent="0.25">
      <c r="A6" s="5" t="s">
        <v>167</v>
      </c>
      <c r="B6" s="102">
        <v>31</v>
      </c>
      <c r="C6" s="102">
        <v>30</v>
      </c>
      <c r="D6" s="102">
        <v>31</v>
      </c>
      <c r="E6" s="102">
        <v>30</v>
      </c>
      <c r="F6" s="102">
        <v>31</v>
      </c>
      <c r="G6" s="102">
        <v>31</v>
      </c>
      <c r="H6" s="102">
        <v>28</v>
      </c>
      <c r="I6" s="102">
        <v>31</v>
      </c>
      <c r="J6" s="102">
        <v>30</v>
      </c>
      <c r="K6" s="102">
        <v>31</v>
      </c>
      <c r="L6" s="102">
        <v>30</v>
      </c>
      <c r="M6" s="102">
        <v>31</v>
      </c>
      <c r="N6" s="102">
        <v>31</v>
      </c>
      <c r="O6" s="102">
        <v>30</v>
      </c>
      <c r="P6" s="102">
        <v>31</v>
      </c>
      <c r="Q6" s="102">
        <v>30</v>
      </c>
      <c r="R6" s="102">
        <v>31</v>
      </c>
    </row>
  </sheetData>
  <pageMargins left="0.7" right="0.7" top="0.75" bottom="0.75" header="0.3" footer="0.3"/>
  <pageSetup paperSize="9" orientation="portrait" r:id="rId1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FBB1920-16B7-4691-9FEE-27BAD382BB08}">
  <dimension ref="A1:C11"/>
  <sheetViews>
    <sheetView workbookViewId="0"/>
  </sheetViews>
  <sheetFormatPr baseColWidth="10" defaultColWidth="9.140625" defaultRowHeight="15" x14ac:dyDescent="0.25"/>
  <cols>
    <col min="1" max="1" width="20.85546875" bestFit="1" customWidth="1"/>
    <col min="2" max="2" width="16.28515625" bestFit="1" customWidth="1"/>
    <col min="3" max="3" width="9" bestFit="1" customWidth="1"/>
    <col min="4" max="4" width="11.28515625" bestFit="1" customWidth="1"/>
  </cols>
  <sheetData>
    <row r="1" spans="1:3" x14ac:dyDescent="0.25">
      <c r="A1" s="1" t="s">
        <v>113</v>
      </c>
    </row>
    <row r="3" spans="1:3" x14ac:dyDescent="0.25">
      <c r="A3" s="52" t="s">
        <v>116</v>
      </c>
      <c r="B3" s="52" t="s">
        <v>114</v>
      </c>
    </row>
    <row r="4" spans="1:3" x14ac:dyDescent="0.25">
      <c r="A4" s="52" t="s">
        <v>115</v>
      </c>
      <c r="B4" t="s">
        <v>112</v>
      </c>
      <c r="C4" t="s">
        <v>111</v>
      </c>
    </row>
    <row r="5" spans="1:3" x14ac:dyDescent="0.25">
      <c r="A5" s="53">
        <v>2021</v>
      </c>
      <c r="B5" s="50"/>
      <c r="C5" s="50"/>
    </row>
    <row r="6" spans="1:3" x14ac:dyDescent="0.25">
      <c r="A6" s="54">
        <v>5</v>
      </c>
      <c r="B6" s="50">
        <v>0.86335700000000004</v>
      </c>
      <c r="C6" s="50">
        <v>1.2146490000000001</v>
      </c>
    </row>
    <row r="7" spans="1:3" x14ac:dyDescent="0.25">
      <c r="A7" s="54">
        <v>6</v>
      </c>
      <c r="B7" s="50">
        <v>0.85900900000000002</v>
      </c>
      <c r="C7" s="50">
        <v>1.2039260000000001</v>
      </c>
    </row>
    <row r="8" spans="1:3" x14ac:dyDescent="0.25">
      <c r="A8" s="54">
        <v>7</v>
      </c>
      <c r="B8" s="50">
        <v>0.85619400000000001</v>
      </c>
      <c r="C8" s="50">
        <v>1.1825410000000001</v>
      </c>
    </row>
    <row r="9" spans="1:3" x14ac:dyDescent="0.25">
      <c r="A9" s="54">
        <v>8</v>
      </c>
      <c r="B9" s="50">
        <v>0.85315600000000003</v>
      </c>
      <c r="C9" s="50">
        <v>1.1770229999999999</v>
      </c>
    </row>
    <row r="10" spans="1:3" x14ac:dyDescent="0.25">
      <c r="A10" s="54">
        <v>9</v>
      </c>
      <c r="B10" s="50">
        <v>0.85644299999999995</v>
      </c>
      <c r="C10" s="50">
        <v>1.1773579999999999</v>
      </c>
    </row>
    <row r="11" spans="1:3" x14ac:dyDescent="0.25">
      <c r="A11" s="54">
        <v>10</v>
      </c>
      <c r="B11" s="50">
        <v>0.84920600000000002</v>
      </c>
      <c r="C11" s="50">
        <v>1.158342</v>
      </c>
    </row>
  </sheetData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62B4014B-2C1E-4689-8118-3B59828B6393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4" baseType="variant">
      <vt:variant>
        <vt:lpstr>Arbeitsblätter</vt:lpstr>
      </vt:variant>
      <vt:variant>
        <vt:i4>26</vt:i4>
      </vt:variant>
      <vt:variant>
        <vt:lpstr>Benannte Bereiche</vt:lpstr>
      </vt:variant>
      <vt:variant>
        <vt:i4>5</vt:i4>
      </vt:variant>
    </vt:vector>
  </HeadingPairs>
  <TitlesOfParts>
    <vt:vector size="31" baseType="lpstr">
      <vt:lpstr>Instructions</vt:lpstr>
      <vt:lpstr>Proposed Data Collection</vt:lpstr>
      <vt:lpstr>Scenario</vt:lpstr>
      <vt:lpstr>LNG &gt; Price Curve</vt:lpstr>
      <vt:lpstr>LNG &gt; Other Demand</vt:lpstr>
      <vt:lpstr>Regions &gt; Index</vt:lpstr>
      <vt:lpstr>Regions &gt; Demand</vt:lpstr>
      <vt:lpstr>Regions &gt; Production</vt:lpstr>
      <vt:lpstr>Piped Importers &gt; Index</vt:lpstr>
      <vt:lpstr>Piped Importers &gt; Production</vt:lpstr>
      <vt:lpstr>Piped Importers &gt; Connections</vt:lpstr>
      <vt:lpstr>Piped Importers &gt; Data</vt:lpstr>
      <vt:lpstr>LNG Importers &gt; Index</vt:lpstr>
      <vt:lpstr>LNG Importers &gt; Connections</vt:lpstr>
      <vt:lpstr>LNG Importers &gt; Data</vt:lpstr>
      <vt:lpstr>Piped Exporters &gt; Index</vt:lpstr>
      <vt:lpstr>Piped Exporters &gt; Demand</vt:lpstr>
      <vt:lpstr>Piped Exporters &gt; Connections</vt:lpstr>
      <vt:lpstr>Connections &gt; Index</vt:lpstr>
      <vt:lpstr>Connections &gt; Data</vt:lpstr>
      <vt:lpstr>Storage &gt; Index</vt:lpstr>
      <vt:lpstr>Storage &gt; Target Balance</vt:lpstr>
      <vt:lpstr>Unit Conversions</vt:lpstr>
      <vt:lpstr>Forex Conversions</vt:lpstr>
      <vt:lpstr>Cycles</vt:lpstr>
      <vt:lpstr>External Data</vt:lpstr>
      <vt:lpstr>CYCLE_LIST</vt:lpstr>
      <vt:lpstr>D_GCV</vt:lpstr>
      <vt:lpstr>D_LNG_CONV</vt:lpstr>
      <vt:lpstr>D_SCENARIO</vt:lpstr>
      <vt:lpstr>D_SCENARIO_COMMENTS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Flo</dc:creator>
  <cp:lastModifiedBy>Flo</cp:lastModifiedBy>
  <dcterms:created xsi:type="dcterms:W3CDTF">2021-10-18T19:32:11Z</dcterms:created>
  <dcterms:modified xsi:type="dcterms:W3CDTF">2021-10-28T15:50:45Z</dcterms:modified>
</cp:coreProperties>
</file>