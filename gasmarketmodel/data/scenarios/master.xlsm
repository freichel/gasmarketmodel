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000E3C7C-418F-4D79-87A1-83CBFD0D16EC}" xr6:coauthVersionLast="47" xr6:coauthVersionMax="47" xr10:uidLastSave="{00000000-0000-0000-0000-000000000000}"/>
  <bookViews>
    <workbookView xWindow="-120" yWindow="-120" windowWidth="29040" windowHeight="15990" firstSheet="19" activeTab="20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11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1" l="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10" i="8"/>
  <c r="C9" i="8"/>
  <c r="C8" i="8"/>
  <c r="C7" i="8"/>
  <c r="C6" i="8"/>
  <c r="R7" i="8" l="1"/>
  <c r="R6" i="8"/>
  <c r="D7" i="8" l="1"/>
  <c r="E7" i="8"/>
  <c r="F7" i="8"/>
  <c r="G7" i="8"/>
  <c r="H7" i="8"/>
  <c r="I7" i="8"/>
  <c r="J7" i="8"/>
  <c r="K7" i="8"/>
  <c r="L7" i="8"/>
  <c r="N7" i="8"/>
  <c r="O7" i="8"/>
  <c r="P7" i="8"/>
  <c r="Q7" i="8"/>
  <c r="S7" i="8"/>
  <c r="M10" i="8"/>
  <c r="M8" i="8"/>
  <c r="F75" i="15"/>
  <c r="F71" i="15"/>
  <c r="F67" i="15"/>
  <c r="F63" i="15"/>
  <c r="F59" i="15"/>
  <c r="F55" i="15"/>
  <c r="F51" i="15"/>
  <c r="F47" i="15"/>
  <c r="F43" i="15"/>
  <c r="F39" i="15"/>
  <c r="F35" i="15"/>
  <c r="F31" i="15"/>
  <c r="F27" i="15"/>
  <c r="F23" i="15"/>
  <c r="F19" i="15"/>
  <c r="F15" i="15"/>
  <c r="F11" i="15"/>
  <c r="F7" i="15"/>
  <c r="F115" i="19"/>
  <c r="F111" i="19"/>
  <c r="F107" i="19"/>
  <c r="F103" i="19"/>
  <c r="F99" i="19"/>
  <c r="F95" i="19"/>
  <c r="F91" i="19"/>
  <c r="F87" i="19"/>
  <c r="F83" i="19"/>
  <c r="F79" i="19"/>
  <c r="F75" i="19"/>
  <c r="F71" i="19"/>
  <c r="F67" i="19"/>
  <c r="F63" i="19"/>
  <c r="F59" i="19"/>
  <c r="F55" i="19"/>
  <c r="F51" i="19"/>
  <c r="F47" i="19"/>
  <c r="F43" i="19"/>
  <c r="F39" i="19"/>
  <c r="F35" i="19"/>
  <c r="F31" i="19"/>
  <c r="F27" i="19"/>
  <c r="F23" i="19"/>
  <c r="F19" i="19"/>
  <c r="F15" i="19"/>
  <c r="F11" i="19"/>
  <c r="F7" i="19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D317" i="10"/>
  <c r="A316" i="10"/>
  <c r="A317" i="10" s="1"/>
  <c r="W317" i="10" s="1"/>
  <c r="X317" i="10" s="1"/>
  <c r="A315" i="10"/>
  <c r="W315" i="10" s="1"/>
  <c r="X315" i="10" s="1"/>
  <c r="W314" i="10"/>
  <c r="X314" i="10" s="1"/>
  <c r="C314" i="10"/>
  <c r="B314" i="10"/>
  <c r="C317" i="10" s="1"/>
  <c r="A314" i="10"/>
  <c r="A318" i="10" s="1"/>
  <c r="C311" i="10"/>
  <c r="A311" i="10"/>
  <c r="A312" i="10" s="1"/>
  <c r="W310" i="10"/>
  <c r="X310" i="10" s="1"/>
  <c r="B310" i="10"/>
  <c r="D312" i="10" s="1"/>
  <c r="D235" i="10"/>
  <c r="C235" i="10"/>
  <c r="X231" i="10"/>
  <c r="W231" i="10"/>
  <c r="D135" i="10"/>
  <c r="C135" i="10"/>
  <c r="W131" i="10"/>
  <c r="X131" i="10" s="1"/>
  <c r="D35" i="10"/>
  <c r="C35" i="10"/>
  <c r="W31" i="10"/>
  <c r="X31" i="10" s="1"/>
  <c r="A32" i="10"/>
  <c r="A132" i="10"/>
  <c r="A232" i="10"/>
  <c r="D10" i="8"/>
  <c r="D9" i="8"/>
  <c r="D8" i="8"/>
  <c r="D6" i="8"/>
  <c r="W318" i="10" l="1"/>
  <c r="X318" i="10" s="1"/>
  <c r="B318" i="10"/>
  <c r="A322" i="10"/>
  <c r="A319" i="10"/>
  <c r="W312" i="10"/>
  <c r="X312" i="10" s="1"/>
  <c r="A313" i="10"/>
  <c r="W313" i="10" s="1"/>
  <c r="X313" i="10" s="1"/>
  <c r="D311" i="10"/>
  <c r="D314" i="10"/>
  <c r="W311" i="10"/>
  <c r="X311" i="10" s="1"/>
  <c r="C313" i="10"/>
  <c r="C316" i="10"/>
  <c r="C310" i="10"/>
  <c r="D313" i="10"/>
  <c r="D316" i="10"/>
  <c r="D310" i="10"/>
  <c r="W316" i="10"/>
  <c r="X316" i="10" s="1"/>
  <c r="C312" i="10"/>
  <c r="C315" i="10"/>
  <c r="D315" i="10"/>
  <c r="A320" i="10" l="1"/>
  <c r="W319" i="10"/>
  <c r="X319" i="10" s="1"/>
  <c r="C320" i="10"/>
  <c r="D318" i="10"/>
  <c r="C318" i="10"/>
  <c r="D319" i="10"/>
  <c r="D321" i="10"/>
  <c r="C319" i="10"/>
  <c r="D320" i="10"/>
  <c r="C321" i="10"/>
  <c r="E6" i="8" l="1"/>
  <c r="F6" i="8"/>
  <c r="G6" i="8"/>
  <c r="H6" i="8"/>
  <c r="I6" i="8"/>
  <c r="J6" i="8"/>
  <c r="K6" i="8"/>
  <c r="L6" i="8"/>
  <c r="M6" i="8"/>
  <c r="N6" i="8"/>
  <c r="O6" i="8"/>
  <c r="P6" i="8"/>
  <c r="Q6" i="8"/>
  <c r="S6" i="8"/>
  <c r="U9" i="1"/>
  <c r="E10" i="8" l="1"/>
  <c r="F10" i="8"/>
  <c r="G10" i="8"/>
  <c r="H10" i="8"/>
  <c r="I10" i="8"/>
  <c r="J10" i="8"/>
  <c r="K10" i="8"/>
  <c r="L10" i="8"/>
  <c r="N10" i="8"/>
  <c r="O10" i="8"/>
  <c r="P10" i="8"/>
  <c r="Q10" i="8"/>
  <c r="R10" i="8"/>
  <c r="S10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E8" i="8"/>
  <c r="F8" i="8"/>
  <c r="G8" i="8"/>
  <c r="H8" i="8"/>
  <c r="I8" i="8"/>
  <c r="J8" i="8"/>
  <c r="K8" i="8"/>
  <c r="L8" i="8"/>
  <c r="N8" i="8"/>
  <c r="O8" i="8"/>
  <c r="P8" i="8"/>
  <c r="Q8" i="8"/>
  <c r="R8" i="8"/>
  <c r="S8" i="8"/>
  <c r="I6" i="9" l="1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B7" i="32" l="1"/>
  <c r="F7" i="32" s="1"/>
  <c r="U11" i="1"/>
  <c r="U13" i="1"/>
  <c r="U14" i="1"/>
  <c r="U21" i="1"/>
  <c r="U22" i="1"/>
  <c r="U29" i="1"/>
  <c r="U30" i="1"/>
  <c r="U34" i="1"/>
  <c r="U10" i="1"/>
  <c r="U12" i="1"/>
  <c r="U15" i="1"/>
  <c r="U16" i="1"/>
  <c r="U17" i="1"/>
  <c r="U18" i="1"/>
  <c r="U19" i="1"/>
  <c r="U20" i="1"/>
  <c r="U23" i="1"/>
  <c r="U24" i="1"/>
  <c r="U25" i="1"/>
  <c r="U26" i="1"/>
  <c r="U27" i="1"/>
  <c r="U28" i="1"/>
  <c r="U31" i="1"/>
  <c r="U32" i="1"/>
  <c r="U33" i="1"/>
  <c r="B10" i="6" l="1"/>
  <c r="F10" i="6" s="1"/>
  <c r="B9" i="6"/>
  <c r="F9" i="6" s="1"/>
  <c r="B8" i="6"/>
  <c r="F8" i="6"/>
  <c r="B7" i="6"/>
  <c r="F7" i="6"/>
  <c r="J6" i="18" l="1"/>
  <c r="B14" i="18" l="1"/>
  <c r="B7" i="17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5" i="17"/>
  <c r="D16" i="17"/>
  <c r="D17" i="17"/>
  <c r="D18" i="17"/>
  <c r="D19" i="17"/>
  <c r="D23" i="17"/>
  <c r="D25" i="17"/>
  <c r="D27" i="17"/>
  <c r="D31" i="17"/>
  <c r="D33" i="17"/>
  <c r="B30" i="18" l="1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8" i="2"/>
  <c r="B9" i="2"/>
  <c r="B10" i="2"/>
  <c r="B11" i="2"/>
  <c r="E11" i="2" s="1"/>
  <c r="B12" i="2"/>
  <c r="B13" i="2"/>
  <c r="B14" i="2"/>
  <c r="B15" i="2"/>
  <c r="B16" i="2"/>
  <c r="V7" i="21" s="1"/>
  <c r="B17" i="2"/>
  <c r="B18" i="2"/>
  <c r="E18" i="2" s="1"/>
  <c r="B19" i="2"/>
  <c r="B20" i="2"/>
  <c r="D8" i="9" s="1"/>
  <c r="B21" i="2"/>
  <c r="V11" i="21" s="1"/>
  <c r="B22" i="2"/>
  <c r="B23" i="2"/>
  <c r="B24" i="2"/>
  <c r="B25" i="2"/>
  <c r="B26" i="2"/>
  <c r="D13" i="9" s="1"/>
  <c r="B27" i="2"/>
  <c r="B28" i="2"/>
  <c r="D7" i="9" s="1"/>
  <c r="B29" i="2"/>
  <c r="E29" i="2" s="1"/>
  <c r="B30" i="2"/>
  <c r="V14" i="21" s="1"/>
  <c r="B31" i="2"/>
  <c r="B32" i="2"/>
  <c r="B33" i="2"/>
  <c r="V20" i="21" s="1"/>
  <c r="B34" i="2"/>
  <c r="B35" i="2"/>
  <c r="B36" i="2"/>
  <c r="E36" i="2" s="1"/>
  <c r="B37" i="2"/>
  <c r="B38" i="2"/>
  <c r="B39" i="2"/>
  <c r="B40" i="2"/>
  <c r="E7" i="2"/>
  <c r="E9" i="2"/>
  <c r="E10" i="2"/>
  <c r="E17" i="2"/>
  <c r="E25" i="2"/>
  <c r="E33" i="2"/>
  <c r="D20" i="18" l="1"/>
  <c r="I20" i="18" s="1"/>
  <c r="V19" i="21"/>
  <c r="E13" i="2"/>
  <c r="D17" i="9"/>
  <c r="D18" i="9"/>
  <c r="V22" i="21"/>
  <c r="D12" i="18"/>
  <c r="I12" i="18" s="1"/>
  <c r="D25" i="9"/>
  <c r="D26" i="9"/>
  <c r="E27" i="2"/>
  <c r="V16" i="21"/>
  <c r="E19" i="2"/>
  <c r="V23" i="21"/>
  <c r="B23" i="9"/>
  <c r="B22" i="9"/>
  <c r="D9" i="9"/>
  <c r="B25" i="9"/>
  <c r="B10" i="8"/>
  <c r="U10" i="8" s="1"/>
  <c r="V12" i="21"/>
  <c r="D28" i="9"/>
  <c r="D10" i="9"/>
  <c r="D11" i="9"/>
  <c r="D12" i="9"/>
  <c r="V13" i="21"/>
  <c r="D14" i="9"/>
  <c r="B20" i="9"/>
  <c r="B9" i="8"/>
  <c r="U9" i="8" s="1"/>
  <c r="V17" i="21"/>
  <c r="B21" i="9"/>
  <c r="B17" i="9"/>
  <c r="H17" i="9" s="1"/>
  <c r="B18" i="9"/>
  <c r="H18" i="9" s="1"/>
  <c r="B8" i="8"/>
  <c r="U8" i="8" s="1"/>
  <c r="B8" i="5"/>
  <c r="U8" i="5" s="1"/>
  <c r="D23" i="9"/>
  <c r="D27" i="9"/>
  <c r="V8" i="21"/>
  <c r="D7" i="34"/>
  <c r="B8" i="1"/>
  <c r="U8" i="1" s="1"/>
  <c r="D24" i="9"/>
  <c r="V24" i="21"/>
  <c r="E32" i="2"/>
  <c r="V9" i="21"/>
  <c r="E24" i="2"/>
  <c r="V21" i="21"/>
  <c r="D29" i="9"/>
  <c r="V10" i="21"/>
  <c r="B13" i="9"/>
  <c r="H13" i="9" s="1"/>
  <c r="B29" i="9"/>
  <c r="D6" i="9"/>
  <c r="B15" i="9"/>
  <c r="B16" i="9"/>
  <c r="B7" i="9"/>
  <c r="H7" i="9" s="1"/>
  <c r="B24" i="9"/>
  <c r="B28" i="9"/>
  <c r="B8" i="9"/>
  <c r="H8" i="9" s="1"/>
  <c r="B27" i="9"/>
  <c r="B10" i="9"/>
  <c r="H10" i="9" s="1"/>
  <c r="B26" i="9"/>
  <c r="H26" i="9" s="1"/>
  <c r="B11" i="9"/>
  <c r="H11" i="9" s="1"/>
  <c r="V6" i="21"/>
  <c r="B7" i="8"/>
  <c r="U7" i="8" s="1"/>
  <c r="B7" i="34"/>
  <c r="H7" i="34" s="1"/>
  <c r="B7" i="33"/>
  <c r="U7" i="33" s="1"/>
  <c r="B7" i="1"/>
  <c r="U7" i="1" s="1"/>
  <c r="D19" i="9"/>
  <c r="V25" i="21"/>
  <c r="D15" i="9"/>
  <c r="D16" i="9"/>
  <c r="V18" i="21"/>
  <c r="D21" i="9"/>
  <c r="D20" i="9"/>
  <c r="D22" i="9"/>
  <c r="V15" i="2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0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B53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I45" i="12" s="1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I22" i="12" s="1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3" i="12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I51" i="12" s="1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I21" i="12" s="1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H22" i="9" l="1"/>
  <c r="H28" i="9"/>
  <c r="K28" i="9"/>
  <c r="H23" i="9"/>
  <c r="H27" i="9"/>
  <c r="K27" i="9"/>
  <c r="H29" i="9"/>
  <c r="K29" i="9"/>
  <c r="H24" i="9"/>
  <c r="H21" i="9"/>
  <c r="H16" i="9"/>
  <c r="H15" i="9"/>
  <c r="H20" i="9"/>
  <c r="H25" i="9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53" i="12"/>
  <c r="I13" i="12"/>
  <c r="I10" i="12"/>
  <c r="I39" i="12"/>
  <c r="I30" i="12"/>
  <c r="I27" i="12"/>
  <c r="I54" i="12"/>
  <c r="I49" i="12"/>
  <c r="B6" i="34"/>
  <c r="D6" i="34"/>
  <c r="B6" i="32"/>
  <c r="F6" i="32" s="1"/>
  <c r="B6" i="2"/>
  <c r="B6" i="33" s="1"/>
  <c r="U6" i="33" s="1"/>
  <c r="E10" i="16"/>
  <c r="E9" i="16" s="1"/>
  <c r="D9" i="16"/>
  <c r="C10" i="16" s="1"/>
  <c r="J9" i="16"/>
  <c r="C16" i="16" s="1"/>
  <c r="B7" i="16" a="1"/>
  <c r="B7" i="16" s="1"/>
  <c r="B6" i="19"/>
  <c r="A10" i="19"/>
  <c r="B10" i="19" s="1"/>
  <c r="A7" i="19"/>
  <c r="A8" i="19" s="1"/>
  <c r="B6" i="17"/>
  <c r="B6" i="18" s="1"/>
  <c r="F15" i="16"/>
  <c r="I12" i="16" s="1"/>
  <c r="H13" i="16"/>
  <c r="G12" i="16"/>
  <c r="H12" i="16" s="1"/>
  <c r="F11" i="16"/>
  <c r="G11" i="16" s="1"/>
  <c r="H11" i="16" s="1"/>
  <c r="C8" i="16"/>
  <c r="B9" i="16" s="1"/>
  <c r="G14" i="16"/>
  <c r="F13" i="16"/>
  <c r="F14" i="16" s="1"/>
  <c r="E12" i="16"/>
  <c r="E13" i="16" s="1"/>
  <c r="E14" i="16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C6" i="25"/>
  <c r="E6" i="25"/>
  <c r="E7" i="25"/>
  <c r="B6" i="25"/>
  <c r="C7" i="25"/>
  <c r="B7" i="25"/>
  <c r="D6" i="25"/>
  <c r="D7" i="25"/>
  <c r="B6" i="9" l="1"/>
  <c r="H6" i="9" s="1"/>
  <c r="B14" i="9"/>
  <c r="H14" i="9" s="1"/>
  <c r="B12" i="9"/>
  <c r="H12" i="9" s="1"/>
  <c r="B9" i="9"/>
  <c r="H9" i="9" s="1"/>
  <c r="B19" i="9"/>
  <c r="H19" i="9" s="1"/>
  <c r="E6" i="2"/>
  <c r="D8" i="16"/>
  <c r="J8" i="16"/>
  <c r="B16" i="16" s="1"/>
  <c r="H6" i="34"/>
  <c r="I6" i="12"/>
  <c r="J33" i="12" s="1"/>
  <c r="D6" i="17"/>
  <c r="F10" i="16"/>
  <c r="G10" i="16" s="1"/>
  <c r="H10" i="16" s="1"/>
  <c r="B6" i="1"/>
  <c r="U6" i="1" s="1"/>
  <c r="B6" i="8"/>
  <c r="U6" i="8" s="1"/>
  <c r="D6" i="18"/>
  <c r="I6" i="18" s="1"/>
  <c r="J10" i="16"/>
  <c r="D16" i="16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E15" i="16"/>
  <c r="I11" i="16" s="1"/>
  <c r="G15" i="16"/>
  <c r="B10" i="16"/>
  <c r="D11" i="16"/>
  <c r="C10" i="15"/>
  <c r="D13" i="15"/>
  <c r="C13" i="15"/>
  <c r="C11" i="15"/>
  <c r="D12" i="15"/>
  <c r="C12" i="15"/>
  <c r="D11" i="15"/>
  <c r="A11" i="15"/>
  <c r="A14" i="15"/>
  <c r="F6" i="25"/>
  <c r="F7" i="25"/>
  <c r="J8" i="12" l="1"/>
  <c r="J16" i="12"/>
  <c r="J55" i="12"/>
  <c r="J39" i="12"/>
  <c r="J40" i="12"/>
  <c r="J14" i="12"/>
  <c r="J48" i="12"/>
  <c r="J13" i="12"/>
  <c r="L13" i="12" s="1"/>
  <c r="J46" i="12"/>
  <c r="J56" i="12"/>
  <c r="J42" i="12"/>
  <c r="J35" i="12"/>
  <c r="J15" i="12"/>
  <c r="J53" i="12"/>
  <c r="J19" i="12"/>
  <c r="J7" i="12"/>
  <c r="L7" i="12" s="1"/>
  <c r="J23" i="12"/>
  <c r="J43" i="12"/>
  <c r="J58" i="12"/>
  <c r="J59" i="12"/>
  <c r="J37" i="12"/>
  <c r="J6" i="12"/>
  <c r="J24" i="12"/>
  <c r="J28" i="12"/>
  <c r="L28" i="12" s="1"/>
  <c r="J51" i="12"/>
  <c r="J34" i="12"/>
  <c r="J45" i="12"/>
  <c r="J25" i="12"/>
  <c r="J26" i="12"/>
  <c r="J22" i="12"/>
  <c r="J21" i="12"/>
  <c r="J20" i="12"/>
  <c r="L20" i="12" s="1"/>
  <c r="J30" i="12"/>
  <c r="J36" i="12"/>
  <c r="J38" i="12"/>
  <c r="J49" i="12"/>
  <c r="J12" i="12"/>
  <c r="J41" i="12"/>
  <c r="J31" i="12"/>
  <c r="J60" i="12"/>
  <c r="L60" i="12" s="1"/>
  <c r="J11" i="12"/>
  <c r="J18" i="12"/>
  <c r="J52" i="12"/>
  <c r="J50" i="12"/>
  <c r="J54" i="12"/>
  <c r="J44" i="12"/>
  <c r="J32" i="12"/>
  <c r="J10" i="12"/>
  <c r="L10" i="12" s="1"/>
  <c r="J57" i="12"/>
  <c r="J27" i="12"/>
  <c r="J47" i="12"/>
  <c r="J9" i="12"/>
  <c r="J17" i="12"/>
  <c r="J29" i="12"/>
  <c r="I6" i="34"/>
  <c r="K6" i="34" s="1"/>
  <c r="I7" i="34"/>
  <c r="K7" i="34" s="1"/>
  <c r="J7" i="18"/>
  <c r="J13" i="18"/>
  <c r="J21" i="18"/>
  <c r="J12" i="18"/>
  <c r="J10" i="18"/>
  <c r="J23" i="18"/>
  <c r="L23" i="18" s="1"/>
  <c r="J9" i="18"/>
  <c r="L9" i="18" s="1"/>
  <c r="J32" i="18"/>
  <c r="L32" i="18" s="1"/>
  <c r="J33" i="18"/>
  <c r="J27" i="18"/>
  <c r="J11" i="18"/>
  <c r="J24" i="18"/>
  <c r="J16" i="18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J28" i="18"/>
  <c r="J8" i="18"/>
  <c r="J25" i="18"/>
  <c r="L25" i="18" s="1"/>
  <c r="J30" i="18"/>
  <c r="L30" i="18" s="1"/>
  <c r="J29" i="18"/>
  <c r="L29" i="18" s="1"/>
  <c r="J18" i="18"/>
  <c r="J19" i="18"/>
  <c r="L19" i="18" s="1"/>
  <c r="J17" i="18"/>
  <c r="D15" i="16"/>
  <c r="C15" i="16" s="1"/>
  <c r="L59" i="12"/>
  <c r="L8" i="12"/>
  <c r="W14" i="15" s="1"/>
  <c r="X14" i="15" s="1"/>
  <c r="L12" i="12"/>
  <c r="L16" i="12"/>
  <c r="L24" i="12"/>
  <c r="L32" i="12"/>
  <c r="L36" i="12"/>
  <c r="L40" i="12"/>
  <c r="L44" i="12"/>
  <c r="L48" i="12"/>
  <c r="L52" i="12"/>
  <c r="L56" i="12"/>
  <c r="L9" i="12"/>
  <c r="L17" i="12"/>
  <c r="L21" i="12"/>
  <c r="L25" i="12"/>
  <c r="L29" i="12"/>
  <c r="L33" i="12"/>
  <c r="L37" i="12"/>
  <c r="L41" i="12"/>
  <c r="L45" i="12"/>
  <c r="L49" i="12"/>
  <c r="L53" i="12"/>
  <c r="L57" i="12"/>
  <c r="L14" i="12"/>
  <c r="L18" i="12"/>
  <c r="L22" i="12"/>
  <c r="L26" i="12"/>
  <c r="L30" i="12"/>
  <c r="L34" i="12"/>
  <c r="L38" i="12"/>
  <c r="L42" i="12"/>
  <c r="L46" i="12"/>
  <c r="L50" i="12"/>
  <c r="L54" i="12"/>
  <c r="L58" i="12"/>
  <c r="L11" i="12"/>
  <c r="L15" i="12"/>
  <c r="L19" i="12"/>
  <c r="L23" i="12"/>
  <c r="L27" i="12"/>
  <c r="L31" i="12"/>
  <c r="L35" i="12"/>
  <c r="L39" i="12"/>
  <c r="L43" i="12"/>
  <c r="L47" i="12"/>
  <c r="L51" i="12"/>
  <c r="L55" i="12"/>
  <c r="L6" i="12"/>
  <c r="L8" i="18"/>
  <c r="W14" i="19" s="1"/>
  <c r="X14" i="19" s="1"/>
  <c r="L16" i="18"/>
  <c r="L24" i="18"/>
  <c r="L18" i="18"/>
  <c r="L10" i="18"/>
  <c r="L11" i="18"/>
  <c r="L27" i="18"/>
  <c r="L7" i="18"/>
  <c r="W10" i="19" s="1"/>
  <c r="X10" i="19" s="1"/>
  <c r="L13" i="18"/>
  <c r="L21" i="18"/>
  <c r="L14" i="18"/>
  <c r="L28" i="18"/>
  <c r="L12" i="18"/>
  <c r="L33" i="18"/>
  <c r="L17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I13" i="16"/>
  <c r="H15" i="16"/>
  <c r="I14" i="16" s="1"/>
  <c r="I10" i="16"/>
  <c r="C11" i="16"/>
  <c r="D12" i="16"/>
  <c r="D13" i="16" s="1"/>
  <c r="D14" i="16" s="1"/>
  <c r="F9" i="16"/>
  <c r="G9" i="16" s="1"/>
  <c r="H9" i="16" s="1"/>
  <c r="E8" i="16"/>
  <c r="A15" i="15"/>
  <c r="A18" i="15"/>
  <c r="A12" i="15"/>
  <c r="G7" i="25"/>
  <c r="G6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F8" i="16"/>
  <c r="G8" i="16" s="1"/>
  <c r="H8" i="16" s="1"/>
  <c r="A2" i="16" s="1"/>
  <c r="E16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C12" i="16"/>
  <c r="C13" i="16" s="1"/>
  <c r="C14" i="16" s="1"/>
  <c r="B11" i="16"/>
  <c r="B12" i="16" s="1"/>
  <c r="B13" i="16" s="1"/>
  <c r="B14" i="16" s="1"/>
  <c r="I9" i="16"/>
  <c r="B15" i="16"/>
  <c r="I8" i="16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6" i="25"/>
  <c r="H7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J11" i="16"/>
  <c r="F16" i="16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J7" i="25" s="1"/>
  <c r="K7" i="25" s="1"/>
  <c r="I6" i="25"/>
  <c r="J6" i="25" s="1"/>
  <c r="K6" i="25" s="1"/>
  <c r="L6" i="25" s="1"/>
  <c r="M6" i="25"/>
  <c r="L7" i="25"/>
  <c r="C25" i="10" l="1"/>
  <c r="D22" i="10"/>
  <c r="D24" i="10"/>
  <c r="D23" i="10"/>
  <c r="G16" i="16"/>
  <c r="J12" i="16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M7" i="25"/>
  <c r="N6" i="25"/>
  <c r="H16" i="16" l="1"/>
  <c r="J13" i="16"/>
  <c r="W30" i="15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O6" i="25"/>
  <c r="N7" i="25"/>
  <c r="J14" i="16" l="1"/>
  <c r="I16" i="16"/>
  <c r="J15" i="16" s="1"/>
  <c r="B34" i="15"/>
  <c r="W34" i="15"/>
  <c r="X34" i="15" s="1"/>
  <c r="W34" i="19"/>
  <c r="X34" i="19" s="1"/>
  <c r="B34" i="19"/>
  <c r="W34" i="10"/>
  <c r="X34" i="10" s="1"/>
  <c r="B34" i="10"/>
  <c r="A38" i="10"/>
  <c r="A35" i="10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O7" i="25"/>
  <c r="P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7" i="10"/>
  <c r="C36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Q6" i="25"/>
  <c r="P7" i="25"/>
  <c r="R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Q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R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D136" i="10"/>
  <c r="D137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7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23" i="10"/>
  <c r="A326" i="10"/>
  <c r="W322" i="10"/>
  <c r="X322" i="10" s="1"/>
  <c r="B322" i="10"/>
  <c r="D323" i="10" l="1"/>
  <c r="C323" i="10"/>
  <c r="D322" i="10"/>
  <c r="C322" i="10"/>
  <c r="W330" i="15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5" i="10"/>
  <c r="C325" i="10"/>
  <c r="D324" i="10"/>
  <c r="C324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A332" i="10" l="1"/>
  <c r="W331" i="10"/>
  <c r="X331" i="10" s="1"/>
  <c r="C337" i="15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A329" i="10"/>
  <c r="W329" i="10" s="1"/>
  <c r="X329" i="10" s="1"/>
  <c r="W328" i="10"/>
  <c r="X328" i="10" s="1"/>
  <c r="D335" i="10" l="1"/>
  <c r="C335" i="10"/>
  <c r="C340" i="15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D336" i="10"/>
  <c r="C337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W431" i="10" l="1"/>
  <c r="X431" i="10" s="1"/>
  <c r="A432" i="10"/>
  <c r="A436" i="15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D435" i="10" l="1"/>
  <c r="C435" i="10"/>
  <c r="B442" i="15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7" i="10"/>
  <c r="C437" i="10"/>
  <c r="D436" i="10"/>
  <c r="C434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Workbook$;Location=Forex;Extended Properties=&quot;&quot;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Workbook$;Location=&quot;OFX - EUR/GBP&quot;;Extended Properties=&quot;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Workbook$;Location=&quot;OFX - EUR/USD&quot;;Extended Properties=&quot;&quot;" command="SELECT * FROM [OFX - EUR/USD]"/>
  </connection>
</connections>
</file>

<file path=xl/sharedStrings.xml><?xml version="1.0" encoding="utf-8"?>
<sst xmlns="http://schemas.openxmlformats.org/spreadsheetml/2006/main" count="1156" uniqueCount="388">
  <si>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</si>
  <si>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</si>
  <si>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</si>
  <si>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</si>
  <si>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</si>
  <si>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</si>
  <si>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</si>
  <si>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</si>
  <si>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</si>
  <si>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</si>
  <si>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</si>
  <si>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</si>
  <si>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</si>
  <si>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</si>
  <si>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</si>
  <si>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</si>
  <si>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</si>
  <si>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</si>
  <si>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</si>
  <si>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</si>
  <si>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</si>
  <si>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</si>
  <si>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</si>
  <si>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</si>
  <si>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</si>
  <si>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</si>
  <si>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</si>
  <si>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</si>
  <si>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</si>
  <si>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</si>
  <si>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</si>
  <si>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</si>
  <si>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</si>
  <si>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</si>
  <si>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</si>
  <si>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</si>
  <si>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</si>
  <si>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</si>
  <si>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</si>
  <si>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</si>
  <si>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</si>
  <si>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</si>
  <si>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</si>
  <si>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</si>
  <si>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</si>
  <si>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</si>
  <si>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</si>
  <si>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</si>
  <si>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</si>
  <si>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</si>
  <si>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</si>
  <si>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</si>
  <si>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</si>
  <si>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</si>
  <si>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</si>
  <si>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</si>
  <si>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</si>
  <si>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</si>
  <si>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</si>
  <si>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</si>
  <si>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</si>
  <si>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</si>
  <si>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</si>
  <si>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</si>
  <si>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</si>
  <si>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</si>
  <si>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</si>
  <si>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</si>
  <si>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</si>
  <si>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</si>
  <si>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</si>
  <si>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</si>
  <si>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</si>
  <si>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</si>
  <si>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</si>
  <si>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</si>
  <si>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</si>
  <si>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</si>
  <si>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</si>
  <si>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</si>
  <si>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</si>
  <si>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</si>
  <si>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</si>
  <si>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</si>
  <si>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</si>
  <si>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</si>
  <si>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</si>
  <si>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</si>
  <si>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</si>
  <si>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</si>
  <si>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</si>
  <si>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</si>
  <si>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</si>
  <si>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</si>
  <si>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</si>
  <si>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</si>
  <si>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</si>
  <si>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</si>
  <si>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</si>
  <si>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</si>
  <si>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</si>
  <si>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</si>
  <si>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</si>
  <si>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</si>
  <si>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</si>
  <si>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</si>
  <si>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</si>
  <si>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</si>
  <si>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</si>
  <si>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</si>
  <si>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</si>
  <si>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</si>
  <si>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</si>
  <si>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</si>
  <si>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</si>
  <si>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</si>
  <si>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</si>
  <si>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</si>
  <si>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</si>
  <si>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</si>
  <si>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</si>
  <si>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</si>
  <si>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</si>
  <si>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</si>
  <si>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</si>
  <si>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</si>
  <si>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</si>
  <si>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</si>
  <si>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</si>
  <si>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</si>
  <si>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</si>
  <si>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</si>
  <si>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</si>
  <si>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</si>
  <si>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</si>
  <si>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</si>
  <si>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</si>
  <si>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</si>
  <si>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</si>
  <si>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</si>
  <si>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</si>
  <si>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</si>
  <si>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</si>
  <si>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</si>
  <si>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</si>
  <si>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</si>
  <si>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</si>
  <si>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</si>
  <si>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</si>
  <si>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</si>
  <si>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</si>
  <si>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</si>
  <si>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</si>
  <si>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</si>
  <si>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</si>
  <si>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</si>
  <si>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</si>
  <si>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</si>
  <si>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</si>
  <si>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</si>
  <si>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</si>
  <si>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</si>
  <si>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</si>
  <si>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</si>
  <si>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</si>
  <si>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</si>
  <si>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</si>
  <si>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</si>
  <si>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</si>
  <si>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</si>
  <si>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</si>
  <si>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</si>
  <si>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</si>
  <si>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</si>
  <si>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</si>
  <si>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</si>
  <si>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</si>
  <si>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</si>
  <si>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</si>
  <si>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</si>
  <si>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</si>
  <si>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</si>
  <si>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</si>
  <si>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</si>
  <si>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</si>
  <si>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</si>
  <si>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</si>
  <si>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</si>
  <si>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</si>
  <si>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</si>
  <si>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</si>
  <si>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</si>
  <si>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</si>
  <si>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</si>
  <si>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</si>
  <si>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</si>
  <si>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</si>
  <si>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</si>
  <si>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</si>
  <si>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</si>
  <si>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</si>
  <si>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</si>
  <si>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</si>
  <si>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</si>
  <si>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</si>
  <si>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</si>
  <si>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</si>
  <si>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</si>
  <si>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</si>
  <si>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</si>
  <si>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</si>
  <si>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</si>
  <si>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</si>
  <si>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</si>
  <si>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</si>
  <si>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</si>
  <si>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</si>
  <si>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</si>
  <si>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</si>
  <si>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</si>
  <si>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</si>
  <si>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</si>
  <si>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</si>
  <si>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</si>
  <si>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</si>
  <si>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</si>
  <si>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</si>
  <si>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</si>
  <si>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</si>
  <si>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</si>
  <si>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</si>
  <si>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</si>
  <si>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</si>
  <si>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</si>
  <si>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</si>
  <si>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</si>
  <si>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</si>
  <si>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</si>
  <si>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</si>
  <si>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</si>
  <si>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</si>
  <si>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</si>
  <si>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</si>
  <si>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</si>
  <si>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</si>
  <si>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</si>
  <si>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</si>
  <si>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</si>
  <si>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</si>
  <si>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</si>
  <si>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</si>
  <si>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</si>
  <si>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</si>
  <si>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</si>
  <si>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</si>
  <si>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</si>
  <si>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</si>
  <si>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</si>
  <si>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</si>
  <si>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</si>
  <si>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</si>
  <si>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</si>
  <si>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</si>
  <si>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</si>
  <si>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</si>
  <si>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</si>
  <si>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</si>
  <si>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</si>
  <si>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</si>
  <si>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</si>
  <si>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</si>
  <si>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</si>
  <si>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</si>
  <si>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</si>
  <si>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</si>
  <si>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</si>
  <si>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</si>
  <si>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</si>
  <si>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</si>
  <si>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</si>
  <si>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PO_Ukr_Pipe</t>
  </si>
  <si>
    <t>PO_RU_YAMAL_Pipe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</si>
  <si>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</si>
  <si>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</si>
  <si>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</si>
  <si>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</si>
  <si>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</si>
  <si>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</si>
  <si>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</si>
  <si>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</si>
  <si>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</si>
  <si>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</si>
  <si>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</si>
  <si>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</si>
  <si>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</si>
  <si>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PO_RU_Pipe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</si>
  <si>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</si>
  <si>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</si>
  <si>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</si>
  <si>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</si>
  <si>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</si>
  <si>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</si>
  <si>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</si>
  <si>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</si>
  <si>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</si>
  <si>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</si>
  <si>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</si>
  <si>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</si>
  <si>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</si>
  <si>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</si>
  <si>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</si>
  <si>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</si>
  <si>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</si>
  <si>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</si>
  <si>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</si>
  <si>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</si>
  <si>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</si>
  <si>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</si>
  <si>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</si>
  <si>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</si>
  <si>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</si>
  <si>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</si>
  <si>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</si>
  <si>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</si>
  <si>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</si>
  <si>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</si>
  <si>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</si>
  <si>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</si>
  <si>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</si>
  <si>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</si>
  <si>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LI_PO_Pipe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</si>
  <si>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</si>
  <si>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</si>
  <si>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</si>
  <si>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</si>
  <si>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</si>
  <si>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</si>
  <si>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</si>
  <si>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</si>
  <si>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</si>
  <si>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</si>
  <si>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</si>
  <si>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SN_CR_Pipe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</si>
  <si>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</si>
  <si>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</si>
  <si>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</si>
  <si>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</si>
  <si>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</si>
  <si>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</si>
  <si>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</si>
  <si>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CZ_GER_OPAL_Pipe</t>
  </si>
  <si>
    <t>HUN_Ukr_Pipe</t>
  </si>
  <si>
    <t>GER_PO_YAMAL_Pipe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</si>
  <si>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</si>
  <si>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</si>
  <si>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</si>
  <si>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OPAL Wert Entsog: OPAL --&gt; CZ</t>
  </si>
  <si>
    <t>Entsog: YAMAL und Polen nach Deutschland</t>
  </si>
  <si>
    <t>RO_Ukr_TBP_Pipe</t>
  </si>
  <si>
    <t>GR_RU_Pipe</t>
  </si>
  <si>
    <t>20211028_MASTER_LNG Contracts_NS2_v005.xlsm; Tab: curve</t>
  </si>
  <si>
    <t>SEE-EU</t>
  </si>
  <si>
    <t>res_Demand-Production_v4.xlsx; Tab: w_D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</si>
  <si>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</si>
  <si>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</si>
  <si>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</si>
  <si>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</si>
  <si>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</si>
  <si>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</si>
  <si>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</si>
  <si>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res_Demand-Production_v4.xlsx; Tab: w_P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</si>
  <si>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</si>
  <si>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</si>
  <si>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</si>
  <si>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</si>
  <si>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</si>
  <si>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</si>
  <si>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</si>
  <si>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</si>
  <si>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</si>
  <si>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</si>
  <si>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</si>
  <si>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res_Transmission_Tariffs_gas_Europe_v2.xlsx; Tab: w_1</t>
  </si>
  <si>
    <t>MD_Ukr_Pipe</t>
  </si>
  <si>
    <t>nEUSEE_Bul_Pipe</t>
  </si>
  <si>
    <t>2021_Storage_DB_final_tc.xlsx; Tab: Storage_DB_filtered</t>
  </si>
  <si>
    <t>Europe-2016-10-01-2021-10-31.xls; Tab: Tabelle2</t>
  </si>
  <si>
    <t>Jul-21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</si>
</sst>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1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7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1" fontId="0" fillId="0" borderId="8" xfId="0" applyNumberFormat="1" applyFont="1" applyBorder="1" applyAlignment="1">
      <alignment horizontal="center" vertical="center"/>
    </xf>
    <xf numFmtId="1" fontId="0" fillId="5" borderId="8" xfId="0" applyNumberFormat="1" applyFont="1" applyFill="1" applyBorder="1" applyAlignment="1">
      <alignment horizontal="center" vertical="center"/>
    </xf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7" fontId="0" fillId="0" borderId="0" xfId="0" applyNumberFormat="1"/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4" fontId="10" fillId="0" borderId="8" xfId="0" applyNumberFormat="1" applyFont="1" applyBorder="1" applyAlignment="1">
      <alignment horizontal="center" vertical="center" wrapText="1"/>
    </xf>
    <xf numFmtId="4" fontId="10" fillId="0" borderId="8" xfId="0" applyNumberFormat="1" applyFont="1" applyBorder="1" applyAlignment="1">
      <alignment horizontal="center" vertical="center"/>
    </xf>
    <xf numFmtId="169" fontId="0" fillId="0" borderId="0" xfId="0" applyNumberFormat="1"/>
    <xf numFmtId="4" fontId="9" fillId="0" borderId="0" xfId="0" applyNumberFormat="1" applyFont="1" applyAlignment="1">
      <alignment horizontal="center" vertical="center"/>
    </xf>
    <xf numFmtId="4" fontId="0" fillId="0" borderId="0" xfId="0" applyNumberFormat="1"/>
    <xf numFmtId="3" fontId="9" fillId="0" borderId="0" xfId="0" applyNumberFormat="1" applyFont="1" applyAlignment="1">
      <alignment horizontal="center" vertical="center"/>
    </xf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3" fontId="10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font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color theme="4"/>
      </font>
      <numFmt numFmtId="4" formatCode="#,##0.00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06.591899652776" backgroundQuery="1" createdVersion="7" refreshedVersion="7" minRefreshableVersion="3" recordCount="12" xr:uid="{00000000-000A-0000-FFFF-FFFF01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7122"/>
        <n v="0.85900900000000002"/>
        <n v="0.85619400000000001"/>
        <n v="0.85315600000000003"/>
        <n v="0.85644299999999995"/>
        <n v="0.847441"/>
        <n v="0.851794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0" totalsRowShown="0" dataDxfId="229">
  <autoFilter ref="A5:E40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4" totalsRowShown="0" headerRowDxfId="223" dataDxfId="222">
  <autoFilter ref="A5:U34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>
      <calculatedColumnFormula>TBL_DEMAND[[#This Row],[Aug-21]]*31</calculatedColumnFormula>
    </tableColumn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"/>
    <tableColumn id="4" xr3:uid="{00000000-0010-0000-0600-000004000000}" name="Sep-21" dataDxfId="165">
      <calculatedColumnFormula>TBL_PIPED_IMPORTERS_PRODUCTION[[#This Row],[Aug-21]]*31</calculatedColumnFormula>
    </tableColumn>
    <tableColumn id="5" xr3:uid="{00000000-0010-0000-0600-000005000000}" name="Okt-21" dataDxfId="164"/>
    <tableColumn id="6" xr3:uid="{00000000-0010-0000-0600-000006000000}" name="Nov-21" dataDxfId="163"/>
    <tableColumn id="7" xr3:uid="{00000000-0010-0000-0600-000007000000}" name="Dez-21" dataDxfId="162"/>
    <tableColumn id="8" xr3:uid="{00000000-0010-0000-0600-000008000000}" name="Jan-22" dataDxfId="161"/>
    <tableColumn id="9" xr3:uid="{00000000-0010-0000-0600-000009000000}" name="Feb-22" dataDxfId="160"/>
    <tableColumn id="10" xr3:uid="{00000000-0010-0000-0600-00000A000000}" name="Mrz-22" dataDxfId="159"/>
    <tableColumn id="11" xr3:uid="{00000000-0010-0000-0600-00000B000000}" name="Apr-22" dataDxfId="158"/>
    <tableColumn id="12" xr3:uid="{00000000-0010-0000-0600-00000C000000}" name="Mai-22" dataDxfId="157"/>
    <tableColumn id="13" xr3:uid="{00000000-0010-0000-0600-00000D000000}" name="Jun-22" dataDxfId="156"/>
    <tableColumn id="14" xr3:uid="{00000000-0010-0000-0600-00000E000000}" name="Jul-22" dataDxfId="155"/>
    <tableColumn id="15" xr3:uid="{00000000-0010-0000-0600-00000F000000}" name="Aug-22" dataDxfId="154"/>
    <tableColumn id="16" xr3:uid="{00000000-0010-0000-0600-000010000000}" name="Sep-22" dataDxfId="153"/>
    <tableColumn id="17" xr3:uid="{00000000-0010-0000-0600-000011000000}" name="Okt-22" dataDxfId="152"/>
    <tableColumn id="18" xr3:uid="{00000000-0010-0000-0600-000012000000}" name="Nov-22" dataDxfId="151"/>
    <tableColumn id="19" xr3:uid="{00000000-0010-0000-0600-000013000000}" name="Dez-22" dataDxfId="150"/>
    <tableColumn id="20" xr3:uid="{00000000-0010-0000-0600-000014000000}" name="Source/Comments" dataDxfId="149"/>
    <tableColumn id="21" xr3:uid="{00000000-0010-0000-0600-000015000000}" name="PipedImporterProductionID" dataDxfId="148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29" totalsRowShown="0" headerRowDxfId="147" dataDxfId="146">
  <tableColumns count="11">
    <tableColumn id="1" xr3:uid="{00000000-0010-0000-0700-000001000000}" name="Importer" dataDxfId="145"/>
    <tableColumn id="2" xr3:uid="{00000000-0010-0000-0700-000002000000}" name="Importer Index" dataDxfId="144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3"/>
    <tableColumn id="23" xr3:uid="{00000000-0010-0000-0700-000017000000}" name="Region Index" dataDxfId="142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1"/>
    <tableColumn id="6" xr3:uid="{00000000-0010-0000-0700-000006000000}" name="Destination Latitude" dataDxfId="140"/>
    <tableColumn id="4" xr3:uid="{00000000-0010-0000-0700-000004000000}" name="Destination Longitude" dataDxfId="139"/>
    <tableColumn id="3" xr3:uid="{00000000-0010-0000-0700-000003000000}" name="Connection Code" dataDxfId="138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7">
      <calculatedColumnFormula>COUNTIF($F$6:$F6,$F6)</calculatedColumnFormula>
    </tableColumn>
    <tableColumn id="20" xr3:uid="{00000000-0010-0000-0700-000014000000}" name="Comments" dataDxfId="136"/>
    <tableColumn id="21" xr3:uid="{00000000-0010-0000-0700-000015000000}" name="PipedImporterConnectionID" dataDxfId="135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2" dataDxfId="131">
  <autoFilter ref="A5:D33" xr:uid="{00000000-0009-0000-0100-000009000000}"/>
  <tableColumns count="4">
    <tableColumn id="1" xr3:uid="{00000000-0010-0000-0800-000001000000}" name="Terminal" dataDxfId="130"/>
    <tableColumn id="2" xr3:uid="{00000000-0010-0000-0800-000002000000}" name="Index" dataDxfId="129">
      <calculatedColumnFormula>ROW(1:1)</calculatedColumnFormula>
    </tableColumn>
    <tableColumn id="22" xr3:uid="{00000000-0010-0000-0800-000016000000}" name="Comments" dataDxfId="128"/>
    <tableColumn id="21" xr3:uid="{00000000-0010-0000-0800-000015000000}" name="LNGImporterID" dataDxfId="127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6" dataDxfId="125">
  <tableColumns count="12">
    <tableColumn id="1" xr3:uid="{00000000-0010-0000-0900-000001000000}" name="Terminal" dataDxfId="124"/>
    <tableColumn id="2" xr3:uid="{00000000-0010-0000-0900-000002000000}" name="Terminal Index" dataDxfId="123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2"/>
    <tableColumn id="23" xr3:uid="{00000000-0010-0000-0900-000017000000}" name="Region Index" dataDxfId="121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20"/>
    <tableColumn id="6" xr3:uid="{00000000-0010-0000-0900-000006000000}" name="Latitude" dataDxfId="119"/>
    <tableColumn id="7" xr3:uid="{00000000-0010-0000-0900-000007000000}" name="Longitude" dataDxfId="118"/>
    <tableColumn id="5" xr3:uid="{00000000-0010-0000-0900-000005000000}" name="Angle" dataDxfId="117"/>
    <tableColumn id="3" xr3:uid="{00000000-0010-0000-0900-000003000000}" name="Connection Code" dataDxfId="116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5">
      <calculatedColumnFormula>COUNTIF($I$5:$I5,$I5)</calculatedColumnFormula>
    </tableColumn>
    <tableColumn id="20" xr3:uid="{00000000-0010-0000-0900-000014000000}" name="Comments" dataDxfId="114"/>
    <tableColumn id="21" xr3:uid="{00000000-0010-0000-0900-000015000000}" name="LNGImporterConnectionID" dataDxfId="113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10" dataDxfId="109">
  <tableColumns count="12">
    <tableColumn id="1" xr3:uid="{00000000-0010-0000-0A00-000001000000}" name="Origin" dataDxfId="108"/>
    <tableColumn id="2" xr3:uid="{00000000-0010-0000-0A00-000002000000}" name="Origin Index" dataDxfId="107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6"/>
    <tableColumn id="23" xr3:uid="{00000000-0010-0000-0A00-000017000000}" name="Destination Index" dataDxfId="105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4"/>
    <tableColumn id="7" xr3:uid="{00000000-0010-0000-0A00-000007000000}" name="Latitude" dataDxfId="103"/>
    <tableColumn id="6" xr3:uid="{00000000-0010-0000-0A00-000006000000}" name="Longitude" dataDxfId="102"/>
    <tableColumn id="5" xr3:uid="{00000000-0010-0000-0A00-000005000000}" name="Angle" dataDxfId="101"/>
    <tableColumn id="4" xr3:uid="{00000000-0010-0000-0A00-000004000000}" name="Connection Code" dataDxfId="100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9">
      <calculatedColumnFormula>COUNTIF($I$6:$I59,$I6)</calculatedColumnFormula>
    </tableColumn>
    <tableColumn id="20" xr3:uid="{00000000-0010-0000-0A00-000014000000}" name="Comments" dataDxfId="98"/>
    <tableColumn id="21" xr3:uid="{00000000-0010-0000-0A00-000015000000}" name="TransitID" dataDxfId="97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4" dataDxfId="93">
  <autoFilter ref="A5:F7" xr:uid="{00000000-0009-0000-0100-000010000000}"/>
  <tableColumns count="6">
    <tableColumn id="1" xr3:uid="{00000000-0010-0000-0B00-000001000000}" name="Exporter" dataDxfId="92"/>
    <tableColumn id="2" xr3:uid="{00000000-0010-0000-0B00-000002000000}" name="Index" dataDxfId="91">
      <calculatedColumnFormula>ROW(1:1)</calculatedColumnFormula>
    </tableColumn>
    <tableColumn id="4" xr3:uid="{00000000-0010-0000-0B00-000004000000}" name="Latitude" dataDxfId="90"/>
    <tableColumn id="3" xr3:uid="{00000000-0010-0000-0B00-000003000000}" name="Longitude" dataDxfId="89"/>
    <tableColumn id="22" xr3:uid="{00000000-0010-0000-0B00-000016000000}" name="Comments" dataDxfId="88"/>
    <tableColumn id="21" xr3:uid="{00000000-0010-0000-0B00-000015000000}" name="PipedExporterID" dataDxfId="87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6" dataDxfId="85">
  <autoFilter ref="A5:U7" xr:uid="{00000000-0009-0000-0100-000011000000}"/>
  <tableColumns count="21">
    <tableColumn id="1" xr3:uid="{00000000-0010-0000-0C00-000001000000}" name="Exporter" dataDxfId="84"/>
    <tableColumn id="2" xr3:uid="{00000000-0010-0000-0C00-000002000000}" name="Index" dataDxfId="83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2"/>
    <tableColumn id="4" xr3:uid="{00000000-0010-0000-0C00-000004000000}" name="Sep-21" dataDxfId="81"/>
    <tableColumn id="5" xr3:uid="{00000000-0010-0000-0C00-000005000000}" name="Okt-21" dataDxfId="80"/>
    <tableColumn id="6" xr3:uid="{00000000-0010-0000-0C00-000006000000}" name="Nov-21" dataDxfId="79"/>
    <tableColumn id="7" xr3:uid="{00000000-0010-0000-0C00-000007000000}" name="Dez-21" dataDxfId="78"/>
    <tableColumn id="8" xr3:uid="{00000000-0010-0000-0C00-000008000000}" name="Jan-22" dataDxfId="77"/>
    <tableColumn id="9" xr3:uid="{00000000-0010-0000-0C00-000009000000}" name="Feb-22" dataDxfId="76"/>
    <tableColumn id="10" xr3:uid="{00000000-0010-0000-0C00-00000A000000}" name="Mrz-22" dataDxfId="75"/>
    <tableColumn id="11" xr3:uid="{00000000-0010-0000-0C00-00000B000000}" name="Apr-22" dataDxfId="74"/>
    <tableColumn id="12" xr3:uid="{00000000-0010-0000-0C00-00000C000000}" name="Mai-22" dataDxfId="73"/>
    <tableColumn id="13" xr3:uid="{00000000-0010-0000-0C00-00000D000000}" name="Jun-22" dataDxfId="72"/>
    <tableColumn id="14" xr3:uid="{00000000-0010-0000-0C00-00000E000000}" name="Jul-22" dataDxfId="71"/>
    <tableColumn id="15" xr3:uid="{00000000-0010-0000-0C00-00000F000000}" name="Aug-22" dataDxfId="70"/>
    <tableColumn id="16" xr3:uid="{00000000-0010-0000-0C00-000010000000}" name="Sep-22" dataDxfId="69"/>
    <tableColumn id="17" xr3:uid="{00000000-0010-0000-0C00-000011000000}" name="Okt-22" dataDxfId="68"/>
    <tableColumn id="18" xr3:uid="{00000000-0010-0000-0C00-000012000000}" name="Nov-22" dataDxfId="67"/>
    <tableColumn id="19" xr3:uid="{00000000-0010-0000-0C00-000013000000}" name="Dez-22" dataDxfId="66"/>
    <tableColumn id="20" xr3:uid="{00000000-0010-0000-0C00-000014000000}" name="Source/Comments" dataDxfId="65"/>
    <tableColumn id="21" xr3:uid="{00000000-0010-0000-0C00-000015000000}" name="PipedExporterProductionID" dataDxfId="64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3" dataDxfId="62">
  <tableColumns count="11">
    <tableColumn id="1" xr3:uid="{00000000-0010-0000-0D00-000001000000}" name="Exporter" dataDxfId="61"/>
    <tableColumn id="2" xr3:uid="{00000000-0010-0000-0D00-000002000000}" name="Exporter Index" dataDxfId="60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9"/>
    <tableColumn id="23" xr3:uid="{00000000-0010-0000-0D00-000017000000}" name="Region Index" dataDxfId="58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7"/>
    <tableColumn id="6" xr3:uid="{00000000-0010-0000-0D00-000006000000}" name="Origin Latitude" dataDxfId="56"/>
    <tableColumn id="4" xr3:uid="{00000000-0010-0000-0D00-000004000000}" name="Origin Longitude" dataDxfId="55"/>
    <tableColumn id="3" xr3:uid="{00000000-0010-0000-0D00-000003000000}" name="Connection Code" dataDxfId="54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3">
      <calculatedColumnFormula>COUNTIF($H$6:$H7,$H6)</calculatedColumnFormula>
    </tableColumn>
    <tableColumn id="20" xr3:uid="{00000000-0010-0000-0D00-000014000000}" name="Comments" dataDxfId="52"/>
    <tableColumn id="21" xr3:uid="{00000000-0010-0000-0D00-000015000000}" name="PipedExporterConnectionID" dataDxfId="51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50" dataDxfId="49">
  <autoFilter ref="A5:V25" xr:uid="{00000000-0009-0000-0100-00000C000000}"/>
  <tableColumns count="22">
    <tableColumn id="1" xr3:uid="{00000000-0010-0000-0E00-000001000000}" name="Storage" dataDxfId="48"/>
    <tableColumn id="3" xr3:uid="{00000000-0010-0000-0E00-000003000000}" name="WGV" dataDxfId="47"/>
    <tableColumn id="4" xr3:uid="{00000000-0010-0000-0E00-000004000000}" name="Jul-21" dataDxfId="0">
      <calculatedColumnFormula>0.55*TBL_STORAGE[[#This Row],[WGV]]</calculatedColumnFormula>
    </tableColumn>
    <tableColumn id="23" xr3:uid="{00000000-0010-0000-0E00-000017000000}" name="Aug-21" dataDxfId="46"/>
    <tableColumn id="5" xr3:uid="{00000000-0010-0000-0E00-000005000000}" name="Sep-21" dataDxfId="45"/>
    <tableColumn id="6" xr3:uid="{00000000-0010-0000-0E00-000006000000}" name="Okt-21" dataDxfId="44"/>
    <tableColumn id="7" xr3:uid="{00000000-0010-0000-0E00-000007000000}" name="Nov-21" dataDxfId="43"/>
    <tableColumn id="8" xr3:uid="{00000000-0010-0000-0E00-000008000000}" name="Dez-21" dataDxfId="42"/>
    <tableColumn id="9" xr3:uid="{00000000-0010-0000-0E00-000009000000}" name="Jan-22" dataDxfId="41"/>
    <tableColumn id="10" xr3:uid="{00000000-0010-0000-0E00-00000A000000}" name="Feb-22" dataDxfId="40"/>
    <tableColumn id="19" xr3:uid="{00000000-0010-0000-0E00-000013000000}" name="Mrz-22" dataDxfId="39"/>
    <tableColumn id="20" xr3:uid="{00000000-0010-0000-0E00-000014000000}" name="Apr-22" dataDxfId="38"/>
    <tableColumn id="11" xr3:uid="{00000000-0010-0000-0E00-00000B000000}" name="Mai-22" dataDxfId="37"/>
    <tableColumn id="12" xr3:uid="{00000000-0010-0000-0E00-00000C000000}" name="Jun-22" dataDxfId="36"/>
    <tableColumn id="13" xr3:uid="{00000000-0010-0000-0E00-00000D000000}" name="Jul-22" dataDxfId="35"/>
    <tableColumn id="14" xr3:uid="{00000000-0010-0000-0E00-00000E000000}" name="Aug-22" dataDxfId="34"/>
    <tableColumn id="15" xr3:uid="{00000000-0010-0000-0E00-00000F000000}" name="Sep-22" dataDxfId="33"/>
    <tableColumn id="16" xr3:uid="{00000000-0010-0000-0E00-000010000000}" name="Okt-22" dataDxfId="32"/>
    <tableColumn id="17" xr3:uid="{00000000-0010-0000-0E00-000011000000}" name="Nov-22" dataDxfId="31"/>
    <tableColumn id="18" xr3:uid="{00000000-0010-0000-0E00-000012000000}" name="Dez-22" dataDxfId="30"/>
    <tableColumn id="22" xr3:uid="{00000000-0010-0000-0E00-000016000000}" name="Comments" dataDxfId="29"/>
    <tableColumn id="21" xr3:uid="{00000000-0010-0000-0E00-000015000000}" name="StorageID" dataDxfId="28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7" dataDxfId="26">
  <autoFilter ref="A5:S6" xr:uid="{00000000-0009-0000-0100-00000D000000}"/>
  <tableColumns count="19">
    <tableColumn id="1" xr3:uid="{00000000-0010-0000-0F00-000001000000}" name="Demand" dataDxfId="25"/>
    <tableColumn id="3" xr3:uid="{00000000-0010-0000-0F00-000003000000}" name="Aug-21" dataDxfId="24"/>
    <tableColumn id="4" xr3:uid="{00000000-0010-0000-0F00-000004000000}" name="Sep-21" dataDxfId="23"/>
    <tableColumn id="5" xr3:uid="{00000000-0010-0000-0F00-000005000000}" name="Okt-21" dataDxfId="22"/>
    <tableColumn id="6" xr3:uid="{00000000-0010-0000-0F00-000006000000}" name="Nov-21" dataDxfId="21"/>
    <tableColumn id="7" xr3:uid="{00000000-0010-0000-0F00-000007000000}" name="Dez-21" dataDxfId="20"/>
    <tableColumn id="8" xr3:uid="{00000000-0010-0000-0F00-000008000000}" name="Jan-22" dataDxfId="19"/>
    <tableColumn id="9" xr3:uid="{00000000-0010-0000-0F00-000009000000}" name="Feb-22" dataDxfId="18"/>
    <tableColumn id="10" xr3:uid="{00000000-0010-0000-0F00-00000A000000}" name="Mrz-22" dataDxfId="17"/>
    <tableColumn id="11" xr3:uid="{00000000-0010-0000-0F00-00000B000000}" name="Apr-22" dataDxfId="10"/>
    <tableColumn id="12" xr3:uid="{00000000-0010-0000-0F00-00000C000000}" name="Mai-22" dataDxfId="9"/>
    <tableColumn id="13" xr3:uid="{00000000-0010-0000-0F00-00000D000000}" name="Jun-22" dataDxfId="7"/>
    <tableColumn id="14" xr3:uid="{00000000-0010-0000-0F00-00000E000000}" name="Jul-22" dataDxfId="8"/>
    <tableColumn id="15" xr3:uid="{00000000-0010-0000-0F00-00000F000000}" name="Aug-22" dataDxfId="6"/>
    <tableColumn id="16" xr3:uid="{00000000-0010-0000-0F00-000010000000}" name="Sep-22" dataDxfId="5"/>
    <tableColumn id="17" xr3:uid="{00000000-0010-0000-0F00-000011000000}" name="Okt-22" dataDxfId="4"/>
    <tableColumn id="18" xr3:uid="{00000000-0010-0000-0F00-000012000000}" name="Nov-22" dataDxfId="3"/>
    <tableColumn id="19" xr3:uid="{00000000-0010-0000-0F00-000013000000}" name="Dez-22" dataDxfId="2"/>
    <tableColumn id="20" xr3:uid="{00000000-0010-0000-0F00-000014000000}" name="Source/Comments" dataDxfId="16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15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14">
  <autoFilter ref="A1:C4" xr:uid="{00000000-0009-0000-0100-00000F000000}"/>
  <tableColumns count="3">
    <tableColumn id="1" xr3:uid="{00000000-0010-0000-1100-000001000000}" name="Version" dataDxfId="13"/>
    <tableColumn id="2" xr3:uid="{00000000-0010-0000-1100-000002000000}" name="Date" dataDxfId="12"/>
    <tableColumn id="3" xr3:uid="{00000000-0010-0000-1100-000003000000}" name="Comments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6" sqref="A16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60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61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4" t="s">
        <v>106</v>
      </c>
      <c r="C9" s="78" t="s">
        <v>102</v>
      </c>
      <c r="D9" s="77" t="s">
        <v>103</v>
      </c>
      <c r="E9" s="75" t="s">
        <v>104</v>
      </c>
      <c r="F9" s="103" t="s">
        <v>197</v>
      </c>
      <c r="G9" s="76" t="s">
        <v>105</v>
      </c>
      <c r="H9" s="89" t="s">
        <v>124</v>
      </c>
      <c r="I9" s="92" t="s">
        <v>131</v>
      </c>
      <c r="J9" s="93" t="s">
        <v>132</v>
      </c>
      <c r="K9" s="91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3"/>
      <c r="B2" s="73"/>
      <c r="C2" s="73"/>
      <c r="F2" s="73"/>
    </row>
    <row r="3" spans="1:6" x14ac:dyDescent="0.25">
      <c r="C3" s="73"/>
      <c r="D3" s="73"/>
      <c r="E3" s="7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62" t="s">
        <v>28</v>
      </c>
      <c r="B6" s="162"/>
      <c r="C6" s="162"/>
    </row>
    <row r="7" spans="1:3" x14ac:dyDescent="0.25">
      <c r="A7" s="163" t="s">
        <v>112</v>
      </c>
      <c r="B7" s="164"/>
      <c r="C7" s="165"/>
    </row>
    <row r="8" spans="1:3" x14ac:dyDescent="0.25">
      <c r="A8" s="166"/>
      <c r="B8" s="167"/>
      <c r="C8" s="168"/>
    </row>
    <row r="9" spans="1:3" x14ac:dyDescent="0.25">
      <c r="A9" s="166"/>
      <c r="B9" s="167"/>
      <c r="C9" s="168"/>
    </row>
    <row r="10" spans="1:3" x14ac:dyDescent="0.25">
      <c r="A10" s="166"/>
      <c r="B10" s="167"/>
      <c r="C10" s="168"/>
    </row>
    <row r="11" spans="1:3" x14ac:dyDescent="0.25">
      <c r="A11" s="166"/>
      <c r="B11" s="167"/>
      <c r="C11" s="168"/>
    </row>
    <row r="12" spans="1:3" x14ac:dyDescent="0.25">
      <c r="A12" s="166"/>
      <c r="B12" s="167"/>
      <c r="C12" s="168"/>
    </row>
    <row r="13" spans="1:3" x14ac:dyDescent="0.25">
      <c r="A13" s="166"/>
      <c r="B13" s="167"/>
      <c r="C13" s="168"/>
    </row>
    <row r="14" spans="1:3" x14ac:dyDescent="0.25">
      <c r="A14" s="166"/>
      <c r="B14" s="167"/>
      <c r="C14" s="168"/>
    </row>
    <row r="15" spans="1:3" x14ac:dyDescent="0.25">
      <c r="A15" s="169"/>
      <c r="B15" s="170"/>
      <c r="C15" s="171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45"/>
  <sheetViews>
    <sheetView workbookViewId="0">
      <selection activeCell="B7" sqref="B7"/>
    </sheetView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3">
        <v>2.4316666666666666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360</v>
      </c>
    </row>
    <row r="7" spans="1:19" x14ac:dyDescent="0.25">
      <c r="A7" s="144">
        <v>2.8490000000000002</v>
      </c>
      <c r="B7" s="30">
        <v>1.5117016240513779</v>
      </c>
      <c r="C7" s="30">
        <v>1.5117016240513779</v>
      </c>
      <c r="D7" s="30">
        <v>1.5117016240513779</v>
      </c>
      <c r="E7" s="30">
        <v>1.5117016240513779</v>
      </c>
      <c r="F7" s="30">
        <v>1.5117016240513779</v>
      </c>
      <c r="G7" s="30">
        <v>1.5117016240513779</v>
      </c>
      <c r="H7" s="30">
        <v>1.5117016240513779</v>
      </c>
      <c r="I7" s="30">
        <v>1.5117016240513779</v>
      </c>
      <c r="J7" s="30">
        <v>1.5117016240513779</v>
      </c>
      <c r="K7" s="30">
        <v>1.5117016240513779</v>
      </c>
      <c r="L7" s="30">
        <v>1.5117016240513779</v>
      </c>
      <c r="M7" s="30">
        <v>1.5117016240513779</v>
      </c>
      <c r="N7" s="30">
        <v>1.5117016240513779</v>
      </c>
      <c r="O7" s="30">
        <v>1.5117016240513779</v>
      </c>
      <c r="P7" s="30">
        <v>1.5117016240513779</v>
      </c>
      <c r="Q7" s="30">
        <v>1.5117016240513779</v>
      </c>
      <c r="R7" s="30">
        <v>1.5117016240513779</v>
      </c>
      <c r="S7" s="25" t="s">
        <v>360</v>
      </c>
    </row>
    <row r="8" spans="1:19" x14ac:dyDescent="0.25">
      <c r="A8" s="145">
        <v>3.7946666666666671</v>
      </c>
      <c r="B8" s="26">
        <v>1.5916480546025182</v>
      </c>
      <c r="C8" s="26">
        <v>1.5916480546025182</v>
      </c>
      <c r="D8" s="26">
        <v>1.5916480546025182</v>
      </c>
      <c r="E8" s="26">
        <v>1.5916480546025182</v>
      </c>
      <c r="F8" s="26">
        <v>1.5916480546025182</v>
      </c>
      <c r="G8" s="26">
        <v>1.5916480546025182</v>
      </c>
      <c r="H8" s="26">
        <v>1.5916480546025182</v>
      </c>
      <c r="I8" s="26">
        <v>1.5916480546025182</v>
      </c>
      <c r="J8" s="26">
        <v>1.5916480546025182</v>
      </c>
      <c r="K8" s="26">
        <v>1.5916480546025182</v>
      </c>
      <c r="L8" s="26">
        <v>1.5916480546025182</v>
      </c>
      <c r="M8" s="26">
        <v>1.5916480546025182</v>
      </c>
      <c r="N8" s="26">
        <v>1.5916480546025182</v>
      </c>
      <c r="O8" s="26">
        <v>1.5916480546025182</v>
      </c>
      <c r="P8" s="26">
        <v>1.5916480546025182</v>
      </c>
      <c r="Q8" s="26">
        <v>1.5916480546025182</v>
      </c>
      <c r="R8" s="26">
        <v>1.5916480546025182</v>
      </c>
      <c r="S8" s="24" t="s">
        <v>360</v>
      </c>
    </row>
    <row r="9" spans="1:19" x14ac:dyDescent="0.25">
      <c r="A9" s="144">
        <v>3.9680000000000004</v>
      </c>
      <c r="B9" s="30">
        <v>1.9076145787671401</v>
      </c>
      <c r="C9" s="30">
        <v>1.9076145787671401</v>
      </c>
      <c r="D9" s="30">
        <v>1.9076145787671401</v>
      </c>
      <c r="E9" s="30">
        <v>1.9076145787671401</v>
      </c>
      <c r="F9" s="30">
        <v>1.9076145787671401</v>
      </c>
      <c r="G9" s="30">
        <v>1.9076145787671401</v>
      </c>
      <c r="H9" s="30">
        <v>1.9076145787671401</v>
      </c>
      <c r="I9" s="30">
        <v>1.9076145787671401</v>
      </c>
      <c r="J9" s="30">
        <v>1.9076145787671401</v>
      </c>
      <c r="K9" s="30">
        <v>1.9076145787671401</v>
      </c>
      <c r="L9" s="30">
        <v>1.9076145787671401</v>
      </c>
      <c r="M9" s="30">
        <v>1.9076145787671401</v>
      </c>
      <c r="N9" s="30">
        <v>1.9076145787671401</v>
      </c>
      <c r="O9" s="30">
        <v>1.9076145787671401</v>
      </c>
      <c r="P9" s="30">
        <v>1.9076145787671401</v>
      </c>
      <c r="Q9" s="30">
        <v>1.9076145787671401</v>
      </c>
      <c r="R9" s="30">
        <v>1.9076145787671401</v>
      </c>
      <c r="S9" s="25" t="s">
        <v>360</v>
      </c>
    </row>
    <row r="10" spans="1:19" x14ac:dyDescent="0.25">
      <c r="A10" s="145">
        <v>4.1738333333333335</v>
      </c>
      <c r="B10" s="26">
        <v>2.6473830800547895</v>
      </c>
      <c r="C10" s="26">
        <v>2.6473830800547895</v>
      </c>
      <c r="D10" s="26">
        <v>2.6473830800547895</v>
      </c>
      <c r="E10" s="26">
        <v>2.6473830800547895</v>
      </c>
      <c r="F10" s="26">
        <v>2.6473830800547895</v>
      </c>
      <c r="G10" s="26">
        <v>2.6473830800547895</v>
      </c>
      <c r="H10" s="26">
        <v>2.6473830800547895</v>
      </c>
      <c r="I10" s="26">
        <v>2.6473830800547895</v>
      </c>
      <c r="J10" s="26">
        <v>2.6473830800547895</v>
      </c>
      <c r="K10" s="26">
        <v>2.6473830800547895</v>
      </c>
      <c r="L10" s="26">
        <v>2.6473830800547895</v>
      </c>
      <c r="M10" s="26">
        <v>2.6473830800547895</v>
      </c>
      <c r="N10" s="26">
        <v>2.6473830800547895</v>
      </c>
      <c r="O10" s="26">
        <v>2.6473830800547895</v>
      </c>
      <c r="P10" s="26">
        <v>2.6473830800547895</v>
      </c>
      <c r="Q10" s="26">
        <v>2.6473830800547895</v>
      </c>
      <c r="R10" s="26">
        <v>2.6473830800547895</v>
      </c>
      <c r="S10" s="24" t="s">
        <v>360</v>
      </c>
    </row>
    <row r="11" spans="1:19" x14ac:dyDescent="0.25">
      <c r="A11" s="144">
        <v>4.8311666666666664</v>
      </c>
      <c r="B11" s="30">
        <v>2.6545642576539099</v>
      </c>
      <c r="C11" s="30">
        <v>2.6545642576539099</v>
      </c>
      <c r="D11" s="30">
        <v>2.6545642576539099</v>
      </c>
      <c r="E11" s="30">
        <v>2.6545642576539099</v>
      </c>
      <c r="F11" s="30">
        <v>2.6545642576539099</v>
      </c>
      <c r="G11" s="30">
        <v>2.6545642576539099</v>
      </c>
      <c r="H11" s="30">
        <v>2.6545642576539099</v>
      </c>
      <c r="I11" s="30">
        <v>2.6545642576539099</v>
      </c>
      <c r="J11" s="30">
        <v>2.6545642576539099</v>
      </c>
      <c r="K11" s="30">
        <v>2.6545642576539099</v>
      </c>
      <c r="L11" s="30">
        <v>2.6545642576539099</v>
      </c>
      <c r="M11" s="30">
        <v>2.6545642576539099</v>
      </c>
      <c r="N11" s="30">
        <v>2.6545642576539099</v>
      </c>
      <c r="O11" s="30">
        <v>2.6545642576539099</v>
      </c>
      <c r="P11" s="30">
        <v>2.6545642576539099</v>
      </c>
      <c r="Q11" s="30">
        <v>2.6545642576539099</v>
      </c>
      <c r="R11" s="30">
        <v>2.6545642576539099</v>
      </c>
      <c r="S11" s="25" t="s">
        <v>360</v>
      </c>
    </row>
    <row r="12" spans="1:19" x14ac:dyDescent="0.25">
      <c r="A12" s="145">
        <v>4.9776249999999997</v>
      </c>
      <c r="B12" s="26">
        <v>2.6860376359624412</v>
      </c>
      <c r="C12" s="26">
        <v>2.6860376359624412</v>
      </c>
      <c r="D12" s="26">
        <v>2.6860376359624412</v>
      </c>
      <c r="E12" s="26">
        <v>2.6860376359624412</v>
      </c>
      <c r="F12" s="26">
        <v>2.6860376359624412</v>
      </c>
      <c r="G12" s="26">
        <v>2.6860376359624412</v>
      </c>
      <c r="H12" s="26">
        <v>2.6860376359624412</v>
      </c>
      <c r="I12" s="26">
        <v>2.6860376359624412</v>
      </c>
      <c r="J12" s="26">
        <v>2.6860376359624412</v>
      </c>
      <c r="K12" s="26">
        <v>2.6860376359624412</v>
      </c>
      <c r="L12" s="26">
        <v>2.6860376359624412</v>
      </c>
      <c r="M12" s="26">
        <v>2.6860376359624412</v>
      </c>
      <c r="N12" s="26">
        <v>2.6860376359624412</v>
      </c>
      <c r="O12" s="26">
        <v>2.6860376359624412</v>
      </c>
      <c r="P12" s="26">
        <v>2.6860376359624412</v>
      </c>
      <c r="Q12" s="26">
        <v>2.6860376359624412</v>
      </c>
      <c r="R12" s="26">
        <v>2.6860376359624412</v>
      </c>
      <c r="S12" s="24" t="s">
        <v>360</v>
      </c>
    </row>
    <row r="13" spans="1:19" x14ac:dyDescent="0.25">
      <c r="A13" s="144">
        <v>5.5472083333333329</v>
      </c>
      <c r="B13" s="30">
        <v>2.8530167620011628</v>
      </c>
      <c r="C13" s="30">
        <v>2.8530167620011628</v>
      </c>
      <c r="D13" s="30">
        <v>2.8530167620011628</v>
      </c>
      <c r="E13" s="30">
        <v>2.8530167620011628</v>
      </c>
      <c r="F13" s="30">
        <v>2.8530167620011628</v>
      </c>
      <c r="G13" s="30">
        <v>2.8530167620011628</v>
      </c>
      <c r="H13" s="30">
        <v>2.8530167620011628</v>
      </c>
      <c r="I13" s="30">
        <v>2.8530167620011628</v>
      </c>
      <c r="J13" s="30">
        <v>2.8530167620011628</v>
      </c>
      <c r="K13" s="30">
        <v>2.8530167620011628</v>
      </c>
      <c r="L13" s="30">
        <v>2.8530167620011628</v>
      </c>
      <c r="M13" s="30">
        <v>2.8530167620011628</v>
      </c>
      <c r="N13" s="30">
        <v>2.8530167620011628</v>
      </c>
      <c r="O13" s="30">
        <v>2.8530167620011628</v>
      </c>
      <c r="P13" s="30">
        <v>2.8530167620011628</v>
      </c>
      <c r="Q13" s="30">
        <v>2.8530167620011628</v>
      </c>
      <c r="R13" s="30">
        <v>2.8530167620011628</v>
      </c>
      <c r="S13" s="25" t="s">
        <v>360</v>
      </c>
    </row>
    <row r="14" spans="1:19" x14ac:dyDescent="0.25">
      <c r="A14" s="145">
        <v>6.1215833333333327</v>
      </c>
      <c r="B14" s="26">
        <v>2.9082833995992479</v>
      </c>
      <c r="C14" s="26">
        <v>2.9082833995992479</v>
      </c>
      <c r="D14" s="26">
        <v>2.9082833995992479</v>
      </c>
      <c r="E14" s="26">
        <v>2.9082833995992479</v>
      </c>
      <c r="F14" s="26">
        <v>2.9082833995992479</v>
      </c>
      <c r="G14" s="26">
        <v>2.9082833995992479</v>
      </c>
      <c r="H14" s="26">
        <v>2.9082833995992479</v>
      </c>
      <c r="I14" s="26">
        <v>2.9082833995992479</v>
      </c>
      <c r="J14" s="26">
        <v>2.9082833995992479</v>
      </c>
      <c r="K14" s="26">
        <v>2.9082833995992479</v>
      </c>
      <c r="L14" s="26">
        <v>2.9082833995992479</v>
      </c>
      <c r="M14" s="26">
        <v>2.9082833995992479</v>
      </c>
      <c r="N14" s="26">
        <v>2.9082833995992479</v>
      </c>
      <c r="O14" s="26">
        <v>2.9082833995992479</v>
      </c>
      <c r="P14" s="26">
        <v>2.9082833995992479</v>
      </c>
      <c r="Q14" s="26">
        <v>2.9082833995992479</v>
      </c>
      <c r="R14" s="26">
        <v>2.9082833995992479</v>
      </c>
      <c r="S14" s="24" t="s">
        <v>360</v>
      </c>
    </row>
    <row r="15" spans="1:19" x14ac:dyDescent="0.25">
      <c r="A15" s="144">
        <v>6.507416666666666</v>
      </c>
      <c r="B15" s="30">
        <v>3.1027463031618985</v>
      </c>
      <c r="C15" s="30">
        <v>3.1027463031618985</v>
      </c>
      <c r="D15" s="30">
        <v>3.1027463031618985</v>
      </c>
      <c r="E15" s="30">
        <v>3.1027463031618985</v>
      </c>
      <c r="F15" s="30">
        <v>3.1027463031618985</v>
      </c>
      <c r="G15" s="30">
        <v>3.1027463031618985</v>
      </c>
      <c r="H15" s="30">
        <v>3.1027463031618985</v>
      </c>
      <c r="I15" s="30">
        <v>3.1027463031618985</v>
      </c>
      <c r="J15" s="30">
        <v>3.1027463031618985</v>
      </c>
      <c r="K15" s="30">
        <v>3.1027463031618985</v>
      </c>
      <c r="L15" s="30">
        <v>3.1027463031618985</v>
      </c>
      <c r="M15" s="30">
        <v>3.1027463031618985</v>
      </c>
      <c r="N15" s="30">
        <v>3.1027463031618985</v>
      </c>
      <c r="O15" s="30">
        <v>3.1027463031618985</v>
      </c>
      <c r="P15" s="30">
        <v>3.1027463031618985</v>
      </c>
      <c r="Q15" s="30">
        <v>3.1027463031618985</v>
      </c>
      <c r="R15" s="30">
        <v>3.1027463031618985</v>
      </c>
      <c r="S15" s="25" t="s">
        <v>360</v>
      </c>
    </row>
    <row r="16" spans="1:19" x14ac:dyDescent="0.25">
      <c r="A16" s="145">
        <v>6.683562499999999</v>
      </c>
      <c r="B16" s="26">
        <v>3.9681323448147428</v>
      </c>
      <c r="C16" s="26">
        <v>3.9681323448147428</v>
      </c>
      <c r="D16" s="26">
        <v>3.9681323448147428</v>
      </c>
      <c r="E16" s="26">
        <v>3.9681323448147428</v>
      </c>
      <c r="F16" s="26">
        <v>3.9681323448147428</v>
      </c>
      <c r="G16" s="26">
        <v>3.9681323448147428</v>
      </c>
      <c r="H16" s="26">
        <v>3.9681323448147428</v>
      </c>
      <c r="I16" s="26">
        <v>3.9681323448147428</v>
      </c>
      <c r="J16" s="26">
        <v>3.9681323448147428</v>
      </c>
      <c r="K16" s="26">
        <v>3.9681323448147428</v>
      </c>
      <c r="L16" s="26">
        <v>3.9681323448147428</v>
      </c>
      <c r="M16" s="26">
        <v>3.9681323448147428</v>
      </c>
      <c r="N16" s="26">
        <v>3.9681323448147428</v>
      </c>
      <c r="O16" s="26">
        <v>3.9681323448147428</v>
      </c>
      <c r="P16" s="26">
        <v>3.9681323448147428</v>
      </c>
      <c r="Q16" s="26">
        <v>3.9681323448147428</v>
      </c>
      <c r="R16" s="26">
        <v>3.9681323448147428</v>
      </c>
      <c r="S16" s="24" t="s">
        <v>360</v>
      </c>
    </row>
    <row r="17" spans="1:19" x14ac:dyDescent="0.25">
      <c r="A17" s="144">
        <v>6.8635624999999987</v>
      </c>
      <c r="B17" s="30">
        <v>4.1022210406407744</v>
      </c>
      <c r="C17" s="30">
        <v>4.1022210406407744</v>
      </c>
      <c r="D17" s="30">
        <v>4.1022210406407744</v>
      </c>
      <c r="E17" s="30">
        <v>4.1022210406407744</v>
      </c>
      <c r="F17" s="30">
        <v>4.1022210406407744</v>
      </c>
      <c r="G17" s="30">
        <v>4.1022210406407744</v>
      </c>
      <c r="H17" s="30">
        <v>4.1022210406407744</v>
      </c>
      <c r="I17" s="30">
        <v>4.1022210406407744</v>
      </c>
      <c r="J17" s="30">
        <v>4.1022210406407744</v>
      </c>
      <c r="K17" s="30">
        <v>4.1022210406407744</v>
      </c>
      <c r="L17" s="30">
        <v>4.1022210406407744</v>
      </c>
      <c r="M17" s="30">
        <v>4.1022210406407744</v>
      </c>
      <c r="N17" s="30">
        <v>4.1022210406407744</v>
      </c>
      <c r="O17" s="30">
        <v>4.1022210406407744</v>
      </c>
      <c r="P17" s="30">
        <v>4.1022210406407744</v>
      </c>
      <c r="Q17" s="30">
        <v>4.1022210406407744</v>
      </c>
      <c r="R17" s="30">
        <v>4.1022210406407744</v>
      </c>
      <c r="S17" s="25" t="s">
        <v>360</v>
      </c>
    </row>
    <row r="18" spans="1:19" x14ac:dyDescent="0.25">
      <c r="A18" s="145">
        <v>7.567708333333333</v>
      </c>
      <c r="B18" s="26">
        <v>4.4170251271261751</v>
      </c>
      <c r="C18" s="26">
        <v>4.4170251271261751</v>
      </c>
      <c r="D18" s="26">
        <v>4.4170251271261751</v>
      </c>
      <c r="E18" s="26">
        <v>4.4170251271261751</v>
      </c>
      <c r="F18" s="26">
        <v>4.4170251271261751</v>
      </c>
      <c r="G18" s="26">
        <v>4.4170251271261751</v>
      </c>
      <c r="H18" s="26">
        <v>4.4170251271261751</v>
      </c>
      <c r="I18" s="26">
        <v>4.4170251271261751</v>
      </c>
      <c r="J18" s="26">
        <v>4.4170251271261751</v>
      </c>
      <c r="K18" s="26">
        <v>4.4170251271261751</v>
      </c>
      <c r="L18" s="26">
        <v>4.4170251271261751</v>
      </c>
      <c r="M18" s="26">
        <v>4.4170251271261751</v>
      </c>
      <c r="N18" s="26">
        <v>4.4170251271261751</v>
      </c>
      <c r="O18" s="26">
        <v>4.4170251271261751</v>
      </c>
      <c r="P18" s="26">
        <v>4.4170251271261751</v>
      </c>
      <c r="Q18" s="26">
        <v>4.4170251271261751</v>
      </c>
      <c r="R18" s="26">
        <v>4.4170251271261751</v>
      </c>
      <c r="S18" s="24" t="s">
        <v>360</v>
      </c>
    </row>
    <row r="19" spans="1:19" x14ac:dyDescent="0.25">
      <c r="A19" s="144">
        <v>7.6277083333333326</v>
      </c>
      <c r="B19" s="30">
        <v>5.7656447206628654</v>
      </c>
      <c r="C19" s="30">
        <v>5.7656447206628654</v>
      </c>
      <c r="D19" s="30">
        <v>5.7656447206628654</v>
      </c>
      <c r="E19" s="30">
        <v>5.7656447206628654</v>
      </c>
      <c r="F19" s="30">
        <v>5.7656447206628654</v>
      </c>
      <c r="G19" s="30">
        <v>5.7656447206628654</v>
      </c>
      <c r="H19" s="30">
        <v>5.7656447206628654</v>
      </c>
      <c r="I19" s="30">
        <v>5.7656447206628654</v>
      </c>
      <c r="J19" s="30">
        <v>5.7656447206628654</v>
      </c>
      <c r="K19" s="30">
        <v>5.7656447206628654</v>
      </c>
      <c r="L19" s="30">
        <v>5.7656447206628654</v>
      </c>
      <c r="M19" s="30">
        <v>5.7656447206628654</v>
      </c>
      <c r="N19" s="30">
        <v>5.7656447206628654</v>
      </c>
      <c r="O19" s="30">
        <v>5.7656447206628654</v>
      </c>
      <c r="P19" s="30">
        <v>5.7656447206628654</v>
      </c>
      <c r="Q19" s="30">
        <v>5.7656447206628654</v>
      </c>
      <c r="R19" s="30">
        <v>5.7656447206628654</v>
      </c>
      <c r="S19" s="25" t="s">
        <v>360</v>
      </c>
    </row>
    <row r="20" spans="1:19" x14ac:dyDescent="0.25">
      <c r="A20" s="145">
        <v>7.7791666666666659</v>
      </c>
      <c r="B20" s="26">
        <v>6.0531362417788577</v>
      </c>
      <c r="C20" s="26">
        <v>6.0531362417788577</v>
      </c>
      <c r="D20" s="26">
        <v>6.0531362417788577</v>
      </c>
      <c r="E20" s="26">
        <v>6.0531362417788577</v>
      </c>
      <c r="F20" s="26">
        <v>6.0531362417788577</v>
      </c>
      <c r="G20" s="26">
        <v>6.0531362417788577</v>
      </c>
      <c r="H20" s="26">
        <v>6.0531362417788577</v>
      </c>
      <c r="I20" s="26">
        <v>6.0531362417788577</v>
      </c>
      <c r="J20" s="26">
        <v>6.0531362417788577</v>
      </c>
      <c r="K20" s="26">
        <v>6.0531362417788577</v>
      </c>
      <c r="L20" s="26">
        <v>6.0531362417788577</v>
      </c>
      <c r="M20" s="26">
        <v>6.0531362417788577</v>
      </c>
      <c r="N20" s="26">
        <v>6.0531362417788577</v>
      </c>
      <c r="O20" s="26">
        <v>6.0531362417788577</v>
      </c>
      <c r="P20" s="26">
        <v>6.0531362417788577</v>
      </c>
      <c r="Q20" s="26">
        <v>6.0531362417788577</v>
      </c>
      <c r="R20" s="26">
        <v>6.0531362417788577</v>
      </c>
      <c r="S20" s="24" t="s">
        <v>360</v>
      </c>
    </row>
    <row r="21" spans="1:19" x14ac:dyDescent="0.25">
      <c r="A21" s="144">
        <v>7.8222916666666658</v>
      </c>
      <c r="B21" s="30">
        <v>7.4769895214262094</v>
      </c>
      <c r="C21" s="30">
        <v>7.4769895214262094</v>
      </c>
      <c r="D21" s="30">
        <v>7.4769895214262094</v>
      </c>
      <c r="E21" s="30">
        <v>7.4769895214262094</v>
      </c>
      <c r="F21" s="30">
        <v>7.4769895214262094</v>
      </c>
      <c r="G21" s="30">
        <v>7.4769895214262094</v>
      </c>
      <c r="H21" s="30">
        <v>7.4769895214262094</v>
      </c>
      <c r="I21" s="30">
        <v>7.4769895214262094</v>
      </c>
      <c r="J21" s="30">
        <v>7.4769895214262094</v>
      </c>
      <c r="K21" s="30">
        <v>7.4769895214262094</v>
      </c>
      <c r="L21" s="30">
        <v>7.4769895214262094</v>
      </c>
      <c r="M21" s="30">
        <v>7.4769895214262094</v>
      </c>
      <c r="N21" s="30">
        <v>7.4769895214262094</v>
      </c>
      <c r="O21" s="30">
        <v>7.4769895214262094</v>
      </c>
      <c r="P21" s="30">
        <v>7.4769895214262094</v>
      </c>
      <c r="Q21" s="30">
        <v>7.4769895214262094</v>
      </c>
      <c r="R21" s="30">
        <v>7.4769895214262094</v>
      </c>
      <c r="S21" s="25" t="s">
        <v>360</v>
      </c>
    </row>
    <row r="22" spans="1:19" x14ac:dyDescent="0.25">
      <c r="A22" s="145">
        <v>8.6576874999999998</v>
      </c>
      <c r="B22" s="26">
        <v>8.3235633160973457</v>
      </c>
      <c r="C22" s="26">
        <v>8.3235633160973457</v>
      </c>
      <c r="D22" s="26">
        <v>8.3235633160973457</v>
      </c>
      <c r="E22" s="26">
        <v>8.3235633160973457</v>
      </c>
      <c r="F22" s="26">
        <v>8.3235633160973457</v>
      </c>
      <c r="G22" s="26">
        <v>8.3235633160973457</v>
      </c>
      <c r="H22" s="26">
        <v>8.3235633160973457</v>
      </c>
      <c r="I22" s="26">
        <v>8.3235633160973457</v>
      </c>
      <c r="J22" s="26">
        <v>8.3235633160973457</v>
      </c>
      <c r="K22" s="26">
        <v>8.3235633160973457</v>
      </c>
      <c r="L22" s="26">
        <v>8.3235633160973457</v>
      </c>
      <c r="M22" s="26">
        <v>8.3235633160973457</v>
      </c>
      <c r="N22" s="26">
        <v>8.3235633160973457</v>
      </c>
      <c r="O22" s="26">
        <v>8.3235633160973457</v>
      </c>
      <c r="P22" s="26">
        <v>8.3235633160973457</v>
      </c>
      <c r="Q22" s="26">
        <v>8.3235633160973457</v>
      </c>
      <c r="R22" s="26">
        <v>8.3235633160973457</v>
      </c>
      <c r="S22" s="24" t="s">
        <v>360</v>
      </c>
    </row>
    <row r="23" spans="1:19" x14ac:dyDescent="0.25">
      <c r="A23" s="71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25"/>
    </row>
    <row r="24" spans="1:19" x14ac:dyDescent="0.25">
      <c r="A24" s="72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4"/>
    </row>
    <row r="25" spans="1:19" x14ac:dyDescent="0.25">
      <c r="A25" s="71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25"/>
    </row>
    <row r="26" spans="1:19" x14ac:dyDescent="0.25">
      <c r="A26" s="72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4"/>
    </row>
    <row r="27" spans="1:19" x14ac:dyDescent="0.25">
      <c r="A27" s="71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25"/>
    </row>
    <row r="28" spans="1:19" x14ac:dyDescent="0.25">
      <c r="A28" s="72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4"/>
    </row>
    <row r="29" spans="1:19" x14ac:dyDescent="0.25">
      <c r="A29" s="71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25"/>
    </row>
    <row r="30" spans="1:19" x14ac:dyDescent="0.25">
      <c r="A30" s="72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4"/>
    </row>
    <row r="31" spans="1:19" x14ac:dyDescent="0.25">
      <c r="A31" s="7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25"/>
    </row>
    <row r="32" spans="1:19" x14ac:dyDescent="0.25">
      <c r="A32" s="72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4"/>
    </row>
    <row r="33" spans="1:19" x14ac:dyDescent="0.25">
      <c r="A33" s="7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25"/>
    </row>
    <row r="34" spans="1:19" x14ac:dyDescent="0.25">
      <c r="A34" s="72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4"/>
    </row>
    <row r="35" spans="1:19" x14ac:dyDescent="0.25">
      <c r="A35" s="71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5"/>
    </row>
    <row r="36" spans="1:19" x14ac:dyDescent="0.25">
      <c r="A36" s="72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4"/>
    </row>
    <row r="37" spans="1:19" x14ac:dyDescent="0.25">
      <c r="A37" s="71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5"/>
    </row>
    <row r="38" spans="1:19" x14ac:dyDescent="0.25">
      <c r="A38" s="72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4"/>
    </row>
    <row r="39" spans="1:19" x14ac:dyDescent="0.25">
      <c r="A39" s="71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5"/>
    </row>
    <row r="40" spans="1:19" x14ac:dyDescent="0.25">
      <c r="A40" s="72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4"/>
    </row>
    <row r="41" spans="1:19" x14ac:dyDescent="0.25">
      <c r="A41" s="71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5"/>
    </row>
    <row r="42" spans="1:19" x14ac:dyDescent="0.25">
      <c r="A42" s="72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4"/>
    </row>
    <row r="43" spans="1:19" x14ac:dyDescent="0.25">
      <c r="A43" s="71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5"/>
    </row>
    <row r="44" spans="1:19" x14ac:dyDescent="0.25">
      <c r="A44" s="72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4"/>
    </row>
    <row r="45" spans="1:19" x14ac:dyDescent="0.25">
      <c r="A45" s="71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0" t="s">
        <v>128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375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0"/>
  <sheetViews>
    <sheetView topLeftCell="A7" workbookViewId="0">
      <selection activeCell="A33" sqref="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9" t="s">
        <v>162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9" t="s">
        <v>163</v>
      </c>
      <c r="B7" s="4">
        <f t="shared" ref="B7:B39" si="1">ROW(2:2)</f>
        <v>2</v>
      </c>
      <c r="C7" s="102" t="s">
        <v>162</v>
      </c>
      <c r="D7" s="19"/>
      <c r="E7" s="21" t="str">
        <f>"Region_"&amp;TEXT(TBL_REGIONS_INDEX[[#This Row],[Index]],"000")</f>
        <v>Region_002</v>
      </c>
    </row>
    <row r="8" spans="1:5" x14ac:dyDescent="0.25">
      <c r="A8" s="79" t="s">
        <v>164</v>
      </c>
      <c r="B8" s="4">
        <f t="shared" si="1"/>
        <v>3</v>
      </c>
      <c r="C8" s="102" t="s">
        <v>162</v>
      </c>
      <c r="D8" s="19"/>
      <c r="E8" s="21" t="str">
        <f>"Region_"&amp;TEXT(TBL_REGIONS_INDEX[[#This Row],[Index]],"000")</f>
        <v>Region_003</v>
      </c>
    </row>
    <row r="9" spans="1:5" x14ac:dyDescent="0.25">
      <c r="A9" s="79" t="s">
        <v>165</v>
      </c>
      <c r="B9" s="4">
        <f t="shared" si="1"/>
        <v>4</v>
      </c>
      <c r="C9" s="102"/>
      <c r="D9" s="19"/>
      <c r="E9" s="21" t="str">
        <f>"Region_"&amp;TEXT(TBL_REGIONS_INDEX[[#This Row],[Index]],"000")</f>
        <v>Region_004</v>
      </c>
    </row>
    <row r="10" spans="1:5" x14ac:dyDescent="0.25">
      <c r="A10" s="79" t="s">
        <v>166</v>
      </c>
      <c r="B10" s="4">
        <f t="shared" si="1"/>
        <v>5</v>
      </c>
      <c r="C10" s="102"/>
      <c r="D10" s="19"/>
      <c r="E10" s="21" t="str">
        <f>"Region_"&amp;TEXT(TBL_REGIONS_INDEX[[#This Row],[Index]],"000")</f>
        <v>Region_005</v>
      </c>
    </row>
    <row r="11" spans="1:5" x14ac:dyDescent="0.25">
      <c r="A11" s="79" t="s">
        <v>167</v>
      </c>
      <c r="B11" s="4">
        <f t="shared" si="1"/>
        <v>6</v>
      </c>
      <c r="C11" s="102"/>
      <c r="D11" s="19"/>
      <c r="E11" s="21" t="str">
        <f>"Region_"&amp;TEXT(TBL_REGIONS_INDEX[[#This Row],[Index]],"000")</f>
        <v>Region_006</v>
      </c>
    </row>
    <row r="12" spans="1:5" x14ac:dyDescent="0.25">
      <c r="A12" s="79" t="s">
        <v>168</v>
      </c>
      <c r="B12" s="4">
        <f t="shared" si="1"/>
        <v>7</v>
      </c>
      <c r="C12" s="102" t="s">
        <v>167</v>
      </c>
      <c r="D12" s="19"/>
      <c r="E12" s="21" t="str">
        <f>"Region_"&amp;TEXT(TBL_REGIONS_INDEX[[#This Row],[Index]],"000")</f>
        <v>Region_007</v>
      </c>
    </row>
    <row r="13" spans="1:5" x14ac:dyDescent="0.25">
      <c r="A13" s="79" t="s">
        <v>169</v>
      </c>
      <c r="B13" s="4">
        <f t="shared" si="1"/>
        <v>8</v>
      </c>
      <c r="C13" s="102" t="s">
        <v>167</v>
      </c>
      <c r="D13" s="19"/>
      <c r="E13" s="21" t="str">
        <f>"Region_"&amp;TEXT(TBL_REGIONS_INDEX[[#This Row],[Index]],"000")</f>
        <v>Region_008</v>
      </c>
    </row>
    <row r="14" spans="1:5" x14ac:dyDescent="0.25">
      <c r="A14" s="79" t="s">
        <v>170</v>
      </c>
      <c r="B14" s="4">
        <f t="shared" si="1"/>
        <v>9</v>
      </c>
      <c r="C14" s="102"/>
      <c r="D14" s="19"/>
      <c r="E14" s="21" t="str">
        <f>"Region_"&amp;TEXT(TBL_REGIONS_INDEX[[#This Row],[Index]],"000")</f>
        <v>Region_009</v>
      </c>
    </row>
    <row r="15" spans="1:5" x14ac:dyDescent="0.25">
      <c r="A15" s="79" t="s">
        <v>171</v>
      </c>
      <c r="B15" s="4">
        <f t="shared" si="1"/>
        <v>10</v>
      </c>
      <c r="C15" s="102"/>
      <c r="D15" s="19"/>
      <c r="E15" s="21" t="str">
        <f>"Region_"&amp;TEXT(TBL_REGIONS_INDEX[[#This Row],[Index]],"000")</f>
        <v>Region_010</v>
      </c>
    </row>
    <row r="16" spans="1:5" x14ac:dyDescent="0.25">
      <c r="A16" s="79" t="s">
        <v>172</v>
      </c>
      <c r="B16" s="4">
        <f t="shared" si="1"/>
        <v>11</v>
      </c>
      <c r="C16" s="102"/>
      <c r="D16" s="19"/>
      <c r="E16" s="21" t="str">
        <f>"Region_"&amp;TEXT(TBL_REGIONS_INDEX[[#This Row],[Index]],"000")</f>
        <v>Region_011</v>
      </c>
    </row>
    <row r="17" spans="1:5" x14ac:dyDescent="0.25">
      <c r="A17" s="79" t="s">
        <v>173</v>
      </c>
      <c r="B17" s="4">
        <f t="shared" si="1"/>
        <v>12</v>
      </c>
      <c r="C17" s="102"/>
      <c r="D17" s="19"/>
      <c r="E17" s="21" t="str">
        <f>"Region_"&amp;TEXT(TBL_REGIONS_INDEX[[#This Row],[Index]],"000")</f>
        <v>Region_012</v>
      </c>
    </row>
    <row r="18" spans="1:5" x14ac:dyDescent="0.25">
      <c r="A18" s="79" t="s">
        <v>174</v>
      </c>
      <c r="B18" s="4">
        <f t="shared" si="1"/>
        <v>13</v>
      </c>
      <c r="C18" s="102"/>
      <c r="D18" s="19"/>
      <c r="E18" s="21" t="str">
        <f>"Region_"&amp;TEXT(TBL_REGIONS_INDEX[[#This Row],[Index]],"000")</f>
        <v>Region_013</v>
      </c>
    </row>
    <row r="19" spans="1:5" x14ac:dyDescent="0.25">
      <c r="A19" s="79" t="s">
        <v>175</v>
      </c>
      <c r="B19" s="4">
        <f t="shared" si="1"/>
        <v>14</v>
      </c>
      <c r="C19" s="102" t="s">
        <v>174</v>
      </c>
      <c r="D19" s="19"/>
      <c r="E19" s="21" t="str">
        <f>"Region_"&amp;TEXT(TBL_REGIONS_INDEX[[#This Row],[Index]],"000")</f>
        <v>Region_014</v>
      </c>
    </row>
    <row r="20" spans="1:5" x14ac:dyDescent="0.25">
      <c r="A20" s="79" t="s">
        <v>176</v>
      </c>
      <c r="B20" s="4">
        <f t="shared" si="1"/>
        <v>15</v>
      </c>
      <c r="C20" s="102" t="s">
        <v>174</v>
      </c>
      <c r="D20" s="19"/>
      <c r="E20" s="21" t="str">
        <f>"Region_"&amp;TEXT(TBL_REGIONS_INDEX[[#This Row],[Index]],"000")</f>
        <v>Region_015</v>
      </c>
    </row>
    <row r="21" spans="1:5" x14ac:dyDescent="0.25">
      <c r="A21" s="79" t="s">
        <v>177</v>
      </c>
      <c r="B21" s="4">
        <f t="shared" si="1"/>
        <v>16</v>
      </c>
      <c r="C21" s="102"/>
      <c r="D21" s="19"/>
      <c r="E21" s="21" t="str">
        <f>"Region_"&amp;TEXT(TBL_REGIONS_INDEX[[#This Row],[Index]],"000")</f>
        <v>Region_016</v>
      </c>
    </row>
    <row r="22" spans="1:5" x14ac:dyDescent="0.25">
      <c r="A22" s="79" t="s">
        <v>178</v>
      </c>
      <c r="B22" s="4">
        <f t="shared" si="1"/>
        <v>17</v>
      </c>
      <c r="C22" s="102"/>
      <c r="D22" s="19"/>
      <c r="E22" s="21" t="str">
        <f>"Region_"&amp;TEXT(TBL_REGIONS_INDEX[[#This Row],[Index]],"000")</f>
        <v>Region_017</v>
      </c>
    </row>
    <row r="23" spans="1:5" x14ac:dyDescent="0.25">
      <c r="A23" s="79" t="s">
        <v>179</v>
      </c>
      <c r="B23" s="4">
        <f t="shared" si="1"/>
        <v>18</v>
      </c>
      <c r="C23" s="102"/>
      <c r="D23" s="19"/>
      <c r="E23" s="21" t="str">
        <f>"Region_"&amp;TEXT(TBL_REGIONS_INDEX[[#This Row],[Index]],"000")</f>
        <v>Region_018</v>
      </c>
    </row>
    <row r="24" spans="1:5" x14ac:dyDescent="0.25">
      <c r="A24" s="79" t="s">
        <v>180</v>
      </c>
      <c r="B24" s="4">
        <f t="shared" si="1"/>
        <v>19</v>
      </c>
      <c r="C24" s="102"/>
      <c r="D24" s="19"/>
      <c r="E24" s="21" t="str">
        <f>"Region_"&amp;TEXT(TBL_REGIONS_INDEX[[#This Row],[Index]],"000")</f>
        <v>Region_019</v>
      </c>
    </row>
    <row r="25" spans="1:5" x14ac:dyDescent="0.25">
      <c r="A25" s="79" t="s">
        <v>181</v>
      </c>
      <c r="B25" s="4">
        <f t="shared" si="1"/>
        <v>20</v>
      </c>
      <c r="C25" s="102"/>
      <c r="D25" s="19"/>
      <c r="E25" s="21" t="str">
        <f>"Region_"&amp;TEXT(TBL_REGIONS_INDEX[[#This Row],[Index]],"000")</f>
        <v>Region_020</v>
      </c>
    </row>
    <row r="26" spans="1:5" x14ac:dyDescent="0.25">
      <c r="A26" s="79" t="s">
        <v>182</v>
      </c>
      <c r="B26" s="4">
        <f t="shared" si="1"/>
        <v>21</v>
      </c>
      <c r="C26" s="102" t="s">
        <v>181</v>
      </c>
      <c r="D26" s="19"/>
      <c r="E26" s="21" t="str">
        <f>"Region_"&amp;TEXT(TBL_REGIONS_INDEX[[#This Row],[Index]],"000")</f>
        <v>Region_021</v>
      </c>
    </row>
    <row r="27" spans="1:5" x14ac:dyDescent="0.25">
      <c r="A27" s="79" t="s">
        <v>183</v>
      </c>
      <c r="B27" s="4">
        <f t="shared" si="1"/>
        <v>22</v>
      </c>
      <c r="C27" s="102" t="s">
        <v>181</v>
      </c>
      <c r="D27" s="19"/>
      <c r="E27" s="21" t="str">
        <f>"Region_"&amp;TEXT(TBL_REGIONS_INDEX[[#This Row],[Index]],"000")</f>
        <v>Region_022</v>
      </c>
    </row>
    <row r="28" spans="1:5" x14ac:dyDescent="0.25">
      <c r="A28" s="79" t="s">
        <v>184</v>
      </c>
      <c r="B28" s="4">
        <f t="shared" si="1"/>
        <v>23</v>
      </c>
      <c r="C28" s="102" t="s">
        <v>181</v>
      </c>
      <c r="D28" s="19"/>
      <c r="E28" s="21" t="str">
        <f>"Region_"&amp;TEXT(TBL_REGIONS_INDEX[[#This Row],[Index]],"000")</f>
        <v>Region_023</v>
      </c>
    </row>
    <row r="29" spans="1:5" x14ac:dyDescent="0.25">
      <c r="A29" s="79" t="s">
        <v>361</v>
      </c>
      <c r="B29" s="4">
        <f t="shared" si="1"/>
        <v>24</v>
      </c>
      <c r="C29" s="102"/>
      <c r="D29" s="19"/>
      <c r="E29" s="21" t="str">
        <f>"Region_"&amp;TEXT(TBL_REGIONS_INDEX[[#This Row],[Index]],"000")</f>
        <v>Region_024</v>
      </c>
    </row>
    <row r="30" spans="1:5" x14ac:dyDescent="0.25">
      <c r="A30" s="79" t="s">
        <v>185</v>
      </c>
      <c r="B30" s="4">
        <f t="shared" si="1"/>
        <v>25</v>
      </c>
      <c r="C30" s="102" t="s">
        <v>361</v>
      </c>
      <c r="D30" s="19"/>
      <c r="E30" s="21" t="str">
        <f>"Region_"&amp;TEXT(TBL_REGIONS_INDEX[[#This Row],[Index]],"000")</f>
        <v>Region_025</v>
      </c>
    </row>
    <row r="31" spans="1:5" x14ac:dyDescent="0.25">
      <c r="A31" s="79" t="s">
        <v>186</v>
      </c>
      <c r="B31" s="4">
        <f t="shared" si="1"/>
        <v>26</v>
      </c>
      <c r="C31" s="102" t="s">
        <v>361</v>
      </c>
      <c r="D31" s="19"/>
      <c r="E31" s="21" t="str">
        <f>"Region_"&amp;TEXT(TBL_REGIONS_INDEX[[#This Row],[Index]],"000")</f>
        <v>Region_026</v>
      </c>
    </row>
    <row r="32" spans="1:5" x14ac:dyDescent="0.25">
      <c r="A32" s="79" t="s">
        <v>187</v>
      </c>
      <c r="B32" s="4">
        <f t="shared" si="1"/>
        <v>27</v>
      </c>
      <c r="C32" s="102" t="s">
        <v>361</v>
      </c>
      <c r="D32" s="19"/>
      <c r="E32" s="21" t="str">
        <f>"Region_"&amp;TEXT(TBL_REGIONS_INDEX[[#This Row],[Index]],"000")</f>
        <v>Region_027</v>
      </c>
    </row>
    <row r="33" spans="1:5" x14ac:dyDescent="0.25">
      <c r="A33" s="79" t="s">
        <v>188</v>
      </c>
      <c r="B33" s="4">
        <f t="shared" si="1"/>
        <v>28</v>
      </c>
      <c r="C33" s="102" t="s">
        <v>361</v>
      </c>
      <c r="D33" s="19"/>
      <c r="E33" s="21" t="str">
        <f>"Region_"&amp;TEXT(TBL_REGIONS_INDEX[[#This Row],[Index]],"000")</f>
        <v>Region_028</v>
      </c>
    </row>
    <row r="34" spans="1:5" x14ac:dyDescent="0.25">
      <c r="A34" s="79" t="s">
        <v>189</v>
      </c>
      <c r="B34" s="4">
        <f t="shared" si="1"/>
        <v>29</v>
      </c>
      <c r="C34" s="102" t="s">
        <v>361</v>
      </c>
      <c r="D34" s="19"/>
      <c r="E34" s="21" t="str">
        <f>"Region_"&amp;TEXT(TBL_REGIONS_INDEX[[#This Row],[Index]],"000")</f>
        <v>Region_029</v>
      </c>
    </row>
    <row r="35" spans="1:5" x14ac:dyDescent="0.25">
      <c r="A35" s="79" t="s">
        <v>190</v>
      </c>
      <c r="B35" s="4">
        <f t="shared" si="1"/>
        <v>30</v>
      </c>
      <c r="C35" s="102" t="s">
        <v>361</v>
      </c>
      <c r="D35" s="19"/>
      <c r="E35" s="21" t="str">
        <f>"Region_"&amp;TEXT(TBL_REGIONS_INDEX[[#This Row],[Index]],"000")</f>
        <v>Region_030</v>
      </c>
    </row>
    <row r="36" spans="1:5" x14ac:dyDescent="0.25">
      <c r="A36" s="79" t="s">
        <v>191</v>
      </c>
      <c r="B36" s="4">
        <f t="shared" si="1"/>
        <v>31</v>
      </c>
      <c r="C36" s="102"/>
      <c r="D36" s="19"/>
      <c r="E36" s="21" t="str">
        <f>"Region_"&amp;TEXT(TBL_REGIONS_INDEX[[#This Row],[Index]],"000")</f>
        <v>Region_031</v>
      </c>
    </row>
    <row r="37" spans="1:5" x14ac:dyDescent="0.25">
      <c r="A37" s="79" t="s">
        <v>192</v>
      </c>
      <c r="B37" s="4">
        <f t="shared" si="1"/>
        <v>32</v>
      </c>
      <c r="C37" s="102" t="s">
        <v>191</v>
      </c>
      <c r="D37" s="19"/>
      <c r="E37" s="21" t="str">
        <f>"Region_"&amp;TEXT(TBL_REGIONS_INDEX[[#This Row],[Index]],"000")</f>
        <v>Region_032</v>
      </c>
    </row>
    <row r="38" spans="1:5" x14ac:dyDescent="0.25">
      <c r="A38" s="79" t="s">
        <v>193</v>
      </c>
      <c r="B38" s="4">
        <f t="shared" si="1"/>
        <v>33</v>
      </c>
      <c r="C38" s="102" t="s">
        <v>191</v>
      </c>
      <c r="D38" s="19"/>
      <c r="E38" s="21" t="str">
        <f>"Region_"&amp;TEXT(TBL_REGIONS_INDEX[[#This Row],[Index]],"000")</f>
        <v>Region_033</v>
      </c>
    </row>
    <row r="39" spans="1:5" x14ac:dyDescent="0.25">
      <c r="A39" s="79" t="s">
        <v>194</v>
      </c>
      <c r="B39" s="4">
        <f t="shared" si="1"/>
        <v>34</v>
      </c>
      <c r="C39" s="102"/>
      <c r="D39" s="19"/>
      <c r="E39" s="21" t="str">
        <f>"Region_"&amp;TEXT(TBL_REGIONS_INDEX[[#This Row],[Index]],"000")</f>
        <v>Region_034</v>
      </c>
    </row>
    <row r="40" spans="1:5" x14ac:dyDescent="0.25">
      <c r="A40" s="79" t="s">
        <v>195</v>
      </c>
      <c r="B40" s="4">
        <f>ROW(36:36)</f>
        <v>36</v>
      </c>
      <c r="C40" s="102"/>
      <c r="D40" s="19"/>
      <c r="E40" s="21" t="str">
        <f>"Region_"&amp;TEXT(TBL_REGIONS_INDEX[[#This Row],[Index]],"000")</f>
        <v>Region_036</v>
      </c>
    </row>
  </sheetData>
  <conditionalFormatting sqref="C6:C40">
    <cfRule type="cellIs" dxfId="230" priority="16" operator="equal">
      <formula>$B6</formula>
    </cfRule>
  </conditionalFormatting>
  <dataValidations count="2">
    <dataValidation type="list" allowBlank="1" showInputMessage="1" showErrorMessage="1" sqref="C6:C40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0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4"/>
  <sheetViews>
    <sheetView topLeftCell="A10" workbookViewId="0">
      <selection activeCell="R34" sqref="R34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80" t="s">
        <v>172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362</v>
      </c>
      <c r="U6" s="21" t="str">
        <f>"Demand_"&amp;TEXT(TBL_DEMAND[[#This Row],[Index]],"000")</f>
        <v>Demand_011</v>
      </c>
    </row>
    <row r="7" spans="1:21" x14ac:dyDescent="0.25">
      <c r="A7" s="130" t="s">
        <v>163</v>
      </c>
      <c r="B7" s="135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42" t="s">
        <v>362</v>
      </c>
      <c r="U7" s="21" t="str">
        <f>"Demand_"&amp;TEXT(TBL_DEMAND[[#This Row],[Index]],"000")</f>
        <v>Demand_002</v>
      </c>
    </row>
    <row r="8" spans="1:21" x14ac:dyDescent="0.25">
      <c r="A8" s="130" t="s">
        <v>189</v>
      </c>
      <c r="B8" s="135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42" t="s">
        <v>362</v>
      </c>
      <c r="U8" s="21" t="str">
        <f>"Demand_"&amp;TEXT(TBL_DEMAND[[#This Row],[Index]],"000")</f>
        <v>Demand_029</v>
      </c>
    </row>
    <row r="9" spans="1:21" x14ac:dyDescent="0.25">
      <c r="A9" s="130" t="s">
        <v>179</v>
      </c>
      <c r="B9" s="135">
        <v>18</v>
      </c>
      <c r="C9" s="157">
        <v>164.07202775914365</v>
      </c>
      <c r="D9" s="33">
        <v>162.80296994161296</v>
      </c>
      <c r="E9" s="157">
        <v>241.58930049450981</v>
      </c>
      <c r="F9" s="157">
        <v>342.64081508815224</v>
      </c>
      <c r="G9" s="157">
        <v>393.40173025896996</v>
      </c>
      <c r="H9" s="157">
        <v>470.58690719598604</v>
      </c>
      <c r="I9" s="157">
        <v>435.06189514938995</v>
      </c>
      <c r="J9" s="157">
        <v>343.66031774520258</v>
      </c>
      <c r="K9" s="157">
        <v>223.24958276957645</v>
      </c>
      <c r="L9" s="157">
        <v>165.34742459766269</v>
      </c>
      <c r="M9" s="157">
        <v>134.89919173110712</v>
      </c>
      <c r="N9" s="157">
        <v>129.2991174124499</v>
      </c>
      <c r="O9" s="157">
        <v>168.63277577003413</v>
      </c>
      <c r="P9" s="157">
        <v>167.07599317857282</v>
      </c>
      <c r="Q9" s="157">
        <v>247.03719848264049</v>
      </c>
      <c r="R9" s="157">
        <v>349.94708076694377</v>
      </c>
      <c r="S9" s="157">
        <v>400.60044834838521</v>
      </c>
      <c r="T9" s="123" t="s">
        <v>362</v>
      </c>
      <c r="U9" s="21" t="str">
        <f>"Demand_"&amp;TEXT(TBL_DEMAND[[#This Row],[Index]],"000")</f>
        <v>Demand_018</v>
      </c>
    </row>
    <row r="10" spans="1:21" x14ac:dyDescent="0.25">
      <c r="A10" s="130" t="s">
        <v>173</v>
      </c>
      <c r="B10" s="135">
        <v>12</v>
      </c>
      <c r="C10" s="33">
        <v>1585.5380293929668</v>
      </c>
      <c r="D10" s="33">
        <v>1922.6576554810579</v>
      </c>
      <c r="E10" s="33">
        <v>2486.9131213341357</v>
      </c>
      <c r="F10" s="33">
        <v>3605.4398608851566</v>
      </c>
      <c r="G10" s="33">
        <v>3398.7887706118586</v>
      </c>
      <c r="H10" s="33">
        <v>4299.6121487997143</v>
      </c>
      <c r="I10" s="33">
        <v>4098.8907756471044</v>
      </c>
      <c r="J10" s="33">
        <v>3292.2551665707861</v>
      </c>
      <c r="K10" s="33">
        <v>2429.7869250794802</v>
      </c>
      <c r="L10" s="33">
        <v>1982.7377323872213</v>
      </c>
      <c r="M10" s="33">
        <v>1725.8255148410528</v>
      </c>
      <c r="N10" s="33">
        <v>1796.468080818785</v>
      </c>
      <c r="O10" s="33">
        <v>1598.5037586065907</v>
      </c>
      <c r="P10" s="33">
        <v>1936.550661975102</v>
      </c>
      <c r="Q10" s="33">
        <v>2504.1034244995271</v>
      </c>
      <c r="R10" s="33">
        <v>3628.9290616937128</v>
      </c>
      <c r="S10" s="33">
        <v>3420.7335503107875</v>
      </c>
      <c r="T10" s="142" t="s">
        <v>362</v>
      </c>
      <c r="U10" s="21" t="str">
        <f>"Demand_"&amp;TEXT(TBL_DEMAND[[#This Row],[Index]],"000")</f>
        <v>Demand_012</v>
      </c>
    </row>
    <row r="11" spans="1:21" x14ac:dyDescent="0.25">
      <c r="A11" s="130" t="s">
        <v>177</v>
      </c>
      <c r="B11" s="135">
        <v>16</v>
      </c>
      <c r="C11" s="33">
        <v>61.077599540210286</v>
      </c>
      <c r="D11" s="33">
        <v>65.366437241375593</v>
      </c>
      <c r="E11" s="33">
        <v>79.889845659883832</v>
      </c>
      <c r="F11" s="33">
        <v>107.70736862940514</v>
      </c>
      <c r="G11" s="33">
        <v>112.34064961648703</v>
      </c>
      <c r="H11" s="33">
        <v>166.57308360821412</v>
      </c>
      <c r="I11" s="33">
        <v>161.60630140266025</v>
      </c>
      <c r="J11" s="33">
        <v>133.39088096049792</v>
      </c>
      <c r="K11" s="33">
        <v>81.570447199186873</v>
      </c>
      <c r="L11" s="33">
        <v>61.441149027067205</v>
      </c>
      <c r="M11" s="33">
        <v>52.85285462401103</v>
      </c>
      <c r="N11" s="33">
        <v>52.009723716727251</v>
      </c>
      <c r="O11" s="33">
        <v>60.381701521503615</v>
      </c>
      <c r="P11" s="33">
        <v>64.304626403790095</v>
      </c>
      <c r="Q11" s="33">
        <v>78.421172249732479</v>
      </c>
      <c r="R11" s="33">
        <v>105.66758059175002</v>
      </c>
      <c r="S11" s="33">
        <v>110.32245443035089</v>
      </c>
      <c r="T11" s="142" t="s">
        <v>362</v>
      </c>
      <c r="U11" s="21" t="str">
        <f>"Demand_"&amp;TEXT(TBL_DEMAND[[#This Row],[Index]],"000")</f>
        <v>Demand_016</v>
      </c>
    </row>
    <row r="12" spans="1:21" x14ac:dyDescent="0.25">
      <c r="A12" s="130" t="s">
        <v>184</v>
      </c>
      <c r="B12" s="135">
        <v>23</v>
      </c>
      <c r="C12" s="33">
        <v>8.9256434195235403</v>
      </c>
      <c r="D12" s="33">
        <v>9.8989165917969562</v>
      </c>
      <c r="E12" s="33">
        <v>15.256258166572508</v>
      </c>
      <c r="F12" s="33">
        <v>17.513357425460182</v>
      </c>
      <c r="G12" s="33">
        <v>22.918842984247441</v>
      </c>
      <c r="H12" s="33">
        <v>24.564720111238149</v>
      </c>
      <c r="I12" s="33">
        <v>25.135408653200216</v>
      </c>
      <c r="J12" s="33">
        <v>19.477177820298468</v>
      </c>
      <c r="K12" s="33">
        <v>11.884024237264596</v>
      </c>
      <c r="L12" s="33">
        <v>9.7979755965942008</v>
      </c>
      <c r="M12" s="33">
        <v>6.9717746239340306</v>
      </c>
      <c r="N12" s="33">
        <v>7.4453252855299716</v>
      </c>
      <c r="O12" s="33">
        <v>9.0376012781873243</v>
      </c>
      <c r="P12" s="33">
        <v>10.018219039833294</v>
      </c>
      <c r="Q12" s="33">
        <v>15.513844448210179</v>
      </c>
      <c r="R12" s="33">
        <v>17.884547451333969</v>
      </c>
      <c r="S12" s="33">
        <v>23.396269984968495</v>
      </c>
      <c r="T12" s="142" t="s">
        <v>362</v>
      </c>
      <c r="U12" s="21" t="str">
        <f>"Demand_"&amp;TEXT(TBL_DEMAND[[#This Row],[Index]],"000")</f>
        <v>Demand_023</v>
      </c>
    </row>
    <row r="13" spans="1:21" x14ac:dyDescent="0.25">
      <c r="A13" s="130" t="s">
        <v>168</v>
      </c>
      <c r="B13" s="135">
        <v>7</v>
      </c>
      <c r="C13" s="33">
        <v>934.57327699661732</v>
      </c>
      <c r="D13" s="33">
        <v>903.82269075934653</v>
      </c>
      <c r="E13" s="33">
        <v>975.63669347176517</v>
      </c>
      <c r="F13" s="33">
        <v>1159.4500515541372</v>
      </c>
      <c r="G13" s="33">
        <v>1069.038056537265</v>
      </c>
      <c r="H13" s="33">
        <v>1066.2995375941578</v>
      </c>
      <c r="I13" s="33">
        <v>977.57189801456127</v>
      </c>
      <c r="J13" s="33">
        <v>824.80639161445492</v>
      </c>
      <c r="K13" s="33">
        <v>761.39729286435477</v>
      </c>
      <c r="L13" s="33">
        <v>776.80496150257295</v>
      </c>
      <c r="M13" s="33">
        <v>850.10627061249386</v>
      </c>
      <c r="N13" s="33">
        <v>899.14846066361565</v>
      </c>
      <c r="O13" s="33">
        <v>879.46917157036546</v>
      </c>
      <c r="P13" s="33">
        <v>858.46603158292839</v>
      </c>
      <c r="Q13" s="33">
        <v>926.11318416250435</v>
      </c>
      <c r="R13" s="33">
        <v>1106.5244548506555</v>
      </c>
      <c r="S13" s="33">
        <v>1030.9363053142533</v>
      </c>
      <c r="T13" s="142" t="s">
        <v>362</v>
      </c>
      <c r="U13" s="21" t="str">
        <f>"Demand_"&amp;TEXT(TBL_DEMAND[[#This Row],[Index]],"000")</f>
        <v>Demand_007</v>
      </c>
    </row>
    <row r="14" spans="1:21" x14ac:dyDescent="0.25">
      <c r="A14" s="130" t="s">
        <v>176</v>
      </c>
      <c r="B14" s="135">
        <v>15</v>
      </c>
      <c r="C14" s="33">
        <v>52.384241472485044</v>
      </c>
      <c r="D14" s="33">
        <v>62.743338542938581</v>
      </c>
      <c r="E14" s="33">
        <v>68.694499050598338</v>
      </c>
      <c r="F14" s="33">
        <v>77.469847755539547</v>
      </c>
      <c r="G14" s="33">
        <v>98.676224443557047</v>
      </c>
      <c r="H14" s="33">
        <v>129.74553448722168</v>
      </c>
      <c r="I14" s="33">
        <v>130.62545675958208</v>
      </c>
      <c r="J14" s="33">
        <v>109.29147649566616</v>
      </c>
      <c r="K14" s="33">
        <v>69.883343993970698</v>
      </c>
      <c r="L14" s="33">
        <v>46.676445581984659</v>
      </c>
      <c r="M14" s="33">
        <v>43.755208374185912</v>
      </c>
      <c r="N14" s="33">
        <v>43.230573094301093</v>
      </c>
      <c r="O14" s="33">
        <v>51.692796706507288</v>
      </c>
      <c r="P14" s="33">
        <v>61.701750394680424</v>
      </c>
      <c r="Q14" s="33">
        <v>67.525790414155139</v>
      </c>
      <c r="R14" s="33">
        <v>76.059764034348817</v>
      </c>
      <c r="S14" s="33">
        <v>96.740024430730813</v>
      </c>
      <c r="T14" s="142" t="s">
        <v>362</v>
      </c>
      <c r="U14" s="21" t="str">
        <f>"Demand_"&amp;TEXT(TBL_DEMAND[[#This Row],[Index]],"000")</f>
        <v>Demand_015</v>
      </c>
    </row>
    <row r="15" spans="1:21" x14ac:dyDescent="0.25">
      <c r="A15" s="130" t="s">
        <v>166</v>
      </c>
      <c r="B15" s="135">
        <v>5</v>
      </c>
      <c r="C15" s="33">
        <v>596.94901858110359</v>
      </c>
      <c r="D15" s="33">
        <v>785.03266613768244</v>
      </c>
      <c r="E15" s="33">
        <v>1147.8731860238922</v>
      </c>
      <c r="F15" s="33">
        <v>1875.4508390692765</v>
      </c>
      <c r="G15" s="33">
        <v>1949.5499117752331</v>
      </c>
      <c r="H15" s="33">
        <v>2176.1905012816924</v>
      </c>
      <c r="I15" s="33">
        <v>2078.4627778976765</v>
      </c>
      <c r="J15" s="33">
        <v>1596.1718386306904</v>
      </c>
      <c r="K15" s="33">
        <v>1078.9906925759678</v>
      </c>
      <c r="L15" s="33">
        <v>798.03775167158926</v>
      </c>
      <c r="M15" s="33">
        <v>618.8736387783996</v>
      </c>
      <c r="N15" s="33">
        <v>666.53274587863496</v>
      </c>
      <c r="O15" s="33">
        <v>587.85479616044745</v>
      </c>
      <c r="P15" s="33">
        <v>773.19774968497131</v>
      </c>
      <c r="Q15" s="33">
        <v>1130.2459325297316</v>
      </c>
      <c r="R15" s="33">
        <v>1849.740551347506</v>
      </c>
      <c r="S15" s="33">
        <v>1925.7782834796567</v>
      </c>
      <c r="T15" s="142" t="s">
        <v>362</v>
      </c>
      <c r="U15" s="21" t="str">
        <f>"Demand_"&amp;TEXT(TBL_DEMAND[[#This Row],[Index]],"000")</f>
        <v>Demand_005</v>
      </c>
    </row>
    <row r="16" spans="1:21" x14ac:dyDescent="0.25">
      <c r="A16" s="130" t="s">
        <v>190</v>
      </c>
      <c r="B16" s="135">
        <v>30</v>
      </c>
      <c r="C16" s="33">
        <v>160.31027227530919</v>
      </c>
      <c r="D16" s="33">
        <v>160.18919387498056</v>
      </c>
      <c r="E16" s="33">
        <v>155.00495489697897</v>
      </c>
      <c r="F16" s="33">
        <v>170.90728202483643</v>
      </c>
      <c r="G16" s="33">
        <v>190.8678989459909</v>
      </c>
      <c r="H16" s="33">
        <v>238.07143905765039</v>
      </c>
      <c r="I16" s="33">
        <v>197.12118822746331</v>
      </c>
      <c r="J16" s="33">
        <v>136.10464600591462</v>
      </c>
      <c r="K16" s="33">
        <v>128.47210289931692</v>
      </c>
      <c r="L16" s="33">
        <v>128.87060135948656</v>
      </c>
      <c r="M16" s="33">
        <v>158.47691745615728</v>
      </c>
      <c r="N16" s="33">
        <v>173.87089440612513</v>
      </c>
      <c r="O16" s="33">
        <v>167.93998760684087</v>
      </c>
      <c r="P16" s="33">
        <v>167.52891335436846</v>
      </c>
      <c r="Q16" s="33">
        <v>162.00463228827471</v>
      </c>
      <c r="R16" s="33">
        <v>177.96956748759996</v>
      </c>
      <c r="S16" s="33">
        <v>198.27644533529116</v>
      </c>
      <c r="T16" s="142" t="s">
        <v>362</v>
      </c>
      <c r="U16" s="21" t="str">
        <f>"Demand_"&amp;TEXT(TBL_DEMAND[[#This Row],[Index]],"000")</f>
        <v>Demand_030</v>
      </c>
    </row>
    <row r="17" spans="1:21" x14ac:dyDescent="0.25">
      <c r="A17" s="130" t="s">
        <v>187</v>
      </c>
      <c r="B17" s="135">
        <v>27</v>
      </c>
      <c r="C17" s="33">
        <v>67.78679705571713</v>
      </c>
      <c r="D17" s="33">
        <v>67.841485059979036</v>
      </c>
      <c r="E17" s="33">
        <v>92.810939622506908</v>
      </c>
      <c r="F17" s="33">
        <v>114.36429158558802</v>
      </c>
      <c r="G17" s="33">
        <v>122.35760837002822</v>
      </c>
      <c r="H17" s="33">
        <v>141.47454666360443</v>
      </c>
      <c r="I17" s="33">
        <v>129.44358983570797</v>
      </c>
      <c r="J17" s="33">
        <v>94.139600787032691</v>
      </c>
      <c r="K17" s="33">
        <v>69.712203421852962</v>
      </c>
      <c r="L17" s="33">
        <v>60.921209356356449</v>
      </c>
      <c r="M17" s="33">
        <v>55.79259860440186</v>
      </c>
      <c r="N17" s="33">
        <v>58.795463382015882</v>
      </c>
      <c r="O17" s="33">
        <v>68.300445368271738</v>
      </c>
      <c r="P17" s="33">
        <v>68.386970163717478</v>
      </c>
      <c r="Q17" s="33">
        <v>93.549678765788912</v>
      </c>
      <c r="R17" s="33">
        <v>115.30538855427633</v>
      </c>
      <c r="S17" s="33">
        <v>123.39100209174184</v>
      </c>
      <c r="T17" s="142" t="s">
        <v>362</v>
      </c>
      <c r="U17" s="21" t="str">
        <f>"Demand_"&amp;TEXT(TBL_DEMAND[[#This Row],[Index]],"000")</f>
        <v>Demand_027</v>
      </c>
    </row>
    <row r="18" spans="1:21" x14ac:dyDescent="0.25">
      <c r="A18" s="130" t="s">
        <v>185</v>
      </c>
      <c r="B18" s="135">
        <v>25</v>
      </c>
      <c r="C18" s="33">
        <v>156.21903842841104</v>
      </c>
      <c r="D18" s="33">
        <v>203.28005334529246</v>
      </c>
      <c r="E18" s="33">
        <v>301.85725187113042</v>
      </c>
      <c r="F18" s="33">
        <v>436.91292430064243</v>
      </c>
      <c r="G18" s="33">
        <v>565.74646699429854</v>
      </c>
      <c r="H18" s="33">
        <v>650.10543399873552</v>
      </c>
      <c r="I18" s="33">
        <v>566.22242556348215</v>
      </c>
      <c r="J18" s="33">
        <v>424.47370805420957</v>
      </c>
      <c r="K18" s="33">
        <v>273.27977153299418</v>
      </c>
      <c r="L18" s="33">
        <v>201.50736642900574</v>
      </c>
      <c r="M18" s="33">
        <v>157.46297231063107</v>
      </c>
      <c r="N18" s="33">
        <v>156.99542280046603</v>
      </c>
      <c r="O18" s="33">
        <v>155.35169840216736</v>
      </c>
      <c r="P18" s="33">
        <v>202.10346372049372</v>
      </c>
      <c r="Q18" s="33">
        <v>300.07061581962847</v>
      </c>
      <c r="R18" s="33">
        <v>434.30223216395717</v>
      </c>
      <c r="S18" s="33">
        <v>562.28461632858023</v>
      </c>
      <c r="T18" s="142" t="s">
        <v>362</v>
      </c>
      <c r="U18" s="21" t="str">
        <f>"Demand_"&amp;TEXT(TBL_DEMAND[[#This Row],[Index]],"000")</f>
        <v>Demand_025</v>
      </c>
    </row>
    <row r="19" spans="1:21" ht="30" x14ac:dyDescent="0.25">
      <c r="A19" s="130" t="s">
        <v>192</v>
      </c>
      <c r="B19" s="135">
        <v>32</v>
      </c>
      <c r="C19" s="33">
        <v>139.60716586715705</v>
      </c>
      <c r="D19" s="33">
        <v>144.38553318889919</v>
      </c>
      <c r="E19" s="33">
        <v>157.06425626421921</v>
      </c>
      <c r="F19" s="33">
        <v>183.90374440468253</v>
      </c>
      <c r="G19" s="33">
        <v>176.82574729618548</v>
      </c>
      <c r="H19" s="33">
        <v>173.40873700600238</v>
      </c>
      <c r="I19" s="33">
        <v>161.77203563181234</v>
      </c>
      <c r="J19" s="33">
        <v>157.8989369752079</v>
      </c>
      <c r="K19" s="33">
        <v>158.485497200168</v>
      </c>
      <c r="L19" s="33">
        <v>153.09824394472511</v>
      </c>
      <c r="M19" s="33">
        <v>153.05410970196505</v>
      </c>
      <c r="N19" s="33">
        <v>154.32897293829586</v>
      </c>
      <c r="O19" s="33">
        <v>142.5674688174293</v>
      </c>
      <c r="P19" s="33">
        <v>147.45077792034186</v>
      </c>
      <c r="Q19" s="33">
        <v>160.40117917423095</v>
      </c>
      <c r="R19" s="33">
        <v>187.80698945542932</v>
      </c>
      <c r="S19" s="33">
        <v>180.58537135851307</v>
      </c>
      <c r="T19" s="142" t="s">
        <v>363</v>
      </c>
      <c r="U19" s="21" t="str">
        <f>"Demand_"&amp;TEXT(TBL_DEMAND[[#This Row],[Index]],"000")</f>
        <v>Demand_032</v>
      </c>
    </row>
    <row r="20" spans="1:21" x14ac:dyDescent="0.25">
      <c r="A20" s="130" t="s">
        <v>170</v>
      </c>
      <c r="B20" s="135">
        <v>9</v>
      </c>
      <c r="C20" s="33">
        <v>1164.345964511024</v>
      </c>
      <c r="D20" s="33">
        <v>1374.6784700497155</v>
      </c>
      <c r="E20" s="33">
        <v>1506.6519651851322</v>
      </c>
      <c r="F20" s="33">
        <v>2191.1924033319033</v>
      </c>
      <c r="G20" s="33">
        <v>2648.7351895267939</v>
      </c>
      <c r="H20" s="33">
        <v>3090.7953099968859</v>
      </c>
      <c r="I20" s="33">
        <v>2815.4492301971773</v>
      </c>
      <c r="J20" s="33">
        <v>2198.1408895158092</v>
      </c>
      <c r="K20" s="33">
        <v>1572.4460213974035</v>
      </c>
      <c r="L20" s="33">
        <v>1358.6249545319347</v>
      </c>
      <c r="M20" s="33">
        <v>1312.0046824384915</v>
      </c>
      <c r="N20" s="33">
        <v>1404.2829451078815</v>
      </c>
      <c r="O20" s="33">
        <v>1213.680377875128</v>
      </c>
      <c r="P20" s="33">
        <v>1424.640181659747</v>
      </c>
      <c r="Q20" s="33">
        <v>1557.0437818074329</v>
      </c>
      <c r="R20" s="33">
        <v>2246.0231341154285</v>
      </c>
      <c r="S20" s="33">
        <v>2700.5445625919206</v>
      </c>
      <c r="T20" s="142" t="s">
        <v>362</v>
      </c>
      <c r="U20" s="21" t="str">
        <f>"Demand_"&amp;TEXT(TBL_DEMAND[[#This Row],[Index]],"000")</f>
        <v>Demand_009</v>
      </c>
    </row>
    <row r="21" spans="1:21" x14ac:dyDescent="0.25">
      <c r="A21" s="130" t="s">
        <v>182</v>
      </c>
      <c r="B21" s="135">
        <v>21</v>
      </c>
      <c r="C21" s="33">
        <v>36.444112002367667</v>
      </c>
      <c r="D21" s="33">
        <v>66.944650961846506</v>
      </c>
      <c r="E21" s="33">
        <v>64.394560702291017</v>
      </c>
      <c r="F21" s="33">
        <v>74.06407266983507</v>
      </c>
      <c r="G21" s="33">
        <v>79.220265403128593</v>
      </c>
      <c r="H21" s="33">
        <v>86.148930473856879</v>
      </c>
      <c r="I21" s="33">
        <v>82.302328273485571</v>
      </c>
      <c r="J21" s="33">
        <v>75.141994789188914</v>
      </c>
      <c r="K21" s="33">
        <v>68.705045713482733</v>
      </c>
      <c r="L21" s="33">
        <v>47.571174164687172</v>
      </c>
      <c r="M21" s="33">
        <v>47.427031528852531</v>
      </c>
      <c r="N21" s="33">
        <v>35.37794172376185</v>
      </c>
      <c r="O21" s="33">
        <v>36.758015396351112</v>
      </c>
      <c r="P21" s="33">
        <v>67.500899378985949</v>
      </c>
      <c r="Q21" s="33">
        <v>65.340849870596131</v>
      </c>
      <c r="R21" s="33">
        <v>75.281203851641948</v>
      </c>
      <c r="S21" s="33">
        <v>80.648331062056172</v>
      </c>
      <c r="T21" s="142" t="s">
        <v>362</v>
      </c>
      <c r="U21" s="21" t="str">
        <f>"Demand_"&amp;TEXT(TBL_DEMAND[[#This Row],[Index]],"000")</f>
        <v>Demand_021</v>
      </c>
    </row>
    <row r="22" spans="1:21" ht="30" x14ac:dyDescent="0.25">
      <c r="A22" s="130" t="s">
        <v>164</v>
      </c>
      <c r="B22" s="135">
        <v>3</v>
      </c>
      <c r="C22" s="33">
        <v>12.506761631007803</v>
      </c>
      <c r="D22" s="33">
        <v>17.125544890890264</v>
      </c>
      <c r="E22" s="33">
        <v>22.006178007933578</v>
      </c>
      <c r="F22" s="33">
        <v>30.637603241591925</v>
      </c>
      <c r="G22" s="33">
        <v>31.738894959541582</v>
      </c>
      <c r="H22" s="33">
        <v>37.947674695269548</v>
      </c>
      <c r="I22" s="33">
        <v>36.110812421171424</v>
      </c>
      <c r="J22" s="33">
        <v>30.509806239067263</v>
      </c>
      <c r="K22" s="33">
        <v>23.07205611873697</v>
      </c>
      <c r="L22" s="33">
        <v>18.533904145815139</v>
      </c>
      <c r="M22" s="33">
        <v>15.47576453441792</v>
      </c>
      <c r="N22" s="33">
        <v>14.662600130159152</v>
      </c>
      <c r="O22" s="33">
        <v>12.871178701498794</v>
      </c>
      <c r="P22" s="33">
        <v>17.511663931867101</v>
      </c>
      <c r="Q22" s="33">
        <v>22.548621057511031</v>
      </c>
      <c r="R22" s="33">
        <v>31.245200170002686</v>
      </c>
      <c r="S22" s="33">
        <v>32.21656646486251</v>
      </c>
      <c r="T22" s="142" t="s">
        <v>364</v>
      </c>
      <c r="U22" s="21" t="str">
        <f>"Demand_"&amp;TEXT(TBL_DEMAND[[#This Row],[Index]],"000")</f>
        <v>Demand_003</v>
      </c>
    </row>
    <row r="23" spans="1:21" x14ac:dyDescent="0.25">
      <c r="A23" s="130" t="s">
        <v>183</v>
      </c>
      <c r="B23" s="135">
        <v>22</v>
      </c>
      <c r="C23" s="33">
        <v>24.650417670088039</v>
      </c>
      <c r="D23" s="33">
        <v>25.017820590500417</v>
      </c>
      <c r="E23" s="33">
        <v>36.010008533821342</v>
      </c>
      <c r="F23" s="33">
        <v>45.208229253832954</v>
      </c>
      <c r="G23" s="33">
        <v>49.206254421890947</v>
      </c>
      <c r="H23" s="33">
        <v>66.670207448954613</v>
      </c>
      <c r="I23" s="33">
        <v>67.840156885389248</v>
      </c>
      <c r="J23" s="33">
        <v>52.236575526216185</v>
      </c>
      <c r="K23" s="33">
        <v>31.494787692869306</v>
      </c>
      <c r="L23" s="33">
        <v>19.640159809853998</v>
      </c>
      <c r="M23" s="33">
        <v>19.160165126396869</v>
      </c>
      <c r="N23" s="33">
        <v>21.365855950482729</v>
      </c>
      <c r="O23" s="33">
        <v>25.162994958357416</v>
      </c>
      <c r="P23" s="33">
        <v>25.663737173338163</v>
      </c>
      <c r="Q23" s="33">
        <v>36.250340642803806</v>
      </c>
      <c r="R23" s="33">
        <v>45.473316548661941</v>
      </c>
      <c r="S23" s="33">
        <v>49.302005670489656</v>
      </c>
      <c r="T23" s="142" t="s">
        <v>362</v>
      </c>
      <c r="U23" s="21" t="str">
        <f>"Demand_"&amp;TEXT(TBL_DEMAND[[#This Row],[Index]],"000")</f>
        <v>Demand_022</v>
      </c>
    </row>
    <row r="24" spans="1:21" x14ac:dyDescent="0.25">
      <c r="A24" s="130" t="s">
        <v>194</v>
      </c>
      <c r="B24" s="135">
        <v>34</v>
      </c>
      <c r="C24" s="33">
        <v>0.87426186825766206</v>
      </c>
      <c r="D24" s="33">
        <v>0.86349944664983014</v>
      </c>
      <c r="E24" s="33">
        <v>0.74728078524411112</v>
      </c>
      <c r="F24" s="33">
        <v>0.59326950032694825</v>
      </c>
      <c r="G24" s="33">
        <v>0.65687139427402907</v>
      </c>
      <c r="H24" s="33">
        <v>0.75842761159963046</v>
      </c>
      <c r="I24" s="33">
        <v>0.90502284146667233</v>
      </c>
      <c r="J24" s="33">
        <v>0.76881716126278643</v>
      </c>
      <c r="K24" s="33">
        <v>0.99039237868476393</v>
      </c>
      <c r="L24" s="33">
        <v>1.1864770983073811</v>
      </c>
      <c r="M24" s="33">
        <v>1.4464030120794023</v>
      </c>
      <c r="N24" s="33">
        <v>1.6783600040161064</v>
      </c>
      <c r="O24" s="33">
        <v>1.7485237365153241</v>
      </c>
      <c r="P24" s="33">
        <v>1.7269988932996603</v>
      </c>
      <c r="Q24" s="33">
        <v>1.4945615704882222</v>
      </c>
      <c r="R24" s="33">
        <v>1.1865390006538965</v>
      </c>
      <c r="S24" s="33">
        <v>1.3137427885480581</v>
      </c>
      <c r="T24" s="142" t="s">
        <v>362</v>
      </c>
      <c r="U24" s="21" t="str">
        <f>"Demand_"&amp;TEXT(TBL_DEMAND[[#This Row],[Index]],"000")</f>
        <v>Demand_034</v>
      </c>
    </row>
    <row r="25" spans="1:21" x14ac:dyDescent="0.25">
      <c r="A25" s="130" t="s">
        <v>165</v>
      </c>
      <c r="B25" s="135">
        <v>4</v>
      </c>
      <c r="C25" s="33">
        <v>614.47663428199019</v>
      </c>
      <c r="D25" s="33">
        <v>709.91672826245872</v>
      </c>
      <c r="E25" s="33">
        <v>834.64221779101058</v>
      </c>
      <c r="F25" s="33">
        <v>1128.5699287152956</v>
      </c>
      <c r="G25" s="33">
        <v>1208.7551658398531</v>
      </c>
      <c r="H25" s="33">
        <v>1352.6367947115916</v>
      </c>
      <c r="I25" s="33">
        <v>1289.3952372385447</v>
      </c>
      <c r="J25" s="33">
        <v>1082.1859467347031</v>
      </c>
      <c r="K25" s="33">
        <v>807.51573490578824</v>
      </c>
      <c r="L25" s="33">
        <v>687.89875323657805</v>
      </c>
      <c r="M25" s="33">
        <v>610.59333114229116</v>
      </c>
      <c r="N25" s="33">
        <v>628.40264972052091</v>
      </c>
      <c r="O25" s="33">
        <v>623.50327706533631</v>
      </c>
      <c r="P25" s="33">
        <v>718.5813457578214</v>
      </c>
      <c r="Q25" s="33">
        <v>842.42613251697105</v>
      </c>
      <c r="R25" s="33">
        <v>1136.9837680803928</v>
      </c>
      <c r="S25" s="33">
        <v>1213.2011394177287</v>
      </c>
      <c r="T25" s="142" t="s">
        <v>362</v>
      </c>
      <c r="U25" s="21" t="str">
        <f>"Demand_"&amp;TEXT(TBL_DEMAND[[#This Row],[Index]],"000")</f>
        <v>Demand_004</v>
      </c>
    </row>
    <row r="26" spans="1:21" x14ac:dyDescent="0.25">
      <c r="A26" s="130" t="s">
        <v>178</v>
      </c>
      <c r="B26" s="135">
        <v>17</v>
      </c>
      <c r="C26" s="33">
        <v>384.41328768347745</v>
      </c>
      <c r="D26" s="33">
        <v>412.51769387045994</v>
      </c>
      <c r="E26" s="33">
        <v>523.02149582187337</v>
      </c>
      <c r="F26" s="33">
        <v>640.71404302201893</v>
      </c>
      <c r="G26" s="33">
        <v>712.45455730607853</v>
      </c>
      <c r="H26" s="33">
        <v>786.82628622209404</v>
      </c>
      <c r="I26" s="33">
        <v>746.1801748628435</v>
      </c>
      <c r="J26" s="33">
        <v>665.31000361731219</v>
      </c>
      <c r="K26" s="33">
        <v>530.35368618914219</v>
      </c>
      <c r="L26" s="33">
        <v>424.5193090133011</v>
      </c>
      <c r="M26" s="33">
        <v>370.25062812057445</v>
      </c>
      <c r="N26" s="33">
        <v>371.78554967935861</v>
      </c>
      <c r="O26" s="33">
        <v>391.57610369510843</v>
      </c>
      <c r="P26" s="33">
        <v>420.16170166048914</v>
      </c>
      <c r="Q26" s="33">
        <v>532.90403342735317</v>
      </c>
      <c r="R26" s="33">
        <v>652.69072292267936</v>
      </c>
      <c r="S26" s="33">
        <v>725.69255341807525</v>
      </c>
      <c r="T26" s="142" t="s">
        <v>362</v>
      </c>
      <c r="U26" s="21" t="str">
        <f>"Demand_"&amp;TEXT(TBL_DEMAND[[#This Row],[Index]],"000")</f>
        <v>Demand_017</v>
      </c>
    </row>
    <row r="27" spans="1:21" x14ac:dyDescent="0.25">
      <c r="A27" s="130" t="s">
        <v>169</v>
      </c>
      <c r="B27" s="135">
        <v>8</v>
      </c>
      <c r="C27" s="33">
        <v>158.77316741593688</v>
      </c>
      <c r="D27" s="33">
        <v>165.23874388579819</v>
      </c>
      <c r="E27" s="33">
        <v>151.15405413412256</v>
      </c>
      <c r="F27" s="33">
        <v>161.05862417877631</v>
      </c>
      <c r="G27" s="33">
        <v>158.22690944739099</v>
      </c>
      <c r="H27" s="33">
        <v>178.10740074749862</v>
      </c>
      <c r="I27" s="33">
        <v>189.65936895104309</v>
      </c>
      <c r="J27" s="33">
        <v>158.82241564229159</v>
      </c>
      <c r="K27" s="33">
        <v>158.87178199296582</v>
      </c>
      <c r="L27" s="33">
        <v>164.83050813071512</v>
      </c>
      <c r="M27" s="33">
        <v>176.84824091628312</v>
      </c>
      <c r="N27" s="33">
        <v>173.17876330223899</v>
      </c>
      <c r="O27" s="33">
        <v>167.60746212366664</v>
      </c>
      <c r="P27" s="33">
        <v>173.75896911195895</v>
      </c>
      <c r="Q27" s="33">
        <v>158.73608656755496</v>
      </c>
      <c r="R27" s="33">
        <v>168.57744916746671</v>
      </c>
      <c r="S27" s="33">
        <v>164.4914328770669</v>
      </c>
      <c r="T27" s="142" t="s">
        <v>362</v>
      </c>
      <c r="U27" s="21" t="str">
        <f>"Demand_"&amp;TEXT(TBL_DEMAND[[#This Row],[Index]],"000")</f>
        <v>Demand_008</v>
      </c>
    </row>
    <row r="28" spans="1:21" ht="30" x14ac:dyDescent="0.25">
      <c r="A28" s="130" t="s">
        <v>188</v>
      </c>
      <c r="B28" s="135">
        <v>28</v>
      </c>
      <c r="C28" s="33">
        <v>178.83547493548366</v>
      </c>
      <c r="D28" s="33">
        <v>197.07647213246088</v>
      </c>
      <c r="E28" s="33">
        <v>261.18206908894689</v>
      </c>
      <c r="F28" s="33">
        <v>382.434338567059</v>
      </c>
      <c r="G28" s="33">
        <v>488.63445096311023</v>
      </c>
      <c r="H28" s="33">
        <v>538.64976896018595</v>
      </c>
      <c r="I28" s="33">
        <v>543.90373576416664</v>
      </c>
      <c r="J28" s="33">
        <v>400.89782113555549</v>
      </c>
      <c r="K28" s="33">
        <v>261.3211251324841</v>
      </c>
      <c r="L28" s="33">
        <v>190.03051006821181</v>
      </c>
      <c r="M28" s="33">
        <v>178.15716339024695</v>
      </c>
      <c r="N28" s="33">
        <v>190.52397972106189</v>
      </c>
      <c r="O28" s="33">
        <v>180.64647494270585</v>
      </c>
      <c r="P28" s="33">
        <v>199.02009175974771</v>
      </c>
      <c r="Q28" s="33">
        <v>263.62427431805861</v>
      </c>
      <c r="R28" s="33">
        <v>386.84384864993712</v>
      </c>
      <c r="S28" s="33">
        <v>494.66655572647181</v>
      </c>
      <c r="T28" s="142" t="s">
        <v>365</v>
      </c>
      <c r="U28" s="21" t="str">
        <f>"Demand_"&amp;TEXT(TBL_DEMAND[[#This Row],[Index]],"000")</f>
        <v>Demand_028</v>
      </c>
    </row>
    <row r="29" spans="1:21" ht="30" x14ac:dyDescent="0.25">
      <c r="A29" s="130" t="s">
        <v>175</v>
      </c>
      <c r="B29" s="135">
        <v>14</v>
      </c>
      <c r="C29" s="33">
        <v>23.826207668026509</v>
      </c>
      <c r="D29" s="33">
        <v>25.425108229201424</v>
      </c>
      <c r="E29" s="33">
        <v>29.224627776952826</v>
      </c>
      <c r="F29" s="33">
        <v>39.597013318628591</v>
      </c>
      <c r="G29" s="33">
        <v>47.581078977426849</v>
      </c>
      <c r="H29" s="33">
        <v>54.151432126257056</v>
      </c>
      <c r="I29" s="33">
        <v>58.303170638961618</v>
      </c>
      <c r="J29" s="33">
        <v>84.212176673660309</v>
      </c>
      <c r="K29" s="33">
        <v>33.09975311583262</v>
      </c>
      <c r="L29" s="33">
        <v>24.250679605547788</v>
      </c>
      <c r="M29" s="33">
        <v>16.132982015330086</v>
      </c>
      <c r="N29" s="33">
        <v>20.546951936215649</v>
      </c>
      <c r="O29" s="33">
        <v>24.000054360702276</v>
      </c>
      <c r="P29" s="33">
        <v>25.584153962610099</v>
      </c>
      <c r="Q29" s="33">
        <v>29.408849971935407</v>
      </c>
      <c r="R29" s="33">
        <v>39.857199971197147</v>
      </c>
      <c r="S29" s="33">
        <v>47.872711782454957</v>
      </c>
      <c r="T29" s="142" t="s">
        <v>366</v>
      </c>
      <c r="U29" s="21" t="str">
        <f>"Demand_"&amp;TEXT(TBL_DEMAND[[#This Row],[Index]],"000")</f>
        <v>Demand_014</v>
      </c>
    </row>
    <row r="30" spans="1:21" x14ac:dyDescent="0.25">
      <c r="A30" s="130" t="s">
        <v>186</v>
      </c>
      <c r="B30" s="135">
        <v>26</v>
      </c>
      <c r="C30" s="33">
        <v>18.370214862805341</v>
      </c>
      <c r="D30" s="33">
        <v>22.018992043329462</v>
      </c>
      <c r="E30" s="33">
        <v>24.723362598439856</v>
      </c>
      <c r="F30" s="33">
        <v>30.11078400144552</v>
      </c>
      <c r="G30" s="33">
        <v>33.780302360120288</v>
      </c>
      <c r="H30" s="33">
        <v>52.440510393639634</v>
      </c>
      <c r="I30" s="33">
        <v>49.076785085068259</v>
      </c>
      <c r="J30" s="33">
        <v>40.479827152835384</v>
      </c>
      <c r="K30" s="33">
        <v>30.124349244828785</v>
      </c>
      <c r="L30" s="33">
        <v>26.276217830852765</v>
      </c>
      <c r="M30" s="33">
        <v>22.368914288934711</v>
      </c>
      <c r="N30" s="33">
        <v>21.196445892198561</v>
      </c>
      <c r="O30" s="33">
        <v>20.46336765202647</v>
      </c>
      <c r="P30" s="33">
        <v>23.953396352422359</v>
      </c>
      <c r="Q30" s="33">
        <v>27.127689998972091</v>
      </c>
      <c r="R30" s="33">
        <v>33.022641484911077</v>
      </c>
      <c r="S30" s="33">
        <v>36.760592524263629</v>
      </c>
      <c r="T30" s="142" t="s">
        <v>362</v>
      </c>
      <c r="U30" s="21" t="str">
        <f>"Demand_"&amp;TEXT(TBL_DEMAND[[#This Row],[Index]],"000")</f>
        <v>Demand_026</v>
      </c>
    </row>
    <row r="31" spans="1:21" ht="30" x14ac:dyDescent="0.25">
      <c r="A31" s="130" t="s">
        <v>180</v>
      </c>
      <c r="B31" s="135">
        <v>19</v>
      </c>
      <c r="C31" s="33">
        <v>93.756083149496618</v>
      </c>
      <c r="D31" s="33">
        <v>71.769392397746003</v>
      </c>
      <c r="E31" s="33">
        <v>152.90159656274548</v>
      </c>
      <c r="F31" s="33">
        <v>196.07068428153943</v>
      </c>
      <c r="G31" s="33">
        <v>183.63471753425554</v>
      </c>
      <c r="H31" s="33">
        <v>247.67927413719696</v>
      </c>
      <c r="I31" s="33">
        <v>224.13691588613244</v>
      </c>
      <c r="J31" s="33">
        <v>214.48783192466942</v>
      </c>
      <c r="K31" s="33">
        <v>129.30518655299335</v>
      </c>
      <c r="L31" s="33">
        <v>80.352174153697803</v>
      </c>
      <c r="M31" s="33">
        <v>63.585430410556185</v>
      </c>
      <c r="N31" s="33">
        <v>94.314590935901236</v>
      </c>
      <c r="O31" s="33">
        <v>98.836082075792916</v>
      </c>
      <c r="P31" s="33">
        <v>75.974897518570955</v>
      </c>
      <c r="Q31" s="33">
        <v>159.46036703469454</v>
      </c>
      <c r="R31" s="33">
        <v>204.37545033455109</v>
      </c>
      <c r="S31" s="33">
        <v>190.81353428088124</v>
      </c>
      <c r="T31" s="142" t="s">
        <v>367</v>
      </c>
      <c r="U31" s="21" t="str">
        <f>"Demand_"&amp;TEXT(TBL_DEMAND[[#This Row],[Index]],"000")</f>
        <v>Demand_019</v>
      </c>
    </row>
    <row r="32" spans="1:21" ht="30" x14ac:dyDescent="0.25">
      <c r="A32" s="130" t="s">
        <v>171</v>
      </c>
      <c r="B32" s="135">
        <v>10</v>
      </c>
      <c r="C32" s="33">
        <v>65.762338279258273</v>
      </c>
      <c r="D32" s="33">
        <v>84.808096340921395</v>
      </c>
      <c r="E32" s="33">
        <v>102.06324996925744</v>
      </c>
      <c r="F32" s="33">
        <v>134.97688037579348</v>
      </c>
      <c r="G32" s="33">
        <v>152.97920805791105</v>
      </c>
      <c r="H32" s="33">
        <v>184.40435134184023</v>
      </c>
      <c r="I32" s="33">
        <v>168.84986474487226</v>
      </c>
      <c r="J32" s="33">
        <v>136.30338252562177</v>
      </c>
      <c r="K32" s="33">
        <v>101.1839181263144</v>
      </c>
      <c r="L32" s="33">
        <v>81.746218176071352</v>
      </c>
      <c r="M32" s="33">
        <v>68.001093060774252</v>
      </c>
      <c r="N32" s="33">
        <v>65.782961506118014</v>
      </c>
      <c r="O32" s="33">
        <v>68.261868071999388</v>
      </c>
      <c r="P32" s="33">
        <v>88.136118019386572</v>
      </c>
      <c r="Q32" s="33">
        <v>106.84820795821079</v>
      </c>
      <c r="R32" s="33">
        <v>141.72801626058001</v>
      </c>
      <c r="S32" s="33">
        <v>160.36535827592425</v>
      </c>
      <c r="T32" s="142" t="s">
        <v>368</v>
      </c>
      <c r="U32" s="21" t="str">
        <f>"Demand_"&amp;TEXT(TBL_DEMAND[[#This Row],[Index]],"000")</f>
        <v>Demand_010</v>
      </c>
    </row>
    <row r="33" spans="1:21" x14ac:dyDescent="0.25">
      <c r="A33" s="130" t="s">
        <v>193</v>
      </c>
      <c r="B33" s="135">
        <v>33</v>
      </c>
      <c r="C33" s="33">
        <v>1183.0855793085755</v>
      </c>
      <c r="D33" s="33">
        <v>1368.0140193805662</v>
      </c>
      <c r="E33" s="33">
        <v>1977.1147837462565</v>
      </c>
      <c r="F33" s="33">
        <v>2716.4995870350044</v>
      </c>
      <c r="G33" s="33">
        <v>2911.873425175696</v>
      </c>
      <c r="H33" s="33">
        <v>3172.4694540005935</v>
      </c>
      <c r="I33" s="33">
        <v>2939.1341714818877</v>
      </c>
      <c r="J33" s="33">
        <v>2557.5634081871799</v>
      </c>
      <c r="K33" s="33">
        <v>2044.304588267695</v>
      </c>
      <c r="L33" s="33">
        <v>1527.1455572932618</v>
      </c>
      <c r="M33" s="33">
        <v>1281.158065040597</v>
      </c>
      <c r="N33" s="33">
        <v>1193.7088755413108</v>
      </c>
      <c r="O33" s="33">
        <v>1134.4712473847537</v>
      </c>
      <c r="P33" s="33">
        <v>1315.1592909042652</v>
      </c>
      <c r="Q33" s="33">
        <v>1912.220044630305</v>
      </c>
      <c r="R33" s="33">
        <v>2635.2504987869711</v>
      </c>
      <c r="S33" s="33">
        <v>2828.5248980857414</v>
      </c>
      <c r="T33" s="142" t="s">
        <v>362</v>
      </c>
      <c r="U33" s="21" t="str">
        <f>"Demand_"&amp;TEXT(TBL_DEMAND[[#This Row],[Index]],"000")</f>
        <v>Demand_033</v>
      </c>
    </row>
    <row r="34" spans="1:21" ht="30" x14ac:dyDescent="0.25">
      <c r="A34" s="130" t="s">
        <v>195</v>
      </c>
      <c r="B34" s="135">
        <v>36</v>
      </c>
      <c r="C34" s="33">
        <v>481.34680321175853</v>
      </c>
      <c r="D34" s="33">
        <v>531.76593369095599</v>
      </c>
      <c r="E34" s="33">
        <v>708.13219957593401</v>
      </c>
      <c r="F34" s="33">
        <v>1015.7228134768282</v>
      </c>
      <c r="G34" s="33">
        <v>1287.679929303757</v>
      </c>
      <c r="H34" s="33">
        <v>1382.8231747311797</v>
      </c>
      <c r="I34" s="33">
        <v>1417.6145732570728</v>
      </c>
      <c r="J34" s="33">
        <v>1042.5550110808058</v>
      </c>
      <c r="K34" s="33">
        <v>678.3762232146612</v>
      </c>
      <c r="L34" s="33">
        <v>499.580547573893</v>
      </c>
      <c r="M34" s="33">
        <v>470.36041296521842</v>
      </c>
      <c r="N34" s="33">
        <v>482.69813154303887</v>
      </c>
      <c r="O34" s="33">
        <v>481.34680321175853</v>
      </c>
      <c r="P34" s="33">
        <v>531.76593369095599</v>
      </c>
      <c r="Q34" s="33">
        <v>708.13219957593401</v>
      </c>
      <c r="R34" s="33">
        <v>1015.7228134768282</v>
      </c>
      <c r="S34" s="33">
        <v>1287.679929303757</v>
      </c>
      <c r="T34" s="142" t="s">
        <v>369</v>
      </c>
      <c r="U34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4" xr:uid="{00000000-0002-0000-0600-000000000000}">
      <formula1>INDIRECT("TBL_REGIONS_INDEX[Region]")</formula1>
    </dataValidation>
    <dataValidation type="decimal" operator="greaterThanOrEqual" allowBlank="1" showInputMessage="1" showErrorMessage="1" sqref="C6:S34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32"/>
  <sheetViews>
    <sheetView workbookViewId="0">
      <selection activeCell="R6" sqref="R6:R25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80" t="s">
        <v>172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370</v>
      </c>
      <c r="U6" s="21" t="str">
        <f>"Production_"&amp;TEXT(TBL_PRODUCTION[[#This Row],[Index]],"000")</f>
        <v>Production_011</v>
      </c>
    </row>
    <row r="7" spans="1:21" x14ac:dyDescent="0.25">
      <c r="A7" s="130" t="s">
        <v>163</v>
      </c>
      <c r="B7" s="135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42" t="s">
        <v>370</v>
      </c>
      <c r="U7" s="21" t="str">
        <f>"Production_"&amp;TEXT(TBL_PRODUCTION[[#This Row],[Index]],"000")</f>
        <v>Production_002</v>
      </c>
    </row>
    <row r="8" spans="1:21" x14ac:dyDescent="0.25">
      <c r="A8" s="130" t="s">
        <v>189</v>
      </c>
      <c r="B8" s="135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42" t="s">
        <v>370</v>
      </c>
      <c r="U8" s="21" t="str">
        <f>"Production_"&amp;TEXT(TBL_PRODUCTION[[#This Row],[Index]],"000")</f>
        <v>Production_029</v>
      </c>
    </row>
    <row r="9" spans="1:21" x14ac:dyDescent="0.25">
      <c r="A9" s="130" t="s">
        <v>179</v>
      </c>
      <c r="B9" s="135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42" t="s">
        <v>370</v>
      </c>
      <c r="U9" s="21" t="str">
        <f>"Production_"&amp;TEXT(TBL_PRODUCTION[[#This Row],[Index]],"000")</f>
        <v>Production_018</v>
      </c>
    </row>
    <row r="10" spans="1:21" x14ac:dyDescent="0.25">
      <c r="A10" s="130" t="s">
        <v>173</v>
      </c>
      <c r="B10" s="135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42" t="s">
        <v>370</v>
      </c>
      <c r="U10" s="21" t="str">
        <f>"Production_"&amp;TEXT(TBL_PRODUCTION[[#This Row],[Index]],"000")</f>
        <v>Production_012</v>
      </c>
    </row>
    <row r="11" spans="1:21" x14ac:dyDescent="0.25">
      <c r="A11" s="130" t="s">
        <v>177</v>
      </c>
      <c r="B11" s="135">
        <f>INDEX(TBL_REGIONS_INDEX[Index],MATCH(TBL_PRODUCTION[[#This Row],[Region]],TBL_REGIONS_INDEX[Region],0))</f>
        <v>16</v>
      </c>
      <c r="C11" s="33">
        <v>50.979754154738806</v>
      </c>
      <c r="D11" s="33">
        <v>62.138150141982955</v>
      </c>
      <c r="E11" s="33">
        <v>57.793437561662934</v>
      </c>
      <c r="F11" s="33">
        <v>63.389844268392785</v>
      </c>
      <c r="G11" s="33">
        <v>50.636372442363474</v>
      </c>
      <c r="H11" s="33">
        <v>95.333234338788884</v>
      </c>
      <c r="I11" s="33">
        <v>89.571962737477207</v>
      </c>
      <c r="J11" s="33">
        <v>85.072681765495858</v>
      </c>
      <c r="K11" s="33">
        <v>79.348387385071248</v>
      </c>
      <c r="L11" s="33">
        <v>81.6677384078627</v>
      </c>
      <c r="M11" s="33">
        <v>73.74378679365347</v>
      </c>
      <c r="N11" s="33">
        <v>80.272219950417792</v>
      </c>
      <c r="O11" s="33">
        <v>68.674954607888253</v>
      </c>
      <c r="P11" s="33">
        <v>84.407987348604422</v>
      </c>
      <c r="Q11" s="33">
        <v>78.359019667546974</v>
      </c>
      <c r="R11" s="33">
        <v>86.18697921409489</v>
      </c>
      <c r="S11" s="33">
        <v>68.186917426771174</v>
      </c>
      <c r="T11" s="142" t="s">
        <v>370</v>
      </c>
      <c r="U11" s="21" t="str">
        <f>"Production_"&amp;TEXT(TBL_PRODUCTION[[#This Row],[Index]],"000")</f>
        <v>Production_016</v>
      </c>
    </row>
    <row r="12" spans="1:21" x14ac:dyDescent="0.25">
      <c r="A12" s="130" t="s">
        <v>184</v>
      </c>
      <c r="B12" s="135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42" t="s">
        <v>370</v>
      </c>
      <c r="U12" s="21" t="str">
        <f>"Production_"&amp;TEXT(TBL_PRODUCTION[[#This Row],[Index]],"000")</f>
        <v>Production_023</v>
      </c>
    </row>
    <row r="13" spans="1:21" x14ac:dyDescent="0.25">
      <c r="A13" s="130" t="s">
        <v>168</v>
      </c>
      <c r="B13" s="135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42" t="s">
        <v>370</v>
      </c>
      <c r="U13" s="21" t="str">
        <f>"Production_"&amp;TEXT(TBL_PRODUCTION[[#This Row],[Index]],"000")</f>
        <v>Production_007</v>
      </c>
    </row>
    <row r="14" spans="1:21" x14ac:dyDescent="0.25">
      <c r="A14" s="130" t="s">
        <v>166</v>
      </c>
      <c r="B14" s="135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42" t="s">
        <v>370</v>
      </c>
      <c r="U14" s="21" t="str">
        <f>"Production_"&amp;TEXT(TBL_PRODUCTION[[#This Row],[Index]],"000")</f>
        <v>Production_005</v>
      </c>
    </row>
    <row r="15" spans="1:21" x14ac:dyDescent="0.25">
      <c r="A15" s="130" t="s">
        <v>187</v>
      </c>
      <c r="B15" s="135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42" t="s">
        <v>370</v>
      </c>
      <c r="U15" s="21" t="str">
        <f>"Production_"&amp;TEXT(TBL_PRODUCTION[[#This Row],[Index]],"000")</f>
        <v>Production_027</v>
      </c>
    </row>
    <row r="16" spans="1:21" x14ac:dyDescent="0.25">
      <c r="A16" s="130" t="s">
        <v>185</v>
      </c>
      <c r="B16" s="135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42" t="s">
        <v>370</v>
      </c>
      <c r="U16" s="21" t="str">
        <f>"Production_"&amp;TEXT(TBL_PRODUCTION[[#This Row],[Index]],"000")</f>
        <v>Production_025</v>
      </c>
    </row>
    <row r="17" spans="1:21" x14ac:dyDescent="0.25">
      <c r="A17" s="130" t="s">
        <v>192</v>
      </c>
      <c r="B17" s="135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42" t="s">
        <v>370</v>
      </c>
      <c r="U17" s="21" t="str">
        <f>"Production_"&amp;TEXT(TBL_PRODUCTION[[#This Row],[Index]],"000")</f>
        <v>Production_032</v>
      </c>
    </row>
    <row r="18" spans="1:21" x14ac:dyDescent="0.25">
      <c r="A18" s="130" t="s">
        <v>170</v>
      </c>
      <c r="B18" s="135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42" t="s">
        <v>370</v>
      </c>
      <c r="U18" s="21" t="str">
        <f>"Production_"&amp;TEXT(TBL_PRODUCTION[[#This Row],[Index]],"000")</f>
        <v>Production_009</v>
      </c>
    </row>
    <row r="19" spans="1:21" x14ac:dyDescent="0.25">
      <c r="A19" s="130" t="s">
        <v>165</v>
      </c>
      <c r="B19" s="135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42" t="s">
        <v>370</v>
      </c>
      <c r="U19" s="21" t="str">
        <f>"Production_"&amp;TEXT(TBL_PRODUCTION[[#This Row],[Index]],"000")</f>
        <v>Production_004</v>
      </c>
    </row>
    <row r="20" spans="1:21" x14ac:dyDescent="0.25">
      <c r="A20" s="130" t="s">
        <v>178</v>
      </c>
      <c r="B20" s="135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42" t="s">
        <v>370</v>
      </c>
      <c r="U20" s="21" t="str">
        <f>"Production_"&amp;TEXT(TBL_PRODUCTION[[#This Row],[Index]],"000")</f>
        <v>Production_017</v>
      </c>
    </row>
    <row r="21" spans="1:21" x14ac:dyDescent="0.25">
      <c r="A21" s="130" t="s">
        <v>188</v>
      </c>
      <c r="B21" s="135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42" t="s">
        <v>370</v>
      </c>
      <c r="U21" s="21" t="str">
        <f>"Production_"&amp;TEXT(TBL_PRODUCTION[[#This Row],[Index]],"000")</f>
        <v>Production_028</v>
      </c>
    </row>
    <row r="22" spans="1:21" x14ac:dyDescent="0.25">
      <c r="A22" s="130" t="s">
        <v>175</v>
      </c>
      <c r="B22" s="135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42" t="s">
        <v>370</v>
      </c>
      <c r="U22" s="21" t="str">
        <f>"Production_"&amp;TEXT(TBL_PRODUCTION[[#This Row],[Index]],"000")</f>
        <v>Production_014</v>
      </c>
    </row>
    <row r="23" spans="1:21" x14ac:dyDescent="0.25">
      <c r="A23" s="130" t="s">
        <v>180</v>
      </c>
      <c r="B23" s="135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42" t="s">
        <v>370</v>
      </c>
      <c r="U23" s="21" t="str">
        <f>"Production_"&amp;TEXT(TBL_PRODUCTION[[#This Row],[Index]],"000")</f>
        <v>Production_019</v>
      </c>
    </row>
    <row r="24" spans="1:21" x14ac:dyDescent="0.25">
      <c r="A24" s="130" t="s">
        <v>193</v>
      </c>
      <c r="B24" s="135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42" t="s">
        <v>370</v>
      </c>
      <c r="U24" s="21" t="str">
        <f>"Production_"&amp;TEXT(TBL_PRODUCTION[[#This Row],[Index]],"000")</f>
        <v>Production_033</v>
      </c>
    </row>
    <row r="25" spans="1:21" x14ac:dyDescent="0.25">
      <c r="A25" s="130" t="s">
        <v>195</v>
      </c>
      <c r="B25" s="135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42" t="s">
        <v>370</v>
      </c>
      <c r="U25" s="21" t="str">
        <f>"Production_"&amp;TEXT(TBL_PRODUCTION[[#This Row],[Index]],"000")</f>
        <v>Production_036</v>
      </c>
    </row>
    <row r="32" spans="1:21" x14ac:dyDescent="0.25">
      <c r="F32" s="158"/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6" sqref="A6:A10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199</v>
      </c>
      <c r="D5" t="s">
        <v>198</v>
      </c>
      <c r="E5" t="s">
        <v>3</v>
      </c>
      <c r="F5" s="2" t="s">
        <v>32</v>
      </c>
    </row>
    <row r="6" spans="1:6" x14ac:dyDescent="0.25">
      <c r="A6" s="79" t="s">
        <v>269</v>
      </c>
      <c r="B6" s="4">
        <f t="shared" ref="B6:B10" si="0">ROW(1:1)</f>
        <v>1</v>
      </c>
      <c r="C6" s="105">
        <v>58.037188999999998</v>
      </c>
      <c r="D6" s="104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9" t="s">
        <v>292</v>
      </c>
      <c r="B7" s="4">
        <f t="shared" si="0"/>
        <v>2</v>
      </c>
      <c r="C7" s="105">
        <v>56.389583999999999</v>
      </c>
      <c r="D7" s="104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9" t="s">
        <v>270</v>
      </c>
      <c r="B8" s="4">
        <f t="shared" si="0"/>
        <v>3</v>
      </c>
      <c r="C8" s="105">
        <v>36.712466999999997</v>
      </c>
      <c r="D8" s="104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9" t="s">
        <v>271</v>
      </c>
      <c r="B9" s="4">
        <f t="shared" si="0"/>
        <v>4</v>
      </c>
      <c r="C9" s="105">
        <v>30.685164</v>
      </c>
      <c r="D9" s="104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9" t="s">
        <v>293</v>
      </c>
      <c r="B10" s="4">
        <f t="shared" si="0"/>
        <v>5</v>
      </c>
      <c r="C10" s="105">
        <v>40.688969</v>
      </c>
      <c r="D10" s="104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>
      <selection activeCell="C6" sqref="C6:C10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x14ac:dyDescent="0.25">
      <c r="A6" s="80" t="s">
        <v>269</v>
      </c>
      <c r="B6" s="4">
        <f>INDEX(TBL_REGIONS_INDEX[Index],MATCH(TBL_PIPED_IMPORTERS_PRODUCTION[[#This Row],[Importer]],TBL_PIPED_IMPORTERS[Importer],0))</f>
        <v>1</v>
      </c>
      <c r="C6" s="153">
        <f>1025000/500</f>
        <v>2050</v>
      </c>
      <c r="D6" s="153">
        <f>1025000/500</f>
        <v>2050</v>
      </c>
      <c r="E6" s="153">
        <f t="shared" ref="E6:S6" si="0">1025000/500</f>
        <v>2050</v>
      </c>
      <c r="F6" s="153">
        <f t="shared" si="0"/>
        <v>2050</v>
      </c>
      <c r="G6" s="153">
        <f t="shared" si="0"/>
        <v>2050</v>
      </c>
      <c r="H6" s="153">
        <f t="shared" si="0"/>
        <v>2050</v>
      </c>
      <c r="I6" s="153">
        <f t="shared" si="0"/>
        <v>2050</v>
      </c>
      <c r="J6" s="153">
        <f t="shared" si="0"/>
        <v>2050</v>
      </c>
      <c r="K6" s="153">
        <f t="shared" si="0"/>
        <v>2050</v>
      </c>
      <c r="L6" s="153">
        <f t="shared" si="0"/>
        <v>2050</v>
      </c>
      <c r="M6" s="153">
        <f t="shared" si="0"/>
        <v>2050</v>
      </c>
      <c r="N6" s="153">
        <f t="shared" si="0"/>
        <v>2050</v>
      </c>
      <c r="O6" s="153">
        <f t="shared" si="0"/>
        <v>2050</v>
      </c>
      <c r="P6" s="153">
        <f t="shared" si="0"/>
        <v>2050</v>
      </c>
      <c r="Q6" s="153">
        <f t="shared" si="0"/>
        <v>2050</v>
      </c>
      <c r="R6" s="153">
        <f t="shared" si="0"/>
        <v>2050</v>
      </c>
      <c r="S6" s="153">
        <f t="shared" si="0"/>
        <v>2050</v>
      </c>
      <c r="T6" s="17"/>
      <c r="U6" s="21" t="str">
        <f>"PipedImporterProduction_"&amp;TEXT(TBL_PIPED_IMPORTERS_PRODUCTION[[#This Row],[Index]],"000")</f>
        <v>PipedImporterProduction_001</v>
      </c>
    </row>
    <row r="7" spans="1:21" x14ac:dyDescent="0.25">
      <c r="A7" s="130" t="s">
        <v>292</v>
      </c>
      <c r="B7" s="135">
        <f>INDEX(TBL_REGIONS_INDEX[Index],MATCH(TBL_PIPED_IMPORTERS_PRODUCTION[[#This Row],[Importer]],TBL_PIPED_IMPORTERS[Importer],0))</f>
        <v>2</v>
      </c>
      <c r="C7" s="153">
        <f>1700000/500</f>
        <v>3400</v>
      </c>
      <c r="D7" s="153">
        <f>1700000/500</f>
        <v>3400</v>
      </c>
      <c r="E7" s="153">
        <f t="shared" ref="E7:S7" si="1">1700000/500</f>
        <v>3400</v>
      </c>
      <c r="F7" s="153">
        <f t="shared" si="1"/>
        <v>3400</v>
      </c>
      <c r="G7" s="153">
        <f t="shared" si="1"/>
        <v>3400</v>
      </c>
      <c r="H7" s="153">
        <f t="shared" si="1"/>
        <v>3400</v>
      </c>
      <c r="I7" s="153">
        <f t="shared" si="1"/>
        <v>3400</v>
      </c>
      <c r="J7" s="153">
        <f t="shared" si="1"/>
        <v>3400</v>
      </c>
      <c r="K7" s="153">
        <f t="shared" si="1"/>
        <v>3400</v>
      </c>
      <c r="L7" s="153">
        <f t="shared" si="1"/>
        <v>3400</v>
      </c>
      <c r="M7" s="153">
        <v>4700</v>
      </c>
      <c r="N7" s="153">
        <f t="shared" si="1"/>
        <v>3400</v>
      </c>
      <c r="O7" s="153">
        <f t="shared" si="1"/>
        <v>3400</v>
      </c>
      <c r="P7" s="153">
        <f t="shared" si="1"/>
        <v>3400</v>
      </c>
      <c r="Q7" s="153">
        <f t="shared" si="1"/>
        <v>3400</v>
      </c>
      <c r="R7" s="153">
        <f t="shared" si="1"/>
        <v>3400</v>
      </c>
      <c r="S7" s="153">
        <f t="shared" si="1"/>
        <v>3400</v>
      </c>
      <c r="T7" s="142"/>
      <c r="U7" s="21" t="str">
        <f>"PipedImporterProduction_"&amp;TEXT(TBL_PIPED_IMPORTERS_PRODUCTION[[#This Row],[Index]],"000")</f>
        <v>PipedImporterProduction_002</v>
      </c>
    </row>
    <row r="8" spans="1:21" x14ac:dyDescent="0.25">
      <c r="A8" s="130" t="s">
        <v>270</v>
      </c>
      <c r="B8" s="135">
        <f>INDEX(TBL_REGIONS_INDEX[Index],MATCH(TBL_PIPED_IMPORTERS_PRODUCTION[[#This Row],[Importer]],TBL_PIPED_IMPORTERS[Importer],0))</f>
        <v>3</v>
      </c>
      <c r="C8" s="153">
        <f>350000/365</f>
        <v>958.90410958904113</v>
      </c>
      <c r="D8" s="153">
        <f>350000/365</f>
        <v>958.90410958904113</v>
      </c>
      <c r="E8" s="153">
        <f t="shared" ref="E8:S8" si="2">350000/365</f>
        <v>958.90410958904113</v>
      </c>
      <c r="F8" s="153">
        <f t="shared" si="2"/>
        <v>958.90410958904113</v>
      </c>
      <c r="G8" s="153">
        <f t="shared" si="2"/>
        <v>958.90410958904113</v>
      </c>
      <c r="H8" s="153">
        <f t="shared" si="2"/>
        <v>958.90410958904113</v>
      </c>
      <c r="I8" s="153">
        <f t="shared" si="2"/>
        <v>958.90410958904113</v>
      </c>
      <c r="J8" s="153">
        <f t="shared" si="2"/>
        <v>958.90410958904113</v>
      </c>
      <c r="K8" s="153">
        <f t="shared" si="2"/>
        <v>958.90410958904113</v>
      </c>
      <c r="L8" s="153">
        <f t="shared" si="2"/>
        <v>958.90410958904113</v>
      </c>
      <c r="M8" s="153">
        <f t="shared" si="2"/>
        <v>958.90410958904113</v>
      </c>
      <c r="N8" s="153">
        <f t="shared" si="2"/>
        <v>958.90410958904113</v>
      </c>
      <c r="O8" s="153">
        <f t="shared" si="2"/>
        <v>958.90410958904113</v>
      </c>
      <c r="P8" s="153">
        <f t="shared" si="2"/>
        <v>958.90410958904113</v>
      </c>
      <c r="Q8" s="153">
        <f t="shared" si="2"/>
        <v>958.90410958904113</v>
      </c>
      <c r="R8" s="153">
        <f t="shared" si="2"/>
        <v>958.90410958904113</v>
      </c>
      <c r="S8" s="153">
        <f t="shared" si="2"/>
        <v>958.90410958904113</v>
      </c>
      <c r="T8" s="142"/>
      <c r="U8" s="21" t="str">
        <f>"PipedImporterProduction_"&amp;TEXT(TBL_PIPED_IMPORTERS_PRODUCTION[[#This Row],[Index]],"000")</f>
        <v>PipedImporterProduction_003</v>
      </c>
    </row>
    <row r="9" spans="1:21" x14ac:dyDescent="0.25">
      <c r="A9" s="130" t="s">
        <v>271</v>
      </c>
      <c r="B9" s="135">
        <f>INDEX(TBL_REGIONS_INDEX[Index],MATCH(TBL_PIPED_IMPORTERS_PRODUCTION[[#This Row],[Importer]],TBL_PIPED_IMPORTERS[Importer],0))</f>
        <v>4</v>
      </c>
      <c r="C9" s="153">
        <f>60000/365</f>
        <v>164.38356164383561</v>
      </c>
      <c r="D9" s="153">
        <f>60000/365</f>
        <v>164.38356164383561</v>
      </c>
      <c r="E9" s="153">
        <f t="shared" ref="E9:S9" si="3">60000/365</f>
        <v>164.38356164383561</v>
      </c>
      <c r="F9" s="153">
        <f t="shared" si="3"/>
        <v>164.38356164383561</v>
      </c>
      <c r="G9" s="153">
        <f t="shared" si="3"/>
        <v>164.38356164383561</v>
      </c>
      <c r="H9" s="153">
        <f t="shared" si="3"/>
        <v>164.38356164383561</v>
      </c>
      <c r="I9" s="153">
        <f t="shared" si="3"/>
        <v>164.38356164383561</v>
      </c>
      <c r="J9" s="153">
        <f t="shared" si="3"/>
        <v>164.38356164383561</v>
      </c>
      <c r="K9" s="153">
        <f t="shared" si="3"/>
        <v>164.38356164383561</v>
      </c>
      <c r="L9" s="153">
        <f t="shared" si="3"/>
        <v>164.38356164383561</v>
      </c>
      <c r="M9" s="153">
        <f t="shared" si="3"/>
        <v>164.38356164383561</v>
      </c>
      <c r="N9" s="153">
        <f t="shared" si="3"/>
        <v>164.38356164383561</v>
      </c>
      <c r="O9" s="153">
        <f t="shared" si="3"/>
        <v>164.38356164383561</v>
      </c>
      <c r="P9" s="153">
        <f t="shared" si="3"/>
        <v>164.38356164383561</v>
      </c>
      <c r="Q9" s="153">
        <f t="shared" si="3"/>
        <v>164.38356164383561</v>
      </c>
      <c r="R9" s="153">
        <f t="shared" si="3"/>
        <v>164.38356164383561</v>
      </c>
      <c r="S9" s="153">
        <f t="shared" si="3"/>
        <v>164.38356164383561</v>
      </c>
      <c r="T9" s="142"/>
      <c r="U9" s="21" t="str">
        <f>"PipedImporterProduction_"&amp;TEXT(TBL_PIPED_IMPORTERS_PRODUCTION[[#This Row],[Index]],"000")</f>
        <v>PipedImporterProduction_004</v>
      </c>
    </row>
    <row r="10" spans="1:21" x14ac:dyDescent="0.25">
      <c r="A10" s="130" t="s">
        <v>293</v>
      </c>
      <c r="B10" s="135">
        <f>INDEX(TBL_REGIONS_INDEX[Index],MATCH(TBL_PIPED_IMPORTERS_PRODUCTION[[#This Row],[Importer]],TBL_PIPED_IMPORTERS[Importer],0))</f>
        <v>5</v>
      </c>
      <c r="C10" s="153">
        <f>125000/365</f>
        <v>342.46575342465752</v>
      </c>
      <c r="D10" s="153">
        <f>125000/365</f>
        <v>342.46575342465752</v>
      </c>
      <c r="E10" s="153">
        <f t="shared" ref="E10:S10" si="4">125000/365</f>
        <v>342.46575342465752</v>
      </c>
      <c r="F10" s="153">
        <f t="shared" si="4"/>
        <v>342.46575342465752</v>
      </c>
      <c r="G10" s="153">
        <f t="shared" si="4"/>
        <v>342.46575342465752</v>
      </c>
      <c r="H10" s="153">
        <f t="shared" si="4"/>
        <v>342.46575342465752</v>
      </c>
      <c r="I10" s="153">
        <f t="shared" si="4"/>
        <v>342.46575342465752</v>
      </c>
      <c r="J10" s="153">
        <f t="shared" si="4"/>
        <v>342.46575342465752</v>
      </c>
      <c r="K10" s="153">
        <f t="shared" si="4"/>
        <v>342.46575342465752</v>
      </c>
      <c r="L10" s="153">
        <f t="shared" si="4"/>
        <v>342.46575342465752</v>
      </c>
      <c r="M10" s="153">
        <f t="shared" si="4"/>
        <v>342.46575342465752</v>
      </c>
      <c r="N10" s="153">
        <f t="shared" si="4"/>
        <v>342.46575342465752</v>
      </c>
      <c r="O10" s="153">
        <f t="shared" si="4"/>
        <v>342.46575342465752</v>
      </c>
      <c r="P10" s="153">
        <f t="shared" si="4"/>
        <v>342.46575342465752</v>
      </c>
      <c r="Q10" s="153">
        <f t="shared" si="4"/>
        <v>342.46575342465752</v>
      </c>
      <c r="R10" s="153">
        <f t="shared" si="4"/>
        <v>342.46575342465752</v>
      </c>
      <c r="S10" s="153">
        <f t="shared" si="4"/>
        <v>342.46575342465752</v>
      </c>
      <c r="T10" s="142"/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ignoredErrors>
    <ignoredError sqref="D6:D10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29"/>
  <sheetViews>
    <sheetView workbookViewId="0">
      <selection activeCell="H6" sqref="H6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151</v>
      </c>
    </row>
    <row r="5" spans="1:11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200</v>
      </c>
      <c r="G5" t="s">
        <v>201</v>
      </c>
      <c r="H5" t="s">
        <v>119</v>
      </c>
      <c r="I5" t="s">
        <v>118</v>
      </c>
      <c r="J5" s="2" t="s">
        <v>3</v>
      </c>
      <c r="K5" s="2" t="s">
        <v>36</v>
      </c>
    </row>
    <row r="6" spans="1:11" x14ac:dyDescent="0.25">
      <c r="A6" s="113" t="s">
        <v>269</v>
      </c>
      <c r="B6" s="4">
        <f>INDEX(TBL_REGIONS_INDEX[Index],MATCH(TBL_PIPED_IMPORTERS_CONNECTIONS[[#This Row],[Importer]],TBL_PIPED_IMPORTERS[Importer],0))</f>
        <v>1</v>
      </c>
      <c r="C6" s="114" t="s">
        <v>163</v>
      </c>
      <c r="D6" s="4">
        <f>INDEX(TBL_REGIONS_INDEX[Index],MATCH(TBL_PIPED_IMPORTERS_CONNECTIONS[[#This Row],[Region]],TBL_REGIONS_INDEX[Region],0))</f>
        <v>2</v>
      </c>
      <c r="E6" s="115" t="s">
        <v>272</v>
      </c>
      <c r="F6" s="105">
        <v>51.455717999999997</v>
      </c>
      <c r="G6" s="105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6" t="s">
        <v>292</v>
      </c>
      <c r="B7" s="109">
        <f>INDEX(TBL_REGIONS_INDEX[Index],MATCH(TBL_PIPED_IMPORTERS_CONNECTIONS[[#This Row],[Importer]],TBL_PIPED_IMPORTERS[Importer],0))</f>
        <v>2</v>
      </c>
      <c r="C7" s="117" t="s">
        <v>184</v>
      </c>
      <c r="D7" s="109">
        <f>INDEX(TBL_REGIONS_INDEX[Index],MATCH(TBL_PIPED_IMPORTERS_CONNECTIONS[[#This Row],[Region]],TBL_REGIONS_INDEX[Region],0))</f>
        <v>23</v>
      </c>
      <c r="E7" s="118" t="s">
        <v>273</v>
      </c>
      <c r="F7" s="137">
        <v>59.166074999999999</v>
      </c>
      <c r="G7" s="137">
        <v>28.389558999999998</v>
      </c>
      <c r="H7" s="112" t="str">
        <f>TEXT(TBL_PIPED_IMPORTERS_CONNECTIONS[[#This Row],[Importer Index]],"000")&amp;TEXT(TBL_PIPED_IMPORTERS_CONNECTIONS[[#This Row],[Region Index]],"000")</f>
        <v>002023</v>
      </c>
      <c r="I7" s="109">
        <f>COUNTIF($F$6:$F7,$F7)</f>
        <v>1</v>
      </c>
      <c r="J7" s="110"/>
      <c r="K7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6" t="s">
        <v>292</v>
      </c>
      <c r="B8" s="109">
        <f>INDEX(TBL_REGIONS_INDEX[Index],MATCH(TBL_PIPED_IMPORTERS_CONNECTIONS[[#This Row],[Importer]],TBL_PIPED_IMPORTERS[Importer],0))</f>
        <v>2</v>
      </c>
      <c r="C8" s="117" t="s">
        <v>176</v>
      </c>
      <c r="D8" s="109">
        <f>INDEX(TBL_REGIONS_INDEX[Index],MATCH(TBL_PIPED_IMPORTERS_CONNECTIONS[[#This Row],[Region]],TBL_REGIONS_INDEX[Region],0))</f>
        <v>15</v>
      </c>
      <c r="E8" s="118" t="s">
        <v>274</v>
      </c>
      <c r="F8" s="137">
        <v>64.401685000000001</v>
      </c>
      <c r="G8" s="137">
        <v>31.514862999999998</v>
      </c>
      <c r="H8" s="112" t="str">
        <f>TEXT(TBL_PIPED_IMPORTERS_CONNECTIONS[[#This Row],[Importer Index]],"000")&amp;TEXT(TBL_PIPED_IMPORTERS_CONNECTIONS[[#This Row],[Region Index]],"000")</f>
        <v>002015</v>
      </c>
      <c r="I8" s="109">
        <f>COUNTIF($F$6:$F8,$F8)</f>
        <v>1</v>
      </c>
      <c r="J8" s="110"/>
      <c r="K8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6" t="s">
        <v>269</v>
      </c>
      <c r="B9" s="109">
        <f>INDEX(TBL_REGIONS_INDEX[Index],MATCH(TBL_PIPED_IMPORTERS_CONNECTIONS[[#This Row],[Importer]],TBL_PIPED_IMPORTERS[Importer],0))</f>
        <v>1</v>
      </c>
      <c r="C9" s="117" t="s">
        <v>166</v>
      </c>
      <c r="D9" s="109">
        <f>INDEX(TBL_REGIONS_INDEX[Index],MATCH(TBL_PIPED_IMPORTERS_CONNECTIONS[[#This Row],[Region]],TBL_REGIONS_INDEX[Region],0))</f>
        <v>5</v>
      </c>
      <c r="E9" s="118" t="s">
        <v>275</v>
      </c>
      <c r="F9" s="137">
        <v>51.251601000000001</v>
      </c>
      <c r="G9" s="137">
        <v>2.0575779999999999</v>
      </c>
      <c r="H9" s="112" t="str">
        <f>TEXT(TBL_PIPED_IMPORTERS_CONNECTIONS[[#This Row],[Importer Index]],"000")&amp;TEXT(TBL_PIPED_IMPORTERS_CONNECTIONS[[#This Row],[Region Index]],"000")</f>
        <v>001005</v>
      </c>
      <c r="I9" s="109">
        <f>COUNTIF($F$6:$F9,$F9)</f>
        <v>1</v>
      </c>
      <c r="J9" s="110"/>
      <c r="K9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9" t="s">
        <v>292</v>
      </c>
      <c r="B10" s="109">
        <f>INDEX(TBL_REGIONS_INDEX[Index],MATCH(TBL_PIPED_IMPORTERS_CONNECTIONS[[#This Row],[Importer]],TBL_PIPED_IMPORTERS[Importer],0))</f>
        <v>2</v>
      </c>
      <c r="C10" s="120" t="s">
        <v>173</v>
      </c>
      <c r="D10" s="109">
        <f>INDEX(TBL_REGIONS_INDEX[Index],MATCH(TBL_PIPED_IMPORTERS_CONNECTIONS[[#This Row],[Region]],TBL_REGIONS_INDEX[Region],0))</f>
        <v>12</v>
      </c>
      <c r="E10" s="121" t="s">
        <v>276</v>
      </c>
      <c r="F10" s="137">
        <v>54.756331000000003</v>
      </c>
      <c r="G10" s="137">
        <v>14.189765</v>
      </c>
      <c r="H10" s="112" t="str">
        <f>TEXT(TBL_PIPED_IMPORTERS_CONNECTIONS[[#This Row],[Importer Index]],"000")&amp;TEXT(TBL_PIPED_IMPORTERS_CONNECTIONS[[#This Row],[Region Index]],"000")</f>
        <v>002012</v>
      </c>
      <c r="I10" s="109">
        <f>COUNTIF($F$6:$F10,$F10)</f>
        <v>1</v>
      </c>
      <c r="J10" s="123"/>
      <c r="K10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9" t="s">
        <v>292</v>
      </c>
      <c r="B11" s="109">
        <f>INDEX(TBL_REGIONS_INDEX[Index],MATCH(TBL_PIPED_IMPORTERS_CONNECTIONS[[#This Row],[Importer]],TBL_PIPED_IMPORTERS[Importer],0))</f>
        <v>2</v>
      </c>
      <c r="C11" s="120" t="s">
        <v>173</v>
      </c>
      <c r="D11" s="109">
        <f>INDEX(TBL_REGIONS_INDEX[Index],MATCH(TBL_PIPED_IMPORTERS_CONNECTIONS[[#This Row],[Region]],TBL_REGIONS_INDEX[Region],0))</f>
        <v>12</v>
      </c>
      <c r="E11" s="121" t="s">
        <v>277</v>
      </c>
      <c r="F11" s="137">
        <v>54.756331000000003</v>
      </c>
      <c r="G11" s="137">
        <v>14.189765</v>
      </c>
      <c r="H11" s="112" t="str">
        <f>TEXT(TBL_PIPED_IMPORTERS_CONNECTIONS[[#This Row],[Importer Index]],"000")&amp;TEXT(TBL_PIPED_IMPORTERS_CONNECTIONS[[#This Row],[Region Index]],"000")</f>
        <v>002012</v>
      </c>
      <c r="I11" s="109">
        <f>COUNTIF($F$6:$F11,$F11)</f>
        <v>2</v>
      </c>
      <c r="J11" s="122" t="s">
        <v>290</v>
      </c>
      <c r="K11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9" t="s">
        <v>269</v>
      </c>
      <c r="B12" s="109">
        <f>INDEX(TBL_REGIONS_INDEX[Index],MATCH(TBL_PIPED_IMPORTERS_CONNECTIONS[[#This Row],[Importer]],TBL_PIPED_IMPORTERS[Importer],0))</f>
        <v>1</v>
      </c>
      <c r="C12" s="120" t="s">
        <v>173</v>
      </c>
      <c r="D12" s="109">
        <f>INDEX(TBL_REGIONS_INDEX[Index],MATCH(TBL_PIPED_IMPORTERS_CONNECTIONS[[#This Row],[Region]],TBL_REGIONS_INDEX[Region],0))</f>
        <v>12</v>
      </c>
      <c r="E12" s="121" t="s">
        <v>278</v>
      </c>
      <c r="F12" s="137">
        <v>54.040038000000003</v>
      </c>
      <c r="G12" s="137">
        <v>7.241873</v>
      </c>
      <c r="H12" s="112" t="str">
        <f>TEXT(TBL_PIPED_IMPORTERS_CONNECTIONS[[#This Row],[Importer Index]],"000")&amp;TEXT(TBL_PIPED_IMPORTERS_CONNECTIONS[[#This Row],[Region Index]],"000")</f>
        <v>001012</v>
      </c>
      <c r="I12" s="109">
        <f>COUNTIF($F$6:$F12,$F12)</f>
        <v>1</v>
      </c>
      <c r="J12" s="110"/>
      <c r="K12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30" t="s">
        <v>292</v>
      </c>
      <c r="B13" s="109">
        <f>INDEX(TBL_REGIONS_INDEX[Index],MATCH(TBL_PIPED_IMPORTERS_CONNECTIONS[[#This Row],[Importer]],TBL_PIPED_IMPORTERS[Importer],0))</f>
        <v>2</v>
      </c>
      <c r="C13" s="132" t="s">
        <v>182</v>
      </c>
      <c r="D13" s="109">
        <f>INDEX(TBL_REGIONS_INDEX[Index],MATCH(TBL_PIPED_IMPORTERS_CONNECTIONS[[#This Row],[Region]],TBL_REGIONS_INDEX[Region],0))</f>
        <v>21</v>
      </c>
      <c r="E13" s="131" t="s">
        <v>294</v>
      </c>
      <c r="F13" s="137">
        <v>54.654769000000002</v>
      </c>
      <c r="G13" s="137">
        <v>26.634409000000002</v>
      </c>
      <c r="H13" s="112" t="str">
        <f>TEXT(TBL_PIPED_IMPORTERS_CONNECTIONS[[#This Row],[Importer Index]],"000")&amp;TEXT(TBL_PIPED_IMPORTERS_CONNECTIONS[[#This Row],[Region Index]],"000")</f>
        <v>002021</v>
      </c>
      <c r="I13" s="109">
        <f>COUNTIF($F$6:$F13,$F13)</f>
        <v>1</v>
      </c>
      <c r="J13" s="110" t="s">
        <v>296</v>
      </c>
      <c r="K13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30" t="s">
        <v>269</v>
      </c>
      <c r="B14" s="109">
        <f>INDEX(TBL_REGIONS_INDEX[Index],MATCH(TBL_PIPED_IMPORTERS_CONNECTIONS[[#This Row],[Importer]],TBL_PIPED_IMPORTERS[Importer],0))</f>
        <v>1</v>
      </c>
      <c r="C14" s="132" t="s">
        <v>165</v>
      </c>
      <c r="D14" s="109">
        <f>INDEX(TBL_REGIONS_INDEX[Index],MATCH(TBL_PIPED_IMPORTERS_CONNECTIONS[[#This Row],[Region]],TBL_REGIONS_INDEX[Region],0))</f>
        <v>4</v>
      </c>
      <c r="E14" s="131" t="s">
        <v>279</v>
      </c>
      <c r="F14" s="137">
        <v>53.599024999999997</v>
      </c>
      <c r="G14" s="137">
        <v>4.4275359999999999</v>
      </c>
      <c r="H14" s="112" t="str">
        <f>TEXT(TBL_PIPED_IMPORTERS_CONNECTIONS[[#This Row],[Importer Index]],"000")&amp;TEXT(TBL_PIPED_IMPORTERS_CONNECTIONS[[#This Row],[Region Index]],"000")</f>
        <v>001004</v>
      </c>
      <c r="I14" s="109">
        <f>COUNTIF($F$6:$F14,$F14)</f>
        <v>1</v>
      </c>
      <c r="J14" s="123"/>
      <c r="K14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30" t="s">
        <v>292</v>
      </c>
      <c r="B15" s="109">
        <f>INDEX(TBL_REGIONS_INDEX[Index],MATCH(TBL_PIPED_IMPORTERS_CONNECTIONS[[#This Row],[Importer]],TBL_PIPED_IMPORTERS[Importer],0))</f>
        <v>2</v>
      </c>
      <c r="C15" s="132" t="s">
        <v>178</v>
      </c>
      <c r="D15" s="109">
        <f>INDEX(TBL_REGIONS_INDEX[Index],MATCH(TBL_PIPED_IMPORTERS_CONNECTIONS[[#This Row],[Region]],TBL_REGIONS_INDEX[Region],0))</f>
        <v>17</v>
      </c>
      <c r="E15" s="131" t="s">
        <v>295</v>
      </c>
      <c r="F15" s="137">
        <v>53.311185999999999</v>
      </c>
      <c r="G15" s="137">
        <v>24.303787</v>
      </c>
      <c r="H15" s="112" t="str">
        <f>TEXT(TBL_PIPED_IMPORTERS_CONNECTIONS[[#This Row],[Importer Index]],"000")&amp;TEXT(TBL_PIPED_IMPORTERS_CONNECTIONS[[#This Row],[Region Index]],"000")</f>
        <v>002017</v>
      </c>
      <c r="I15" s="109">
        <f>COUNTIF($F$6:$F15,$F15)</f>
        <v>1</v>
      </c>
      <c r="J15" s="124" t="s">
        <v>296</v>
      </c>
      <c r="K15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30" t="s">
        <v>292</v>
      </c>
      <c r="B16" s="109">
        <f>INDEX(TBL_REGIONS_INDEX[Index],MATCH(TBL_PIPED_IMPORTERS_CONNECTIONS[[#This Row],[Importer]],TBL_PIPED_IMPORTERS[Importer],0))</f>
        <v>2</v>
      </c>
      <c r="C16" s="132" t="s">
        <v>178</v>
      </c>
      <c r="D16" s="109">
        <f>INDEX(TBL_REGIONS_INDEX[Index],MATCH(TBL_PIPED_IMPORTERS_CONNECTIONS[[#This Row],[Region]],TBL_REGIONS_INDEX[Region],0))</f>
        <v>17</v>
      </c>
      <c r="E16" s="131" t="s">
        <v>281</v>
      </c>
      <c r="F16" s="137">
        <v>53.311185999999999</v>
      </c>
      <c r="G16" s="137">
        <v>24.303787</v>
      </c>
      <c r="H16" s="112" t="str">
        <f>TEXT(TBL_PIPED_IMPORTERS_CONNECTIONS[[#This Row],[Importer Index]],"000")&amp;TEXT(TBL_PIPED_IMPORTERS_CONNECTIONS[[#This Row],[Region Index]],"000")</f>
        <v>002017</v>
      </c>
      <c r="I16" s="109">
        <f>COUNTIF($F$6:$F16,$F16)</f>
        <v>2</v>
      </c>
      <c r="J16" s="124" t="s">
        <v>379</v>
      </c>
      <c r="K16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30" t="s">
        <v>270</v>
      </c>
      <c r="B17" s="109">
        <f>INDEX(TBL_REGIONS_INDEX[Index],MATCH(TBL_PIPED_IMPORTERS_CONNECTIONS[[#This Row],[Importer]],TBL_PIPED_IMPORTERS[Importer],0))</f>
        <v>3</v>
      </c>
      <c r="C17" s="132" t="s">
        <v>168</v>
      </c>
      <c r="D17" s="109">
        <f>INDEX(TBL_REGIONS_INDEX[Index],MATCH(TBL_PIPED_IMPORTERS_CONNECTIONS[[#This Row],[Region]],TBL_REGIONS_INDEX[Region],0))</f>
        <v>7</v>
      </c>
      <c r="E17" s="131" t="s">
        <v>284</v>
      </c>
      <c r="F17" s="137">
        <v>36.160052999999998</v>
      </c>
      <c r="G17" s="137">
        <v>-2.377427</v>
      </c>
      <c r="H17" s="112" t="str">
        <f>TEXT(TBL_PIPED_IMPORTERS_CONNECTIONS[[#This Row],[Importer Index]],"000")&amp;TEXT(TBL_PIPED_IMPORTERS_CONNECTIONS[[#This Row],[Region Index]],"000")</f>
        <v>003007</v>
      </c>
      <c r="I17" s="109">
        <f>COUNTIF($F$6:$F17,$F17)</f>
        <v>1</v>
      </c>
      <c r="J17" s="125"/>
      <c r="K17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30" t="s">
        <v>270</v>
      </c>
      <c r="B18" s="109">
        <f>INDEX(TBL_REGIONS_INDEX[Index],MATCH(TBL_PIPED_IMPORTERS_CONNECTIONS[[#This Row],[Importer]],TBL_PIPED_IMPORTERS[Importer],0))</f>
        <v>3</v>
      </c>
      <c r="C18" s="132" t="s">
        <v>168</v>
      </c>
      <c r="D18" s="109">
        <f>INDEX(TBL_REGIONS_INDEX[Index],MATCH(TBL_PIPED_IMPORTERS_CONNECTIONS[[#This Row],[Region]],TBL_REGIONS_INDEX[Region],0))</f>
        <v>7</v>
      </c>
      <c r="E18" s="131" t="s">
        <v>285</v>
      </c>
      <c r="F18" s="137">
        <v>36.160052999999998</v>
      </c>
      <c r="G18" s="137">
        <v>-2.377427</v>
      </c>
      <c r="H18" s="112" t="str">
        <f>TEXT(TBL_PIPED_IMPORTERS_CONNECTIONS[[#This Row],[Importer Index]],"000")&amp;TEXT(TBL_PIPED_IMPORTERS_CONNECTIONS[[#This Row],[Region Index]],"000")</f>
        <v>003007</v>
      </c>
      <c r="I18" s="109">
        <f>COUNTIF($F$6:$F18,$F18)</f>
        <v>2</v>
      </c>
      <c r="J18" s="129" t="s">
        <v>291</v>
      </c>
      <c r="K18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30" t="s">
        <v>269</v>
      </c>
      <c r="B19" s="109">
        <f>INDEX(TBL_REGIONS_INDEX[Index],MATCH(TBL_PIPED_IMPORTERS_CONNECTIONS[[#This Row],[Importer]],TBL_PIPED_IMPORTERS[Importer],0))</f>
        <v>1</v>
      </c>
      <c r="C19" s="132" t="s">
        <v>193</v>
      </c>
      <c r="D19" s="109">
        <f>INDEX(TBL_REGIONS_INDEX[Index],MATCH(TBL_PIPED_IMPORTERS_CONNECTIONS[[#This Row],[Region]],TBL_REGIONS_INDEX[Region],0))</f>
        <v>33</v>
      </c>
      <c r="E19" s="131" t="s">
        <v>286</v>
      </c>
      <c r="F19" s="137">
        <v>54.020679999999999</v>
      </c>
      <c r="G19" s="137">
        <v>0.77843099999999998</v>
      </c>
      <c r="H19" s="112" t="str">
        <f>TEXT(TBL_PIPED_IMPORTERS_CONNECTIONS[[#This Row],[Importer Index]],"000")&amp;TEXT(TBL_PIPED_IMPORTERS_CONNECTIONS[[#This Row],[Region Index]],"000")</f>
        <v>001033</v>
      </c>
      <c r="I19" s="109">
        <f>COUNTIF($F$6:$F19,$F19)</f>
        <v>1</v>
      </c>
      <c r="J19" s="129"/>
      <c r="K19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30" t="s">
        <v>271</v>
      </c>
      <c r="B20" s="109">
        <f>INDEX(TBL_REGIONS_INDEX[Index],MATCH(TBL_PIPED_IMPORTERS_CONNECTIONS[[#This Row],[Importer]],TBL_PIPED_IMPORTERS[Importer],0))</f>
        <v>4</v>
      </c>
      <c r="C20" s="132" t="s">
        <v>170</v>
      </c>
      <c r="D20" s="109">
        <f>INDEX(TBL_REGIONS_INDEX[Index],MATCH(TBL_PIPED_IMPORTERS_CONNECTIONS[[#This Row],[Region]],TBL_REGIONS_INDEX[Region],0))</f>
        <v>9</v>
      </c>
      <c r="E20" s="131" t="s">
        <v>287</v>
      </c>
      <c r="F20" s="137">
        <v>36.958671000000002</v>
      </c>
      <c r="G20" s="137">
        <v>16.128581000000001</v>
      </c>
      <c r="H20" s="112" t="str">
        <f>TEXT(TBL_PIPED_IMPORTERS_CONNECTIONS[[#This Row],[Importer Index]],"000")&amp;TEXT(TBL_PIPED_IMPORTERS_CONNECTIONS[[#This Row],[Region Index]],"000")</f>
        <v>004009</v>
      </c>
      <c r="I20" s="109">
        <f>COUNTIF($F$6:$F20,$F20)</f>
        <v>1</v>
      </c>
      <c r="J20" s="129"/>
      <c r="K20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30" t="s">
        <v>270</v>
      </c>
      <c r="B21" s="109">
        <f>INDEX(TBL_REGIONS_INDEX[Index],MATCH(TBL_PIPED_IMPORTERS_CONNECTIONS[[#This Row],[Importer]],TBL_PIPED_IMPORTERS[Importer],0))</f>
        <v>3</v>
      </c>
      <c r="C21" s="132" t="s">
        <v>170</v>
      </c>
      <c r="D21" s="109">
        <f>INDEX(TBL_REGIONS_INDEX[Index],MATCH(TBL_PIPED_IMPORTERS_CONNECTIONS[[#This Row],[Region]],TBL_REGIONS_INDEX[Region],0))</f>
        <v>9</v>
      </c>
      <c r="E21" s="131" t="s">
        <v>288</v>
      </c>
      <c r="F21" s="137">
        <v>36.712466999999997</v>
      </c>
      <c r="G21" s="137">
        <v>13.402193</v>
      </c>
      <c r="H21" s="112" t="str">
        <f>TEXT(TBL_PIPED_IMPORTERS_CONNECTIONS[[#This Row],[Importer Index]],"000")&amp;TEXT(TBL_PIPED_IMPORTERS_CONNECTIONS[[#This Row],[Region Index]],"000")</f>
        <v>003009</v>
      </c>
      <c r="I21" s="109">
        <f>COUNTIF($F$6:$F21,$F21)</f>
        <v>1</v>
      </c>
      <c r="J21" s="129"/>
      <c r="K21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30" t="s">
        <v>293</v>
      </c>
      <c r="B22" s="109">
        <f>INDEX(TBL_REGIONS_INDEX[Index],MATCH(TBL_PIPED_IMPORTERS_CONNECTIONS[[#This Row],[Importer]],TBL_PIPED_IMPORTERS[Importer],0))</f>
        <v>5</v>
      </c>
      <c r="C22" s="132" t="s">
        <v>170</v>
      </c>
      <c r="D22" s="109">
        <f>INDEX(TBL_REGIONS_INDEX[Index],MATCH(TBL_PIPED_IMPORTERS_CONNECTIONS[[#This Row],[Region]],TBL_REGIONS_INDEX[Region],0))</f>
        <v>9</v>
      </c>
      <c r="E22" s="131" t="s">
        <v>289</v>
      </c>
      <c r="F22" s="137">
        <v>38.831150000000001</v>
      </c>
      <c r="G22" s="137">
        <v>18.107410999999999</v>
      </c>
      <c r="H22" s="112" t="str">
        <f>TEXT(TBL_PIPED_IMPORTERS_CONNECTIONS[[#This Row],[Importer Index]],"000")&amp;TEXT(TBL_PIPED_IMPORTERS_CONNECTIONS[[#This Row],[Region Index]],"000")</f>
        <v>005009</v>
      </c>
      <c r="I22" s="109">
        <f>COUNTIF($F$6:$F22,$F22)</f>
        <v>1</v>
      </c>
      <c r="J22" s="129"/>
      <c r="K22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30" t="s">
        <v>293</v>
      </c>
      <c r="B23" s="109">
        <f>INDEX(TBL_REGIONS_INDEX[Index],MATCH(TBL_PIPED_IMPORTERS_CONNECTIONS[[#This Row],[Importer]],TBL_PIPED_IMPORTERS[Importer],0))</f>
        <v>5</v>
      </c>
      <c r="C23" s="132" t="s">
        <v>189</v>
      </c>
      <c r="D23" s="109">
        <f>INDEX(TBL_REGIONS_INDEX[Index],MATCH(TBL_PIPED_IMPORTERS_CONNECTIONS[[#This Row],[Region]],TBL_REGIONS_INDEX[Region],0))</f>
        <v>29</v>
      </c>
      <c r="E23" s="131" t="s">
        <v>297</v>
      </c>
      <c r="F23" s="137">
        <v>41.611334999999997</v>
      </c>
      <c r="G23" s="137">
        <v>26.830919000000002</v>
      </c>
      <c r="H23" s="112" t="str">
        <f>TEXT(TBL_PIPED_IMPORTERS_CONNECTIONS[[#This Row],[Importer Index]],"000")&amp;TEXT(TBL_PIPED_IMPORTERS_CONNECTIONS[[#This Row],[Region Index]],"000")</f>
        <v>005029</v>
      </c>
      <c r="I23" s="109">
        <f>COUNTIF($F$6:$F23,$F23)</f>
        <v>1</v>
      </c>
      <c r="J23" s="129" t="s">
        <v>300</v>
      </c>
      <c r="K23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30" t="s">
        <v>292</v>
      </c>
      <c r="B24" s="109">
        <f>INDEX(TBL_REGIONS_INDEX[Index],MATCH(TBL_PIPED_IMPORTERS_CONNECTIONS[[#This Row],[Importer]],TBL_PIPED_IMPORTERS[Importer],0))</f>
        <v>2</v>
      </c>
      <c r="C24" s="134" t="s">
        <v>195</v>
      </c>
      <c r="D24" s="109">
        <f>INDEX(TBL_REGIONS_INDEX[Index],MATCH(TBL_PIPED_IMPORTERS_CONNECTIONS[[#This Row],[Region]],TBL_REGIONS_INDEX[Region],0))</f>
        <v>36</v>
      </c>
      <c r="E24" s="133" t="s">
        <v>298</v>
      </c>
      <c r="F24" s="137">
        <v>50.861443999999999</v>
      </c>
      <c r="G24" s="137">
        <v>36.226241999999999</v>
      </c>
      <c r="H24" s="112" t="str">
        <f>TEXT(TBL_PIPED_IMPORTERS_CONNECTIONS[[#This Row],[Importer Index]],"000")&amp;TEXT(TBL_PIPED_IMPORTERS_CONNECTIONS[[#This Row],[Region Index]],"000")</f>
        <v>002036</v>
      </c>
      <c r="I24" s="109">
        <f>COUNTIF($F$6:$F24,$F24)</f>
        <v>1</v>
      </c>
      <c r="J24" s="129" t="s">
        <v>301</v>
      </c>
      <c r="K24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30" t="s">
        <v>293</v>
      </c>
      <c r="B25" s="109">
        <f>INDEX(TBL_REGIONS_INDEX[Index],MATCH(TBL_PIPED_IMPORTERS_CONNECTIONS[[#This Row],[Importer]],TBL_PIPED_IMPORTERS[Importer],0))</f>
        <v>5</v>
      </c>
      <c r="C25" s="132" t="s">
        <v>190</v>
      </c>
      <c r="D25" s="109">
        <f>INDEX(TBL_REGIONS_INDEX[Index],MATCH(TBL_PIPED_IMPORTERS_CONNECTIONS[[#This Row],[Region]],TBL_REGIONS_INDEX[Region],0))</f>
        <v>30</v>
      </c>
      <c r="E25" s="131" t="s">
        <v>299</v>
      </c>
      <c r="F25" s="137">
        <v>41.048287999999999</v>
      </c>
      <c r="G25" s="137">
        <v>26.690290999999998</v>
      </c>
      <c r="H25" s="112" t="str">
        <f>TEXT(TBL_PIPED_IMPORTERS_CONNECTIONS[[#This Row],[Importer Index]],"000")&amp;TEXT(TBL_PIPED_IMPORTERS_CONNECTIONS[[#This Row],[Region Index]],"000")</f>
        <v>005030</v>
      </c>
      <c r="I25" s="109">
        <f>COUNTIF($F$6:$F25,$F25)</f>
        <v>1</v>
      </c>
      <c r="J25" s="128"/>
      <c r="K25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30" t="s">
        <v>292</v>
      </c>
      <c r="B26" s="109">
        <f>INDEX(TBL_REGIONS_INDEX[Index],MATCH(TBL_PIPED_IMPORTERS_CONNECTIONS[[#This Row],[Importer]],TBL_PIPED_IMPORTERS[Importer],0))</f>
        <v>2</v>
      </c>
      <c r="C26" s="126" t="s">
        <v>190</v>
      </c>
      <c r="D26" s="109">
        <f>INDEX(TBL_REGIONS_INDEX[Index],MATCH(TBL_PIPED_IMPORTERS_CONNECTIONS[[#This Row],[Region]],TBL_REGIONS_INDEX[Region],0))</f>
        <v>30</v>
      </c>
      <c r="E26" s="127" t="s">
        <v>359</v>
      </c>
      <c r="F26" s="137">
        <v>40.824202</v>
      </c>
      <c r="G26" s="137">
        <v>26.360486000000002</v>
      </c>
      <c r="H26" s="112" t="str">
        <f>TEXT(TBL_PIPED_IMPORTERS_CONNECTIONS[[#This Row],[Importer Index]],"000")&amp;TEXT(TBL_PIPED_IMPORTERS_CONNECTIONS[[#This Row],[Region Index]],"000")</f>
        <v>002030</v>
      </c>
      <c r="I26" s="109">
        <f>COUNTIF($F$6:$F26,$F26)</f>
        <v>1</v>
      </c>
      <c r="J26" s="128"/>
      <c r="K26" s="11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30" t="s">
        <v>292</v>
      </c>
      <c r="B27" s="135">
        <f>INDEX(TBL_REGIONS_INDEX[Index],MATCH(TBL_PIPED_IMPORTERS_CONNECTIONS[[#This Row],[Importer]],TBL_PIPED_IMPORTERS[Importer],0))</f>
        <v>2</v>
      </c>
      <c r="C27" s="132" t="s">
        <v>189</v>
      </c>
      <c r="D27" s="135">
        <f>INDEX(TBL_REGIONS_INDEX[Index],MATCH(TBL_PIPED_IMPORTERS_CONNECTIONS[[#This Row],[Region]],TBL_REGIONS_INDEX[Region],0))</f>
        <v>29</v>
      </c>
      <c r="E27" s="141" t="s">
        <v>376</v>
      </c>
      <c r="F27" s="137">
        <v>42.884014999999998</v>
      </c>
      <c r="G27" s="137">
        <v>28.02439</v>
      </c>
      <c r="H27" s="112" t="str">
        <f>TEXT(TBL_PIPED_IMPORTERS_CONNECTIONS[[#This Row],[Importer Index]],"000")&amp;TEXT(TBL_PIPED_IMPORTERS_CONNECTIONS[[#This Row],[Region Index]],"000")</f>
        <v>002029</v>
      </c>
      <c r="I27" s="135">
        <f>COUNTIF($F$6:$F27,$F27)</f>
        <v>1</v>
      </c>
      <c r="J27" s="142" t="s">
        <v>380</v>
      </c>
      <c r="K27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30" t="s">
        <v>292</v>
      </c>
      <c r="B28" s="135">
        <f>INDEX(TBL_REGIONS_INDEX[Index],MATCH(TBL_PIPED_IMPORTERS_CONNECTIONS[[#This Row],[Importer]],TBL_PIPED_IMPORTERS[Importer],0))</f>
        <v>2</v>
      </c>
      <c r="C28" s="132" t="s">
        <v>173</v>
      </c>
      <c r="D28" s="135">
        <f>INDEX(TBL_REGIONS_INDEX[Index],MATCH(TBL_PIPED_IMPORTERS_CONNECTIONS[[#This Row],[Region]],TBL_REGIONS_INDEX[Region],0))</f>
        <v>12</v>
      </c>
      <c r="E28" s="141" t="s">
        <v>377</v>
      </c>
      <c r="F28" s="137">
        <v>52.355474000000001</v>
      </c>
      <c r="G28" s="137">
        <v>14.656293</v>
      </c>
      <c r="H28" s="112" t="str">
        <f>TEXT(TBL_PIPED_IMPORTERS_CONNECTIONS[[#This Row],[Importer Index]],"000")&amp;TEXT(TBL_PIPED_IMPORTERS_CONNECTIONS[[#This Row],[Region Index]],"000")</f>
        <v>002012</v>
      </c>
      <c r="I28" s="135">
        <f>COUNTIF($F$6:$F28,$F28)</f>
        <v>1</v>
      </c>
      <c r="J28" s="142" t="s">
        <v>381</v>
      </c>
      <c r="K28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30" t="s">
        <v>292</v>
      </c>
      <c r="B29" s="135">
        <f>INDEX(TBL_REGIONS_INDEX[Index],MATCH(TBL_PIPED_IMPORTERS_CONNECTIONS[[#This Row],[Importer]],TBL_PIPED_IMPORTERS[Importer],0))</f>
        <v>2</v>
      </c>
      <c r="C29" s="132" t="s">
        <v>179</v>
      </c>
      <c r="D29" s="135">
        <f>INDEX(TBL_REGIONS_INDEX[Index],MATCH(TBL_PIPED_IMPORTERS_CONNECTIONS[[#This Row],[Region]],TBL_REGIONS_INDEX[Region],0))</f>
        <v>18</v>
      </c>
      <c r="E29" s="141" t="s">
        <v>378</v>
      </c>
      <c r="F29" s="137">
        <v>49.217596999999998</v>
      </c>
      <c r="G29" s="137">
        <v>18.350109</v>
      </c>
      <c r="H29" s="112" t="str">
        <f>TEXT(TBL_PIPED_IMPORTERS_CONNECTIONS[[#This Row],[Importer Index]],"000")&amp;TEXT(TBL_PIPED_IMPORTERS_CONNECTIONS[[#This Row],[Region Index]],"000")</f>
        <v>002018</v>
      </c>
      <c r="I29" s="135">
        <f>COUNTIF($F$6:$F29,$F29)</f>
        <v>1</v>
      </c>
      <c r="J29" s="142"/>
      <c r="K29" s="13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PipedImporterConnection_002_018_001</v>
      </c>
    </row>
  </sheetData>
  <phoneticPr fontId="5" type="noConversion"/>
  <dataValidations count="3">
    <dataValidation type="list" allowBlank="1" showInputMessage="1" showErrorMessage="1" sqref="A6:A29" xr:uid="{00000000-0002-0000-0A00-000000000000}">
      <formula1>INDIRECT("TBL_PIPED_IMPORTERS[Importer]")</formula1>
    </dataValidation>
    <dataValidation type="list" allowBlank="1" showInputMessage="1" showErrorMessage="1" sqref="C6:C29" xr:uid="{00000000-0002-0000-0A00-000001000000}">
      <formula1>INDIRECT("TBL_REGIONS_INDEX[Region]")</formula1>
    </dataValidation>
    <dataValidation type="custom" allowBlank="1" showInputMessage="1" showErrorMessage="1" sqref="E6:G29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opLeftCell="B73" workbookViewId="0">
      <selection activeCell="U79" sqref="U7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6.85546875" hidden="1" customWidth="1" outlineLevel="1"/>
    <col min="24" max="24" width="36.140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8">
        <v>1</v>
      </c>
      <c r="B6" s="172" t="str">
        <f>IFERROR(INDEX(TBL_PIPED_IMPORTERS_CONNECTIONS[Name],$A6),"")</f>
        <v>BE_NO_Pipe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8">
        <f>$A6</f>
        <v>1</v>
      </c>
      <c r="B7" s="173"/>
      <c r="C7" s="85" t="s">
        <v>42</v>
      </c>
      <c r="D7" s="86" t="s">
        <v>154</v>
      </c>
      <c r="E7" s="150">
        <v>488</v>
      </c>
      <c r="F7" s="150">
        <v>488</v>
      </c>
      <c r="G7" s="150">
        <v>488</v>
      </c>
      <c r="H7" s="150">
        <v>488</v>
      </c>
      <c r="I7" s="150">
        <v>488</v>
      </c>
      <c r="J7" s="150">
        <v>488</v>
      </c>
      <c r="K7" s="150">
        <v>488</v>
      </c>
      <c r="L7" s="150">
        <v>488</v>
      </c>
      <c r="M7" s="150">
        <v>488</v>
      </c>
      <c r="N7" s="150">
        <v>488</v>
      </c>
      <c r="O7" s="150">
        <v>488</v>
      </c>
      <c r="P7" s="150">
        <v>488</v>
      </c>
      <c r="Q7" s="150">
        <v>488</v>
      </c>
      <c r="R7" s="150">
        <v>488</v>
      </c>
      <c r="S7" s="150">
        <v>488</v>
      </c>
      <c r="T7" s="150">
        <v>488</v>
      </c>
      <c r="U7" s="150">
        <v>488</v>
      </c>
      <c r="V7" s="25"/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8">
        <f>$A7</f>
        <v>1</v>
      </c>
      <c r="B8" s="173"/>
      <c r="C8" s="83" t="s">
        <v>84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8">
        <f>$A8</f>
        <v>1</v>
      </c>
      <c r="B9" s="174"/>
      <c r="C9" s="85" t="s">
        <v>85</v>
      </c>
      <c r="D9" s="86" t="s">
        <v>46</v>
      </c>
      <c r="E9" s="154">
        <v>0.59255428899135476</v>
      </c>
      <c r="F9" s="154">
        <v>0.48522210918391362</v>
      </c>
      <c r="G9" s="154">
        <v>0.19388604687306421</v>
      </c>
      <c r="H9" s="154">
        <v>0.21918814193172076</v>
      </c>
      <c r="I9" s="154">
        <v>0.21159348059433702</v>
      </c>
      <c r="J9" s="154">
        <v>0.76540305139538278</v>
      </c>
      <c r="K9" s="154">
        <v>0.11534928250763721</v>
      </c>
      <c r="L9" s="154">
        <v>0.14387274384479731</v>
      </c>
      <c r="M9" s="154">
        <v>6.0867900858588397E-2</v>
      </c>
      <c r="N9" s="154">
        <v>0.50525017681876205</v>
      </c>
      <c r="O9" s="154">
        <v>0.75171311975154065</v>
      </c>
      <c r="P9" s="154">
        <v>0.11992995033449172</v>
      </c>
      <c r="Q9" s="154">
        <v>0.7676942443135818</v>
      </c>
      <c r="R9" s="154">
        <v>0.90594799080145116</v>
      </c>
      <c r="S9" s="154">
        <v>0.62745295597116457</v>
      </c>
      <c r="T9" s="154">
        <v>0.24961511803343073</v>
      </c>
      <c r="U9" s="154">
        <v>0.96847146772499937</v>
      </c>
      <c r="V9" s="25"/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8">
        <f>$A6+1</f>
        <v>2</v>
      </c>
      <c r="B10" s="172" t="str">
        <f>IFERROR(INDEX(TBL_PIPED_IMPORTERS_CONNECTIONS[Name],$A10),"")</f>
        <v>Estland_RU_Pipe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8">
        <f>$A10</f>
        <v>2</v>
      </c>
      <c r="B11" s="173"/>
      <c r="C11" s="87" t="str">
        <f>IF($B10&lt;&gt;"",C7,"")</f>
        <v>Capacity - Max</v>
      </c>
      <c r="D11" s="87" t="str">
        <f>IF($B10&lt;&gt;"",D7,"")</f>
        <v>GWh/day</v>
      </c>
      <c r="E11" s="150">
        <v>214.2</v>
      </c>
      <c r="F11" s="150">
        <f>E11</f>
        <v>214.2</v>
      </c>
      <c r="G11" s="150">
        <v>214.2</v>
      </c>
      <c r="H11" s="150">
        <v>214.2</v>
      </c>
      <c r="I11" s="150">
        <v>214.2</v>
      </c>
      <c r="J11" s="150">
        <v>214.2</v>
      </c>
      <c r="K11" s="150">
        <v>214.2</v>
      </c>
      <c r="L11" s="150">
        <v>214.2</v>
      </c>
      <c r="M11" s="150">
        <v>214.2</v>
      </c>
      <c r="N11" s="150">
        <v>214.2</v>
      </c>
      <c r="O11" s="150">
        <v>214.2</v>
      </c>
      <c r="P11" s="150">
        <v>214.2</v>
      </c>
      <c r="Q11" s="150">
        <v>214.2</v>
      </c>
      <c r="R11" s="150">
        <v>214.2</v>
      </c>
      <c r="S11" s="150">
        <v>214.2</v>
      </c>
      <c r="T11" s="150">
        <v>214.2</v>
      </c>
      <c r="U11" s="150">
        <v>214.2</v>
      </c>
      <c r="V11" s="25"/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8">
        <f>$A11</f>
        <v>2</v>
      </c>
      <c r="B12" s="173"/>
      <c r="C12" s="87" t="str">
        <f>IF($B10&lt;&gt;"",C8,"")</f>
        <v>Cost to Market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8">
        <f>$A12</f>
        <v>2</v>
      </c>
      <c r="B13" s="174"/>
      <c r="C13" s="87" t="str">
        <f>IF($B10&lt;&gt;"",C9,"")</f>
        <v>Cost to Market - variable</v>
      </c>
      <c r="D13" s="87" t="str">
        <f>IF($B10&lt;&gt;"",D9,"")</f>
        <v>EUR/MWh</v>
      </c>
      <c r="E13" s="154">
        <v>0.35133535631395119</v>
      </c>
      <c r="F13" s="154">
        <v>7.7337446617617434E-2</v>
      </c>
      <c r="G13" s="154">
        <v>0.29970904677266874</v>
      </c>
      <c r="H13" s="154">
        <v>0.37608160764712351</v>
      </c>
      <c r="I13" s="154">
        <v>0.2761320294512094</v>
      </c>
      <c r="J13" s="154">
        <v>0.57441734004632039</v>
      </c>
      <c r="K13" s="154">
        <v>0.37513133074615856</v>
      </c>
      <c r="L13" s="154">
        <v>0.44166486215194078</v>
      </c>
      <c r="M13" s="154">
        <v>0.67848035403233087</v>
      </c>
      <c r="N13" s="154">
        <v>0.30625665108561706</v>
      </c>
      <c r="O13" s="154">
        <v>4.8565286695517407E-2</v>
      </c>
      <c r="P13" s="154">
        <v>0.98688605986125055</v>
      </c>
      <c r="Q13" s="154">
        <v>0.5130702431671279</v>
      </c>
      <c r="R13" s="154">
        <v>0.17313743695811457</v>
      </c>
      <c r="S13" s="154">
        <v>0.59500312010192136</v>
      </c>
      <c r="T13" s="154">
        <v>0.14245898991821659</v>
      </c>
      <c r="U13" s="154">
        <v>0.1229332264877282</v>
      </c>
      <c r="V13" s="25"/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8">
        <f t="shared" ref="A14" si="0">$A10+1</f>
        <v>3</v>
      </c>
      <c r="B14" s="172" t="str">
        <f>IFERROR(INDEX(TBL_PIPED_IMPORTERS_CONNECTIONS[Name],$A14),"")</f>
        <v>FI_RU_Pipe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8">
        <f t="shared" ref="A15:A17" si="2">$A14</f>
        <v>3</v>
      </c>
      <c r="B15" s="173"/>
      <c r="C15" s="87" t="str">
        <f t="shared" ref="C15:D15" si="3">IF($B14&lt;&gt;"",C11,"")</f>
        <v>Capacity - Max</v>
      </c>
      <c r="D15" s="87" t="str">
        <f t="shared" si="3"/>
        <v>GWh/day</v>
      </c>
      <c r="E15" s="150">
        <v>222</v>
      </c>
      <c r="F15" s="150">
        <f>E15</f>
        <v>222</v>
      </c>
      <c r="G15" s="150">
        <v>222</v>
      </c>
      <c r="H15" s="150">
        <v>222</v>
      </c>
      <c r="I15" s="150">
        <v>222</v>
      </c>
      <c r="J15" s="150">
        <v>222</v>
      </c>
      <c r="K15" s="150">
        <v>222</v>
      </c>
      <c r="L15" s="150">
        <v>222</v>
      </c>
      <c r="M15" s="150">
        <v>222</v>
      </c>
      <c r="N15" s="150">
        <v>222</v>
      </c>
      <c r="O15" s="150">
        <v>222</v>
      </c>
      <c r="P15" s="150">
        <v>222</v>
      </c>
      <c r="Q15" s="150">
        <v>222</v>
      </c>
      <c r="R15" s="150">
        <v>222</v>
      </c>
      <c r="S15" s="150">
        <v>222</v>
      </c>
      <c r="T15" s="150">
        <v>222</v>
      </c>
      <c r="U15" s="150">
        <v>222</v>
      </c>
      <c r="V15" s="25"/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8">
        <f t="shared" si="2"/>
        <v>3</v>
      </c>
      <c r="B16" s="173"/>
      <c r="C16" s="87" t="str">
        <f t="shared" ref="C16:D16" si="4">IF($B14&lt;&gt;"",C12,"")</f>
        <v>Cost to Market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8">
        <f t="shared" si="2"/>
        <v>3</v>
      </c>
      <c r="B17" s="174"/>
      <c r="C17" s="87" t="str">
        <f t="shared" ref="C17:D17" si="5">IF($B14&lt;&gt;"",C13,"")</f>
        <v>Cost to Market - variable</v>
      </c>
      <c r="D17" s="87" t="str">
        <f t="shared" si="5"/>
        <v>EUR/MWh</v>
      </c>
      <c r="E17" s="154">
        <v>0.16601281096231135</v>
      </c>
      <c r="F17" s="154">
        <v>0.36067733779035227</v>
      </c>
      <c r="G17" s="154">
        <v>0.88983610610419084</v>
      </c>
      <c r="H17" s="154">
        <v>0.64939683632628975</v>
      </c>
      <c r="I17" s="154">
        <v>0.68572965488617865</v>
      </c>
      <c r="J17" s="154">
        <v>0.88140782566240627</v>
      </c>
      <c r="K17" s="154">
        <v>0.92727572396284075</v>
      </c>
      <c r="L17" s="154">
        <v>4.2344788594499527E-2</v>
      </c>
      <c r="M17" s="154">
        <v>0.43333030810247231</v>
      </c>
      <c r="N17" s="154">
        <v>1.8115695161636247E-2</v>
      </c>
      <c r="O17" s="154">
        <v>0.20915693472079755</v>
      </c>
      <c r="P17" s="154">
        <v>0.79792793172099319</v>
      </c>
      <c r="Q17" s="154">
        <v>0.32559750305053303</v>
      </c>
      <c r="R17" s="154">
        <v>0.45499796044291019</v>
      </c>
      <c r="S17" s="154">
        <v>0.60013746515122579</v>
      </c>
      <c r="T17" s="154">
        <v>0.75589722983050567</v>
      </c>
      <c r="U17" s="154">
        <v>0.91041723636920335</v>
      </c>
      <c r="V17" s="25"/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8">
        <f t="shared" ref="A18" si="6">$A14+1</f>
        <v>4</v>
      </c>
      <c r="B18" s="172" t="str">
        <f>IFERROR(INDEX(TBL_PIPED_IMPORTERS_CONNECTIONS[Name],$A18),"")</f>
        <v>FR_NO_Pipe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8">
        <f t="shared" ref="A19:A21" si="8">$A18</f>
        <v>4</v>
      </c>
      <c r="B19" s="173"/>
      <c r="C19" s="87" t="str">
        <f t="shared" ref="C19:D19" si="9">IF($B18&lt;&gt;"",C15,"")</f>
        <v>Capacity - Max</v>
      </c>
      <c r="D19" s="87" t="str">
        <f t="shared" si="9"/>
        <v>GWh/day</v>
      </c>
      <c r="E19" s="150">
        <v>570</v>
      </c>
      <c r="F19" s="150">
        <f>E19</f>
        <v>570</v>
      </c>
      <c r="G19" s="150">
        <v>570</v>
      </c>
      <c r="H19" s="150">
        <v>570</v>
      </c>
      <c r="I19" s="150">
        <v>570</v>
      </c>
      <c r="J19" s="150">
        <v>570</v>
      </c>
      <c r="K19" s="150">
        <v>570</v>
      </c>
      <c r="L19" s="150">
        <v>570</v>
      </c>
      <c r="M19" s="150">
        <v>570</v>
      </c>
      <c r="N19" s="150">
        <v>570</v>
      </c>
      <c r="O19" s="150">
        <v>570</v>
      </c>
      <c r="P19" s="150">
        <v>570</v>
      </c>
      <c r="Q19" s="150">
        <v>570</v>
      </c>
      <c r="R19" s="150">
        <v>570</v>
      </c>
      <c r="S19" s="150">
        <v>570</v>
      </c>
      <c r="T19" s="150">
        <v>570</v>
      </c>
      <c r="U19" s="150">
        <v>570</v>
      </c>
      <c r="V19" s="25"/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8">
        <f t="shared" si="8"/>
        <v>4</v>
      </c>
      <c r="B20" s="173"/>
      <c r="C20" s="87" t="str">
        <f t="shared" ref="C20:D20" si="10">IF($B18&lt;&gt;"",C16,"")</f>
        <v>Cost to Market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8">
        <f t="shared" si="8"/>
        <v>4</v>
      </c>
      <c r="B21" s="174"/>
      <c r="C21" s="87" t="str">
        <f t="shared" ref="C21:D21" si="11">IF($B18&lt;&gt;"",C17,"")</f>
        <v>Cost to Market - variable</v>
      </c>
      <c r="D21" s="87" t="str">
        <f t="shared" si="11"/>
        <v>EUR/MWh</v>
      </c>
      <c r="E21" s="154">
        <v>6.8535350040206167E-2</v>
      </c>
      <c r="F21" s="154">
        <v>0.86043766274470834</v>
      </c>
      <c r="G21" s="154">
        <v>0.72533378463064024</v>
      </c>
      <c r="H21" s="154">
        <v>0.33153812055528364</v>
      </c>
      <c r="I21" s="154">
        <v>0.86263975566476414</v>
      </c>
      <c r="J21" s="154">
        <v>0.20971984895936069</v>
      </c>
      <c r="K21" s="154">
        <v>0.12458568304844897</v>
      </c>
      <c r="L21" s="154">
        <v>3.5693944768969699E-2</v>
      </c>
      <c r="M21" s="154">
        <v>0.99797153139028572</v>
      </c>
      <c r="N21" s="154">
        <v>0.63566996521889962</v>
      </c>
      <c r="O21" s="154">
        <v>2.6765228088602822E-2</v>
      </c>
      <c r="P21" s="154">
        <v>0.13867929677513446</v>
      </c>
      <c r="Q21" s="154">
        <v>0.44541180134391523</v>
      </c>
      <c r="R21" s="154">
        <v>1.9589458451498842E-2</v>
      </c>
      <c r="S21" s="154">
        <v>0.37257331212253531</v>
      </c>
      <c r="T21" s="154">
        <v>0.74713276604355372</v>
      </c>
      <c r="U21" s="154">
        <v>0.13914494105169306</v>
      </c>
      <c r="V21" s="25"/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8">
        <f t="shared" ref="A22" si="12">$A18+1</f>
        <v>5</v>
      </c>
      <c r="B22" s="172" t="str">
        <f>IFERROR(INDEX(TBL_PIPED_IMPORTERS_CONNECTIONS[Name],$A22),"")</f>
        <v>GER_RU_Nordstream_1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8">
        <f t="shared" ref="A23:A25" si="14">$A22</f>
        <v>5</v>
      </c>
      <c r="B23" s="173"/>
      <c r="C23" s="87" t="str">
        <f t="shared" ref="C23:D23" si="15">IF($B22&lt;&gt;"",C19,"")</f>
        <v>Capacity - Max</v>
      </c>
      <c r="D23" s="87" t="str">
        <f t="shared" si="15"/>
        <v>GWh/day</v>
      </c>
      <c r="E23" s="150">
        <v>839.7</v>
      </c>
      <c r="F23" s="150">
        <f>E23</f>
        <v>839.7</v>
      </c>
      <c r="G23" s="150">
        <v>839.7</v>
      </c>
      <c r="H23" s="150">
        <v>839.7</v>
      </c>
      <c r="I23" s="150">
        <v>839.7</v>
      </c>
      <c r="J23" s="150">
        <v>839.7</v>
      </c>
      <c r="K23" s="150">
        <v>839.7</v>
      </c>
      <c r="L23" s="150">
        <v>839.7</v>
      </c>
      <c r="M23" s="150">
        <v>839.7</v>
      </c>
      <c r="N23" s="150">
        <v>839.7</v>
      </c>
      <c r="O23" s="150">
        <v>839.7</v>
      </c>
      <c r="P23" s="150">
        <v>839.7</v>
      </c>
      <c r="Q23" s="150">
        <v>839.7</v>
      </c>
      <c r="R23" s="150">
        <v>839.7</v>
      </c>
      <c r="S23" s="150">
        <v>839.7</v>
      </c>
      <c r="T23" s="150">
        <v>839.7</v>
      </c>
      <c r="U23" s="150">
        <v>839.7</v>
      </c>
      <c r="V23" s="25"/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8">
        <f t="shared" si="14"/>
        <v>5</v>
      </c>
      <c r="B24" s="173"/>
      <c r="C24" s="87" t="str">
        <f t="shared" ref="C24:D24" si="16">IF($B22&lt;&gt;"",C20,"")</f>
        <v>Cost to Market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8">
        <f t="shared" si="14"/>
        <v>5</v>
      </c>
      <c r="B25" s="174"/>
      <c r="C25" s="87" t="str">
        <f t="shared" ref="C25:D25" si="17">IF($B22&lt;&gt;"",C21,"")</f>
        <v>Cost to Market - variable</v>
      </c>
      <c r="D25" s="87" t="str">
        <f t="shared" si="17"/>
        <v>EUR/MWh</v>
      </c>
      <c r="E25" s="154">
        <v>0.93671664152541412</v>
      </c>
      <c r="F25" s="154">
        <v>0.79615615128469908</v>
      </c>
      <c r="G25" s="154">
        <v>0.3668199926920549</v>
      </c>
      <c r="H25" s="154">
        <v>9.6531852459178835E-2</v>
      </c>
      <c r="I25" s="154">
        <v>0.67614554855050879</v>
      </c>
      <c r="J25" s="154">
        <v>0.51783069493836986</v>
      </c>
      <c r="K25" s="154">
        <v>0.99086306135285585</v>
      </c>
      <c r="L25" s="154">
        <v>0.88054346573915043</v>
      </c>
      <c r="M25" s="154">
        <v>0.80264558443551848</v>
      </c>
      <c r="N25" s="154">
        <v>0.77303597261187584</v>
      </c>
      <c r="O25" s="154">
        <v>0.59823789910056036</v>
      </c>
      <c r="P25" s="154">
        <v>0.3894974417160888</v>
      </c>
      <c r="Q25" s="154">
        <v>1.3211668732565407E-2</v>
      </c>
      <c r="R25" s="154">
        <v>0.29649559236432022</v>
      </c>
      <c r="S25" s="154">
        <v>0.96008547358844742</v>
      </c>
      <c r="T25" s="154">
        <v>0.91521114273690796</v>
      </c>
      <c r="U25" s="154">
        <v>0.7426759071482566</v>
      </c>
      <c r="V25" s="25"/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8">
        <f t="shared" ref="A26" si="18">$A22+1</f>
        <v>6</v>
      </c>
      <c r="B26" s="172" t="str">
        <f>IFERROR(INDEX(TBL_PIPED_IMPORTERS_CONNECTIONS[Name],$A26),"")</f>
        <v>GER_RU_Nordstream_2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8">
        <f t="shared" ref="A27:A29" si="20">$A26</f>
        <v>6</v>
      </c>
      <c r="B27" s="173"/>
      <c r="C27" s="87" t="str">
        <f t="shared" ref="C27:D27" si="21">IF($B26&lt;&gt;"",C23,"")</f>
        <v>Capacity - Max</v>
      </c>
      <c r="D27" s="87" t="str">
        <f t="shared" si="21"/>
        <v>GWh/day</v>
      </c>
      <c r="E27" s="150">
        <v>1741.36</v>
      </c>
      <c r="F27" s="150">
        <f>E27</f>
        <v>1741.36</v>
      </c>
      <c r="G27" s="150">
        <v>1741.36</v>
      </c>
      <c r="H27" s="150">
        <v>1741.36</v>
      </c>
      <c r="I27" s="150">
        <v>1741.36</v>
      </c>
      <c r="J27" s="150">
        <v>1741.36</v>
      </c>
      <c r="K27" s="150">
        <v>1741.36</v>
      </c>
      <c r="L27" s="150">
        <v>1741.36</v>
      </c>
      <c r="M27" s="150">
        <v>1741.36</v>
      </c>
      <c r="N27" s="150">
        <v>1741.36</v>
      </c>
      <c r="O27" s="150">
        <v>1741.36</v>
      </c>
      <c r="P27" s="150">
        <v>1741.36</v>
      </c>
      <c r="Q27" s="150">
        <v>1741.36</v>
      </c>
      <c r="R27" s="150">
        <v>1741.36</v>
      </c>
      <c r="S27" s="150">
        <v>1741.36</v>
      </c>
      <c r="T27" s="150">
        <v>1741.36</v>
      </c>
      <c r="U27" s="150">
        <v>1741.36</v>
      </c>
      <c r="V27" s="25"/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8">
        <f t="shared" si="20"/>
        <v>6</v>
      </c>
      <c r="B28" s="173"/>
      <c r="C28" s="87" t="str">
        <f t="shared" ref="C28:D28" si="22">IF($B26&lt;&gt;"",C24,"")</f>
        <v>Cost to Market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8">
        <f t="shared" si="20"/>
        <v>6</v>
      </c>
      <c r="B29" s="174"/>
      <c r="C29" s="87" t="str">
        <f t="shared" ref="C29:D29" si="23">IF($B26&lt;&gt;"",C25,"")</f>
        <v>Cost to Market - variable</v>
      </c>
      <c r="D29" s="87" t="str">
        <f t="shared" si="23"/>
        <v>EUR/MWh</v>
      </c>
      <c r="E29" s="154">
        <v>0.21366045213927887</v>
      </c>
      <c r="F29" s="154">
        <v>0.78701402602465065</v>
      </c>
      <c r="G29" s="154">
        <v>0.4112651256747456</v>
      </c>
      <c r="H29" s="154">
        <v>0.18196695692998244</v>
      </c>
      <c r="I29" s="154">
        <v>0.78045759967577355</v>
      </c>
      <c r="J29" s="154">
        <v>0.50408390192830455</v>
      </c>
      <c r="K29" s="154">
        <v>0.90567172236772742</v>
      </c>
      <c r="L29" s="154">
        <v>0.16510889780371873</v>
      </c>
      <c r="M29" s="154">
        <v>4.2817994917271562E-2</v>
      </c>
      <c r="N29" s="154">
        <v>0.96682668970044017</v>
      </c>
      <c r="O29" s="154">
        <v>0.54131779630200949</v>
      </c>
      <c r="P29" s="154">
        <v>0.64694900346116901</v>
      </c>
      <c r="Q29" s="154">
        <v>0.74443624856534674</v>
      </c>
      <c r="R29" s="154">
        <v>0.9095716474986052</v>
      </c>
      <c r="S29" s="154">
        <v>0.46078927500583422</v>
      </c>
      <c r="T29" s="154">
        <v>0.59224577603225237</v>
      </c>
      <c r="U29" s="154">
        <v>0.38399716221387425</v>
      </c>
      <c r="V29" s="25"/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8">
        <f t="shared" ref="A30" si="24">$A26+1</f>
        <v>7</v>
      </c>
      <c r="B30" s="172" t="str">
        <f>IFERROR(INDEX(TBL_PIPED_IMPORTERS_CONNECTIONS[Name],$A30),"")</f>
        <v>GER_NO_Pipe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8">
        <f t="shared" ref="A31:A33" si="26">$A30</f>
        <v>7</v>
      </c>
      <c r="B31" s="173"/>
      <c r="C31" s="87" t="str">
        <f t="shared" ref="C31:D31" si="27">IF($B30&lt;&gt;"",C27,"")</f>
        <v>Capacity - Max</v>
      </c>
      <c r="D31" s="87" t="str">
        <f t="shared" si="27"/>
        <v>GWh/day</v>
      </c>
      <c r="E31" s="150">
        <v>1247</v>
      </c>
      <c r="F31" s="150">
        <f>E31</f>
        <v>1247</v>
      </c>
      <c r="G31" s="150">
        <v>1247</v>
      </c>
      <c r="H31" s="150">
        <v>1247</v>
      </c>
      <c r="I31" s="150">
        <v>1247</v>
      </c>
      <c r="J31" s="150">
        <v>1247</v>
      </c>
      <c r="K31" s="150">
        <v>1247</v>
      </c>
      <c r="L31" s="150">
        <v>1247</v>
      </c>
      <c r="M31" s="150">
        <v>1247</v>
      </c>
      <c r="N31" s="150">
        <v>1247</v>
      </c>
      <c r="O31" s="150">
        <v>1247</v>
      </c>
      <c r="P31" s="150">
        <v>1247</v>
      </c>
      <c r="Q31" s="150">
        <v>1247</v>
      </c>
      <c r="R31" s="150">
        <v>1247</v>
      </c>
      <c r="S31" s="150">
        <v>1247</v>
      </c>
      <c r="T31" s="150">
        <v>1247</v>
      </c>
      <c r="U31" s="150">
        <v>1247</v>
      </c>
      <c r="V31" s="25"/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8">
        <f t="shared" si="26"/>
        <v>7</v>
      </c>
      <c r="B32" s="173"/>
      <c r="C32" s="87" t="str">
        <f t="shared" ref="C32:D32" si="28">IF($B30&lt;&gt;"",C28,"")</f>
        <v>Cost to Market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8">
        <f t="shared" si="26"/>
        <v>7</v>
      </c>
      <c r="B33" s="174"/>
      <c r="C33" s="87" t="str">
        <f t="shared" ref="C33:D33" si="29">IF($B30&lt;&gt;"",C29,"")</f>
        <v>Cost to Market - variable</v>
      </c>
      <c r="D33" s="87" t="str">
        <f t="shared" si="29"/>
        <v>EUR/MWh</v>
      </c>
      <c r="E33" s="154">
        <v>0.56019645570908227</v>
      </c>
      <c r="F33" s="154">
        <v>0.17575766378888447</v>
      </c>
      <c r="G33" s="154">
        <v>0.74780144930923265</v>
      </c>
      <c r="H33" s="154">
        <v>0.43206683062730111</v>
      </c>
      <c r="I33" s="154">
        <v>0.84325445494968487</v>
      </c>
      <c r="J33" s="154">
        <v>0.57890858874876039</v>
      </c>
      <c r="K33" s="154">
        <v>0.36658441677611764</v>
      </c>
      <c r="L33" s="154">
        <v>0.14872996685527029</v>
      </c>
      <c r="M33" s="154">
        <v>0.2680505773451447</v>
      </c>
      <c r="N33" s="154">
        <v>0.68125529241416594</v>
      </c>
      <c r="O33" s="154">
        <v>0.98469645689640939</v>
      </c>
      <c r="P33" s="154">
        <v>3.9221287865358834E-2</v>
      </c>
      <c r="Q33" s="154">
        <v>0.70893450626656229</v>
      </c>
      <c r="R33" s="154">
        <v>0.31080425288558777</v>
      </c>
      <c r="S33" s="154">
        <v>0.49623993579599024</v>
      </c>
      <c r="T33" s="154">
        <v>0.6342725156722252</v>
      </c>
      <c r="U33" s="154">
        <v>0.9570137104335531</v>
      </c>
      <c r="V33" s="25"/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8">
        <f t="shared" ref="A34" si="30">$A30+1</f>
        <v>8</v>
      </c>
      <c r="B34" s="172" t="str">
        <f>IFERROR(INDEX(TBL_PIPED_IMPORTERS_CONNECTIONS[Name],$A34),"")</f>
        <v>Li_RU_Pipe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8">
        <f t="shared" ref="A35:A37" si="32">$A34</f>
        <v>8</v>
      </c>
      <c r="B35" s="173"/>
      <c r="C35" s="87" t="str">
        <f t="shared" ref="C35" si="33">IF($B34&lt;&gt;"",C31,"")</f>
        <v>Capacity - Max</v>
      </c>
      <c r="D35" s="87" t="str">
        <f t="shared" ref="D35" si="34">IF($B34&lt;&gt;"",D31,"")</f>
        <v>GWh/day</v>
      </c>
      <c r="E35" s="150">
        <v>325.39999999999998</v>
      </c>
      <c r="F35" s="150">
        <f>E35</f>
        <v>325.39999999999998</v>
      </c>
      <c r="G35" s="150">
        <v>325.39999999999998</v>
      </c>
      <c r="H35" s="150">
        <v>325.39999999999998</v>
      </c>
      <c r="I35" s="150">
        <v>325.39999999999998</v>
      </c>
      <c r="J35" s="150">
        <v>325.39999999999998</v>
      </c>
      <c r="K35" s="150">
        <v>325.39999999999998</v>
      </c>
      <c r="L35" s="150">
        <v>325.39999999999998</v>
      </c>
      <c r="M35" s="150">
        <v>325.39999999999998</v>
      </c>
      <c r="N35" s="150">
        <v>325.39999999999998</v>
      </c>
      <c r="O35" s="150">
        <v>325.39999999999998</v>
      </c>
      <c r="P35" s="150">
        <v>325.39999999999998</v>
      </c>
      <c r="Q35" s="150">
        <v>325.39999999999998</v>
      </c>
      <c r="R35" s="150">
        <v>325.39999999999998</v>
      </c>
      <c r="S35" s="150">
        <v>325.39999999999998</v>
      </c>
      <c r="T35" s="150">
        <v>325.39999999999998</v>
      </c>
      <c r="U35" s="150">
        <v>325.39999999999998</v>
      </c>
      <c r="V35" s="25"/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8">
        <f t="shared" si="32"/>
        <v>8</v>
      </c>
      <c r="B36" s="173"/>
      <c r="C36" s="87" t="str">
        <f t="shared" ref="C36:D36" si="35">IF($B34&lt;&gt;"",C32,"")</f>
        <v>Cost to Market - fixed</v>
      </c>
      <c r="D36" s="87" t="str">
        <f t="shared" si="35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8">
        <f t="shared" si="32"/>
        <v>8</v>
      </c>
      <c r="B37" s="174"/>
      <c r="C37" s="87" t="str">
        <f t="shared" ref="C37:D37" si="36">IF($B34&lt;&gt;"",C33,"")</f>
        <v>Cost to Market - variable</v>
      </c>
      <c r="D37" s="87" t="str">
        <f t="shared" si="36"/>
        <v>EUR/MWh</v>
      </c>
      <c r="E37" s="154">
        <v>0.11409072104646489</v>
      </c>
      <c r="F37" s="154">
        <v>0.33680277088821342</v>
      </c>
      <c r="G37" s="154">
        <v>0.9094522469528743</v>
      </c>
      <c r="H37" s="154">
        <v>0.30735927418416864</v>
      </c>
      <c r="I37" s="154">
        <v>0.34114017860215751</v>
      </c>
      <c r="J37" s="154">
        <v>0.79752864628527287</v>
      </c>
      <c r="K37" s="154">
        <v>0.37155029283900987</v>
      </c>
      <c r="L37" s="154">
        <v>0.87561763916607205</v>
      </c>
      <c r="M37" s="154">
        <v>0.7910353841314256</v>
      </c>
      <c r="N37" s="154">
        <v>0.12315916942754579</v>
      </c>
      <c r="O37" s="154">
        <v>0.80400193998008218</v>
      </c>
      <c r="P37" s="154">
        <v>0.78085004644071032</v>
      </c>
      <c r="Q37" s="154">
        <v>0.85218403784752395</v>
      </c>
      <c r="R37" s="154">
        <v>0.72317021637608092</v>
      </c>
      <c r="S37" s="154">
        <v>0.69890868347836343</v>
      </c>
      <c r="T37" s="154">
        <v>0.25262045765039887</v>
      </c>
      <c r="U37" s="154">
        <v>0.6187229858316734</v>
      </c>
      <c r="V37" s="25"/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8">
        <f t="shared" ref="A38" si="37">$A34+1</f>
        <v>9</v>
      </c>
      <c r="B38" s="172" t="str">
        <f>IFERROR(INDEX(TBL_PIPED_IMPORTERS_CONNECTIONS[Name],$A38),"")</f>
        <v>NE_NO_Pipe</v>
      </c>
      <c r="C38" s="87" t="str">
        <f t="shared" ref="C38:D38" si="38">IF($B38&lt;&gt;"",C34,"")</f>
        <v>Capacity - Min</v>
      </c>
      <c r="D38" s="87" t="str">
        <f t="shared" si="38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8">
        <f t="shared" ref="A39:A57" si="39">$A38</f>
        <v>9</v>
      </c>
      <c r="B39" s="173"/>
      <c r="C39" s="87" t="str">
        <f t="shared" ref="C39" si="40">IF($B38&lt;&gt;"",C35,"")</f>
        <v>Capacity - Max</v>
      </c>
      <c r="D39" s="87" t="str">
        <f t="shared" ref="D39" si="41">IF($B38&lt;&gt;"",D35,"")</f>
        <v>GWh/day</v>
      </c>
      <c r="E39" s="150">
        <v>963.66</v>
      </c>
      <c r="F39" s="150">
        <f>E39</f>
        <v>963.66</v>
      </c>
      <c r="G39" s="150">
        <v>963.66</v>
      </c>
      <c r="H39" s="150">
        <v>963.66</v>
      </c>
      <c r="I39" s="150">
        <v>963.66</v>
      </c>
      <c r="J39" s="150">
        <v>963.66</v>
      </c>
      <c r="K39" s="150">
        <v>963.66</v>
      </c>
      <c r="L39" s="150">
        <v>963.66</v>
      </c>
      <c r="M39" s="150">
        <v>963.66</v>
      </c>
      <c r="N39" s="150">
        <v>963.66</v>
      </c>
      <c r="O39" s="150">
        <v>963.66</v>
      </c>
      <c r="P39" s="150">
        <v>963.66</v>
      </c>
      <c r="Q39" s="150">
        <v>963.66</v>
      </c>
      <c r="R39" s="150">
        <v>963.66</v>
      </c>
      <c r="S39" s="150">
        <v>963.66</v>
      </c>
      <c r="T39" s="150">
        <v>963.66</v>
      </c>
      <c r="U39" s="150">
        <v>963.66</v>
      </c>
      <c r="V39" s="25"/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8">
        <f t="shared" si="39"/>
        <v>9</v>
      </c>
      <c r="B40" s="173"/>
      <c r="C40" s="87" t="str">
        <f t="shared" ref="C40:D40" si="42">IF($B38&lt;&gt;"",C36,"")</f>
        <v>Cost to Market - fixed</v>
      </c>
      <c r="D40" s="87" t="str">
        <f t="shared" si="42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8">
        <f t="shared" si="39"/>
        <v>9</v>
      </c>
      <c r="B41" s="174"/>
      <c r="C41" s="87" t="str">
        <f t="shared" ref="C41:D41" si="43">IF($B38&lt;&gt;"",C37,"")</f>
        <v>Cost to Market - variable</v>
      </c>
      <c r="D41" s="87" t="str">
        <f t="shared" si="43"/>
        <v>EUR/MWh</v>
      </c>
      <c r="E41" s="154">
        <v>0.88155520362964723</v>
      </c>
      <c r="F41" s="154">
        <v>0.39528959000282771</v>
      </c>
      <c r="G41" s="154">
        <v>0.18268527023028602</v>
      </c>
      <c r="H41" s="154">
        <v>0.31437144073042655</v>
      </c>
      <c r="I41" s="154">
        <v>0.85246023919000469</v>
      </c>
      <c r="J41" s="154">
        <v>0.76347960035645268</v>
      </c>
      <c r="K41" s="154">
        <v>0.76495915196453612</v>
      </c>
      <c r="L41" s="154">
        <v>0.37265857118679735</v>
      </c>
      <c r="M41" s="154">
        <v>0.6313411498785475</v>
      </c>
      <c r="N41" s="154">
        <v>0.23449511749638574</v>
      </c>
      <c r="O41" s="154">
        <v>0.15934345681229023</v>
      </c>
      <c r="P41" s="154">
        <v>0.82794525458164547</v>
      </c>
      <c r="Q41" s="154">
        <v>0.13417668278951989</v>
      </c>
      <c r="R41" s="154">
        <v>0.44170470306776521</v>
      </c>
      <c r="S41" s="154">
        <v>0.52114879027901784</v>
      </c>
      <c r="T41" s="154">
        <v>0.24207444621352003</v>
      </c>
      <c r="U41" s="154">
        <v>0.63552241800272657</v>
      </c>
      <c r="V41" s="25"/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8">
        <f t="shared" ref="A42" si="44">$A38+1</f>
        <v>10</v>
      </c>
      <c r="B42" s="172" t="str">
        <f>IFERROR(INDEX(TBL_PIPED_IMPORTERS_CONNECTIONS[Name],$A42),"")</f>
        <v>PO_RU_Pipe</v>
      </c>
      <c r="C42" s="87" t="str">
        <f t="shared" ref="C42:D42" si="45">IF($B42&lt;&gt;"",C38,"")</f>
        <v>Capacity - Min</v>
      </c>
      <c r="D42" s="87" t="str">
        <f t="shared" si="45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8">
        <f t="shared" si="39"/>
        <v>10</v>
      </c>
      <c r="B43" s="173"/>
      <c r="C43" s="87" t="str">
        <f t="shared" ref="C43" si="46">IF($B42&lt;&gt;"",C39,"")</f>
        <v>Capacity - Max</v>
      </c>
      <c r="D43" s="87" t="str">
        <f t="shared" ref="D43" si="47">IF($B42&lt;&gt;"",D39,"")</f>
        <v>GWh/day</v>
      </c>
      <c r="E43" s="150">
        <v>176.4</v>
      </c>
      <c r="F43" s="150">
        <f>E43</f>
        <v>176.4</v>
      </c>
      <c r="G43" s="150">
        <v>176.4</v>
      </c>
      <c r="H43" s="150">
        <v>176.4</v>
      </c>
      <c r="I43" s="150">
        <v>176.4</v>
      </c>
      <c r="J43" s="150">
        <v>176.4</v>
      </c>
      <c r="K43" s="150">
        <v>176.4</v>
      </c>
      <c r="L43" s="150">
        <v>176.4</v>
      </c>
      <c r="M43" s="150">
        <v>176.4</v>
      </c>
      <c r="N43" s="150">
        <v>176.4</v>
      </c>
      <c r="O43" s="150">
        <v>176.4</v>
      </c>
      <c r="P43" s="150">
        <v>176.4</v>
      </c>
      <c r="Q43" s="150">
        <v>176.4</v>
      </c>
      <c r="R43" s="150">
        <v>176.4</v>
      </c>
      <c r="S43" s="150">
        <v>176.4</v>
      </c>
      <c r="T43" s="150">
        <v>176.4</v>
      </c>
      <c r="U43" s="150">
        <v>176.4</v>
      </c>
      <c r="V43" s="25"/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8">
        <f t="shared" si="39"/>
        <v>10</v>
      </c>
      <c r="B44" s="173"/>
      <c r="C44" s="87" t="str">
        <f t="shared" ref="C44:D44" si="48">IF($B42&lt;&gt;"",C40,"")</f>
        <v>Cost to Market - fixed</v>
      </c>
      <c r="D44" s="87" t="str">
        <f t="shared" si="48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8">
        <f t="shared" si="39"/>
        <v>10</v>
      </c>
      <c r="B45" s="174"/>
      <c r="C45" s="87" t="str">
        <f t="shared" ref="C45:D45" si="49">IF($B42&lt;&gt;"",C41,"")</f>
        <v>Cost to Market - variable</v>
      </c>
      <c r="D45" s="87" t="str">
        <f t="shared" si="49"/>
        <v>EUR/MWh</v>
      </c>
      <c r="E45" s="154">
        <v>0.62546828590601777</v>
      </c>
      <c r="F45" s="154">
        <v>0.92430468591835002</v>
      </c>
      <c r="G45" s="154">
        <v>0.67847123443596569</v>
      </c>
      <c r="H45" s="154">
        <v>2.1196342294952264E-2</v>
      </c>
      <c r="I45" s="154">
        <v>0.14845438054860205</v>
      </c>
      <c r="J45" s="154">
        <v>0.60033942538394924</v>
      </c>
      <c r="K45" s="154">
        <v>9.2122210457711184E-2</v>
      </c>
      <c r="L45" s="154">
        <v>0.37718215733356442</v>
      </c>
      <c r="M45" s="154">
        <v>5.9672408455944792E-2</v>
      </c>
      <c r="N45" s="154">
        <v>0.37699689270346259</v>
      </c>
      <c r="O45" s="154">
        <v>0.25177584884803306</v>
      </c>
      <c r="P45" s="154">
        <v>0.43022578254034072</v>
      </c>
      <c r="Q45" s="154">
        <v>0.18477443597631882</v>
      </c>
      <c r="R45" s="154">
        <v>0.40748211502312481</v>
      </c>
      <c r="S45" s="154">
        <v>0.60047514909099364</v>
      </c>
      <c r="T45" s="154">
        <v>0.72165643069179486</v>
      </c>
      <c r="U45" s="154">
        <v>0.31849399241222354</v>
      </c>
      <c r="V45" s="25"/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8">
        <f t="shared" ref="A46" si="50">$A42+1</f>
        <v>11</v>
      </c>
      <c r="B46" s="172" t="str">
        <f>IFERROR(INDEX(TBL_PIPED_IMPORTERS_CONNECTIONS[Name],$A46),"")</f>
        <v>PO_RU_YAMAL_Pipe</v>
      </c>
      <c r="C46" s="87" t="str">
        <f t="shared" ref="C46:D46" si="51">IF($B46&lt;&gt;"",C42,"")</f>
        <v>Capacity - Min</v>
      </c>
      <c r="D46" s="87" t="str">
        <f t="shared" si="51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8">
        <f t="shared" si="39"/>
        <v>11</v>
      </c>
      <c r="B47" s="173"/>
      <c r="C47" s="87" t="str">
        <f t="shared" ref="C47" si="52">IF($B46&lt;&gt;"",C43,"")</f>
        <v>Capacity - Max</v>
      </c>
      <c r="D47" s="87" t="str">
        <f t="shared" ref="D47" si="53">IF($B46&lt;&gt;"",D43,"")</f>
        <v>GWh/day</v>
      </c>
      <c r="E47" s="150">
        <v>275.5</v>
      </c>
      <c r="F47" s="150">
        <f>E47</f>
        <v>275.5</v>
      </c>
      <c r="G47" s="150">
        <v>275.5</v>
      </c>
      <c r="H47" s="150">
        <v>275.5</v>
      </c>
      <c r="I47" s="150">
        <v>275.5</v>
      </c>
      <c r="J47" s="150">
        <v>275.5</v>
      </c>
      <c r="K47" s="150">
        <v>275.5</v>
      </c>
      <c r="L47" s="150">
        <v>275.5</v>
      </c>
      <c r="M47" s="150">
        <v>275.5</v>
      </c>
      <c r="N47" s="150">
        <v>275.5</v>
      </c>
      <c r="O47" s="150">
        <v>275.5</v>
      </c>
      <c r="P47" s="150">
        <v>275.5</v>
      </c>
      <c r="Q47" s="150">
        <v>275.5</v>
      </c>
      <c r="R47" s="150">
        <v>275.5</v>
      </c>
      <c r="S47" s="150">
        <v>275.5</v>
      </c>
      <c r="T47" s="150">
        <v>275.5</v>
      </c>
      <c r="U47" s="150">
        <v>275.5</v>
      </c>
      <c r="V47" s="25"/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8">
        <f t="shared" si="39"/>
        <v>11</v>
      </c>
      <c r="B48" s="173"/>
      <c r="C48" s="87" t="str">
        <f t="shared" ref="C48:D48" si="54">IF($B46&lt;&gt;"",C44,"")</f>
        <v>Cost to Market - fixed</v>
      </c>
      <c r="D48" s="87" t="str">
        <f t="shared" si="54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8">
        <f t="shared" si="39"/>
        <v>11</v>
      </c>
      <c r="B49" s="174"/>
      <c r="C49" s="87" t="str">
        <f t="shared" ref="C49:D49" si="55">IF($B46&lt;&gt;"",C45,"")</f>
        <v>Cost to Market - variable</v>
      </c>
      <c r="D49" s="87" t="str">
        <f t="shared" si="55"/>
        <v>EUR/MWh</v>
      </c>
      <c r="E49" s="154">
        <v>0.30564393307370352</v>
      </c>
      <c r="F49" s="154">
        <v>0.39003646495316791</v>
      </c>
      <c r="G49" s="154">
        <v>0.86694099025521776</v>
      </c>
      <c r="H49" s="154">
        <v>0.93232781484628369</v>
      </c>
      <c r="I49" s="154">
        <v>0.85747199851045419</v>
      </c>
      <c r="J49" s="154">
        <v>0.72180288130514569</v>
      </c>
      <c r="K49" s="154">
        <v>1.3246007168878249E-2</v>
      </c>
      <c r="L49" s="154">
        <v>0.74391950094474857</v>
      </c>
      <c r="M49" s="154">
        <v>0.3775892547224079</v>
      </c>
      <c r="N49" s="154">
        <v>0.22474721082992022</v>
      </c>
      <c r="O49" s="154">
        <v>0.58030661869291078</v>
      </c>
      <c r="P49" s="154">
        <v>0.8796157416577578</v>
      </c>
      <c r="Q49" s="154">
        <v>0.69143531558838833</v>
      </c>
      <c r="R49" s="154">
        <v>9.9220363900245134E-2</v>
      </c>
      <c r="S49" s="154">
        <v>0.39610075219411356</v>
      </c>
      <c r="T49" s="154">
        <v>0.92007966279365372</v>
      </c>
      <c r="U49" s="154">
        <v>0.48959013227839387</v>
      </c>
      <c r="V49" s="25"/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8">
        <f t="shared" ref="A50" si="56">$A46+1</f>
        <v>12</v>
      </c>
      <c r="B50" s="172" t="str">
        <f>IFERROR(INDEX(TBL_PIPED_IMPORTERS_CONNECTIONS[Name],$A50),"")</f>
        <v>ES_Algeria_Almeria_Pipe</v>
      </c>
      <c r="C50" s="87" t="str">
        <f t="shared" ref="C50:D50" si="57">IF($B50&lt;&gt;"",C46,"")</f>
        <v>Capacity - Min</v>
      </c>
      <c r="D50" s="87" t="str">
        <f t="shared" si="57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8">
        <f t="shared" si="39"/>
        <v>12</v>
      </c>
      <c r="B51" s="173"/>
      <c r="C51" s="87" t="str">
        <f t="shared" ref="C51" si="58">IF($B50&lt;&gt;"",C47,"")</f>
        <v>Capacity - Max</v>
      </c>
      <c r="D51" s="87" t="str">
        <f t="shared" ref="D51" si="59">IF($B50&lt;&gt;"",D47,"")</f>
        <v>GWh/day</v>
      </c>
      <c r="E51" s="150">
        <v>289</v>
      </c>
      <c r="F51" s="150">
        <f>E51</f>
        <v>289</v>
      </c>
      <c r="G51" s="150">
        <v>289</v>
      </c>
      <c r="H51" s="150">
        <v>289</v>
      </c>
      <c r="I51" s="150">
        <v>289</v>
      </c>
      <c r="J51" s="150">
        <v>289</v>
      </c>
      <c r="K51" s="150">
        <v>289</v>
      </c>
      <c r="L51" s="150">
        <v>289</v>
      </c>
      <c r="M51" s="150">
        <v>289</v>
      </c>
      <c r="N51" s="150">
        <v>289</v>
      </c>
      <c r="O51" s="150">
        <v>289</v>
      </c>
      <c r="P51" s="150">
        <v>289</v>
      </c>
      <c r="Q51" s="150">
        <v>289</v>
      </c>
      <c r="R51" s="150">
        <v>289</v>
      </c>
      <c r="S51" s="150">
        <v>289</v>
      </c>
      <c r="T51" s="150">
        <v>289</v>
      </c>
      <c r="U51" s="150">
        <v>289</v>
      </c>
      <c r="V51" s="25"/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8">
        <f t="shared" si="39"/>
        <v>12</v>
      </c>
      <c r="B52" s="173"/>
      <c r="C52" s="87" t="str">
        <f t="shared" ref="C52:D52" si="60">IF($B50&lt;&gt;"",C48,"")</f>
        <v>Cost to Market - fixed</v>
      </c>
      <c r="D52" s="87" t="str">
        <f t="shared" si="60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8">
        <f t="shared" si="39"/>
        <v>12</v>
      </c>
      <c r="B53" s="174"/>
      <c r="C53" s="87" t="str">
        <f t="shared" ref="C53:D53" si="61">IF($B50&lt;&gt;"",C49,"")</f>
        <v>Cost to Market - variable</v>
      </c>
      <c r="D53" s="87" t="str">
        <f t="shared" si="61"/>
        <v>EUR/MWh</v>
      </c>
      <c r="E53" s="154">
        <v>0.73675869452353304</v>
      </c>
      <c r="F53" s="154">
        <v>0.96709510860992354</v>
      </c>
      <c r="G53" s="154">
        <v>0.32001711085285589</v>
      </c>
      <c r="H53" s="154">
        <v>0.66823919744812954</v>
      </c>
      <c r="I53" s="154">
        <v>0.66037943298647916</v>
      </c>
      <c r="J53" s="154">
        <v>0.17060413817687081</v>
      </c>
      <c r="K53" s="154">
        <v>0.8445545083866518</v>
      </c>
      <c r="L53" s="154">
        <v>0.62890849482389644</v>
      </c>
      <c r="M53" s="154">
        <v>0.60342446952145523</v>
      </c>
      <c r="N53" s="154">
        <v>0.43084757986679412</v>
      </c>
      <c r="O53" s="154">
        <v>0.61778936465335876</v>
      </c>
      <c r="P53" s="154">
        <v>0.14194962212636153</v>
      </c>
      <c r="Q53" s="154">
        <v>0.3347833370310731</v>
      </c>
      <c r="R53" s="154">
        <v>0.89084552893171165</v>
      </c>
      <c r="S53" s="154">
        <v>0.99398608105074293</v>
      </c>
      <c r="T53" s="154">
        <v>0.13466895793343991</v>
      </c>
      <c r="U53" s="154">
        <v>0.53250860367766095</v>
      </c>
      <c r="V53" s="25"/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8">
        <f t="shared" ref="A54" si="62">$A50+1</f>
        <v>13</v>
      </c>
      <c r="B54" s="172" t="str">
        <f>IFERROR(INDEX(TBL_PIPED_IMPORTERS_CONNECTIONS[Name],$A54),"")</f>
        <v>ES_Algeria_Tarifa_Pipe</v>
      </c>
      <c r="C54" s="87" t="str">
        <f t="shared" ref="C54:D54" si="63">IF($B54&lt;&gt;"",C50,"")</f>
        <v>Capacity - Min</v>
      </c>
      <c r="D54" s="87" t="str">
        <f t="shared" si="63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8">
        <f t="shared" si="39"/>
        <v>13</v>
      </c>
      <c r="B55" s="173"/>
      <c r="C55" s="87" t="str">
        <f t="shared" ref="C55" si="64">IF($B54&lt;&gt;"",C51,"")</f>
        <v>Capacity - Max</v>
      </c>
      <c r="D55" s="87" t="str">
        <f t="shared" ref="D55" si="65">IF($B54&lt;&gt;"",D51,"")</f>
        <v>GWh/day</v>
      </c>
      <c r="E55" s="150">
        <v>442.7</v>
      </c>
      <c r="F55" s="150">
        <f>E55</f>
        <v>442.7</v>
      </c>
      <c r="G55" s="150">
        <v>442.7</v>
      </c>
      <c r="H55" s="150">
        <v>442.7</v>
      </c>
      <c r="I55" s="150">
        <v>442.7</v>
      </c>
      <c r="J55" s="150">
        <v>442.7</v>
      </c>
      <c r="K55" s="150">
        <v>442.7</v>
      </c>
      <c r="L55" s="150">
        <v>442.7</v>
      </c>
      <c r="M55" s="150">
        <v>442.7</v>
      </c>
      <c r="N55" s="150">
        <v>442.7</v>
      </c>
      <c r="O55" s="150">
        <v>442.7</v>
      </c>
      <c r="P55" s="150">
        <v>442.7</v>
      </c>
      <c r="Q55" s="150">
        <v>442.7</v>
      </c>
      <c r="R55" s="150">
        <v>442.7</v>
      </c>
      <c r="S55" s="150">
        <v>442.7</v>
      </c>
      <c r="T55" s="150">
        <v>442.7</v>
      </c>
      <c r="U55" s="150">
        <v>442.7</v>
      </c>
      <c r="V55" s="25"/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8">
        <f t="shared" si="39"/>
        <v>13</v>
      </c>
      <c r="B56" s="173"/>
      <c r="C56" s="87" t="str">
        <f t="shared" ref="C56:D56" si="66">IF($B54&lt;&gt;"",C52,"")</f>
        <v>Cost to Market - fixed</v>
      </c>
      <c r="D56" s="87" t="str">
        <f t="shared" si="66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8">
        <f t="shared" si="39"/>
        <v>13</v>
      </c>
      <c r="B57" s="174"/>
      <c r="C57" s="87" t="str">
        <f t="shared" ref="C57:D57" si="67">IF($B54&lt;&gt;"",C53,"")</f>
        <v>Cost to Market - variable</v>
      </c>
      <c r="D57" s="87" t="str">
        <f t="shared" si="67"/>
        <v>EUR/MWh</v>
      </c>
      <c r="E57" s="154">
        <v>0.86880881754562156</v>
      </c>
      <c r="F57" s="154">
        <v>0.72307640681579299</v>
      </c>
      <c r="G57" s="154">
        <v>0.43954547196928384</v>
      </c>
      <c r="H57" s="154">
        <v>0.71608651893041131</v>
      </c>
      <c r="I57" s="154">
        <v>0.14524481153209579</v>
      </c>
      <c r="J57" s="154">
        <v>0.29670347510382467</v>
      </c>
      <c r="K57" s="154">
        <v>0.24769103902452605</v>
      </c>
      <c r="L57" s="154">
        <v>0.39980402545902904</v>
      </c>
      <c r="M57" s="154">
        <v>0.54717234530988967</v>
      </c>
      <c r="N57" s="154">
        <v>0.92986826685603463</v>
      </c>
      <c r="O57" s="154">
        <v>0.99168229170191824</v>
      </c>
      <c r="P57" s="154">
        <v>0.9634449930530784</v>
      </c>
      <c r="Q57" s="154">
        <v>0.13936576589603888</v>
      </c>
      <c r="R57" s="154">
        <v>0.54037858411373929</v>
      </c>
      <c r="S57" s="154">
        <v>0.60474874045469384</v>
      </c>
      <c r="T57" s="154">
        <v>0.99844262682749474</v>
      </c>
      <c r="U57" s="154">
        <v>0.69870077162945721</v>
      </c>
      <c r="V57" s="25"/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8">
        <f t="shared" ref="A58" si="68">$A54+1</f>
        <v>14</v>
      </c>
      <c r="B58" s="172" t="str">
        <f>IFERROR(INDEX(TBL_PIPED_IMPORTERS_CONNECTIONS[Name],$A58),"")</f>
        <v>UK_NO_Pipe</v>
      </c>
      <c r="C58" s="87" t="str">
        <f t="shared" ref="C58:D58" si="69">IF($B58&lt;&gt;"",C54,"")</f>
        <v>Capacity - Min</v>
      </c>
      <c r="D58" s="87" t="str">
        <f t="shared" si="69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8">
        <f t="shared" ref="A59:A61" si="70">$A58</f>
        <v>14</v>
      </c>
      <c r="B59" s="173"/>
      <c r="C59" s="87" t="str">
        <f t="shared" ref="C59:D59" si="71">IF($B58&lt;&gt;"",C55,"")</f>
        <v>Capacity - Max</v>
      </c>
      <c r="D59" s="87" t="str">
        <f t="shared" si="71"/>
        <v>GWh/day</v>
      </c>
      <c r="E59" s="150">
        <v>1499.1</v>
      </c>
      <c r="F59" s="150">
        <f>E59</f>
        <v>1499.1</v>
      </c>
      <c r="G59" s="150">
        <v>1499.1</v>
      </c>
      <c r="H59" s="150">
        <v>1499.1</v>
      </c>
      <c r="I59" s="150">
        <v>1499.1</v>
      </c>
      <c r="J59" s="150">
        <v>1499.1</v>
      </c>
      <c r="K59" s="150">
        <v>1499.1</v>
      </c>
      <c r="L59" s="150">
        <v>1499.1</v>
      </c>
      <c r="M59" s="150">
        <v>1499.1</v>
      </c>
      <c r="N59" s="150">
        <v>1499.1</v>
      </c>
      <c r="O59" s="150">
        <v>1499.1</v>
      </c>
      <c r="P59" s="150">
        <v>1499.1</v>
      </c>
      <c r="Q59" s="150">
        <v>1499.1</v>
      </c>
      <c r="R59" s="150">
        <v>1499.1</v>
      </c>
      <c r="S59" s="150">
        <v>1499.1</v>
      </c>
      <c r="T59" s="150">
        <v>1499.1</v>
      </c>
      <c r="U59" s="150">
        <v>1499.1</v>
      </c>
      <c r="V59" s="25"/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8">
        <f t="shared" si="70"/>
        <v>14</v>
      </c>
      <c r="B60" s="173"/>
      <c r="C60" s="87" t="str">
        <f t="shared" ref="C60:D60" si="72">IF($B58&lt;&gt;"",C56,"")</f>
        <v>Cost to Market - fixed</v>
      </c>
      <c r="D60" s="87" t="str">
        <f t="shared" si="72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8">
        <f t="shared" si="70"/>
        <v>14</v>
      </c>
      <c r="B61" s="174"/>
      <c r="C61" s="87" t="str">
        <f t="shared" ref="C61:D61" si="73">IF($B58&lt;&gt;"",C57,"")</f>
        <v>Cost to Market - variable</v>
      </c>
      <c r="D61" s="87" t="str">
        <f t="shared" si="73"/>
        <v>EUR/MWh</v>
      </c>
      <c r="E61" s="154">
        <v>0.89444073724644746</v>
      </c>
      <c r="F61" s="154">
        <v>0.91349438646721715</v>
      </c>
      <c r="G61" s="154">
        <v>0.55023023590242115</v>
      </c>
      <c r="H61" s="154">
        <v>0.44651594054531651</v>
      </c>
      <c r="I61" s="154">
        <v>0.89760052751173691</v>
      </c>
      <c r="J61" s="154">
        <v>0.36145852505747778</v>
      </c>
      <c r="K61" s="154">
        <v>0.84606741411788222</v>
      </c>
      <c r="L61" s="154">
        <v>0.25152402329537094</v>
      </c>
      <c r="M61" s="154">
        <v>0.25716198517530986</v>
      </c>
      <c r="N61" s="154">
        <v>0.17892370193874341</v>
      </c>
      <c r="O61" s="154">
        <v>0.82853383104802814</v>
      </c>
      <c r="P61" s="154">
        <v>0.91010349647524902</v>
      </c>
      <c r="Q61" s="154">
        <v>0.15920168449463157</v>
      </c>
      <c r="R61" s="154">
        <v>0.97904284537162078</v>
      </c>
      <c r="S61" s="154">
        <v>0.58309941482421956</v>
      </c>
      <c r="T61" s="154">
        <v>0.51532051364292908</v>
      </c>
      <c r="U61" s="154">
        <v>0.4365053838326618</v>
      </c>
      <c r="V61" s="25"/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8">
        <f t="shared" ref="A62" si="74">$A58+1</f>
        <v>15</v>
      </c>
      <c r="B62" s="172" t="str">
        <f>IFERROR(INDEX(TBL_PIPED_IMPORTERS_CONNECTIONS[Name],$A62),"")</f>
        <v>IT_Lybia_Pipe</v>
      </c>
      <c r="C62" s="87" t="str">
        <f t="shared" ref="C62:D62" si="75">IF($B62&lt;&gt;"",C58,"")</f>
        <v>Capacity - Min</v>
      </c>
      <c r="D62" s="87" t="str">
        <f t="shared" si="75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8">
        <f t="shared" ref="A63:A65" si="76">$A62</f>
        <v>15</v>
      </c>
      <c r="B63" s="173"/>
      <c r="C63" s="87" t="str">
        <f t="shared" ref="C63:D63" si="77">IF($B62&lt;&gt;"",C59,"")</f>
        <v>Capacity - Max</v>
      </c>
      <c r="D63" s="87" t="str">
        <f t="shared" si="77"/>
        <v>GWh/day</v>
      </c>
      <c r="E63" s="150">
        <v>439.8</v>
      </c>
      <c r="F63" s="150">
        <f>E63</f>
        <v>439.8</v>
      </c>
      <c r="G63" s="150">
        <v>439.8</v>
      </c>
      <c r="H63" s="150">
        <v>439.8</v>
      </c>
      <c r="I63" s="150">
        <v>439.8</v>
      </c>
      <c r="J63" s="150">
        <v>439.8</v>
      </c>
      <c r="K63" s="150">
        <v>439.8</v>
      </c>
      <c r="L63" s="150">
        <v>439.8</v>
      </c>
      <c r="M63" s="150">
        <v>439.8</v>
      </c>
      <c r="N63" s="150">
        <v>439.8</v>
      </c>
      <c r="O63" s="150">
        <v>439.8</v>
      </c>
      <c r="P63" s="150">
        <v>439.8</v>
      </c>
      <c r="Q63" s="150">
        <v>439.8</v>
      </c>
      <c r="R63" s="150">
        <v>439.8</v>
      </c>
      <c r="S63" s="150">
        <v>439.8</v>
      </c>
      <c r="T63" s="150">
        <v>439.8</v>
      </c>
      <c r="U63" s="150">
        <v>439.8</v>
      </c>
      <c r="V63" s="25"/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8">
        <f t="shared" si="76"/>
        <v>15</v>
      </c>
      <c r="B64" s="173"/>
      <c r="C64" s="87" t="str">
        <f t="shared" ref="C64:D64" si="78">IF($B62&lt;&gt;"",C60,"")</f>
        <v>Cost to Market - fixed</v>
      </c>
      <c r="D64" s="87" t="str">
        <f t="shared" si="78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8">
        <f t="shared" si="76"/>
        <v>15</v>
      </c>
      <c r="B65" s="174"/>
      <c r="C65" s="87" t="str">
        <f t="shared" ref="C65:D65" si="79">IF($B62&lt;&gt;"",C61,"")</f>
        <v>Cost to Market - variable</v>
      </c>
      <c r="D65" s="87" t="str">
        <f t="shared" si="79"/>
        <v>EUR/MWh</v>
      </c>
      <c r="E65" s="154">
        <v>0.41364899958663381</v>
      </c>
      <c r="F65" s="154">
        <v>0.47233613686182585</v>
      </c>
      <c r="G65" s="154">
        <v>0.8905655615009006</v>
      </c>
      <c r="H65" s="154">
        <v>0.49470787428353513</v>
      </c>
      <c r="I65" s="154">
        <v>0.27939319554314868</v>
      </c>
      <c r="J65" s="154">
        <v>0.56057713837744427</v>
      </c>
      <c r="K65" s="154">
        <v>0.25798350762588551</v>
      </c>
      <c r="L65" s="154">
        <v>0.76322831997350238</v>
      </c>
      <c r="M65" s="154">
        <v>0.99168084377426191</v>
      </c>
      <c r="N65" s="154">
        <v>0.65083318759900566</v>
      </c>
      <c r="O65" s="154">
        <v>0.12334854472511703</v>
      </c>
      <c r="P65" s="154">
        <v>0.71369112289947989</v>
      </c>
      <c r="Q65" s="154">
        <v>0.65924583639161238</v>
      </c>
      <c r="R65" s="154">
        <v>0.32760751000135357</v>
      </c>
      <c r="S65" s="154">
        <v>0.50500156719417755</v>
      </c>
      <c r="T65" s="154">
        <v>0.59509361825404916</v>
      </c>
      <c r="U65" s="154">
        <v>0.60364264171430937</v>
      </c>
      <c r="V65" s="25"/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8">
        <f t="shared" ref="A66" si="80">$A62+1</f>
        <v>16</v>
      </c>
      <c r="B66" s="172" t="str">
        <f>IFERROR(INDEX(TBL_PIPED_IMPORTERS_CONNECTIONS[Name],$A66),"")</f>
        <v>IT_Algeria_Pipe</v>
      </c>
      <c r="C66" s="87" t="str">
        <f t="shared" ref="C66:D66" si="81">IF($B66&lt;&gt;"",C62,"")</f>
        <v>Capacity - Min</v>
      </c>
      <c r="D66" s="87" t="str">
        <f t="shared" si="81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8">
        <f t="shared" ref="A67:A85" si="82">$A66</f>
        <v>16</v>
      </c>
      <c r="B67" s="173"/>
      <c r="C67" s="87" t="str">
        <f t="shared" ref="C67:D67" si="83">IF($B66&lt;&gt;"",C63,"")</f>
        <v>Capacity - Max</v>
      </c>
      <c r="D67" s="87" t="str">
        <f t="shared" si="83"/>
        <v>GWh/day</v>
      </c>
      <c r="E67" s="150">
        <v>1150.3</v>
      </c>
      <c r="F67" s="150">
        <f>E67</f>
        <v>1150.3</v>
      </c>
      <c r="G67" s="150">
        <v>1150.3</v>
      </c>
      <c r="H67" s="150">
        <v>1150.3</v>
      </c>
      <c r="I67" s="150">
        <v>1150.3</v>
      </c>
      <c r="J67" s="150">
        <v>1150.3</v>
      </c>
      <c r="K67" s="150">
        <v>1150.3</v>
      </c>
      <c r="L67" s="150">
        <v>1150.3</v>
      </c>
      <c r="M67" s="150">
        <v>1150.3</v>
      </c>
      <c r="N67" s="150">
        <v>1150.3</v>
      </c>
      <c r="O67" s="150">
        <v>1150.3</v>
      </c>
      <c r="P67" s="150">
        <v>1150.3</v>
      </c>
      <c r="Q67" s="150">
        <v>1150.3</v>
      </c>
      <c r="R67" s="150">
        <v>1150.3</v>
      </c>
      <c r="S67" s="150">
        <v>1150.3</v>
      </c>
      <c r="T67" s="150">
        <v>1150.3</v>
      </c>
      <c r="U67" s="150">
        <v>1150.3</v>
      </c>
      <c r="V67" s="25"/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8">
        <f t="shared" si="82"/>
        <v>16</v>
      </c>
      <c r="B68" s="173"/>
      <c r="C68" s="87" t="str">
        <f t="shared" ref="C68:D68" si="84">IF($B66&lt;&gt;"",C64,"")</f>
        <v>Cost to Market - fixed</v>
      </c>
      <c r="D68" s="87" t="str">
        <f t="shared" si="84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8">
        <f t="shared" si="82"/>
        <v>16</v>
      </c>
      <c r="B69" s="174"/>
      <c r="C69" s="87" t="str">
        <f t="shared" ref="C69:D69" si="85">IF($B66&lt;&gt;"",C65,"")</f>
        <v>Cost to Market - variable</v>
      </c>
      <c r="D69" s="87" t="str">
        <f t="shared" si="85"/>
        <v>EUR/MWh</v>
      </c>
      <c r="E69" s="154">
        <v>0.71986376937701713</v>
      </c>
      <c r="F69" s="154">
        <v>0.45054025249533947</v>
      </c>
      <c r="G69" s="154">
        <v>0.28530233275533701</v>
      </c>
      <c r="H69" s="154">
        <v>0.82901482829153683</v>
      </c>
      <c r="I69" s="154">
        <v>0.8096770264378621</v>
      </c>
      <c r="J69" s="154">
        <v>0.82662111743935096</v>
      </c>
      <c r="K69" s="154">
        <v>0.35761917898899076</v>
      </c>
      <c r="L69" s="154">
        <v>0.98152181631834146</v>
      </c>
      <c r="M69" s="154">
        <v>0.4834296558000567</v>
      </c>
      <c r="N69" s="154">
        <v>8.5412279712929751E-3</v>
      </c>
      <c r="O69" s="154">
        <v>0.64507644507866413</v>
      </c>
      <c r="P69" s="154">
        <v>1.4866778608698783E-2</v>
      </c>
      <c r="Q69" s="154">
        <v>0.37645019087929299</v>
      </c>
      <c r="R69" s="154">
        <v>0.32693511934740849</v>
      </c>
      <c r="S69" s="154">
        <v>0.64608055953978749</v>
      </c>
      <c r="T69" s="154">
        <v>0.30803599630390199</v>
      </c>
      <c r="U69" s="154">
        <v>0.55330575831447759</v>
      </c>
      <c r="V69" s="25"/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8">
        <f t="shared" ref="A70" si="86">$A66+1</f>
        <v>17</v>
      </c>
      <c r="B70" s="172" t="str">
        <f>IFERROR(INDEX(TBL_PIPED_IMPORTERS_CONNECTIONS[Name],$A70),"")</f>
        <v>IT_TAP_Pipe</v>
      </c>
      <c r="C70" s="87" t="str">
        <f t="shared" ref="C70:D70" si="87">IF($B70&lt;&gt;"",C66,"")</f>
        <v>Capacity - Min</v>
      </c>
      <c r="D70" s="87" t="str">
        <f t="shared" si="87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8">
        <f t="shared" si="82"/>
        <v>17</v>
      </c>
      <c r="B71" s="173"/>
      <c r="C71" s="87" t="str">
        <f t="shared" ref="C71:D71" si="88">IF($B70&lt;&gt;"",C67,"")</f>
        <v>Capacity - Max</v>
      </c>
      <c r="D71" s="87" t="str">
        <f t="shared" si="88"/>
        <v>GWh/day</v>
      </c>
      <c r="E71" s="150">
        <v>291</v>
      </c>
      <c r="F71" s="150">
        <f>E71</f>
        <v>291</v>
      </c>
      <c r="G71" s="150">
        <v>291</v>
      </c>
      <c r="H71" s="150">
        <v>291</v>
      </c>
      <c r="I71" s="150">
        <v>291</v>
      </c>
      <c r="J71" s="150">
        <v>291</v>
      </c>
      <c r="K71" s="150">
        <v>291</v>
      </c>
      <c r="L71" s="150">
        <v>291</v>
      </c>
      <c r="M71" s="150">
        <v>291</v>
      </c>
      <c r="N71" s="150">
        <v>291</v>
      </c>
      <c r="O71" s="150">
        <v>291</v>
      </c>
      <c r="P71" s="150">
        <v>291</v>
      </c>
      <c r="Q71" s="150">
        <v>291</v>
      </c>
      <c r="R71" s="150">
        <v>291</v>
      </c>
      <c r="S71" s="150">
        <v>291</v>
      </c>
      <c r="T71" s="150">
        <v>291</v>
      </c>
      <c r="U71" s="150">
        <v>291</v>
      </c>
      <c r="V71" s="25"/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8">
        <f t="shared" si="82"/>
        <v>17</v>
      </c>
      <c r="B72" s="173"/>
      <c r="C72" s="87" t="str">
        <f t="shared" ref="C72:D72" si="89">IF($B70&lt;&gt;"",C68,"")</f>
        <v>Cost to Market - fixed</v>
      </c>
      <c r="D72" s="87" t="str">
        <f t="shared" si="89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8">
        <f t="shared" si="82"/>
        <v>17</v>
      </c>
      <c r="B73" s="174"/>
      <c r="C73" s="87" t="str">
        <f t="shared" ref="C73:D73" si="90">IF($B70&lt;&gt;"",C69,"")</f>
        <v>Cost to Market - variable</v>
      </c>
      <c r="D73" s="87" t="str">
        <f t="shared" si="90"/>
        <v>EUR/MWh</v>
      </c>
      <c r="E73" s="154">
        <v>0.64496753334824131</v>
      </c>
      <c r="F73" s="154">
        <v>0.79257782139057031</v>
      </c>
      <c r="G73" s="154">
        <v>0.44772853841020566</v>
      </c>
      <c r="H73" s="154">
        <v>0.64074347772679507</v>
      </c>
      <c r="I73" s="154">
        <v>0.502686812527669</v>
      </c>
      <c r="J73" s="154">
        <v>0.82713604576990796</v>
      </c>
      <c r="K73" s="154">
        <v>0.59249211383876199</v>
      </c>
      <c r="L73" s="154">
        <v>0.23854523542289408</v>
      </c>
      <c r="M73" s="154">
        <v>0.30614495589457613</v>
      </c>
      <c r="N73" s="154">
        <v>5.253059591380338E-3</v>
      </c>
      <c r="O73" s="154">
        <v>0.44157142845952557</v>
      </c>
      <c r="P73" s="154">
        <v>0.40889877793782059</v>
      </c>
      <c r="Q73" s="154">
        <v>0.24742121824101793</v>
      </c>
      <c r="R73" s="154">
        <v>0.23630587198478681</v>
      </c>
      <c r="S73" s="154">
        <v>0.1890391836295845</v>
      </c>
      <c r="T73" s="154">
        <v>0.75601409547029408</v>
      </c>
      <c r="U73" s="154">
        <v>0.63985175887688328</v>
      </c>
      <c r="V73" s="25"/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8">
        <f t="shared" ref="A74" si="91">$A70+1</f>
        <v>18</v>
      </c>
      <c r="B74" s="172" t="str">
        <f>IFERROR(INDEX(TBL_PIPED_IMPORTERS_CONNECTIONS[Name],$A74),"")</f>
        <v>Bul_Aser_IGB_Pipe</v>
      </c>
      <c r="C74" s="87" t="str">
        <f t="shared" ref="C74:D74" si="92">IF($B74&lt;&gt;"",C70,"")</f>
        <v>Capacity - Min</v>
      </c>
      <c r="D74" s="87" t="str">
        <f t="shared" si="92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8">
        <f t="shared" si="82"/>
        <v>18</v>
      </c>
      <c r="B75" s="173"/>
      <c r="C75" s="87" t="str">
        <f t="shared" ref="C75:D75" si="93">IF($B74&lt;&gt;"",C71,"")</f>
        <v>Capacity - Max</v>
      </c>
      <c r="D75" s="87" t="str">
        <f t="shared" si="93"/>
        <v>GWh/day</v>
      </c>
      <c r="E75" s="150">
        <v>0</v>
      </c>
      <c r="F75" s="150">
        <f>E75</f>
        <v>0</v>
      </c>
      <c r="G75" s="150">
        <v>0</v>
      </c>
      <c r="H75" s="150">
        <v>0</v>
      </c>
      <c r="I75" s="150">
        <v>0</v>
      </c>
      <c r="J75" s="150">
        <v>0</v>
      </c>
      <c r="K75" s="150">
        <v>0</v>
      </c>
      <c r="L75" s="150">
        <v>0</v>
      </c>
      <c r="M75" s="150">
        <v>0</v>
      </c>
      <c r="N75" s="150">
        <v>0</v>
      </c>
      <c r="O75" s="150">
        <v>0</v>
      </c>
      <c r="P75" s="150">
        <v>90</v>
      </c>
      <c r="Q75" s="150">
        <v>90</v>
      </c>
      <c r="R75" s="150">
        <v>90</v>
      </c>
      <c r="S75" s="150">
        <v>90</v>
      </c>
      <c r="T75" s="150">
        <v>90</v>
      </c>
      <c r="U75" s="150">
        <v>90</v>
      </c>
      <c r="V75" s="25"/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8">
        <f t="shared" si="82"/>
        <v>18</v>
      </c>
      <c r="B76" s="173"/>
      <c r="C76" s="87" t="str">
        <f t="shared" ref="C76:D76" si="94">IF($B74&lt;&gt;"",C72,"")</f>
        <v>Cost to Market - fixed</v>
      </c>
      <c r="D76" s="87" t="str">
        <f t="shared" si="94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8">
        <f t="shared" si="82"/>
        <v>18</v>
      </c>
      <c r="B77" s="174"/>
      <c r="C77" s="87" t="str">
        <f t="shared" ref="C77:D77" si="95">IF($B74&lt;&gt;"",C73,"")</f>
        <v>Cost to Market - variable</v>
      </c>
      <c r="D77" s="87" t="str">
        <f t="shared" si="95"/>
        <v>EUR/MWh</v>
      </c>
      <c r="E77" s="154">
        <v>0.2623193231613441</v>
      </c>
      <c r="F77" s="154">
        <v>7.5206202775430442E-2</v>
      </c>
      <c r="G77" s="154">
        <v>0.14291191476068332</v>
      </c>
      <c r="H77" s="154">
        <v>1.2249619390138133E-2</v>
      </c>
      <c r="I77" s="154">
        <v>0.41904691172277531</v>
      </c>
      <c r="J77" s="154">
        <v>0.37630699795948142</v>
      </c>
      <c r="K77" s="154">
        <v>0.362702205840298</v>
      </c>
      <c r="L77" s="154">
        <v>0.30229365511366058</v>
      </c>
      <c r="M77" s="154">
        <v>0.73485396219293819</v>
      </c>
      <c r="N77" s="154">
        <v>0.67214490605175747</v>
      </c>
      <c r="O77" s="154">
        <v>0.23231919018390179</v>
      </c>
      <c r="P77" s="154">
        <v>0.19444401427996172</v>
      </c>
      <c r="Q77" s="154">
        <v>0.59634757553601148</v>
      </c>
      <c r="R77" s="154">
        <v>0.80338704388652971</v>
      </c>
      <c r="S77" s="154">
        <v>0.92703878213528523</v>
      </c>
      <c r="T77" s="154">
        <v>8.3610328531456224E-2</v>
      </c>
      <c r="U77" s="154">
        <v>0.66013139121146269</v>
      </c>
      <c r="V77" s="25"/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8">
        <f t="shared" ref="A78" si="96">$A74+1</f>
        <v>19</v>
      </c>
      <c r="B78" s="172" t="str">
        <f>IFERROR(INDEX(TBL_PIPED_IMPORTERS_CONNECTIONS[Name],$A78),"")</f>
        <v>Ukr_RU_Pipe</v>
      </c>
      <c r="C78" s="87" t="str">
        <f t="shared" ref="C78:D78" si="97">IF($B78&lt;&gt;"",C74,"")</f>
        <v>Capacity - Min</v>
      </c>
      <c r="D78" s="87" t="str">
        <f t="shared" si="97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8">
        <f t="shared" si="82"/>
        <v>19</v>
      </c>
      <c r="B79" s="173"/>
      <c r="C79" s="87" t="str">
        <f t="shared" ref="C79:D79" si="98">IF($B78&lt;&gt;"",C75,"")</f>
        <v>Capacity - Max</v>
      </c>
      <c r="D79" s="87" t="str">
        <f t="shared" si="98"/>
        <v>GWh/day</v>
      </c>
      <c r="E79" s="150">
        <v>1161.6400000000001</v>
      </c>
      <c r="F79" s="150">
        <f>E79</f>
        <v>1161.6400000000001</v>
      </c>
      <c r="G79" s="150">
        <v>1161.6400000000001</v>
      </c>
      <c r="H79" s="150">
        <v>1161.6400000000001</v>
      </c>
      <c r="I79" s="150">
        <v>1161.6400000000001</v>
      </c>
      <c r="J79" s="150">
        <v>1161.6400000000001</v>
      </c>
      <c r="K79" s="150">
        <v>1161.6400000000001</v>
      </c>
      <c r="L79" s="150">
        <v>1161.6400000000001</v>
      </c>
      <c r="M79" s="150">
        <v>1161.6400000000001</v>
      </c>
      <c r="N79" s="150">
        <v>1161.6400000000001</v>
      </c>
      <c r="O79" s="150">
        <v>1161.6400000000001</v>
      </c>
      <c r="P79" s="150">
        <v>1161.6400000000001</v>
      </c>
      <c r="Q79" s="150">
        <v>1161.6400000000001</v>
      </c>
      <c r="R79" s="150">
        <v>1161.6400000000001</v>
      </c>
      <c r="S79" s="150">
        <v>1161.6400000000001</v>
      </c>
      <c r="T79" s="150">
        <v>1161.6400000000001</v>
      </c>
      <c r="U79" s="150">
        <v>1161.6400000000001</v>
      </c>
      <c r="V79" s="25"/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8">
        <f t="shared" si="82"/>
        <v>19</v>
      </c>
      <c r="B80" s="173"/>
      <c r="C80" s="87" t="str">
        <f t="shared" ref="C80:D80" si="99">IF($B78&lt;&gt;"",C76,"")</f>
        <v>Cost to Market - fixed</v>
      </c>
      <c r="D80" s="87" t="str">
        <f t="shared" si="99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8">
        <f t="shared" si="82"/>
        <v>19</v>
      </c>
      <c r="B81" s="174"/>
      <c r="C81" s="87" t="str">
        <f t="shared" ref="C81:D81" si="100">IF($B78&lt;&gt;"",C77,"")</f>
        <v>Cost to Market - variable</v>
      </c>
      <c r="D81" s="87" t="str">
        <f t="shared" si="100"/>
        <v>EUR/MWh</v>
      </c>
      <c r="E81" s="154">
        <v>3.7541334826092121E-2</v>
      </c>
      <c r="F81" s="154">
        <v>0.13315726998002653</v>
      </c>
      <c r="G81" s="154">
        <v>0.18663389166617594</v>
      </c>
      <c r="H81" s="154">
        <v>0.75082488784709378</v>
      </c>
      <c r="I81" s="154">
        <v>0.75177348116024134</v>
      </c>
      <c r="J81" s="154">
        <v>0.10721574526023903</v>
      </c>
      <c r="K81" s="154">
        <v>0.1454502824087005</v>
      </c>
      <c r="L81" s="154">
        <v>0.95011707050764915</v>
      </c>
      <c r="M81" s="154">
        <v>0.4726429845722856</v>
      </c>
      <c r="N81" s="154">
        <v>0.85443101713255432</v>
      </c>
      <c r="O81" s="154">
        <v>0.37026028007653278</v>
      </c>
      <c r="P81" s="154">
        <v>0.67901453084346708</v>
      </c>
      <c r="Q81" s="154">
        <v>0.32762986387860815</v>
      </c>
      <c r="R81" s="154">
        <v>0.35588173144021329</v>
      </c>
      <c r="S81" s="154">
        <v>0.69154119156016114</v>
      </c>
      <c r="T81" s="154">
        <v>0.85847368779406352</v>
      </c>
      <c r="U81" s="154">
        <v>0.37409528750256704</v>
      </c>
      <c r="V81" s="25"/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8">
        <f t="shared" ref="A82" si="101">$A78+1</f>
        <v>20</v>
      </c>
      <c r="B82" s="172" t="str">
        <f>IFERROR(INDEX(TBL_PIPED_IMPORTERS_CONNECTIONS[Name],$A82),"")</f>
        <v>GR_TAP_Pipe</v>
      </c>
      <c r="C82" s="87" t="str">
        <f t="shared" ref="C82:D82" si="102">IF($B82&lt;&gt;"",C78,"")</f>
        <v>Capacity - Min</v>
      </c>
      <c r="D82" s="87" t="str">
        <f t="shared" si="102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8">
        <f t="shared" si="82"/>
        <v>20</v>
      </c>
      <c r="B83" s="173"/>
      <c r="C83" s="87" t="str">
        <f t="shared" ref="C83:D83" si="103">IF($B82&lt;&gt;"",C79,"")</f>
        <v>Capacity - Max</v>
      </c>
      <c r="D83" s="87" t="str">
        <f t="shared" si="103"/>
        <v>GWh/day</v>
      </c>
      <c r="E83" s="150">
        <v>49.2</v>
      </c>
      <c r="F83" s="150">
        <f>E83</f>
        <v>49.2</v>
      </c>
      <c r="G83" s="150">
        <v>49.2</v>
      </c>
      <c r="H83" s="150">
        <v>49.2</v>
      </c>
      <c r="I83" s="150">
        <v>49.2</v>
      </c>
      <c r="J83" s="150">
        <v>49.2</v>
      </c>
      <c r="K83" s="150">
        <v>49.2</v>
      </c>
      <c r="L83" s="150">
        <v>49.2</v>
      </c>
      <c r="M83" s="150">
        <v>49.2</v>
      </c>
      <c r="N83" s="150">
        <v>49.2</v>
      </c>
      <c r="O83" s="150">
        <v>49.2</v>
      </c>
      <c r="P83" s="150">
        <v>49.2</v>
      </c>
      <c r="Q83" s="150">
        <v>49.2</v>
      </c>
      <c r="R83" s="150">
        <v>49.2</v>
      </c>
      <c r="S83" s="150">
        <v>49.2</v>
      </c>
      <c r="T83" s="150">
        <v>49.2</v>
      </c>
      <c r="U83" s="150">
        <v>49.2</v>
      </c>
      <c r="V83" s="25"/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8">
        <f t="shared" si="82"/>
        <v>20</v>
      </c>
      <c r="B84" s="173"/>
      <c r="C84" s="87" t="str">
        <f t="shared" ref="C84:D84" si="104">IF($B82&lt;&gt;"",C80,"")</f>
        <v>Cost to Market - fixed</v>
      </c>
      <c r="D84" s="87" t="str">
        <f t="shared" si="104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8">
        <f t="shared" si="82"/>
        <v>20</v>
      </c>
      <c r="B85" s="174"/>
      <c r="C85" s="87" t="str">
        <f t="shared" ref="C85:D85" si="105">IF($B82&lt;&gt;"",C81,"")</f>
        <v>Cost to Market - variable</v>
      </c>
      <c r="D85" s="87" t="str">
        <f t="shared" si="105"/>
        <v>EUR/MWh</v>
      </c>
      <c r="E85" s="154">
        <v>0.89469851065492401</v>
      </c>
      <c r="F85" s="154">
        <v>7.6582175771453209E-2</v>
      </c>
      <c r="G85" s="154">
        <v>0.8608732686602385</v>
      </c>
      <c r="H85" s="154">
        <v>0.99852511403872002</v>
      </c>
      <c r="I85" s="154">
        <v>0.87455998795821532</v>
      </c>
      <c r="J85" s="154">
        <v>0.42081890710708936</v>
      </c>
      <c r="K85" s="154">
        <v>0.98818926803536677</v>
      </c>
      <c r="L85" s="154">
        <v>0.91677253406624459</v>
      </c>
      <c r="M85" s="154">
        <v>5.628374215457832E-2</v>
      </c>
      <c r="N85" s="154">
        <v>0.43108063971471811</v>
      </c>
      <c r="O85" s="154">
        <v>0.53344494466904424</v>
      </c>
      <c r="P85" s="154">
        <v>0.27015987024870136</v>
      </c>
      <c r="Q85" s="154">
        <v>0.87733140567405976</v>
      </c>
      <c r="R85" s="154">
        <v>0.43819316205525038</v>
      </c>
      <c r="S85" s="154">
        <v>0.91411329224692461</v>
      </c>
      <c r="T85" s="154">
        <v>0.95422214795193638</v>
      </c>
      <c r="U85" s="154">
        <v>0.78674831838947679</v>
      </c>
      <c r="V85" s="25"/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8">
        <f t="shared" ref="A86" si="106">$A82+1</f>
        <v>21</v>
      </c>
      <c r="B86" s="172" t="str">
        <f>IFERROR(INDEX(TBL_PIPED_IMPORTERS_CONNECTIONS[Name],$A86),"")</f>
        <v>GR_RU_Pipe</v>
      </c>
      <c r="C86" s="87" t="str">
        <f t="shared" ref="C86:D86" si="107">IF($B86&lt;&gt;"",C82,"")</f>
        <v>Capacity - Min</v>
      </c>
      <c r="D86" s="87" t="str">
        <f t="shared" si="107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8">
        <f t="shared" ref="A87:A89" si="108">$A86</f>
        <v>21</v>
      </c>
      <c r="B87" s="173"/>
      <c r="C87" s="87" t="str">
        <f t="shared" ref="C87:D87" si="109">IF($B86&lt;&gt;"",C83,"")</f>
        <v>Capacity - Max</v>
      </c>
      <c r="D87" s="87" t="str">
        <f t="shared" si="109"/>
        <v>GWh/day</v>
      </c>
      <c r="E87" s="150">
        <v>48.59</v>
      </c>
      <c r="F87" s="150">
        <f>E87</f>
        <v>48.59</v>
      </c>
      <c r="G87" s="150">
        <v>48.59</v>
      </c>
      <c r="H87" s="150">
        <v>48.59</v>
      </c>
      <c r="I87" s="150">
        <v>48.59</v>
      </c>
      <c r="J87" s="150">
        <v>48.59</v>
      </c>
      <c r="K87" s="150">
        <v>48.59</v>
      </c>
      <c r="L87" s="150">
        <v>48.59</v>
      </c>
      <c r="M87" s="150">
        <v>48.59</v>
      </c>
      <c r="N87" s="150">
        <v>48.59</v>
      </c>
      <c r="O87" s="150">
        <v>48.59</v>
      </c>
      <c r="P87" s="150">
        <v>48.59</v>
      </c>
      <c r="Q87" s="150">
        <v>48.59</v>
      </c>
      <c r="R87" s="150">
        <v>48.59</v>
      </c>
      <c r="S87" s="150">
        <v>48.59</v>
      </c>
      <c r="T87" s="150">
        <v>48.59</v>
      </c>
      <c r="U87" s="150">
        <v>48.59</v>
      </c>
      <c r="V87" s="25"/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8">
        <f t="shared" si="108"/>
        <v>21</v>
      </c>
      <c r="B88" s="173"/>
      <c r="C88" s="87" t="str">
        <f t="shared" ref="C88:D88" si="110">IF($B86&lt;&gt;"",C84,"")</f>
        <v>Cost to Market - fixed</v>
      </c>
      <c r="D88" s="87" t="str">
        <f t="shared" si="110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8">
        <f t="shared" si="108"/>
        <v>21</v>
      </c>
      <c r="B89" s="174"/>
      <c r="C89" s="87" t="str">
        <f t="shared" ref="C89:D89" si="111">IF($B86&lt;&gt;"",C85,"")</f>
        <v>Cost to Market - variable</v>
      </c>
      <c r="D89" s="87" t="str">
        <f t="shared" si="111"/>
        <v>EUR/MWh</v>
      </c>
      <c r="E89" s="154">
        <v>0.79163863901473752</v>
      </c>
      <c r="F89" s="154">
        <v>0.93315169920373486</v>
      </c>
      <c r="G89" s="154">
        <v>0.64848044084346113</v>
      </c>
      <c r="H89" s="154">
        <v>0.80262976685233556</v>
      </c>
      <c r="I89" s="154">
        <v>0.35128710979415301</v>
      </c>
      <c r="J89" s="154">
        <v>0.37896433591190604</v>
      </c>
      <c r="K89" s="154">
        <v>0.40891062412319734</v>
      </c>
      <c r="L89" s="154">
        <v>3.8587258775261257E-2</v>
      </c>
      <c r="M89" s="154">
        <v>0.67001605064420189</v>
      </c>
      <c r="N89" s="154">
        <v>0.40398502779237222</v>
      </c>
      <c r="O89" s="154">
        <v>0.87396823294185344</v>
      </c>
      <c r="P89" s="154">
        <v>0.79715141851739812</v>
      </c>
      <c r="Q89" s="154">
        <v>0.41109315556520043</v>
      </c>
      <c r="R89" s="154">
        <v>0.37414486686622239</v>
      </c>
      <c r="S89" s="154">
        <v>0.76414166780246207</v>
      </c>
      <c r="T89" s="154">
        <v>0.83591805512383932</v>
      </c>
      <c r="U89" s="154">
        <v>0.60487886584951278</v>
      </c>
      <c r="V89" s="25"/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8">
        <f t="shared" ref="A90" si="112">$A86+1</f>
        <v>22</v>
      </c>
      <c r="B90" s="172" t="str">
        <f>IFERROR(INDEX(TBL_PIPED_IMPORTERS_CONNECTIONS[Name],$A90),"")</f>
        <v>Bul_RU_Pipe</v>
      </c>
      <c r="C90" s="87" t="str">
        <f t="shared" ref="C90:D90" si="113">IF($B90&lt;&gt;"",C86,"")</f>
        <v>Capacity - Min</v>
      </c>
      <c r="D90" s="87" t="str">
        <f t="shared" si="113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8">
        <f t="shared" ref="A91:A93" si="114">$A90</f>
        <v>22</v>
      </c>
      <c r="B91" s="173"/>
      <c r="C91" s="87" t="str">
        <f t="shared" ref="C91:D91" si="115">IF($B90&lt;&gt;"",C87,"")</f>
        <v>Capacity - Max</v>
      </c>
      <c r="D91" s="87" t="str">
        <f t="shared" si="115"/>
        <v>GWh/day</v>
      </c>
      <c r="E91" s="150">
        <v>572.04420000000005</v>
      </c>
      <c r="F91" s="150">
        <f>E91</f>
        <v>572.04420000000005</v>
      </c>
      <c r="G91" s="150">
        <v>572.04420000000005</v>
      </c>
      <c r="H91" s="150">
        <v>572.04420000000005</v>
      </c>
      <c r="I91" s="150">
        <v>572.04420000000005</v>
      </c>
      <c r="J91" s="150">
        <v>572.04420000000005</v>
      </c>
      <c r="K91" s="150">
        <v>572.04420000000005</v>
      </c>
      <c r="L91" s="150">
        <v>572.04420000000005</v>
      </c>
      <c r="M91" s="150">
        <v>572.04420000000005</v>
      </c>
      <c r="N91" s="150">
        <v>572.04420000000005</v>
      </c>
      <c r="O91" s="150">
        <v>572.04420000000005</v>
      </c>
      <c r="P91" s="150">
        <v>572.04420000000005</v>
      </c>
      <c r="Q91" s="150">
        <v>572.04420000000005</v>
      </c>
      <c r="R91" s="150">
        <v>572.04420000000005</v>
      </c>
      <c r="S91" s="150">
        <v>572.04420000000005</v>
      </c>
      <c r="T91" s="150">
        <v>572.04420000000005</v>
      </c>
      <c r="U91" s="150">
        <v>572.04420000000005</v>
      </c>
      <c r="V91" s="25"/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8">
        <f t="shared" si="114"/>
        <v>22</v>
      </c>
      <c r="B92" s="173"/>
      <c r="C92" s="87" t="str">
        <f t="shared" ref="C92:D92" si="116">IF($B90&lt;&gt;"",C88,"")</f>
        <v>Cost to Market - fixed</v>
      </c>
      <c r="D92" s="87" t="str">
        <f t="shared" si="116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8">
        <f t="shared" si="114"/>
        <v>22</v>
      </c>
      <c r="B93" s="174"/>
      <c r="C93" s="87" t="str">
        <f t="shared" ref="C93:D93" si="117">IF($B90&lt;&gt;"",C89,"")</f>
        <v>Cost to Market - variable</v>
      </c>
      <c r="D93" s="87" t="str">
        <f t="shared" si="117"/>
        <v>EUR/MWh</v>
      </c>
      <c r="E93" s="154">
        <v>0.61732406760481717</v>
      </c>
      <c r="F93" s="154">
        <v>0.80373988811953212</v>
      </c>
      <c r="G93" s="154">
        <v>0.72188393709463394</v>
      </c>
      <c r="H93" s="154">
        <v>0.75288980714460463</v>
      </c>
      <c r="I93" s="154">
        <v>0.93552208579502694</v>
      </c>
      <c r="J93" s="154">
        <v>0.71807530808409425</v>
      </c>
      <c r="K93" s="154">
        <v>0.691790814943128</v>
      </c>
      <c r="L93" s="154">
        <v>0.67568725656914597</v>
      </c>
      <c r="M93" s="154">
        <v>6.6790311924623702E-2</v>
      </c>
      <c r="N93" s="154">
        <v>0.85973587345121583</v>
      </c>
      <c r="O93" s="154">
        <v>0.45629414352105335</v>
      </c>
      <c r="P93" s="154">
        <v>0.31931300127759099</v>
      </c>
      <c r="Q93" s="154">
        <v>0.57422882054082713</v>
      </c>
      <c r="R93" s="154">
        <v>0.12164797488849111</v>
      </c>
      <c r="S93" s="154">
        <v>0.18675955575484593</v>
      </c>
      <c r="T93" s="154">
        <v>0.24905401407783434</v>
      </c>
      <c r="U93" s="154">
        <v>0.13751593158009545</v>
      </c>
      <c r="V93" s="25"/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8">
        <f t="shared" ref="A94" si="118">$A90+1</f>
        <v>23</v>
      </c>
      <c r="B94" s="172" t="str">
        <f>IFERROR(INDEX(TBL_PIPED_IMPORTERS_CONNECTIONS[Name],$A94),"")</f>
        <v>GER_RU_YAMAL_Pipe</v>
      </c>
      <c r="C94" s="87" t="str">
        <f t="shared" ref="C94:D94" si="119">IF($B94&lt;&gt;"",C90,"")</f>
        <v>Capacity - Min</v>
      </c>
      <c r="D94" s="87" t="str">
        <f t="shared" si="119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8">
        <f t="shared" ref="A95:A113" si="120">$A94</f>
        <v>23</v>
      </c>
      <c r="B95" s="173"/>
      <c r="C95" s="87" t="str">
        <f t="shared" ref="C95:D95" si="121">IF($B94&lt;&gt;"",C91,"")</f>
        <v>Capacity - Max</v>
      </c>
      <c r="D95" s="87" t="str">
        <f t="shared" si="121"/>
        <v>GWh/day</v>
      </c>
      <c r="E95" s="150">
        <v>748.8</v>
      </c>
      <c r="F95" s="150">
        <f>E95</f>
        <v>748.8</v>
      </c>
      <c r="G95" s="150">
        <v>748.8</v>
      </c>
      <c r="H95" s="150">
        <v>748.8</v>
      </c>
      <c r="I95" s="150">
        <v>748.8</v>
      </c>
      <c r="J95" s="150">
        <v>748.8</v>
      </c>
      <c r="K95" s="150">
        <v>748.8</v>
      </c>
      <c r="L95" s="150">
        <v>748.8</v>
      </c>
      <c r="M95" s="150">
        <v>748.8</v>
      </c>
      <c r="N95" s="150">
        <v>748.8</v>
      </c>
      <c r="O95" s="150">
        <v>748.8</v>
      </c>
      <c r="P95" s="150">
        <v>748.8</v>
      </c>
      <c r="Q95" s="150">
        <v>748.8</v>
      </c>
      <c r="R95" s="150">
        <v>748.8</v>
      </c>
      <c r="S95" s="150">
        <v>748.8</v>
      </c>
      <c r="T95" s="150">
        <v>748.8</v>
      </c>
      <c r="U95" s="150">
        <v>748.8</v>
      </c>
      <c r="V95" s="25"/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8">
        <f t="shared" si="120"/>
        <v>23</v>
      </c>
      <c r="B96" s="173"/>
      <c r="C96" s="87" t="str">
        <f t="shared" ref="C96:D96" si="122">IF($B94&lt;&gt;"",C92,"")</f>
        <v>Cost to Market - fixed</v>
      </c>
      <c r="D96" s="87" t="str">
        <f t="shared" si="122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8">
        <f t="shared" si="120"/>
        <v>23</v>
      </c>
      <c r="B97" s="174"/>
      <c r="C97" s="87" t="str">
        <f t="shared" ref="C97:D97" si="123">IF($B94&lt;&gt;"",C93,"")</f>
        <v>Cost to Market - variable</v>
      </c>
      <c r="D97" s="87" t="str">
        <f t="shared" si="123"/>
        <v>EUR/MWh</v>
      </c>
      <c r="E97" s="154">
        <v>0.33069438777368132</v>
      </c>
      <c r="F97" s="154">
        <v>0.67898820593597098</v>
      </c>
      <c r="G97" s="154">
        <v>3.6710463249650993E-2</v>
      </c>
      <c r="H97" s="154">
        <v>0.26008318390564467</v>
      </c>
      <c r="I97" s="154">
        <v>0.7561142538616179</v>
      </c>
      <c r="J97" s="154">
        <v>0.83938840976289719</v>
      </c>
      <c r="K97" s="154">
        <v>0.31838198404866214</v>
      </c>
      <c r="L97" s="154">
        <v>0.86353796011670647</v>
      </c>
      <c r="M97" s="154">
        <v>0.40239462605275211</v>
      </c>
      <c r="N97" s="154">
        <v>0.13904633159725277</v>
      </c>
      <c r="O97" s="154">
        <v>0.39105037988323965</v>
      </c>
      <c r="P97" s="154">
        <v>0.84787705704234539</v>
      </c>
      <c r="Q97" s="154">
        <v>0.94489565903961248</v>
      </c>
      <c r="R97" s="154">
        <v>9.4866459154035243E-2</v>
      </c>
      <c r="S97" s="154">
        <v>0.7018212859886187</v>
      </c>
      <c r="T97" s="154">
        <v>0.84218248485582625</v>
      </c>
      <c r="U97" s="154">
        <v>0.86894379264727306</v>
      </c>
      <c r="V97" s="25"/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8">
        <f t="shared" ref="A98" si="124">$A94+1</f>
        <v>24</v>
      </c>
      <c r="B98" s="172" t="str">
        <f>IFERROR(INDEX(TBL_PIPED_IMPORTERS_CONNECTIONS[Name],$A98),"")</f>
        <v>CZ_RU_OPAL_Pipe</v>
      </c>
      <c r="C98" s="87" t="str">
        <f t="shared" ref="C98:D98" si="125">IF($B98&lt;&gt;"",C94,"")</f>
        <v>Capacity - Min</v>
      </c>
      <c r="D98" s="87" t="str">
        <f t="shared" si="125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INDEX(TBL_PIPED_IMPORTERS_CONNECTIONS[PipedImporterConnectionID],$A98)</f>
        <v>PipedImporterConnection_002_018_001</v>
      </c>
      <c r="X98" s="29" t="str">
        <f>"PipedImporterCapMin_"&amp;RIGHT($W98,11)</f>
        <v>PipedImporterCapMin_002_018_001</v>
      </c>
    </row>
    <row r="99" spans="1:24" x14ac:dyDescent="0.25">
      <c r="A99" s="88">
        <f t="shared" si="120"/>
        <v>24</v>
      </c>
      <c r="B99" s="173"/>
      <c r="C99" s="87" t="str">
        <f t="shared" ref="C99:D99" si="126">IF($B98&lt;&gt;"",C95,"")</f>
        <v>Capacity - Max</v>
      </c>
      <c r="D99" s="87" t="str">
        <f t="shared" si="126"/>
        <v>GWh/day</v>
      </c>
      <c r="E99" s="150">
        <v>951.87</v>
      </c>
      <c r="F99" s="150">
        <f>E99</f>
        <v>951.87</v>
      </c>
      <c r="G99" s="150">
        <v>951.87</v>
      </c>
      <c r="H99" s="150">
        <v>951.87</v>
      </c>
      <c r="I99" s="150">
        <v>951.87</v>
      </c>
      <c r="J99" s="150">
        <v>951.87</v>
      </c>
      <c r="K99" s="150">
        <v>951.87</v>
      </c>
      <c r="L99" s="150">
        <v>951.87</v>
      </c>
      <c r="M99" s="150">
        <v>951.87</v>
      </c>
      <c r="N99" s="150">
        <v>951.87</v>
      </c>
      <c r="O99" s="150">
        <v>951.87</v>
      </c>
      <c r="P99" s="150">
        <v>951.87</v>
      </c>
      <c r="Q99" s="150">
        <v>951.87</v>
      </c>
      <c r="R99" s="150">
        <v>951.87</v>
      </c>
      <c r="S99" s="150">
        <v>951.87</v>
      </c>
      <c r="T99" s="150">
        <v>951.87</v>
      </c>
      <c r="U99" s="150">
        <v>951.87</v>
      </c>
      <c r="V99" s="25"/>
      <c r="W99" s="29" t="str">
        <f>INDEX(TBL_PIPED_IMPORTERS_CONNECTIONS[PipedImporterConnectionID],$A99)</f>
        <v>PipedImporterConnection_002_018_001</v>
      </c>
      <c r="X99" s="29" t="str">
        <f>"PipedImporterCapMax_"&amp;RIGHT($W99,11)</f>
        <v>PipedImporterCapMax_002_018_001</v>
      </c>
    </row>
    <row r="100" spans="1:24" x14ac:dyDescent="0.25">
      <c r="A100" s="88">
        <f t="shared" si="120"/>
        <v>24</v>
      </c>
      <c r="B100" s="173"/>
      <c r="C100" s="87" t="str">
        <f t="shared" ref="C100:D100" si="127">IF($B98&lt;&gt;"",C96,"")</f>
        <v>Cost to Market - fixed</v>
      </c>
      <c r="D100" s="87" t="str">
        <f t="shared" si="127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INDEX(TBL_PIPED_IMPORTERS_CONNECTIONS[PipedImporterConnectionID],$A100)</f>
        <v>PipedImporterConnection_002_018_001</v>
      </c>
      <c r="X100" s="29" t="str">
        <f>"PipedImporterTariffFixed_"&amp;RIGHT($W100,11)</f>
        <v>PipedImporterTariffFixed_002_018_001</v>
      </c>
    </row>
    <row r="101" spans="1:24" x14ac:dyDescent="0.25">
      <c r="A101" s="88">
        <f t="shared" si="120"/>
        <v>24</v>
      </c>
      <c r="B101" s="174"/>
      <c r="C101" s="87" t="str">
        <f t="shared" ref="C101:D101" si="128">IF($B98&lt;&gt;"",C97,"")</f>
        <v>Cost to Market - variable</v>
      </c>
      <c r="D101" s="87" t="str">
        <f t="shared" si="128"/>
        <v>EUR/MWh</v>
      </c>
      <c r="E101" s="154">
        <v>0.45265149321864495</v>
      </c>
      <c r="F101" s="154">
        <v>1.156935721097152E-2</v>
      </c>
      <c r="G101" s="154">
        <v>0.3904731609980977</v>
      </c>
      <c r="H101" s="154">
        <v>0.67253394255873955</v>
      </c>
      <c r="I101" s="154">
        <v>0.95456818422297884</v>
      </c>
      <c r="J101" s="154">
        <v>0.56321236495578397</v>
      </c>
      <c r="K101" s="154">
        <v>0.49991255363056752</v>
      </c>
      <c r="L101" s="154">
        <v>0.70545597574496033</v>
      </c>
      <c r="M101" s="154">
        <v>0.77424108705350803</v>
      </c>
      <c r="N101" s="154">
        <v>0.37508707396990659</v>
      </c>
      <c r="O101" s="154">
        <v>0.14091982821665239</v>
      </c>
      <c r="P101" s="154">
        <v>8.1143956166653042E-2</v>
      </c>
      <c r="Q101" s="154">
        <v>0.48772482927085126</v>
      </c>
      <c r="R101" s="154">
        <v>0.9103415653149588</v>
      </c>
      <c r="S101" s="154">
        <v>0.83479644681808518</v>
      </c>
      <c r="T101" s="154">
        <v>0.54753456657118948</v>
      </c>
      <c r="U101" s="154">
        <v>6.3646906234476996E-2</v>
      </c>
      <c r="V101" s="25"/>
      <c r="W101" s="29" t="str">
        <f>INDEX(TBL_PIPED_IMPORTERS_CONNECTIONS[PipedImporterConnectionID],$A101)</f>
        <v>PipedImporterConnection_002_018_001</v>
      </c>
      <c r="X101" s="29" t="str">
        <f>"PipedImporterTariffVar_"&amp;RIGHT($W101,11)</f>
        <v>PipedImporterTariffVar_002_018_001</v>
      </c>
    </row>
    <row r="102" spans="1:24" x14ac:dyDescent="0.25">
      <c r="A102" s="88">
        <f t="shared" ref="A102" si="129">$A98+1</f>
        <v>25</v>
      </c>
      <c r="B102" s="172" t="str">
        <f>IFERROR(INDEX(TBL_PIPED_IMPORTERS_CONNECTIONS[Name],$A102),"")</f>
        <v/>
      </c>
      <c r="C102" s="87" t="str">
        <f t="shared" ref="C102:D102" si="130">IF($B102&lt;&gt;"",C98,"")</f>
        <v/>
      </c>
      <c r="D102" s="87" t="str">
        <f t="shared" si="130"/>
        <v/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e">
        <f>INDEX(TBL_PIPED_IMPORTERS_CONNECTIONS[PipedImporterConnectionID],$A102)</f>
        <v>#REF!</v>
      </c>
      <c r="X102" s="29" t="e">
        <f>"PipedImporterCapMin_"&amp;RIGHT($W102,11)</f>
        <v>#REF!</v>
      </c>
    </row>
    <row r="103" spans="1:24" x14ac:dyDescent="0.25">
      <c r="A103" s="88">
        <f t="shared" si="120"/>
        <v>25</v>
      </c>
      <c r="B103" s="173"/>
      <c r="C103" s="87" t="str">
        <f t="shared" ref="C103:D103" si="131">IF($B102&lt;&gt;"",C99,"")</f>
        <v/>
      </c>
      <c r="D103" s="87" t="str">
        <f t="shared" si="131"/>
        <v/>
      </c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25"/>
      <c r="W103" s="29" t="e">
        <f>INDEX(TBL_PIPED_IMPORTERS_CONNECTIONS[PipedImporterConnectionID],$A103)</f>
        <v>#REF!</v>
      </c>
      <c r="X103" s="29" t="e">
        <f>"PipedImporterCapMax_"&amp;RIGHT($W103,11)</f>
        <v>#REF!</v>
      </c>
    </row>
    <row r="104" spans="1:24" x14ac:dyDescent="0.25">
      <c r="A104" s="88">
        <f t="shared" si="120"/>
        <v>25</v>
      </c>
      <c r="B104" s="173"/>
      <c r="C104" s="87" t="str">
        <f t="shared" ref="C104:D104" si="132">IF($B102&lt;&gt;"",C100,"")</f>
        <v/>
      </c>
      <c r="D104" s="87" t="str">
        <f t="shared" si="132"/>
        <v/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e">
        <f>INDEX(TBL_PIPED_IMPORTERS_CONNECTIONS[PipedImporterConnectionID],$A104)</f>
        <v>#REF!</v>
      </c>
      <c r="X104" s="29" t="e">
        <f>"PipedImporterTariffFixed_"&amp;RIGHT($W104,11)</f>
        <v>#REF!</v>
      </c>
    </row>
    <row r="105" spans="1:24" x14ac:dyDescent="0.25">
      <c r="A105" s="88">
        <f t="shared" si="120"/>
        <v>25</v>
      </c>
      <c r="B105" s="174"/>
      <c r="C105" s="87" t="str">
        <f t="shared" ref="C105:D105" si="133">IF($B102&lt;&gt;"",C101,"")</f>
        <v/>
      </c>
      <c r="D105" s="87" t="str">
        <f t="shared" si="133"/>
        <v/>
      </c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25"/>
      <c r="W105" s="29" t="e">
        <f>INDEX(TBL_PIPED_IMPORTERS_CONNECTIONS[PipedImporterConnectionID],$A105)</f>
        <v>#REF!</v>
      </c>
      <c r="X105" s="29" t="e">
        <f>"PipedImporterTariffVar_"&amp;RIGHT($W105,11)</f>
        <v>#REF!</v>
      </c>
    </row>
    <row r="106" spans="1:24" x14ac:dyDescent="0.25">
      <c r="A106" s="88">
        <f t="shared" ref="A106" si="134">$A102+1</f>
        <v>26</v>
      </c>
      <c r="B106" s="172" t="str">
        <f>IFERROR(INDEX(TBL_PIPED_IMPORTERS_CONNECTIONS[Name],$A106),"")</f>
        <v/>
      </c>
      <c r="C106" s="87" t="str">
        <f t="shared" ref="C106:D106" si="135">IF($B106&lt;&gt;"",C102,"")</f>
        <v/>
      </c>
      <c r="D106" s="87" t="str">
        <f t="shared" si="135"/>
        <v/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8">
        <f t="shared" si="120"/>
        <v>26</v>
      </c>
      <c r="B107" s="173"/>
      <c r="C107" s="87" t="str">
        <f t="shared" ref="C107:D107" si="136">IF($B106&lt;&gt;"",C103,"")</f>
        <v/>
      </c>
      <c r="D107" s="87" t="str">
        <f t="shared" si="136"/>
        <v/>
      </c>
      <c r="E107" s="150"/>
      <c r="F107" s="150"/>
      <c r="G107" s="150"/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8">
        <f t="shared" si="120"/>
        <v>26</v>
      </c>
      <c r="B108" s="173"/>
      <c r="C108" s="87" t="str">
        <f t="shared" ref="C108:D108" si="137">IF($B106&lt;&gt;"",C104,"")</f>
        <v/>
      </c>
      <c r="D108" s="87" t="str">
        <f t="shared" si="137"/>
        <v/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8">
        <f t="shared" si="120"/>
        <v>26</v>
      </c>
      <c r="B109" s="174"/>
      <c r="C109" s="87" t="str">
        <f t="shared" ref="C109:D109" si="138">IF($B106&lt;&gt;"",C105,"")</f>
        <v/>
      </c>
      <c r="D109" s="87" t="str">
        <f t="shared" si="138"/>
        <v/>
      </c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8">
        <f t="shared" ref="A110" si="139">$A106+1</f>
        <v>27</v>
      </c>
      <c r="B110" s="172" t="str">
        <f>IFERROR(INDEX(TBL_PIPED_IMPORTERS_CONNECTIONS[Name],$A110),"")</f>
        <v/>
      </c>
      <c r="C110" s="87" t="str">
        <f t="shared" ref="C110:D110" si="140">IF($B110&lt;&gt;"",C106,"")</f>
        <v/>
      </c>
      <c r="D110" s="87" t="str">
        <f t="shared" si="140"/>
        <v/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8">
        <f t="shared" si="120"/>
        <v>27</v>
      </c>
      <c r="B111" s="173"/>
      <c r="C111" s="87" t="str">
        <f t="shared" ref="C111:D111" si="141">IF($B110&lt;&gt;"",C107,"")</f>
        <v/>
      </c>
      <c r="D111" s="87" t="str">
        <f t="shared" si="141"/>
        <v/>
      </c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8">
        <f t="shared" si="120"/>
        <v>27</v>
      </c>
      <c r="B112" s="173"/>
      <c r="C112" s="87" t="str">
        <f t="shared" ref="C112:D112" si="142">IF($B110&lt;&gt;"",C108,"")</f>
        <v/>
      </c>
      <c r="D112" s="87" t="str">
        <f t="shared" si="142"/>
        <v/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8">
        <f t="shared" si="120"/>
        <v>27</v>
      </c>
      <c r="B113" s="174"/>
      <c r="C113" s="87" t="str">
        <f t="shared" ref="C113:D113" si="143">IF($B110&lt;&gt;"",C109,"")</f>
        <v/>
      </c>
      <c r="D113" s="87" t="str">
        <f t="shared" si="143"/>
        <v/>
      </c>
      <c r="E113" s="150"/>
      <c r="F113" s="150"/>
      <c r="G113" s="150"/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8">
        <f t="shared" ref="A114" si="144">$A110+1</f>
        <v>28</v>
      </c>
      <c r="B114" s="172" t="str">
        <f>IFERROR(INDEX(TBL_PIPED_IMPORTERS_CONNECTIONS[Name],$A114),"")</f>
        <v/>
      </c>
      <c r="C114" s="87" t="str">
        <f t="shared" ref="C114:D114" si="145">IF($B114&lt;&gt;"",C110,"")</f>
        <v/>
      </c>
      <c r="D114" s="87" t="str">
        <f t="shared" si="145"/>
        <v/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8">
        <f t="shared" ref="A115:A117" si="146">$A114</f>
        <v>28</v>
      </c>
      <c r="B115" s="173"/>
      <c r="C115" s="87" t="str">
        <f t="shared" ref="C115:D115" si="147">IF($B114&lt;&gt;"",C111,"")</f>
        <v/>
      </c>
      <c r="D115" s="87" t="str">
        <f t="shared" si="147"/>
        <v/>
      </c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8">
        <f t="shared" si="146"/>
        <v>28</v>
      </c>
      <c r="B116" s="173"/>
      <c r="C116" s="87" t="str">
        <f t="shared" ref="C116:D116" si="148">IF($B114&lt;&gt;"",C112,"")</f>
        <v/>
      </c>
      <c r="D116" s="87" t="str">
        <f t="shared" si="148"/>
        <v/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8">
        <f t="shared" si="146"/>
        <v>28</v>
      </c>
      <c r="B117" s="174"/>
      <c r="C117" s="87" t="str">
        <f t="shared" ref="C117:D117" si="149">IF($B114&lt;&gt;"",C113,"")</f>
        <v/>
      </c>
      <c r="D117" s="87" t="str">
        <f t="shared" si="149"/>
        <v/>
      </c>
      <c r="E117" s="150"/>
      <c r="F117" s="150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8">
        <f t="shared" ref="A118" si="150">$A114+1</f>
        <v>29</v>
      </c>
      <c r="B118" s="172" t="str">
        <f>IFERROR(INDEX(TBL_PIPED_IMPORTERS_CONNECTIONS[Name],$A118),"")</f>
        <v/>
      </c>
      <c r="C118" s="87" t="str">
        <f t="shared" ref="C118:D118" si="151">IF($B118&lt;&gt;"",C114,"")</f>
        <v/>
      </c>
      <c r="D118" s="87" t="str">
        <f t="shared" si="151"/>
        <v/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8">
        <f t="shared" ref="A119:A121" si="152">$A118</f>
        <v>29</v>
      </c>
      <c r="B119" s="173"/>
      <c r="C119" s="87" t="str">
        <f t="shared" ref="C119:D119" si="153">IF($B118&lt;&gt;"",C115,"")</f>
        <v/>
      </c>
      <c r="D119" s="87" t="str">
        <f t="shared" si="153"/>
        <v/>
      </c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8">
        <f t="shared" si="152"/>
        <v>29</v>
      </c>
      <c r="B120" s="173"/>
      <c r="C120" s="87" t="str">
        <f t="shared" ref="C120:D120" si="154">IF($B118&lt;&gt;"",C116,"")</f>
        <v/>
      </c>
      <c r="D120" s="87" t="str">
        <f t="shared" si="154"/>
        <v/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8">
        <f t="shared" si="152"/>
        <v>29</v>
      </c>
      <c r="B121" s="174"/>
      <c r="C121" s="87" t="str">
        <f t="shared" ref="C121:D121" si="155">IF($B118&lt;&gt;"",C117,"")</f>
        <v/>
      </c>
      <c r="D121" s="87" t="str">
        <f t="shared" si="155"/>
        <v/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8">
        <f t="shared" ref="A122" si="156">$A118+1</f>
        <v>30</v>
      </c>
      <c r="B122" s="172" t="str">
        <f>IFERROR(INDEX(TBL_PIPED_IMPORTERS_CONNECTIONS[Name],$A122),"")</f>
        <v/>
      </c>
      <c r="C122" s="87" t="str">
        <f t="shared" ref="C122:D122" si="157">IF($B122&lt;&gt;"",C118,"")</f>
        <v/>
      </c>
      <c r="D122" s="87" t="str">
        <f t="shared" si="157"/>
        <v/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8">
        <f t="shared" ref="A123:A141" si="158">$A122</f>
        <v>30</v>
      </c>
      <c r="B123" s="173"/>
      <c r="C123" s="87" t="str">
        <f t="shared" ref="C123:D123" si="159">IF($B122&lt;&gt;"",C119,"")</f>
        <v/>
      </c>
      <c r="D123" s="87" t="str">
        <f t="shared" si="159"/>
        <v/>
      </c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8">
        <f t="shared" si="158"/>
        <v>30</v>
      </c>
      <c r="B124" s="173"/>
      <c r="C124" s="87" t="str">
        <f t="shared" ref="C124:D124" si="160">IF($B122&lt;&gt;"",C120,"")</f>
        <v/>
      </c>
      <c r="D124" s="87" t="str">
        <f t="shared" si="160"/>
        <v/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8">
        <f t="shared" si="158"/>
        <v>30</v>
      </c>
      <c r="B125" s="174"/>
      <c r="C125" s="87" t="str">
        <f t="shared" ref="C125:D125" si="161">IF($B122&lt;&gt;"",C121,"")</f>
        <v/>
      </c>
      <c r="D125" s="87" t="str">
        <f t="shared" si="161"/>
        <v/>
      </c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8">
        <f t="shared" ref="A126" si="162">$A122+1</f>
        <v>31</v>
      </c>
      <c r="B126" s="172" t="str">
        <f>IFERROR(INDEX(TBL_PIPED_IMPORTERS_CONNECTIONS[Name],$A126),"")</f>
        <v/>
      </c>
      <c r="C126" s="87" t="str">
        <f t="shared" ref="C126:D126" si="163">IF($B126&lt;&gt;"",C122,"")</f>
        <v/>
      </c>
      <c r="D126" s="87" t="str">
        <f t="shared" si="163"/>
        <v/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8">
        <f t="shared" si="158"/>
        <v>31</v>
      </c>
      <c r="B127" s="173"/>
      <c r="C127" s="87" t="str">
        <f t="shared" ref="C127:D127" si="164">IF($B126&lt;&gt;"",C123,"")</f>
        <v/>
      </c>
      <c r="D127" s="87" t="str">
        <f t="shared" si="164"/>
        <v/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8">
        <f t="shared" si="158"/>
        <v>31</v>
      </c>
      <c r="B128" s="173"/>
      <c r="C128" s="87" t="str">
        <f t="shared" ref="C128:D128" si="165">IF($B126&lt;&gt;"",C124,"")</f>
        <v/>
      </c>
      <c r="D128" s="87" t="str">
        <f t="shared" si="165"/>
        <v/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8">
        <f t="shared" si="158"/>
        <v>31</v>
      </c>
      <c r="B129" s="174"/>
      <c r="C129" s="87" t="str">
        <f t="shared" ref="C129:D129" si="166">IF($B126&lt;&gt;"",C125,"")</f>
        <v/>
      </c>
      <c r="D129" s="87" t="str">
        <f t="shared" si="166"/>
        <v/>
      </c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8">
        <f t="shared" ref="A130" si="167">$A126+1</f>
        <v>32</v>
      </c>
      <c r="B130" s="172" t="str">
        <f>IFERROR(INDEX(TBL_PIPED_IMPORTERS_CONNECTIONS[Name],$A130),"")</f>
        <v/>
      </c>
      <c r="C130" s="87" t="str">
        <f t="shared" ref="C130:D130" si="168">IF($B130&lt;&gt;"",C126,"")</f>
        <v/>
      </c>
      <c r="D130" s="87" t="str">
        <f t="shared" si="168"/>
        <v/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8">
        <f t="shared" si="158"/>
        <v>32</v>
      </c>
      <c r="B131" s="173"/>
      <c r="C131" s="87" t="str">
        <f t="shared" ref="C131:D131" si="169">IF($B130&lt;&gt;"",C127,"")</f>
        <v/>
      </c>
      <c r="D131" s="87" t="str">
        <f t="shared" si="169"/>
        <v/>
      </c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8">
        <f t="shared" si="158"/>
        <v>32</v>
      </c>
      <c r="B132" s="173"/>
      <c r="C132" s="87" t="str">
        <f t="shared" ref="C132:D132" si="170">IF($B130&lt;&gt;"",C128,"")</f>
        <v/>
      </c>
      <c r="D132" s="87" t="str">
        <f t="shared" si="170"/>
        <v/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8">
        <f t="shared" si="158"/>
        <v>32</v>
      </c>
      <c r="B133" s="174"/>
      <c r="C133" s="87" t="str">
        <f t="shared" ref="C133:D133" si="171">IF($B130&lt;&gt;"",C129,"")</f>
        <v/>
      </c>
      <c r="D133" s="87" t="str">
        <f t="shared" si="171"/>
        <v/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8">
        <f t="shared" ref="A134" si="172">$A130+1</f>
        <v>33</v>
      </c>
      <c r="B134" s="172" t="str">
        <f>IFERROR(INDEX(TBL_PIPED_IMPORTERS_CONNECTIONS[Name],$A134),"")</f>
        <v/>
      </c>
      <c r="C134" s="87" t="str">
        <f t="shared" ref="C134:D134" si="173">IF($B134&lt;&gt;"",C130,"")</f>
        <v/>
      </c>
      <c r="D134" s="87" t="str">
        <f t="shared" si="173"/>
        <v/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8">
        <f t="shared" si="158"/>
        <v>33</v>
      </c>
      <c r="B135" s="173"/>
      <c r="C135" s="87" t="str">
        <f t="shared" ref="C135:D135" si="174">IF($B134&lt;&gt;"",C131,"")</f>
        <v/>
      </c>
      <c r="D135" s="87" t="str">
        <f t="shared" si="174"/>
        <v/>
      </c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8">
        <f t="shared" si="158"/>
        <v>33</v>
      </c>
      <c r="B136" s="173"/>
      <c r="C136" s="87" t="str">
        <f t="shared" ref="C136:D136" si="175">IF($B134&lt;&gt;"",C132,"")</f>
        <v/>
      </c>
      <c r="D136" s="87" t="str">
        <f t="shared" si="175"/>
        <v/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8">
        <f t="shared" si="158"/>
        <v>33</v>
      </c>
      <c r="B137" s="174"/>
      <c r="C137" s="87" t="str">
        <f t="shared" ref="C137:D137" si="176">IF($B134&lt;&gt;"",C133,"")</f>
        <v/>
      </c>
      <c r="D137" s="87" t="str">
        <f t="shared" si="176"/>
        <v/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8">
        <f t="shared" ref="A138" si="177">$A134+1</f>
        <v>34</v>
      </c>
      <c r="B138" s="172" t="str">
        <f>IFERROR(INDEX(TBL_PIPED_IMPORTERS_CONNECTIONS[Name],$A138),"")</f>
        <v/>
      </c>
      <c r="C138" s="87" t="str">
        <f t="shared" ref="C138:D138" si="178">IF($B138&lt;&gt;"",C134,"")</f>
        <v/>
      </c>
      <c r="D138" s="87" t="str">
        <f t="shared" si="178"/>
        <v/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8">
        <f t="shared" si="158"/>
        <v>34</v>
      </c>
      <c r="B139" s="173"/>
      <c r="C139" s="87" t="str">
        <f t="shared" ref="C139:D139" si="179">IF($B138&lt;&gt;"",C135,"")</f>
        <v/>
      </c>
      <c r="D139" s="87" t="str">
        <f t="shared" si="179"/>
        <v/>
      </c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8">
        <f t="shared" si="158"/>
        <v>34</v>
      </c>
      <c r="B140" s="173"/>
      <c r="C140" s="87" t="str">
        <f t="shared" ref="C140:D140" si="180">IF($B138&lt;&gt;"",C136,"")</f>
        <v/>
      </c>
      <c r="D140" s="87" t="str">
        <f t="shared" si="180"/>
        <v/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8">
        <f t="shared" si="158"/>
        <v>34</v>
      </c>
      <c r="B141" s="174"/>
      <c r="C141" s="87" t="str">
        <f t="shared" ref="C141:D141" si="181">IF($B138&lt;&gt;"",C137,"")</f>
        <v/>
      </c>
      <c r="D141" s="87" t="str">
        <f t="shared" si="181"/>
        <v/>
      </c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8">
        <f t="shared" ref="A142" si="182">$A138+1</f>
        <v>35</v>
      </c>
      <c r="B142" s="172" t="str">
        <f>IFERROR(INDEX(TBL_PIPED_IMPORTERS_CONNECTIONS[Name],$A142),"")</f>
        <v/>
      </c>
      <c r="C142" s="87" t="str">
        <f t="shared" ref="C142:D142" si="183">IF($B142&lt;&gt;"",C138,"")</f>
        <v/>
      </c>
      <c r="D142" s="87" t="str">
        <f t="shared" si="183"/>
        <v/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8">
        <f t="shared" ref="A143:A145" si="184">$A142</f>
        <v>35</v>
      </c>
      <c r="B143" s="173"/>
      <c r="C143" s="87" t="str">
        <f t="shared" ref="C143:D143" si="185">IF($B142&lt;&gt;"",C139,"")</f>
        <v/>
      </c>
      <c r="D143" s="87" t="str">
        <f t="shared" si="185"/>
        <v/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8">
        <f t="shared" si="184"/>
        <v>35</v>
      </c>
      <c r="B144" s="173"/>
      <c r="C144" s="87" t="str">
        <f t="shared" ref="C144:D144" si="186">IF($B142&lt;&gt;"",C140,"")</f>
        <v/>
      </c>
      <c r="D144" s="87" t="str">
        <f t="shared" si="186"/>
        <v/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8">
        <f t="shared" si="184"/>
        <v>35</v>
      </c>
      <c r="B145" s="174"/>
      <c r="C145" s="87" t="str">
        <f t="shared" ref="C145:D145" si="187">IF($B142&lt;&gt;"",C141,"")</f>
        <v/>
      </c>
      <c r="D145" s="87" t="str">
        <f t="shared" si="187"/>
        <v/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8">
        <f t="shared" ref="A146" si="188">$A142+1</f>
        <v>36</v>
      </c>
      <c r="B146" s="172" t="str">
        <f>IFERROR(INDEX(TBL_PIPED_IMPORTERS_CONNECTIONS[Name],$A146),"")</f>
        <v/>
      </c>
      <c r="C146" s="87" t="str">
        <f t="shared" ref="C146:D146" si="189">IF($B146&lt;&gt;"",C142,"")</f>
        <v/>
      </c>
      <c r="D146" s="87" t="str">
        <f t="shared" si="189"/>
        <v/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8">
        <f t="shared" ref="A147:A149" si="190">$A146</f>
        <v>36</v>
      </c>
      <c r="B147" s="173"/>
      <c r="C147" s="87" t="str">
        <f t="shared" ref="C147:D147" si="191">IF($B146&lt;&gt;"",C143,"")</f>
        <v/>
      </c>
      <c r="D147" s="87" t="str">
        <f t="shared" si="191"/>
        <v/>
      </c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8">
        <f t="shared" si="190"/>
        <v>36</v>
      </c>
      <c r="B148" s="173"/>
      <c r="C148" s="87" t="str">
        <f t="shared" ref="C148:D148" si="192">IF($B146&lt;&gt;"",C144,"")</f>
        <v/>
      </c>
      <c r="D148" s="87" t="str">
        <f t="shared" si="192"/>
        <v/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8">
        <f t="shared" si="190"/>
        <v>36</v>
      </c>
      <c r="B149" s="174"/>
      <c r="C149" s="87" t="str">
        <f t="shared" ref="C149:D149" si="193">IF($B146&lt;&gt;"",C145,"")</f>
        <v/>
      </c>
      <c r="D149" s="87" t="str">
        <f t="shared" si="193"/>
        <v/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8">
        <f t="shared" ref="A150" si="194">$A146+1</f>
        <v>37</v>
      </c>
      <c r="B150" s="172" t="str">
        <f>IFERROR(INDEX(TBL_PIPED_IMPORTERS_CONNECTIONS[Name],$A150),"")</f>
        <v/>
      </c>
      <c r="C150" s="87" t="str">
        <f t="shared" ref="C150:D150" si="195">IF($B150&lt;&gt;"",C146,"")</f>
        <v/>
      </c>
      <c r="D150" s="87" t="str">
        <f t="shared" si="195"/>
        <v/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8">
        <f t="shared" ref="A151:A169" si="196">$A150</f>
        <v>37</v>
      </c>
      <c r="B151" s="173"/>
      <c r="C151" s="87" t="str">
        <f t="shared" ref="C151:D151" si="197">IF($B150&lt;&gt;"",C147,"")</f>
        <v/>
      </c>
      <c r="D151" s="87" t="str">
        <f t="shared" si="197"/>
        <v/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8">
        <f t="shared" si="196"/>
        <v>37</v>
      </c>
      <c r="B152" s="173"/>
      <c r="C152" s="87" t="str">
        <f t="shared" ref="C152:D152" si="198">IF($B150&lt;&gt;"",C148,"")</f>
        <v/>
      </c>
      <c r="D152" s="87" t="str">
        <f t="shared" si="198"/>
        <v/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8">
        <f t="shared" si="196"/>
        <v>37</v>
      </c>
      <c r="B153" s="174"/>
      <c r="C153" s="87" t="str">
        <f t="shared" ref="C153:D153" si="199">IF($B150&lt;&gt;"",C149,"")</f>
        <v/>
      </c>
      <c r="D153" s="87" t="str">
        <f t="shared" si="199"/>
        <v/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8">
        <f t="shared" ref="A154" si="200">$A150+1</f>
        <v>38</v>
      </c>
      <c r="B154" s="172" t="str">
        <f>IFERROR(INDEX(TBL_PIPED_IMPORTERS_CONNECTIONS[Name],$A154),"")</f>
        <v/>
      </c>
      <c r="C154" s="87" t="str">
        <f t="shared" ref="C154:D154" si="201">IF($B154&lt;&gt;"",C150,"")</f>
        <v/>
      </c>
      <c r="D154" s="87" t="str">
        <f t="shared" si="201"/>
        <v/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8">
        <f t="shared" si="196"/>
        <v>38</v>
      </c>
      <c r="B155" s="173"/>
      <c r="C155" s="87" t="str">
        <f t="shared" ref="C155:D155" si="202">IF($B154&lt;&gt;"",C151,"")</f>
        <v/>
      </c>
      <c r="D155" s="87" t="str">
        <f t="shared" si="202"/>
        <v/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8">
        <f t="shared" si="196"/>
        <v>38</v>
      </c>
      <c r="B156" s="173"/>
      <c r="C156" s="87" t="str">
        <f t="shared" ref="C156:D156" si="203">IF($B154&lt;&gt;"",C152,"")</f>
        <v/>
      </c>
      <c r="D156" s="87" t="str">
        <f t="shared" si="203"/>
        <v/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8">
        <f t="shared" si="196"/>
        <v>38</v>
      </c>
      <c r="B157" s="174"/>
      <c r="C157" s="87" t="str">
        <f t="shared" ref="C157:D157" si="204">IF($B154&lt;&gt;"",C153,"")</f>
        <v/>
      </c>
      <c r="D157" s="87" t="str">
        <f t="shared" si="204"/>
        <v/>
      </c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8">
        <f t="shared" ref="A158" si="205">$A154+1</f>
        <v>39</v>
      </c>
      <c r="B158" s="172" t="str">
        <f>IFERROR(INDEX(TBL_PIPED_IMPORTERS_CONNECTIONS[Name],$A158),"")</f>
        <v/>
      </c>
      <c r="C158" s="87" t="str">
        <f t="shared" ref="C158:D158" si="206">IF($B158&lt;&gt;"",C154,"")</f>
        <v/>
      </c>
      <c r="D158" s="87" t="str">
        <f t="shared" si="206"/>
        <v/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8">
        <f t="shared" si="196"/>
        <v>39</v>
      </c>
      <c r="B159" s="173"/>
      <c r="C159" s="87" t="str">
        <f t="shared" ref="C159:D159" si="207">IF($B158&lt;&gt;"",C155,"")</f>
        <v/>
      </c>
      <c r="D159" s="87" t="str">
        <f t="shared" si="207"/>
        <v/>
      </c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8">
        <f t="shared" si="196"/>
        <v>39</v>
      </c>
      <c r="B160" s="173"/>
      <c r="C160" s="87" t="str">
        <f t="shared" ref="C160:D160" si="208">IF($B158&lt;&gt;"",C156,"")</f>
        <v/>
      </c>
      <c r="D160" s="87" t="str">
        <f t="shared" si="208"/>
        <v/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8">
        <f t="shared" si="196"/>
        <v>39</v>
      </c>
      <c r="B161" s="174"/>
      <c r="C161" s="87" t="str">
        <f t="shared" ref="C161:D161" si="209">IF($B158&lt;&gt;"",C157,"")</f>
        <v/>
      </c>
      <c r="D161" s="87" t="str">
        <f t="shared" si="209"/>
        <v/>
      </c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8">
        <f t="shared" ref="A162" si="210">$A158+1</f>
        <v>40</v>
      </c>
      <c r="B162" s="172" t="str">
        <f>IFERROR(INDEX(TBL_PIPED_IMPORTERS_CONNECTIONS[Name],$A162),"")</f>
        <v/>
      </c>
      <c r="C162" s="87" t="str">
        <f t="shared" ref="C162:D162" si="211">IF($B162&lt;&gt;"",C158,"")</f>
        <v/>
      </c>
      <c r="D162" s="87" t="str">
        <f t="shared" si="211"/>
        <v/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8">
        <f t="shared" si="196"/>
        <v>40</v>
      </c>
      <c r="B163" s="173"/>
      <c r="C163" s="87" t="str">
        <f t="shared" ref="C163:D163" si="212">IF($B162&lt;&gt;"",C159,"")</f>
        <v/>
      </c>
      <c r="D163" s="87" t="str">
        <f t="shared" si="212"/>
        <v/>
      </c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8">
        <f t="shared" si="196"/>
        <v>40</v>
      </c>
      <c r="B164" s="173"/>
      <c r="C164" s="87" t="str">
        <f t="shared" ref="C164:D164" si="213">IF($B162&lt;&gt;"",C160,"")</f>
        <v/>
      </c>
      <c r="D164" s="87" t="str">
        <f t="shared" si="213"/>
        <v/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8">
        <f t="shared" si="196"/>
        <v>40</v>
      </c>
      <c r="B165" s="174"/>
      <c r="C165" s="87" t="str">
        <f t="shared" ref="C165:D165" si="214">IF($B162&lt;&gt;"",C161,"")</f>
        <v/>
      </c>
      <c r="D165" s="87" t="str">
        <f t="shared" si="214"/>
        <v/>
      </c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8">
        <f t="shared" ref="A166" si="215">$A162+1</f>
        <v>41</v>
      </c>
      <c r="B166" s="172" t="str">
        <f>IFERROR(INDEX(TBL_PIPED_IMPORTERS_CONNECTIONS[Name],$A166),"")</f>
        <v/>
      </c>
      <c r="C166" s="87" t="str">
        <f t="shared" ref="C166:D166" si="216">IF($B166&lt;&gt;"",C162,"")</f>
        <v/>
      </c>
      <c r="D166" s="87" t="str">
        <f t="shared" si="216"/>
        <v/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8">
        <f t="shared" si="196"/>
        <v>41</v>
      </c>
      <c r="B167" s="173"/>
      <c r="C167" s="87" t="str">
        <f t="shared" ref="C167:D167" si="217">IF($B166&lt;&gt;"",C163,"")</f>
        <v/>
      </c>
      <c r="D167" s="87" t="str">
        <f t="shared" si="217"/>
        <v/>
      </c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8">
        <f t="shared" si="196"/>
        <v>41</v>
      </c>
      <c r="B168" s="173"/>
      <c r="C168" s="87" t="str">
        <f t="shared" ref="C168:D168" si="218">IF($B166&lt;&gt;"",C164,"")</f>
        <v/>
      </c>
      <c r="D168" s="87" t="str">
        <f t="shared" si="218"/>
        <v/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8">
        <f t="shared" si="196"/>
        <v>41</v>
      </c>
      <c r="B169" s="174"/>
      <c r="C169" s="87" t="str">
        <f t="shared" ref="C169:D169" si="219">IF($B166&lt;&gt;"",C165,"")</f>
        <v/>
      </c>
      <c r="D169" s="87" t="str">
        <f t="shared" si="219"/>
        <v/>
      </c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8">
        <f t="shared" ref="A170" si="220">$A166+1</f>
        <v>42</v>
      </c>
      <c r="B170" s="172" t="str">
        <f>IFERROR(INDEX(TBL_PIPED_IMPORTERS_CONNECTIONS[Name],$A170),"")</f>
        <v/>
      </c>
      <c r="C170" s="87" t="str">
        <f t="shared" ref="C170:D170" si="221">IF($B170&lt;&gt;"",C166,"")</f>
        <v/>
      </c>
      <c r="D170" s="87" t="str">
        <f t="shared" si="221"/>
        <v/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8">
        <f t="shared" ref="A171:A173" si="222">$A170</f>
        <v>42</v>
      </c>
      <c r="B171" s="173"/>
      <c r="C171" s="87" t="str">
        <f t="shared" ref="C171:D171" si="223">IF($B170&lt;&gt;"",C167,"")</f>
        <v/>
      </c>
      <c r="D171" s="87" t="str">
        <f t="shared" si="223"/>
        <v/>
      </c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8">
        <f t="shared" si="222"/>
        <v>42</v>
      </c>
      <c r="B172" s="173"/>
      <c r="C172" s="87" t="str">
        <f t="shared" ref="C172:D172" si="224">IF($B170&lt;&gt;"",C168,"")</f>
        <v/>
      </c>
      <c r="D172" s="87" t="str">
        <f t="shared" si="224"/>
        <v/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8">
        <f t="shared" si="222"/>
        <v>42</v>
      </c>
      <c r="B173" s="174"/>
      <c r="C173" s="87" t="str">
        <f t="shared" ref="C173:D173" si="225">IF($B170&lt;&gt;"",C169,"")</f>
        <v/>
      </c>
      <c r="D173" s="87" t="str">
        <f t="shared" si="225"/>
        <v/>
      </c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8">
        <f t="shared" ref="A174" si="226">$A170+1</f>
        <v>43</v>
      </c>
      <c r="B174" s="172" t="str">
        <f>IFERROR(INDEX(TBL_PIPED_IMPORTERS_CONNECTIONS[Name],$A174),"")</f>
        <v/>
      </c>
      <c r="C174" s="87" t="str">
        <f t="shared" ref="C174:D174" si="227">IF($B174&lt;&gt;"",C170,"")</f>
        <v/>
      </c>
      <c r="D174" s="87" t="str">
        <f t="shared" si="227"/>
        <v/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8">
        <f t="shared" ref="A175:A177" si="228">$A174</f>
        <v>43</v>
      </c>
      <c r="B175" s="173"/>
      <c r="C175" s="87" t="str">
        <f t="shared" ref="C175:D175" si="229">IF($B174&lt;&gt;"",C171,"")</f>
        <v/>
      </c>
      <c r="D175" s="87" t="str">
        <f t="shared" si="229"/>
        <v/>
      </c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8">
        <f t="shared" si="228"/>
        <v>43</v>
      </c>
      <c r="B176" s="173"/>
      <c r="C176" s="87" t="str">
        <f t="shared" ref="C176:D176" si="230">IF($B174&lt;&gt;"",C172,"")</f>
        <v/>
      </c>
      <c r="D176" s="87" t="str">
        <f t="shared" si="230"/>
        <v/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8">
        <f t="shared" si="228"/>
        <v>43</v>
      </c>
      <c r="B177" s="174"/>
      <c r="C177" s="87" t="str">
        <f t="shared" ref="C177:D177" si="231">IF($B174&lt;&gt;"",C173,"")</f>
        <v/>
      </c>
      <c r="D177" s="87" t="str">
        <f t="shared" si="231"/>
        <v/>
      </c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8">
        <f t="shared" ref="A178" si="232">$A174+1</f>
        <v>44</v>
      </c>
      <c r="B178" s="172" t="str">
        <f>IFERROR(INDEX(TBL_PIPED_IMPORTERS_CONNECTIONS[Name],$A178),"")</f>
        <v/>
      </c>
      <c r="C178" s="87" t="str">
        <f t="shared" ref="C178:D178" si="233">IF($B178&lt;&gt;"",C174,"")</f>
        <v/>
      </c>
      <c r="D178" s="87" t="str">
        <f t="shared" si="233"/>
        <v/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8">
        <f t="shared" ref="A179:A197" si="234">$A178</f>
        <v>44</v>
      </c>
      <c r="B179" s="173"/>
      <c r="C179" s="87" t="str">
        <f t="shared" ref="C179:D179" si="235">IF($B178&lt;&gt;"",C175,"")</f>
        <v/>
      </c>
      <c r="D179" s="87" t="str">
        <f t="shared" si="235"/>
        <v/>
      </c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8">
        <f t="shared" si="234"/>
        <v>44</v>
      </c>
      <c r="B180" s="173"/>
      <c r="C180" s="87" t="str">
        <f t="shared" ref="C180:D180" si="236">IF($B178&lt;&gt;"",C176,"")</f>
        <v/>
      </c>
      <c r="D180" s="87" t="str">
        <f t="shared" si="236"/>
        <v/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8">
        <f t="shared" si="234"/>
        <v>44</v>
      </c>
      <c r="B181" s="174"/>
      <c r="C181" s="87" t="str">
        <f t="shared" ref="C181:D181" si="237">IF($B178&lt;&gt;"",C177,"")</f>
        <v/>
      </c>
      <c r="D181" s="87" t="str">
        <f t="shared" si="237"/>
        <v/>
      </c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8">
        <f t="shared" ref="A182" si="238">$A178+1</f>
        <v>45</v>
      </c>
      <c r="B182" s="172" t="str">
        <f>IFERROR(INDEX(TBL_PIPED_IMPORTERS_CONNECTIONS[Name],$A182),"")</f>
        <v/>
      </c>
      <c r="C182" s="87" t="str">
        <f t="shared" ref="C182:D182" si="239">IF($B182&lt;&gt;"",C178,"")</f>
        <v/>
      </c>
      <c r="D182" s="87" t="str">
        <f t="shared" si="239"/>
        <v/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8">
        <f t="shared" si="234"/>
        <v>45</v>
      </c>
      <c r="B183" s="173"/>
      <c r="C183" s="87" t="str">
        <f t="shared" ref="C183:D183" si="240">IF($B182&lt;&gt;"",C179,"")</f>
        <v/>
      </c>
      <c r="D183" s="87" t="str">
        <f t="shared" si="240"/>
        <v/>
      </c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8">
        <f t="shared" si="234"/>
        <v>45</v>
      </c>
      <c r="B184" s="173"/>
      <c r="C184" s="87" t="str">
        <f t="shared" ref="C184:D184" si="241">IF($B182&lt;&gt;"",C180,"")</f>
        <v/>
      </c>
      <c r="D184" s="87" t="str">
        <f t="shared" si="241"/>
        <v/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8">
        <f t="shared" si="234"/>
        <v>45</v>
      </c>
      <c r="B185" s="174"/>
      <c r="C185" s="87" t="str">
        <f t="shared" ref="C185:D185" si="242">IF($B182&lt;&gt;"",C181,"")</f>
        <v/>
      </c>
      <c r="D185" s="87" t="str">
        <f t="shared" si="242"/>
        <v/>
      </c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8">
        <f t="shared" ref="A186" si="243">$A182+1</f>
        <v>46</v>
      </c>
      <c r="B186" s="172" t="str">
        <f>IFERROR(INDEX(TBL_PIPED_IMPORTERS_CONNECTIONS[Name],$A186),"")</f>
        <v/>
      </c>
      <c r="C186" s="87" t="str">
        <f t="shared" ref="C186:D186" si="244">IF($B186&lt;&gt;"",C182,"")</f>
        <v/>
      </c>
      <c r="D186" s="87" t="str">
        <f t="shared" si="244"/>
        <v/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8">
        <f t="shared" si="234"/>
        <v>46</v>
      </c>
      <c r="B187" s="173"/>
      <c r="C187" s="87" t="str">
        <f t="shared" ref="C187:D187" si="245">IF($B186&lt;&gt;"",C183,"")</f>
        <v/>
      </c>
      <c r="D187" s="87" t="str">
        <f t="shared" si="245"/>
        <v/>
      </c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8">
        <f t="shared" si="234"/>
        <v>46</v>
      </c>
      <c r="B188" s="173"/>
      <c r="C188" s="87" t="str">
        <f t="shared" ref="C188:D188" si="246">IF($B186&lt;&gt;"",C184,"")</f>
        <v/>
      </c>
      <c r="D188" s="87" t="str">
        <f t="shared" si="246"/>
        <v/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8">
        <f t="shared" si="234"/>
        <v>46</v>
      </c>
      <c r="B189" s="174"/>
      <c r="C189" s="87" t="str">
        <f t="shared" ref="C189:D189" si="247">IF($B186&lt;&gt;"",C185,"")</f>
        <v/>
      </c>
      <c r="D189" s="87" t="str">
        <f t="shared" si="247"/>
        <v/>
      </c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8">
        <f t="shared" ref="A190" si="248">$A186+1</f>
        <v>47</v>
      </c>
      <c r="B190" s="172" t="str">
        <f>IFERROR(INDEX(TBL_PIPED_IMPORTERS_CONNECTIONS[Name],$A190),"")</f>
        <v/>
      </c>
      <c r="C190" s="87" t="str">
        <f t="shared" ref="C190:D190" si="249">IF($B190&lt;&gt;"",C186,"")</f>
        <v/>
      </c>
      <c r="D190" s="87" t="str">
        <f t="shared" si="249"/>
        <v/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8">
        <f t="shared" si="234"/>
        <v>47</v>
      </c>
      <c r="B191" s="173"/>
      <c r="C191" s="87" t="str">
        <f t="shared" ref="C191:D191" si="250">IF($B190&lt;&gt;"",C187,"")</f>
        <v/>
      </c>
      <c r="D191" s="87" t="str">
        <f t="shared" si="250"/>
        <v/>
      </c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8">
        <f t="shared" si="234"/>
        <v>47</v>
      </c>
      <c r="B192" s="173"/>
      <c r="C192" s="87" t="str">
        <f t="shared" ref="C192:D192" si="251">IF($B190&lt;&gt;"",C188,"")</f>
        <v/>
      </c>
      <c r="D192" s="87" t="str">
        <f t="shared" si="251"/>
        <v/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8">
        <f t="shared" si="234"/>
        <v>47</v>
      </c>
      <c r="B193" s="174"/>
      <c r="C193" s="87" t="str">
        <f t="shared" ref="C193:D193" si="252">IF($B190&lt;&gt;"",C189,"")</f>
        <v/>
      </c>
      <c r="D193" s="87" t="str">
        <f t="shared" si="252"/>
        <v/>
      </c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8">
        <f t="shared" ref="A194" si="253">$A190+1</f>
        <v>48</v>
      </c>
      <c r="B194" s="172" t="str">
        <f>IFERROR(INDEX(TBL_PIPED_IMPORTERS_CONNECTIONS[Name],$A194),"")</f>
        <v/>
      </c>
      <c r="C194" s="87" t="str">
        <f t="shared" ref="C194:D194" si="254">IF($B194&lt;&gt;"",C190,"")</f>
        <v/>
      </c>
      <c r="D194" s="87" t="str">
        <f t="shared" si="254"/>
        <v/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8">
        <f t="shared" si="234"/>
        <v>48</v>
      </c>
      <c r="B195" s="173"/>
      <c r="C195" s="87" t="str">
        <f t="shared" ref="C195:D195" si="255">IF($B194&lt;&gt;"",C191,"")</f>
        <v/>
      </c>
      <c r="D195" s="87" t="str">
        <f t="shared" si="255"/>
        <v/>
      </c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8">
        <f t="shared" si="234"/>
        <v>48</v>
      </c>
      <c r="B196" s="173"/>
      <c r="C196" s="87" t="str">
        <f t="shared" ref="C196:D196" si="256">IF($B194&lt;&gt;"",C192,"")</f>
        <v/>
      </c>
      <c r="D196" s="87" t="str">
        <f t="shared" si="256"/>
        <v/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8">
        <f t="shared" si="234"/>
        <v>48</v>
      </c>
      <c r="B197" s="174"/>
      <c r="C197" s="87" t="str">
        <f t="shared" ref="C197:D197" si="257">IF($B194&lt;&gt;"",C193,"")</f>
        <v/>
      </c>
      <c r="D197" s="87" t="str">
        <f t="shared" si="257"/>
        <v/>
      </c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8">
        <f t="shared" ref="A198" si="258">$A194+1</f>
        <v>49</v>
      </c>
      <c r="B198" s="172" t="str">
        <f>IFERROR(INDEX(TBL_PIPED_IMPORTERS_CONNECTIONS[Name],$A198),"")</f>
        <v/>
      </c>
      <c r="C198" s="87" t="str">
        <f t="shared" ref="C198:D198" si="259">IF($B198&lt;&gt;"",C194,"")</f>
        <v/>
      </c>
      <c r="D198" s="87" t="str">
        <f t="shared" si="259"/>
        <v/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8">
        <f t="shared" ref="A199:A201" si="260">$A198</f>
        <v>49</v>
      </c>
      <c r="B199" s="173"/>
      <c r="C199" s="87" t="str">
        <f t="shared" ref="C199:D199" si="261">IF($B198&lt;&gt;"",C195,"")</f>
        <v/>
      </c>
      <c r="D199" s="87" t="str">
        <f t="shared" si="261"/>
        <v/>
      </c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8">
        <f t="shared" si="260"/>
        <v>49</v>
      </c>
      <c r="B200" s="173"/>
      <c r="C200" s="87" t="str">
        <f t="shared" ref="C200:D200" si="262">IF($B198&lt;&gt;"",C196,"")</f>
        <v/>
      </c>
      <c r="D200" s="87" t="str">
        <f t="shared" si="262"/>
        <v/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8">
        <f t="shared" si="260"/>
        <v>49</v>
      </c>
      <c r="B201" s="174"/>
      <c r="C201" s="87" t="str">
        <f t="shared" ref="C201:D201" si="263">IF($B198&lt;&gt;"",C197,"")</f>
        <v/>
      </c>
      <c r="D201" s="87" t="str">
        <f t="shared" si="263"/>
        <v/>
      </c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8">
        <f t="shared" ref="A202" si="264">$A198+1</f>
        <v>50</v>
      </c>
      <c r="B202" s="172" t="str">
        <f>IFERROR(INDEX(TBL_PIPED_IMPORTERS_CONNECTIONS[Name],$A202),"")</f>
        <v/>
      </c>
      <c r="C202" s="87" t="str">
        <f t="shared" ref="C202:D202" si="265">IF($B202&lt;&gt;"",C198,"")</f>
        <v/>
      </c>
      <c r="D202" s="87" t="str">
        <f t="shared" si="265"/>
        <v/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8">
        <f t="shared" ref="A203:A205" si="266">$A202</f>
        <v>50</v>
      </c>
      <c r="B203" s="173"/>
      <c r="C203" s="87" t="str">
        <f t="shared" ref="C203:D203" si="267">IF($B202&lt;&gt;"",C199,"")</f>
        <v/>
      </c>
      <c r="D203" s="87" t="str">
        <f t="shared" si="267"/>
        <v/>
      </c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8">
        <f t="shared" si="266"/>
        <v>50</v>
      </c>
      <c r="B204" s="173"/>
      <c r="C204" s="87" t="str">
        <f t="shared" ref="C204:D204" si="268">IF($B202&lt;&gt;"",C200,"")</f>
        <v/>
      </c>
      <c r="D204" s="87" t="str">
        <f t="shared" si="268"/>
        <v/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8">
        <f t="shared" si="266"/>
        <v>50</v>
      </c>
      <c r="B205" s="174"/>
      <c r="C205" s="87" t="str">
        <f t="shared" ref="C205:D205" si="269">IF($B202&lt;&gt;"",C201,"")</f>
        <v/>
      </c>
      <c r="D205" s="87" t="str">
        <f t="shared" si="269"/>
        <v/>
      </c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8">
        <f t="shared" ref="A206" si="270">$A202+1</f>
        <v>51</v>
      </c>
      <c r="B206" s="172" t="str">
        <f>IFERROR(INDEX(TBL_PIPED_IMPORTERS_CONNECTIONS[Name],$A206),"")</f>
        <v/>
      </c>
      <c r="C206" s="87" t="str">
        <f t="shared" ref="C206:D206" si="271">IF($B206&lt;&gt;"",C202,"")</f>
        <v/>
      </c>
      <c r="D206" s="87" t="str">
        <f t="shared" si="271"/>
        <v/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8">
        <f t="shared" ref="A207:A225" si="272">$A206</f>
        <v>51</v>
      </c>
      <c r="B207" s="173"/>
      <c r="C207" s="87" t="str">
        <f t="shared" ref="C207:D207" si="273">IF($B206&lt;&gt;"",C203,"")</f>
        <v/>
      </c>
      <c r="D207" s="87" t="str">
        <f t="shared" si="273"/>
        <v/>
      </c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8">
        <f t="shared" si="272"/>
        <v>51</v>
      </c>
      <c r="B208" s="173"/>
      <c r="C208" s="87" t="str">
        <f t="shared" ref="C208:D208" si="274">IF($B206&lt;&gt;"",C204,"")</f>
        <v/>
      </c>
      <c r="D208" s="87" t="str">
        <f t="shared" si="274"/>
        <v/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8">
        <f t="shared" si="272"/>
        <v>51</v>
      </c>
      <c r="B209" s="174"/>
      <c r="C209" s="87" t="str">
        <f t="shared" ref="C209:D209" si="275">IF($B206&lt;&gt;"",C205,"")</f>
        <v/>
      </c>
      <c r="D209" s="87" t="str">
        <f t="shared" si="275"/>
        <v/>
      </c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8">
        <f t="shared" ref="A210" si="276">$A206+1</f>
        <v>52</v>
      </c>
      <c r="B210" s="172" t="str">
        <f>IFERROR(INDEX(TBL_PIPED_IMPORTERS_CONNECTIONS[Name],$A210),"")</f>
        <v/>
      </c>
      <c r="C210" s="87" t="str">
        <f t="shared" ref="C210:D210" si="277">IF($B210&lt;&gt;"",C206,"")</f>
        <v/>
      </c>
      <c r="D210" s="87" t="str">
        <f t="shared" si="277"/>
        <v/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8">
        <f t="shared" si="272"/>
        <v>52</v>
      </c>
      <c r="B211" s="173"/>
      <c r="C211" s="87" t="str">
        <f t="shared" ref="C211:D211" si="278">IF($B210&lt;&gt;"",C207,"")</f>
        <v/>
      </c>
      <c r="D211" s="87" t="str">
        <f t="shared" si="278"/>
        <v/>
      </c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8">
        <f t="shared" si="272"/>
        <v>52</v>
      </c>
      <c r="B212" s="173"/>
      <c r="C212" s="87" t="str">
        <f t="shared" ref="C212:D212" si="279">IF($B210&lt;&gt;"",C208,"")</f>
        <v/>
      </c>
      <c r="D212" s="87" t="str">
        <f t="shared" si="279"/>
        <v/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8">
        <f t="shared" si="272"/>
        <v>52</v>
      </c>
      <c r="B213" s="174"/>
      <c r="C213" s="87" t="str">
        <f t="shared" ref="C213:D213" si="280">IF($B210&lt;&gt;"",C209,"")</f>
        <v/>
      </c>
      <c r="D213" s="87" t="str">
        <f t="shared" si="280"/>
        <v/>
      </c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8">
        <f t="shared" ref="A214" si="281">$A210+1</f>
        <v>53</v>
      </c>
      <c r="B214" s="172" t="str">
        <f>IFERROR(INDEX(TBL_PIPED_IMPORTERS_CONNECTIONS[Name],$A214),"")</f>
        <v/>
      </c>
      <c r="C214" s="87" t="str">
        <f t="shared" ref="C214:D214" si="282">IF($B214&lt;&gt;"",C210,"")</f>
        <v/>
      </c>
      <c r="D214" s="87" t="str">
        <f t="shared" si="282"/>
        <v/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8">
        <f t="shared" si="272"/>
        <v>53</v>
      </c>
      <c r="B215" s="173"/>
      <c r="C215" s="87" t="str">
        <f t="shared" ref="C215:D215" si="283">IF($B214&lt;&gt;"",C211,"")</f>
        <v/>
      </c>
      <c r="D215" s="87" t="str">
        <f t="shared" si="283"/>
        <v/>
      </c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8">
        <f t="shared" si="272"/>
        <v>53</v>
      </c>
      <c r="B216" s="173"/>
      <c r="C216" s="87" t="str">
        <f t="shared" ref="C216:D216" si="284">IF($B214&lt;&gt;"",C212,"")</f>
        <v/>
      </c>
      <c r="D216" s="87" t="str">
        <f t="shared" si="284"/>
        <v/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8">
        <f t="shared" si="272"/>
        <v>53</v>
      </c>
      <c r="B217" s="174"/>
      <c r="C217" s="87" t="str">
        <f t="shared" ref="C217:D217" si="285">IF($B214&lt;&gt;"",C213,"")</f>
        <v/>
      </c>
      <c r="D217" s="87" t="str">
        <f t="shared" si="285"/>
        <v/>
      </c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8">
        <f t="shared" ref="A218" si="286">$A214+1</f>
        <v>54</v>
      </c>
      <c r="B218" s="172" t="str">
        <f>IFERROR(INDEX(TBL_PIPED_IMPORTERS_CONNECTIONS[Name],$A218),"")</f>
        <v/>
      </c>
      <c r="C218" s="87" t="str">
        <f t="shared" ref="C218:D218" si="287">IF($B218&lt;&gt;"",C214,"")</f>
        <v/>
      </c>
      <c r="D218" s="87" t="str">
        <f t="shared" si="287"/>
        <v/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8">
        <f t="shared" si="272"/>
        <v>54</v>
      </c>
      <c r="B219" s="173"/>
      <c r="C219" s="87" t="str">
        <f t="shared" ref="C219:D219" si="288">IF($B218&lt;&gt;"",C215,"")</f>
        <v/>
      </c>
      <c r="D219" s="87" t="str">
        <f t="shared" si="288"/>
        <v/>
      </c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8">
        <f t="shared" si="272"/>
        <v>54</v>
      </c>
      <c r="B220" s="173"/>
      <c r="C220" s="87" t="str">
        <f t="shared" ref="C220:D220" si="289">IF($B218&lt;&gt;"",C216,"")</f>
        <v/>
      </c>
      <c r="D220" s="87" t="str">
        <f t="shared" si="289"/>
        <v/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8">
        <f t="shared" si="272"/>
        <v>54</v>
      </c>
      <c r="B221" s="174"/>
      <c r="C221" s="87" t="str">
        <f t="shared" ref="C221:D221" si="290">IF($B218&lt;&gt;"",C217,"")</f>
        <v/>
      </c>
      <c r="D221" s="87" t="str">
        <f t="shared" si="290"/>
        <v/>
      </c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8">
        <f t="shared" ref="A222" si="291">$A218+1</f>
        <v>55</v>
      </c>
      <c r="B222" s="172" t="str">
        <f>IFERROR(INDEX(TBL_PIPED_IMPORTERS_CONNECTIONS[Name],$A222),"")</f>
        <v/>
      </c>
      <c r="C222" s="87" t="str">
        <f t="shared" ref="C222:D222" si="292">IF($B222&lt;&gt;"",C218,"")</f>
        <v/>
      </c>
      <c r="D222" s="87" t="str">
        <f t="shared" si="292"/>
        <v/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8">
        <f t="shared" si="272"/>
        <v>55</v>
      </c>
      <c r="B223" s="173"/>
      <c r="C223" s="87" t="str">
        <f t="shared" ref="C223:D223" si="293">IF($B222&lt;&gt;"",C219,"")</f>
        <v/>
      </c>
      <c r="D223" s="87" t="str">
        <f t="shared" si="293"/>
        <v/>
      </c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8">
        <f t="shared" si="272"/>
        <v>55</v>
      </c>
      <c r="B224" s="173"/>
      <c r="C224" s="87" t="str">
        <f t="shared" ref="C224:D224" si="294">IF($B222&lt;&gt;"",C220,"")</f>
        <v/>
      </c>
      <c r="D224" s="87" t="str">
        <f t="shared" si="294"/>
        <v/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8">
        <f t="shared" si="272"/>
        <v>55</v>
      </c>
      <c r="B225" s="174"/>
      <c r="C225" s="87" t="str">
        <f t="shared" ref="C225:D225" si="295">IF($B222&lt;&gt;"",C221,"")</f>
        <v/>
      </c>
      <c r="D225" s="87" t="str">
        <f t="shared" si="295"/>
        <v/>
      </c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8">
        <f t="shared" ref="A226" si="296">$A222+1</f>
        <v>56</v>
      </c>
      <c r="B226" s="172" t="str">
        <f>IFERROR(INDEX(TBL_PIPED_IMPORTERS_CONNECTIONS[Name],$A226),"")</f>
        <v/>
      </c>
      <c r="C226" s="87" t="str">
        <f t="shared" ref="C226:D226" si="297">IF($B226&lt;&gt;"",C222,"")</f>
        <v/>
      </c>
      <c r="D226" s="87" t="str">
        <f t="shared" si="297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8">
        <f t="shared" ref="A227:A229" si="298">$A226</f>
        <v>56</v>
      </c>
      <c r="B227" s="173"/>
      <c r="C227" s="87" t="str">
        <f t="shared" ref="C227:D227" si="299">IF($B226&lt;&gt;"",C223,"")</f>
        <v/>
      </c>
      <c r="D227" s="87" t="str">
        <f t="shared" si="299"/>
        <v/>
      </c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8">
        <f t="shared" si="298"/>
        <v>56</v>
      </c>
      <c r="B228" s="173"/>
      <c r="C228" s="87" t="str">
        <f t="shared" ref="C228:D228" si="300">IF($B226&lt;&gt;"",C224,"")</f>
        <v/>
      </c>
      <c r="D228" s="87" t="str">
        <f t="shared" si="300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8">
        <f t="shared" si="298"/>
        <v>56</v>
      </c>
      <c r="B229" s="174"/>
      <c r="C229" s="87" t="str">
        <f t="shared" ref="C229:D229" si="301">IF($B226&lt;&gt;"",C225,"")</f>
        <v/>
      </c>
      <c r="D229" s="87" t="str">
        <f t="shared" si="301"/>
        <v/>
      </c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8">
        <f t="shared" ref="A230" si="302">$A226+1</f>
        <v>57</v>
      </c>
      <c r="B230" s="172" t="str">
        <f>IFERROR(INDEX(TBL_PIPED_IMPORTERS_CONNECTIONS[Name],$A230),"")</f>
        <v/>
      </c>
      <c r="C230" s="87" t="str">
        <f t="shared" ref="C230:D230" si="303">IF($B230&lt;&gt;"",C226,"")</f>
        <v/>
      </c>
      <c r="D230" s="87" t="str">
        <f t="shared" si="303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8">
        <f t="shared" ref="A231:A233" si="304">$A230</f>
        <v>57</v>
      </c>
      <c r="B231" s="173"/>
      <c r="C231" s="87" t="str">
        <f t="shared" ref="C231:D231" si="305">IF($B230&lt;&gt;"",C227,"")</f>
        <v/>
      </c>
      <c r="D231" s="87" t="str">
        <f t="shared" si="305"/>
        <v/>
      </c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8">
        <f t="shared" si="304"/>
        <v>57</v>
      </c>
      <c r="B232" s="173"/>
      <c r="C232" s="87" t="str">
        <f t="shared" ref="C232:D232" si="306">IF($B230&lt;&gt;"",C228,"")</f>
        <v/>
      </c>
      <c r="D232" s="87" t="str">
        <f t="shared" si="306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8">
        <f t="shared" si="304"/>
        <v>57</v>
      </c>
      <c r="B233" s="174"/>
      <c r="C233" s="87" t="str">
        <f t="shared" ref="C233:D233" si="307">IF($B230&lt;&gt;"",C229,"")</f>
        <v/>
      </c>
      <c r="D233" s="87" t="str">
        <f t="shared" si="307"/>
        <v/>
      </c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8">
        <f t="shared" ref="A234" si="308">$A230+1</f>
        <v>58</v>
      </c>
      <c r="B234" s="172" t="str">
        <f>IFERROR(INDEX(TBL_PIPED_IMPORTERS_CONNECTIONS[Name],$A234),"")</f>
        <v/>
      </c>
      <c r="C234" s="87" t="str">
        <f t="shared" ref="C234:D234" si="309">IF($B234&lt;&gt;"",C230,"")</f>
        <v/>
      </c>
      <c r="D234" s="87" t="str">
        <f t="shared" si="309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8">
        <f t="shared" ref="A235:A253" si="310">$A234</f>
        <v>58</v>
      </c>
      <c r="B235" s="173"/>
      <c r="C235" s="87" t="str">
        <f t="shared" ref="C235:D235" si="311">IF($B234&lt;&gt;"",C231,"")</f>
        <v/>
      </c>
      <c r="D235" s="87" t="str">
        <f t="shared" si="311"/>
        <v/>
      </c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8">
        <f t="shared" si="310"/>
        <v>58</v>
      </c>
      <c r="B236" s="173"/>
      <c r="C236" s="87" t="str">
        <f t="shared" ref="C236:D236" si="312">IF($B234&lt;&gt;"",C232,"")</f>
        <v/>
      </c>
      <c r="D236" s="87" t="str">
        <f t="shared" si="312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8">
        <f t="shared" si="310"/>
        <v>58</v>
      </c>
      <c r="B237" s="174"/>
      <c r="C237" s="87" t="str">
        <f t="shared" ref="C237:D237" si="313">IF($B234&lt;&gt;"",C233,"")</f>
        <v/>
      </c>
      <c r="D237" s="87" t="str">
        <f t="shared" si="313"/>
        <v/>
      </c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8">
        <f t="shared" ref="A238" si="314">$A234+1</f>
        <v>59</v>
      </c>
      <c r="B238" s="172" t="str">
        <f>IFERROR(INDEX(TBL_PIPED_IMPORTERS_CONNECTIONS[Name],$A238),"")</f>
        <v/>
      </c>
      <c r="C238" s="87" t="str">
        <f t="shared" ref="C238:D238" si="315">IF($B238&lt;&gt;"",C234,"")</f>
        <v/>
      </c>
      <c r="D238" s="87" t="str">
        <f t="shared" si="315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8">
        <f t="shared" si="310"/>
        <v>59</v>
      </c>
      <c r="B239" s="173"/>
      <c r="C239" s="87" t="str">
        <f t="shared" ref="C239:D239" si="316">IF($B238&lt;&gt;"",C235,"")</f>
        <v/>
      </c>
      <c r="D239" s="87" t="str">
        <f t="shared" si="316"/>
        <v/>
      </c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8">
        <f t="shared" si="310"/>
        <v>59</v>
      </c>
      <c r="B240" s="173"/>
      <c r="C240" s="87" t="str">
        <f t="shared" ref="C240:D240" si="317">IF($B238&lt;&gt;"",C236,"")</f>
        <v/>
      </c>
      <c r="D240" s="87" t="str">
        <f t="shared" si="317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8">
        <f t="shared" si="310"/>
        <v>59</v>
      </c>
      <c r="B241" s="174"/>
      <c r="C241" s="87" t="str">
        <f t="shared" ref="C241:D241" si="318">IF($B238&lt;&gt;"",C237,"")</f>
        <v/>
      </c>
      <c r="D241" s="87" t="str">
        <f t="shared" si="318"/>
        <v/>
      </c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8">
        <f t="shared" ref="A242" si="319">$A238+1</f>
        <v>60</v>
      </c>
      <c r="B242" s="172" t="str">
        <f>IFERROR(INDEX(TBL_PIPED_IMPORTERS_CONNECTIONS[Name],$A242),"")</f>
        <v/>
      </c>
      <c r="C242" s="87" t="str">
        <f t="shared" ref="C242:D242" si="320">IF($B242&lt;&gt;"",C238,"")</f>
        <v/>
      </c>
      <c r="D242" s="87" t="str">
        <f t="shared" si="320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8">
        <f t="shared" si="310"/>
        <v>60</v>
      </c>
      <c r="B243" s="173"/>
      <c r="C243" s="87" t="str">
        <f t="shared" ref="C243:D243" si="321">IF($B242&lt;&gt;"",C239,"")</f>
        <v/>
      </c>
      <c r="D243" s="87" t="str">
        <f t="shared" si="321"/>
        <v/>
      </c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8">
        <f t="shared" si="310"/>
        <v>60</v>
      </c>
      <c r="B244" s="173"/>
      <c r="C244" s="87" t="str">
        <f t="shared" ref="C244:D244" si="322">IF($B242&lt;&gt;"",C240,"")</f>
        <v/>
      </c>
      <c r="D244" s="87" t="str">
        <f t="shared" si="322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8">
        <f t="shared" si="310"/>
        <v>60</v>
      </c>
      <c r="B245" s="174"/>
      <c r="C245" s="87" t="str">
        <f t="shared" ref="C245:D245" si="323">IF($B242&lt;&gt;"",C241,"")</f>
        <v/>
      </c>
      <c r="D245" s="87" t="str">
        <f t="shared" si="323"/>
        <v/>
      </c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8">
        <f t="shared" ref="A246" si="324">$A242+1</f>
        <v>61</v>
      </c>
      <c r="B246" s="172" t="str">
        <f>IFERROR(INDEX(TBL_PIPED_IMPORTERS_CONNECTIONS[Name],$A246),"")</f>
        <v/>
      </c>
      <c r="C246" s="87" t="str">
        <f t="shared" ref="C246:D246" si="325">IF($B246&lt;&gt;"",C242,"")</f>
        <v/>
      </c>
      <c r="D246" s="87" t="str">
        <f t="shared" si="325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8">
        <f t="shared" si="310"/>
        <v>61</v>
      </c>
      <c r="B247" s="173"/>
      <c r="C247" s="87" t="str">
        <f t="shared" ref="C247:D247" si="326">IF($B246&lt;&gt;"",C243,"")</f>
        <v/>
      </c>
      <c r="D247" s="87" t="str">
        <f t="shared" si="326"/>
        <v/>
      </c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8">
        <f t="shared" si="310"/>
        <v>61</v>
      </c>
      <c r="B248" s="173"/>
      <c r="C248" s="87" t="str">
        <f t="shared" ref="C248:D248" si="327">IF($B246&lt;&gt;"",C244,"")</f>
        <v/>
      </c>
      <c r="D248" s="87" t="str">
        <f t="shared" si="327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8">
        <f t="shared" si="310"/>
        <v>61</v>
      </c>
      <c r="B249" s="174"/>
      <c r="C249" s="87" t="str">
        <f t="shared" ref="C249:D249" si="328">IF($B246&lt;&gt;"",C245,"")</f>
        <v/>
      </c>
      <c r="D249" s="87" t="str">
        <f t="shared" si="328"/>
        <v/>
      </c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8">
        <f t="shared" ref="A250" si="329">$A246+1</f>
        <v>62</v>
      </c>
      <c r="B250" s="172" t="str">
        <f>IFERROR(INDEX(TBL_PIPED_IMPORTERS_CONNECTIONS[Name],$A250),"")</f>
        <v/>
      </c>
      <c r="C250" s="87" t="str">
        <f t="shared" ref="C250:D250" si="330">IF($B250&lt;&gt;"",C246,"")</f>
        <v/>
      </c>
      <c r="D250" s="87" t="str">
        <f t="shared" si="330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8">
        <f t="shared" si="310"/>
        <v>62</v>
      </c>
      <c r="B251" s="173"/>
      <c r="C251" s="87" t="str">
        <f t="shared" ref="C251:D251" si="331">IF($B250&lt;&gt;"",C247,"")</f>
        <v/>
      </c>
      <c r="D251" s="87" t="str">
        <f t="shared" si="331"/>
        <v/>
      </c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8">
        <f t="shared" si="310"/>
        <v>62</v>
      </c>
      <c r="B252" s="173"/>
      <c r="C252" s="87" t="str">
        <f t="shared" ref="C252:D252" si="332">IF($B250&lt;&gt;"",C248,"")</f>
        <v/>
      </c>
      <c r="D252" s="87" t="str">
        <f t="shared" si="332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8">
        <f t="shared" si="310"/>
        <v>62</v>
      </c>
      <c r="B253" s="174"/>
      <c r="C253" s="87" t="str">
        <f t="shared" ref="C253:D253" si="333">IF($B250&lt;&gt;"",C249,"")</f>
        <v/>
      </c>
      <c r="D253" s="87" t="str">
        <f t="shared" si="333"/>
        <v/>
      </c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8">
        <f t="shared" ref="A254" si="334">$A250+1</f>
        <v>63</v>
      </c>
      <c r="B254" s="172" t="str">
        <f>IFERROR(INDEX(TBL_PIPED_IMPORTERS_CONNECTIONS[Name],$A254),"")</f>
        <v/>
      </c>
      <c r="C254" s="87" t="str">
        <f t="shared" ref="C254:D254" si="335">IF($B254&lt;&gt;"",C250,"")</f>
        <v/>
      </c>
      <c r="D254" s="87" t="str">
        <f t="shared" si="335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8">
        <f t="shared" ref="A255:A257" si="336">$A254</f>
        <v>63</v>
      </c>
      <c r="B255" s="173"/>
      <c r="C255" s="87" t="str">
        <f t="shared" ref="C255:D255" si="337">IF($B254&lt;&gt;"",C251,"")</f>
        <v/>
      </c>
      <c r="D255" s="87" t="str">
        <f t="shared" si="337"/>
        <v/>
      </c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8">
        <f t="shared" si="336"/>
        <v>63</v>
      </c>
      <c r="B256" s="173"/>
      <c r="C256" s="87" t="str">
        <f t="shared" ref="C256:D256" si="338">IF($B254&lt;&gt;"",C252,"")</f>
        <v/>
      </c>
      <c r="D256" s="87" t="str">
        <f t="shared" si="338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8">
        <f t="shared" si="336"/>
        <v>63</v>
      </c>
      <c r="B257" s="174"/>
      <c r="C257" s="87" t="str">
        <f t="shared" ref="C257:D257" si="339">IF($B254&lt;&gt;"",C253,"")</f>
        <v/>
      </c>
      <c r="D257" s="87" t="str">
        <f t="shared" si="339"/>
        <v/>
      </c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8">
        <f t="shared" ref="A258" si="340">$A254+1</f>
        <v>64</v>
      </c>
      <c r="B258" s="172" t="str">
        <f>IFERROR(INDEX(TBL_PIPED_IMPORTERS_CONNECTIONS[Name],$A258),"")</f>
        <v/>
      </c>
      <c r="C258" s="87" t="str">
        <f t="shared" ref="C258:D258" si="341">IF($B258&lt;&gt;"",C254,"")</f>
        <v/>
      </c>
      <c r="D258" s="87" t="str">
        <f t="shared" si="341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8">
        <f t="shared" ref="A259:A261" si="342">$A258</f>
        <v>64</v>
      </c>
      <c r="B259" s="173"/>
      <c r="C259" s="87" t="str">
        <f t="shared" ref="C259:D259" si="343">IF($B258&lt;&gt;"",C255,"")</f>
        <v/>
      </c>
      <c r="D259" s="87" t="str">
        <f t="shared" si="343"/>
        <v/>
      </c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8">
        <f t="shared" si="342"/>
        <v>64</v>
      </c>
      <c r="B260" s="173"/>
      <c r="C260" s="87" t="str">
        <f t="shared" ref="C260:D260" si="344">IF($B258&lt;&gt;"",C256,"")</f>
        <v/>
      </c>
      <c r="D260" s="87" t="str">
        <f t="shared" si="344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8">
        <f t="shared" si="342"/>
        <v>64</v>
      </c>
      <c r="B261" s="174"/>
      <c r="C261" s="87" t="str">
        <f t="shared" ref="C261:D261" si="345">IF($B258&lt;&gt;"",C257,"")</f>
        <v/>
      </c>
      <c r="D261" s="87" t="str">
        <f t="shared" si="345"/>
        <v/>
      </c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8">
        <f t="shared" ref="A262" si="346">$A258+1</f>
        <v>65</v>
      </c>
      <c r="B262" s="172" t="str">
        <f>IFERROR(INDEX(TBL_PIPED_IMPORTERS_CONNECTIONS[Name],$A262),"")</f>
        <v/>
      </c>
      <c r="C262" s="87" t="str">
        <f t="shared" ref="C262:D262" si="347">IF($B262&lt;&gt;"",C258,"")</f>
        <v/>
      </c>
      <c r="D262" s="87" t="str">
        <f t="shared" si="347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8">
        <f t="shared" ref="A263:A281" si="348">$A262</f>
        <v>65</v>
      </c>
      <c r="B263" s="173"/>
      <c r="C263" s="87" t="str">
        <f t="shared" ref="C263:D263" si="349">IF($B262&lt;&gt;"",C259,"")</f>
        <v/>
      </c>
      <c r="D263" s="87" t="str">
        <f t="shared" si="349"/>
        <v/>
      </c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8">
        <f t="shared" si="348"/>
        <v>65</v>
      </c>
      <c r="B264" s="173"/>
      <c r="C264" s="87" t="str">
        <f t="shared" ref="C264:D264" si="350">IF($B262&lt;&gt;"",C260,"")</f>
        <v/>
      </c>
      <c r="D264" s="87" t="str">
        <f t="shared" si="350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8">
        <f t="shared" si="348"/>
        <v>65</v>
      </c>
      <c r="B265" s="174"/>
      <c r="C265" s="87" t="str">
        <f t="shared" ref="C265:D265" si="351">IF($B262&lt;&gt;"",C261,"")</f>
        <v/>
      </c>
      <c r="D265" s="87" t="str">
        <f t="shared" si="351"/>
        <v/>
      </c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8">
        <f t="shared" ref="A266" si="352">$A262+1</f>
        <v>66</v>
      </c>
      <c r="B266" s="172" t="str">
        <f>IFERROR(INDEX(TBL_PIPED_IMPORTERS_CONNECTIONS[Name],$A266),"")</f>
        <v/>
      </c>
      <c r="C266" s="87" t="str">
        <f t="shared" ref="C266:D266" si="353">IF($B266&lt;&gt;"",C262,"")</f>
        <v/>
      </c>
      <c r="D266" s="87" t="str">
        <f t="shared" si="353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8">
        <f t="shared" si="348"/>
        <v>66</v>
      </c>
      <c r="B267" s="173"/>
      <c r="C267" s="87" t="str">
        <f t="shared" ref="C267:D267" si="354">IF($B266&lt;&gt;"",C263,"")</f>
        <v/>
      </c>
      <c r="D267" s="87" t="str">
        <f t="shared" si="354"/>
        <v/>
      </c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8">
        <f t="shared" si="348"/>
        <v>66</v>
      </c>
      <c r="B268" s="173"/>
      <c r="C268" s="87" t="str">
        <f t="shared" ref="C268:D268" si="355">IF($B266&lt;&gt;"",C264,"")</f>
        <v/>
      </c>
      <c r="D268" s="87" t="str">
        <f t="shared" si="355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8">
        <f t="shared" si="348"/>
        <v>66</v>
      </c>
      <c r="B269" s="174"/>
      <c r="C269" s="87" t="str">
        <f t="shared" ref="C269:D269" si="356">IF($B266&lt;&gt;"",C265,"")</f>
        <v/>
      </c>
      <c r="D269" s="87" t="str">
        <f t="shared" si="356"/>
        <v/>
      </c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8">
        <f t="shared" ref="A270" si="357">$A266+1</f>
        <v>67</v>
      </c>
      <c r="B270" s="172" t="str">
        <f>IFERROR(INDEX(TBL_PIPED_IMPORTERS_CONNECTIONS[Name],$A270),"")</f>
        <v/>
      </c>
      <c r="C270" s="87" t="str">
        <f t="shared" ref="C270:D270" si="358">IF($B270&lt;&gt;"",C266,"")</f>
        <v/>
      </c>
      <c r="D270" s="87" t="str">
        <f t="shared" si="358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8">
        <f t="shared" si="348"/>
        <v>67</v>
      </c>
      <c r="B271" s="173"/>
      <c r="C271" s="87" t="str">
        <f t="shared" ref="C271:D271" si="359">IF($B270&lt;&gt;"",C267,"")</f>
        <v/>
      </c>
      <c r="D271" s="87" t="str">
        <f t="shared" si="359"/>
        <v/>
      </c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8">
        <f t="shared" si="348"/>
        <v>67</v>
      </c>
      <c r="B272" s="173"/>
      <c r="C272" s="87" t="str">
        <f t="shared" ref="C272:D272" si="360">IF($B270&lt;&gt;"",C268,"")</f>
        <v/>
      </c>
      <c r="D272" s="87" t="str">
        <f t="shared" si="360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8">
        <f t="shared" si="348"/>
        <v>67</v>
      </c>
      <c r="B273" s="174"/>
      <c r="C273" s="87" t="str">
        <f t="shared" ref="C273:D273" si="361">IF($B270&lt;&gt;"",C269,"")</f>
        <v/>
      </c>
      <c r="D273" s="87" t="str">
        <f t="shared" si="361"/>
        <v/>
      </c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8">
        <f t="shared" ref="A274" si="362">$A270+1</f>
        <v>68</v>
      </c>
      <c r="B274" s="172" t="str">
        <f>IFERROR(INDEX(TBL_PIPED_IMPORTERS_CONNECTIONS[Name],$A274),"")</f>
        <v/>
      </c>
      <c r="C274" s="87" t="str">
        <f t="shared" ref="C274:D274" si="363">IF($B274&lt;&gt;"",C270,"")</f>
        <v/>
      </c>
      <c r="D274" s="87" t="str">
        <f t="shared" si="363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8">
        <f t="shared" si="348"/>
        <v>68</v>
      </c>
      <c r="B275" s="173"/>
      <c r="C275" s="87" t="str">
        <f t="shared" ref="C275:D275" si="364">IF($B274&lt;&gt;"",C271,"")</f>
        <v/>
      </c>
      <c r="D275" s="87" t="str">
        <f t="shared" si="364"/>
        <v/>
      </c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8">
        <f t="shared" si="348"/>
        <v>68</v>
      </c>
      <c r="B276" s="173"/>
      <c r="C276" s="87" t="str">
        <f t="shared" ref="C276:D276" si="365">IF($B274&lt;&gt;"",C272,"")</f>
        <v/>
      </c>
      <c r="D276" s="87" t="str">
        <f t="shared" si="365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8">
        <f t="shared" si="348"/>
        <v>68</v>
      </c>
      <c r="B277" s="174"/>
      <c r="C277" s="87" t="str">
        <f t="shared" ref="C277:D277" si="366">IF($B274&lt;&gt;"",C273,"")</f>
        <v/>
      </c>
      <c r="D277" s="87" t="str">
        <f t="shared" si="366"/>
        <v/>
      </c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8">
        <f t="shared" ref="A278" si="367">$A274+1</f>
        <v>69</v>
      </c>
      <c r="B278" s="172" t="str">
        <f>IFERROR(INDEX(TBL_PIPED_IMPORTERS_CONNECTIONS[Name],$A278),"")</f>
        <v/>
      </c>
      <c r="C278" s="87" t="str">
        <f t="shared" ref="C278:D278" si="368">IF($B278&lt;&gt;"",C274,"")</f>
        <v/>
      </c>
      <c r="D278" s="87" t="str">
        <f t="shared" si="368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8">
        <f t="shared" si="348"/>
        <v>69</v>
      </c>
      <c r="B279" s="173"/>
      <c r="C279" s="87" t="str">
        <f t="shared" ref="C279:D279" si="369">IF($B278&lt;&gt;"",C275,"")</f>
        <v/>
      </c>
      <c r="D279" s="87" t="str">
        <f t="shared" si="369"/>
        <v/>
      </c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8">
        <f t="shared" si="348"/>
        <v>69</v>
      </c>
      <c r="B280" s="173"/>
      <c r="C280" s="87" t="str">
        <f t="shared" ref="C280:D280" si="370">IF($B278&lt;&gt;"",C276,"")</f>
        <v/>
      </c>
      <c r="D280" s="87" t="str">
        <f t="shared" si="370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8">
        <f t="shared" si="348"/>
        <v>69</v>
      </c>
      <c r="B281" s="174"/>
      <c r="C281" s="87" t="str">
        <f t="shared" ref="C281:D281" si="371">IF($B278&lt;&gt;"",C277,"")</f>
        <v/>
      </c>
      <c r="D281" s="87" t="str">
        <f t="shared" si="371"/>
        <v/>
      </c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8">
        <f t="shared" ref="A282" si="372">$A278+1</f>
        <v>70</v>
      </c>
      <c r="B282" s="172" t="str">
        <f>IFERROR(INDEX(TBL_PIPED_IMPORTERS_CONNECTIONS[Name],$A282),"")</f>
        <v/>
      </c>
      <c r="C282" s="87" t="str">
        <f t="shared" ref="C282:D282" si="373">IF($B282&lt;&gt;"",C278,"")</f>
        <v/>
      </c>
      <c r="D282" s="87" t="str">
        <f t="shared" si="373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8">
        <f t="shared" ref="A283:A285" si="374">$A282</f>
        <v>70</v>
      </c>
      <c r="B283" s="173"/>
      <c r="C283" s="87" t="str">
        <f t="shared" ref="C283:D283" si="375">IF($B282&lt;&gt;"",C279,"")</f>
        <v/>
      </c>
      <c r="D283" s="87" t="str">
        <f t="shared" si="375"/>
        <v/>
      </c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8">
        <f t="shared" si="374"/>
        <v>70</v>
      </c>
      <c r="B284" s="173"/>
      <c r="C284" s="87" t="str">
        <f t="shared" ref="C284:D284" si="376">IF($B282&lt;&gt;"",C280,"")</f>
        <v/>
      </c>
      <c r="D284" s="87" t="str">
        <f t="shared" si="376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8">
        <f t="shared" si="374"/>
        <v>70</v>
      </c>
      <c r="B285" s="174"/>
      <c r="C285" s="87" t="str">
        <f t="shared" ref="C285:D285" si="377">IF($B282&lt;&gt;"",C281,"")</f>
        <v/>
      </c>
      <c r="D285" s="87" t="str">
        <f t="shared" si="377"/>
        <v/>
      </c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8">
        <f t="shared" ref="A286" si="378">$A282+1</f>
        <v>71</v>
      </c>
      <c r="B286" s="172" t="str">
        <f>IFERROR(INDEX(TBL_PIPED_IMPORTERS_CONNECTIONS[Name],$A286),"")</f>
        <v/>
      </c>
      <c r="C286" s="87" t="str">
        <f t="shared" ref="C286:D286" si="379">IF($B286&lt;&gt;"",C282,"")</f>
        <v/>
      </c>
      <c r="D286" s="87" t="str">
        <f t="shared" si="379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8">
        <f t="shared" ref="A287:A289" si="380">$A286</f>
        <v>71</v>
      </c>
      <c r="B287" s="173"/>
      <c r="C287" s="87" t="str">
        <f t="shared" ref="C287:D287" si="381">IF($B286&lt;&gt;"",C283,"")</f>
        <v/>
      </c>
      <c r="D287" s="87" t="str">
        <f t="shared" si="381"/>
        <v/>
      </c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8">
        <f t="shared" si="380"/>
        <v>71</v>
      </c>
      <c r="B288" s="173"/>
      <c r="C288" s="87" t="str">
        <f t="shared" ref="C288:D288" si="382">IF($B286&lt;&gt;"",C284,"")</f>
        <v/>
      </c>
      <c r="D288" s="87" t="str">
        <f t="shared" si="382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8">
        <f t="shared" si="380"/>
        <v>71</v>
      </c>
      <c r="B289" s="174"/>
      <c r="C289" s="87" t="str">
        <f t="shared" ref="C289:D289" si="383">IF($B286&lt;&gt;"",C285,"")</f>
        <v/>
      </c>
      <c r="D289" s="87" t="str">
        <f t="shared" si="383"/>
        <v/>
      </c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8">
        <f t="shared" ref="A290" si="384">$A286+1</f>
        <v>72</v>
      </c>
      <c r="B290" s="172" t="str">
        <f>IFERROR(INDEX(TBL_PIPED_IMPORTERS_CONNECTIONS[Name],$A290),"")</f>
        <v/>
      </c>
      <c r="C290" s="87" t="str">
        <f t="shared" ref="C290:D290" si="385">IF($B290&lt;&gt;"",C286,"")</f>
        <v/>
      </c>
      <c r="D290" s="87" t="str">
        <f t="shared" si="385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8">
        <f t="shared" ref="A291:A309" si="386">$A290</f>
        <v>72</v>
      </c>
      <c r="B291" s="173"/>
      <c r="C291" s="87" t="str">
        <f t="shared" ref="C291:D291" si="387">IF($B290&lt;&gt;"",C287,"")</f>
        <v/>
      </c>
      <c r="D291" s="87" t="str">
        <f t="shared" si="387"/>
        <v/>
      </c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8">
        <f t="shared" si="386"/>
        <v>72</v>
      </c>
      <c r="B292" s="173"/>
      <c r="C292" s="87" t="str">
        <f t="shared" ref="C292:D292" si="388">IF($B290&lt;&gt;"",C288,"")</f>
        <v/>
      </c>
      <c r="D292" s="87" t="str">
        <f t="shared" si="388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8">
        <f t="shared" si="386"/>
        <v>72</v>
      </c>
      <c r="B293" s="174"/>
      <c r="C293" s="87" t="str">
        <f t="shared" ref="C293:D293" si="389">IF($B290&lt;&gt;"",C289,"")</f>
        <v/>
      </c>
      <c r="D293" s="87" t="str">
        <f t="shared" si="389"/>
        <v/>
      </c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8">
        <f t="shared" ref="A294" si="390">$A290+1</f>
        <v>73</v>
      </c>
      <c r="B294" s="172" t="str">
        <f>IFERROR(INDEX(TBL_PIPED_IMPORTERS_CONNECTIONS[Name],$A294),"")</f>
        <v/>
      </c>
      <c r="C294" s="87" t="str">
        <f t="shared" ref="C294:D294" si="391">IF($B294&lt;&gt;"",C290,"")</f>
        <v/>
      </c>
      <c r="D294" s="87" t="str">
        <f t="shared" si="391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8">
        <f t="shared" si="386"/>
        <v>73</v>
      </c>
      <c r="B295" s="173"/>
      <c r="C295" s="87" t="str">
        <f t="shared" ref="C295:D295" si="392">IF($B294&lt;&gt;"",C291,"")</f>
        <v/>
      </c>
      <c r="D295" s="87" t="str">
        <f t="shared" si="392"/>
        <v/>
      </c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8">
        <f t="shared" si="386"/>
        <v>73</v>
      </c>
      <c r="B296" s="173"/>
      <c r="C296" s="87" t="str">
        <f t="shared" ref="C296:D296" si="393">IF($B294&lt;&gt;"",C292,"")</f>
        <v/>
      </c>
      <c r="D296" s="87" t="str">
        <f t="shared" si="393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8">
        <f t="shared" si="386"/>
        <v>73</v>
      </c>
      <c r="B297" s="174"/>
      <c r="C297" s="87" t="str">
        <f t="shared" ref="C297:D297" si="394">IF($B294&lt;&gt;"",C293,"")</f>
        <v/>
      </c>
      <c r="D297" s="87" t="str">
        <f t="shared" si="394"/>
        <v/>
      </c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8">
        <f t="shared" ref="A298" si="395">$A294+1</f>
        <v>74</v>
      </c>
      <c r="B298" s="172" t="str">
        <f>IFERROR(INDEX(TBL_PIPED_IMPORTERS_CONNECTIONS[Name],$A298),"")</f>
        <v/>
      </c>
      <c r="C298" s="87" t="str">
        <f t="shared" ref="C298:D298" si="396">IF($B298&lt;&gt;"",C294,"")</f>
        <v/>
      </c>
      <c r="D298" s="87" t="str">
        <f t="shared" si="396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8">
        <f t="shared" si="386"/>
        <v>74</v>
      </c>
      <c r="B299" s="173"/>
      <c r="C299" s="87" t="str">
        <f t="shared" ref="C299:D299" si="397">IF($B298&lt;&gt;"",C295,"")</f>
        <v/>
      </c>
      <c r="D299" s="87" t="str">
        <f t="shared" si="397"/>
        <v/>
      </c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8">
        <f t="shared" si="386"/>
        <v>74</v>
      </c>
      <c r="B300" s="173"/>
      <c r="C300" s="87" t="str">
        <f t="shared" ref="C300:D300" si="398">IF($B298&lt;&gt;"",C296,"")</f>
        <v/>
      </c>
      <c r="D300" s="87" t="str">
        <f t="shared" si="398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8">
        <f t="shared" si="386"/>
        <v>74</v>
      </c>
      <c r="B301" s="174"/>
      <c r="C301" s="87" t="str">
        <f t="shared" ref="C301:D301" si="399">IF($B298&lt;&gt;"",C297,"")</f>
        <v/>
      </c>
      <c r="D301" s="87" t="str">
        <f t="shared" si="399"/>
        <v/>
      </c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8">
        <f t="shared" ref="A302" si="400">$A298+1</f>
        <v>75</v>
      </c>
      <c r="B302" s="172" t="str">
        <f>IFERROR(INDEX(TBL_PIPED_IMPORTERS_CONNECTIONS[Name],$A302),"")</f>
        <v/>
      </c>
      <c r="C302" s="87" t="str">
        <f t="shared" ref="C302:D302" si="401">IF($B302&lt;&gt;"",C298,"")</f>
        <v/>
      </c>
      <c r="D302" s="87" t="str">
        <f t="shared" si="401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8">
        <f t="shared" si="386"/>
        <v>75</v>
      </c>
      <c r="B303" s="173"/>
      <c r="C303" s="87" t="str">
        <f t="shared" ref="C303:D303" si="402">IF($B302&lt;&gt;"",C299,"")</f>
        <v/>
      </c>
      <c r="D303" s="87" t="str">
        <f t="shared" si="402"/>
        <v/>
      </c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8">
        <f t="shared" si="386"/>
        <v>75</v>
      </c>
      <c r="B304" s="173"/>
      <c r="C304" s="87" t="str">
        <f t="shared" ref="C304:D304" si="403">IF($B302&lt;&gt;"",C300,"")</f>
        <v/>
      </c>
      <c r="D304" s="87" t="str">
        <f t="shared" si="403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8">
        <f t="shared" si="386"/>
        <v>75</v>
      </c>
      <c r="B305" s="174"/>
      <c r="C305" s="87" t="str">
        <f t="shared" ref="C305:D305" si="404">IF($B302&lt;&gt;"",C301,"")</f>
        <v/>
      </c>
      <c r="D305" s="87" t="str">
        <f t="shared" si="404"/>
        <v/>
      </c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8">
        <f t="shared" ref="A306" si="405">$A302+1</f>
        <v>76</v>
      </c>
      <c r="B306" s="172" t="str">
        <f>IFERROR(INDEX(TBL_PIPED_IMPORTERS_CONNECTIONS[Name],$A306),"")</f>
        <v/>
      </c>
      <c r="C306" s="87" t="str">
        <f t="shared" ref="C306:D306" si="406">IF($B306&lt;&gt;"",C302,"")</f>
        <v/>
      </c>
      <c r="D306" s="87" t="str">
        <f t="shared" si="406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8">
        <f t="shared" si="386"/>
        <v>76</v>
      </c>
      <c r="B307" s="173"/>
      <c r="C307" s="87" t="str">
        <f t="shared" ref="C307:D307" si="407">IF($B306&lt;&gt;"",C303,"")</f>
        <v/>
      </c>
      <c r="D307" s="87" t="str">
        <f t="shared" si="407"/>
        <v/>
      </c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8">
        <f t="shared" si="386"/>
        <v>76</v>
      </c>
      <c r="B308" s="173"/>
      <c r="C308" s="87" t="str">
        <f t="shared" ref="C308:D308" si="408">IF($B306&lt;&gt;"",C304,"")</f>
        <v/>
      </c>
      <c r="D308" s="87" t="str">
        <f t="shared" si="408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8">
        <f t="shared" si="386"/>
        <v>76</v>
      </c>
      <c r="B309" s="174"/>
      <c r="C309" s="87" t="str">
        <f t="shared" ref="C309:D309" si="409">IF($B306&lt;&gt;"",C305,"")</f>
        <v/>
      </c>
      <c r="D309" s="87" t="str">
        <f t="shared" si="409"/>
        <v/>
      </c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8">
        <f t="shared" ref="A310" si="410">$A306+1</f>
        <v>77</v>
      </c>
      <c r="B310" s="172" t="str">
        <f>IFERROR(INDEX(TBL_PIPED_IMPORTERS_CONNECTIONS[Name],$A310),"")</f>
        <v/>
      </c>
      <c r="C310" s="87" t="str">
        <f t="shared" ref="C310:D310" si="411">IF($B310&lt;&gt;"",C306,"")</f>
        <v/>
      </c>
      <c r="D310" s="87" t="str">
        <f t="shared" si="411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8">
        <f t="shared" ref="A311:A313" si="412">$A310</f>
        <v>77</v>
      </c>
      <c r="B311" s="173"/>
      <c r="C311" s="87" t="str">
        <f t="shared" ref="C311:D311" si="413">IF($B310&lt;&gt;"",C307,"")</f>
        <v/>
      </c>
      <c r="D311" s="87" t="str">
        <f t="shared" si="413"/>
        <v/>
      </c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8">
        <f t="shared" si="412"/>
        <v>77</v>
      </c>
      <c r="B312" s="173"/>
      <c r="C312" s="87" t="str">
        <f t="shared" ref="C312:D312" si="414">IF($B310&lt;&gt;"",C308,"")</f>
        <v/>
      </c>
      <c r="D312" s="87" t="str">
        <f t="shared" si="414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8">
        <f t="shared" si="412"/>
        <v>77</v>
      </c>
      <c r="B313" s="174"/>
      <c r="C313" s="87" t="str">
        <f t="shared" ref="C313:D313" si="415">IF($B310&lt;&gt;"",C309,"")</f>
        <v/>
      </c>
      <c r="D313" s="87" t="str">
        <f t="shared" si="415"/>
        <v/>
      </c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8">
        <f t="shared" ref="A314" si="416">$A310+1</f>
        <v>78</v>
      </c>
      <c r="B314" s="172" t="str">
        <f>IFERROR(INDEX(TBL_PIPED_IMPORTERS_CONNECTIONS[Name],$A314),"")</f>
        <v/>
      </c>
      <c r="C314" s="87" t="str">
        <f t="shared" ref="C314:D314" si="417">IF($B314&lt;&gt;"",C310,"")</f>
        <v/>
      </c>
      <c r="D314" s="87" t="str">
        <f t="shared" si="417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8">
        <f t="shared" ref="A315:A317" si="418">$A314</f>
        <v>78</v>
      </c>
      <c r="B315" s="173"/>
      <c r="C315" s="87" t="str">
        <f t="shared" ref="C315:D315" si="419">IF($B314&lt;&gt;"",C311,"")</f>
        <v/>
      </c>
      <c r="D315" s="87" t="str">
        <f t="shared" si="419"/>
        <v/>
      </c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8">
        <f t="shared" si="418"/>
        <v>78</v>
      </c>
      <c r="B316" s="173"/>
      <c r="C316" s="87" t="str">
        <f t="shared" ref="C316:D316" si="420">IF($B314&lt;&gt;"",C312,"")</f>
        <v/>
      </c>
      <c r="D316" s="87" t="str">
        <f t="shared" si="420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8">
        <f t="shared" si="418"/>
        <v>78</v>
      </c>
      <c r="B317" s="174"/>
      <c r="C317" s="87" t="str">
        <f t="shared" ref="C317:D317" si="421">IF($B314&lt;&gt;"",C313,"")</f>
        <v/>
      </c>
      <c r="D317" s="87" t="str">
        <f t="shared" si="421"/>
        <v/>
      </c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8">
        <f t="shared" ref="A318" si="422">$A314+1</f>
        <v>79</v>
      </c>
      <c r="B318" s="172" t="str">
        <f>IFERROR(INDEX(TBL_PIPED_IMPORTERS_CONNECTIONS[Name],$A318),"")</f>
        <v/>
      </c>
      <c r="C318" s="87" t="str">
        <f t="shared" ref="C318:D318" si="423">IF($B318&lt;&gt;"",C314,"")</f>
        <v/>
      </c>
      <c r="D318" s="87" t="str">
        <f t="shared" si="423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8">
        <f t="shared" ref="A319:A337" si="424">$A318</f>
        <v>79</v>
      </c>
      <c r="B319" s="173"/>
      <c r="C319" s="87" t="str">
        <f t="shared" ref="C319:D319" si="425">IF($B318&lt;&gt;"",C315,"")</f>
        <v/>
      </c>
      <c r="D319" s="87" t="str">
        <f t="shared" si="425"/>
        <v/>
      </c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8">
        <f t="shared" si="424"/>
        <v>79</v>
      </c>
      <c r="B320" s="173"/>
      <c r="C320" s="87" t="str">
        <f t="shared" ref="C320:D320" si="426">IF($B318&lt;&gt;"",C316,"")</f>
        <v/>
      </c>
      <c r="D320" s="87" t="str">
        <f t="shared" si="426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8">
        <f t="shared" si="424"/>
        <v>79</v>
      </c>
      <c r="B321" s="174"/>
      <c r="C321" s="87" t="str">
        <f t="shared" ref="C321:D321" si="427">IF($B318&lt;&gt;"",C317,"")</f>
        <v/>
      </c>
      <c r="D321" s="87" t="str">
        <f t="shared" si="427"/>
        <v/>
      </c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8">
        <f t="shared" ref="A322" si="428">$A318+1</f>
        <v>80</v>
      </c>
      <c r="B322" s="172" t="str">
        <f>IFERROR(INDEX(TBL_PIPED_IMPORTERS_CONNECTIONS[Name],$A322),"")</f>
        <v/>
      </c>
      <c r="C322" s="87" t="str">
        <f t="shared" ref="C322:D322" si="429">IF($B322&lt;&gt;"",C318,"")</f>
        <v/>
      </c>
      <c r="D322" s="87" t="str">
        <f t="shared" si="429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8">
        <f t="shared" si="424"/>
        <v>80</v>
      </c>
      <c r="B323" s="173"/>
      <c r="C323" s="87" t="str">
        <f t="shared" ref="C323:D323" si="430">IF($B322&lt;&gt;"",C319,"")</f>
        <v/>
      </c>
      <c r="D323" s="87" t="str">
        <f t="shared" si="430"/>
        <v/>
      </c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8">
        <f t="shared" si="424"/>
        <v>80</v>
      </c>
      <c r="B324" s="173"/>
      <c r="C324" s="87" t="str">
        <f t="shared" ref="C324:D324" si="431">IF($B322&lt;&gt;"",C320,"")</f>
        <v/>
      </c>
      <c r="D324" s="87" t="str">
        <f t="shared" si="431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8">
        <f t="shared" si="424"/>
        <v>80</v>
      </c>
      <c r="B325" s="174"/>
      <c r="C325" s="87" t="str">
        <f t="shared" ref="C325:D325" si="432">IF($B322&lt;&gt;"",C321,"")</f>
        <v/>
      </c>
      <c r="D325" s="87" t="str">
        <f t="shared" si="432"/>
        <v/>
      </c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8">
        <f t="shared" ref="A326" si="433">$A322+1</f>
        <v>81</v>
      </c>
      <c r="B326" s="172" t="str">
        <f>IFERROR(INDEX(TBL_PIPED_IMPORTERS_CONNECTIONS[Name],$A326),"")</f>
        <v/>
      </c>
      <c r="C326" s="87" t="str">
        <f t="shared" ref="C326:D326" si="434">IF($B326&lt;&gt;"",C322,"")</f>
        <v/>
      </c>
      <c r="D326" s="87" t="str">
        <f t="shared" si="434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8">
        <f t="shared" si="424"/>
        <v>81</v>
      </c>
      <c r="B327" s="173"/>
      <c r="C327" s="87" t="str">
        <f t="shared" ref="C327:D327" si="435">IF($B326&lt;&gt;"",C323,"")</f>
        <v/>
      </c>
      <c r="D327" s="87" t="str">
        <f t="shared" si="435"/>
        <v/>
      </c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8">
        <f t="shared" si="424"/>
        <v>81</v>
      </c>
      <c r="B328" s="173"/>
      <c r="C328" s="87" t="str">
        <f t="shared" ref="C328:D328" si="436">IF($B326&lt;&gt;"",C324,"")</f>
        <v/>
      </c>
      <c r="D328" s="87" t="str">
        <f t="shared" si="436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8">
        <f t="shared" si="424"/>
        <v>81</v>
      </c>
      <c r="B329" s="174"/>
      <c r="C329" s="87" t="str">
        <f t="shared" ref="C329:D329" si="437">IF($B326&lt;&gt;"",C325,"")</f>
        <v/>
      </c>
      <c r="D329" s="87" t="str">
        <f t="shared" si="437"/>
        <v/>
      </c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8">
        <f t="shared" ref="A330" si="438">$A326+1</f>
        <v>82</v>
      </c>
      <c r="B330" s="172" t="str">
        <f>IFERROR(INDEX(TBL_PIPED_IMPORTERS_CONNECTIONS[Name],$A330),"")</f>
        <v/>
      </c>
      <c r="C330" s="87" t="str">
        <f t="shared" ref="C330:D330" si="439">IF($B330&lt;&gt;"",C326,"")</f>
        <v/>
      </c>
      <c r="D330" s="87" t="str">
        <f t="shared" si="439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8">
        <f t="shared" si="424"/>
        <v>82</v>
      </c>
      <c r="B331" s="173"/>
      <c r="C331" s="87" t="str">
        <f t="shared" ref="C331:D331" si="440">IF($B330&lt;&gt;"",C327,"")</f>
        <v/>
      </c>
      <c r="D331" s="87" t="str">
        <f t="shared" si="440"/>
        <v/>
      </c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8">
        <f t="shared" si="424"/>
        <v>82</v>
      </c>
      <c r="B332" s="173"/>
      <c r="C332" s="87" t="str">
        <f t="shared" ref="C332:D332" si="441">IF($B330&lt;&gt;"",C328,"")</f>
        <v/>
      </c>
      <c r="D332" s="87" t="str">
        <f t="shared" si="441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8">
        <f t="shared" si="424"/>
        <v>82</v>
      </c>
      <c r="B333" s="174"/>
      <c r="C333" s="87" t="str">
        <f t="shared" ref="C333:D333" si="442">IF($B330&lt;&gt;"",C329,"")</f>
        <v/>
      </c>
      <c r="D333" s="87" t="str">
        <f t="shared" si="442"/>
        <v/>
      </c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8">
        <f t="shared" ref="A334" si="443">$A330+1</f>
        <v>83</v>
      </c>
      <c r="B334" s="172" t="str">
        <f>IFERROR(INDEX(TBL_PIPED_IMPORTERS_CONNECTIONS[Name],$A334),"")</f>
        <v/>
      </c>
      <c r="C334" s="87" t="str">
        <f t="shared" ref="C334:D334" si="444">IF($B334&lt;&gt;"",C330,"")</f>
        <v/>
      </c>
      <c r="D334" s="87" t="str">
        <f t="shared" si="444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8">
        <f t="shared" si="424"/>
        <v>83</v>
      </c>
      <c r="B335" s="173"/>
      <c r="C335" s="87" t="str">
        <f t="shared" ref="C335:D335" si="445">IF($B334&lt;&gt;"",C331,"")</f>
        <v/>
      </c>
      <c r="D335" s="87" t="str">
        <f t="shared" si="445"/>
        <v/>
      </c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8">
        <f t="shared" si="424"/>
        <v>83</v>
      </c>
      <c r="B336" s="173"/>
      <c r="C336" s="87" t="str">
        <f t="shared" ref="C336:D336" si="446">IF($B334&lt;&gt;"",C332,"")</f>
        <v/>
      </c>
      <c r="D336" s="87" t="str">
        <f t="shared" si="446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8">
        <f t="shared" si="424"/>
        <v>83</v>
      </c>
      <c r="B337" s="174"/>
      <c r="C337" s="87" t="str">
        <f t="shared" ref="C337:D337" si="447">IF($B334&lt;&gt;"",C333,"")</f>
        <v/>
      </c>
      <c r="D337" s="87" t="str">
        <f t="shared" si="447"/>
        <v/>
      </c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8">
        <f t="shared" ref="A338" si="448">$A334+1</f>
        <v>84</v>
      </c>
      <c r="B338" s="172" t="str">
        <f>IFERROR(INDEX(TBL_PIPED_IMPORTERS_CONNECTIONS[Name],$A338),"")</f>
        <v/>
      </c>
      <c r="C338" s="87" t="str">
        <f t="shared" ref="C338:D338" si="449">IF($B338&lt;&gt;"",C334,"")</f>
        <v/>
      </c>
      <c r="D338" s="87" t="str">
        <f t="shared" si="449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8">
        <f t="shared" ref="A339:A341" si="450">$A338</f>
        <v>84</v>
      </c>
      <c r="B339" s="173"/>
      <c r="C339" s="87" t="str">
        <f t="shared" ref="C339:D339" si="451">IF($B338&lt;&gt;"",C335,"")</f>
        <v/>
      </c>
      <c r="D339" s="87" t="str">
        <f t="shared" si="451"/>
        <v/>
      </c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8">
        <f t="shared" si="450"/>
        <v>84</v>
      </c>
      <c r="B340" s="173"/>
      <c r="C340" s="87" t="str">
        <f t="shared" ref="C340:D340" si="452">IF($B338&lt;&gt;"",C336,"")</f>
        <v/>
      </c>
      <c r="D340" s="87" t="str">
        <f t="shared" si="452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8">
        <f t="shared" si="450"/>
        <v>84</v>
      </c>
      <c r="B341" s="174"/>
      <c r="C341" s="87" t="str">
        <f t="shared" ref="C341:D341" si="453">IF($B338&lt;&gt;"",C337,"")</f>
        <v/>
      </c>
      <c r="D341" s="87" t="str">
        <f t="shared" si="453"/>
        <v/>
      </c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8">
        <f t="shared" ref="A342" si="454">$A338+1</f>
        <v>85</v>
      </c>
      <c r="B342" s="172" t="str">
        <f>IFERROR(INDEX(TBL_PIPED_IMPORTERS_CONNECTIONS[Name],$A342),"")</f>
        <v/>
      </c>
      <c r="C342" s="87" t="str">
        <f t="shared" ref="C342:D342" si="455">IF($B342&lt;&gt;"",C338,"")</f>
        <v/>
      </c>
      <c r="D342" s="87" t="str">
        <f t="shared" si="455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8">
        <f t="shared" ref="A343:A345" si="456">$A342</f>
        <v>85</v>
      </c>
      <c r="B343" s="173"/>
      <c r="C343" s="87" t="str">
        <f t="shared" ref="C343:D343" si="457">IF($B342&lt;&gt;"",C339,"")</f>
        <v/>
      </c>
      <c r="D343" s="87" t="str">
        <f t="shared" si="457"/>
        <v/>
      </c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8">
        <f t="shared" si="456"/>
        <v>85</v>
      </c>
      <c r="B344" s="173"/>
      <c r="C344" s="87" t="str">
        <f t="shared" ref="C344:D344" si="458">IF($B342&lt;&gt;"",C340,"")</f>
        <v/>
      </c>
      <c r="D344" s="87" t="str">
        <f t="shared" si="458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8">
        <f t="shared" si="456"/>
        <v>85</v>
      </c>
      <c r="B345" s="174"/>
      <c r="C345" s="87" t="str">
        <f t="shared" ref="C345:D345" si="459">IF($B342&lt;&gt;"",C341,"")</f>
        <v/>
      </c>
      <c r="D345" s="87" t="str">
        <f t="shared" si="459"/>
        <v/>
      </c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8">
        <f t="shared" ref="A346" si="460">$A342+1</f>
        <v>86</v>
      </c>
      <c r="B346" s="172" t="str">
        <f>IFERROR(INDEX(TBL_PIPED_IMPORTERS_CONNECTIONS[Name],$A346),"")</f>
        <v/>
      </c>
      <c r="C346" s="87" t="str">
        <f t="shared" ref="C346:D346" si="461">IF($B346&lt;&gt;"",C342,"")</f>
        <v/>
      </c>
      <c r="D346" s="87" t="str">
        <f t="shared" si="461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8">
        <f t="shared" ref="A347:A365" si="462">$A346</f>
        <v>86</v>
      </c>
      <c r="B347" s="173"/>
      <c r="C347" s="87" t="str">
        <f t="shared" ref="C347:D347" si="463">IF($B346&lt;&gt;"",C343,"")</f>
        <v/>
      </c>
      <c r="D347" s="87" t="str">
        <f t="shared" si="463"/>
        <v/>
      </c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8">
        <f t="shared" si="462"/>
        <v>86</v>
      </c>
      <c r="B348" s="173"/>
      <c r="C348" s="87" t="str">
        <f t="shared" ref="C348:D348" si="464">IF($B346&lt;&gt;"",C344,"")</f>
        <v/>
      </c>
      <c r="D348" s="87" t="str">
        <f t="shared" si="464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8">
        <f t="shared" si="462"/>
        <v>86</v>
      </c>
      <c r="B349" s="174"/>
      <c r="C349" s="87" t="str">
        <f t="shared" ref="C349:D349" si="465">IF($B346&lt;&gt;"",C345,"")</f>
        <v/>
      </c>
      <c r="D349" s="87" t="str">
        <f t="shared" si="465"/>
        <v/>
      </c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8">
        <f t="shared" ref="A350" si="466">$A346+1</f>
        <v>87</v>
      </c>
      <c r="B350" s="172" t="str">
        <f>IFERROR(INDEX(TBL_PIPED_IMPORTERS_CONNECTIONS[Name],$A350),"")</f>
        <v/>
      </c>
      <c r="C350" s="87" t="str">
        <f t="shared" ref="C350:D350" si="467">IF($B350&lt;&gt;"",C346,"")</f>
        <v/>
      </c>
      <c r="D350" s="87" t="str">
        <f t="shared" si="467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8">
        <f t="shared" si="462"/>
        <v>87</v>
      </c>
      <c r="B351" s="173"/>
      <c r="C351" s="87" t="str">
        <f t="shared" ref="C351:D351" si="468">IF($B350&lt;&gt;"",C347,"")</f>
        <v/>
      </c>
      <c r="D351" s="87" t="str">
        <f t="shared" si="468"/>
        <v/>
      </c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8">
        <f t="shared" si="462"/>
        <v>87</v>
      </c>
      <c r="B352" s="173"/>
      <c r="C352" s="87" t="str">
        <f t="shared" ref="C352:D352" si="469">IF($B350&lt;&gt;"",C348,"")</f>
        <v/>
      </c>
      <c r="D352" s="87" t="str">
        <f t="shared" si="469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8">
        <f t="shared" si="462"/>
        <v>87</v>
      </c>
      <c r="B353" s="174"/>
      <c r="C353" s="87" t="str">
        <f t="shared" ref="C353:D353" si="470">IF($B350&lt;&gt;"",C349,"")</f>
        <v/>
      </c>
      <c r="D353" s="87" t="str">
        <f t="shared" si="470"/>
        <v/>
      </c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8">
        <f t="shared" ref="A354" si="471">$A350+1</f>
        <v>88</v>
      </c>
      <c r="B354" s="172" t="str">
        <f>IFERROR(INDEX(TBL_PIPED_IMPORTERS_CONNECTIONS[Name],$A354),"")</f>
        <v/>
      </c>
      <c r="C354" s="87" t="str">
        <f t="shared" ref="C354:D354" si="472">IF($B354&lt;&gt;"",C350,"")</f>
        <v/>
      </c>
      <c r="D354" s="87" t="str">
        <f t="shared" si="472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8">
        <f t="shared" si="462"/>
        <v>88</v>
      </c>
      <c r="B355" s="173"/>
      <c r="C355" s="87" t="str">
        <f t="shared" ref="C355:D355" si="473">IF($B354&lt;&gt;"",C351,"")</f>
        <v/>
      </c>
      <c r="D355" s="87" t="str">
        <f t="shared" si="473"/>
        <v/>
      </c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8">
        <f t="shared" si="462"/>
        <v>88</v>
      </c>
      <c r="B356" s="173"/>
      <c r="C356" s="87" t="str">
        <f t="shared" ref="C356:D356" si="474">IF($B354&lt;&gt;"",C352,"")</f>
        <v/>
      </c>
      <c r="D356" s="87" t="str">
        <f t="shared" si="474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8">
        <f t="shared" si="462"/>
        <v>88</v>
      </c>
      <c r="B357" s="174"/>
      <c r="C357" s="87" t="str">
        <f t="shared" ref="C357:D357" si="475">IF($B354&lt;&gt;"",C353,"")</f>
        <v/>
      </c>
      <c r="D357" s="87" t="str">
        <f t="shared" si="475"/>
        <v/>
      </c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8">
        <f t="shared" ref="A358" si="476">$A354+1</f>
        <v>89</v>
      </c>
      <c r="B358" s="172" t="str">
        <f>IFERROR(INDEX(TBL_PIPED_IMPORTERS_CONNECTIONS[Name],$A358),"")</f>
        <v/>
      </c>
      <c r="C358" s="87" t="str">
        <f t="shared" ref="C358:D358" si="477">IF($B358&lt;&gt;"",C354,"")</f>
        <v/>
      </c>
      <c r="D358" s="87" t="str">
        <f t="shared" si="477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8">
        <f t="shared" si="462"/>
        <v>89</v>
      </c>
      <c r="B359" s="173"/>
      <c r="C359" s="87" t="str">
        <f t="shared" ref="C359:D359" si="478">IF($B358&lt;&gt;"",C355,"")</f>
        <v/>
      </c>
      <c r="D359" s="87" t="str">
        <f t="shared" si="478"/>
        <v/>
      </c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8">
        <f t="shared" si="462"/>
        <v>89</v>
      </c>
      <c r="B360" s="173"/>
      <c r="C360" s="87" t="str">
        <f t="shared" ref="C360:D360" si="479">IF($B358&lt;&gt;"",C356,"")</f>
        <v/>
      </c>
      <c r="D360" s="87" t="str">
        <f t="shared" si="479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8">
        <f t="shared" si="462"/>
        <v>89</v>
      </c>
      <c r="B361" s="174"/>
      <c r="C361" s="87" t="str">
        <f t="shared" ref="C361:D361" si="480">IF($B358&lt;&gt;"",C357,"")</f>
        <v/>
      </c>
      <c r="D361" s="87" t="str">
        <f t="shared" si="480"/>
        <v/>
      </c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8">
        <f t="shared" ref="A362" si="481">$A358+1</f>
        <v>90</v>
      </c>
      <c r="B362" s="172" t="str">
        <f>IFERROR(INDEX(TBL_PIPED_IMPORTERS_CONNECTIONS[Name],$A362),"")</f>
        <v/>
      </c>
      <c r="C362" s="87" t="str">
        <f t="shared" ref="C362:D362" si="482">IF($B362&lt;&gt;"",C358,"")</f>
        <v/>
      </c>
      <c r="D362" s="87" t="str">
        <f t="shared" si="482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8">
        <f t="shared" si="462"/>
        <v>90</v>
      </c>
      <c r="B363" s="173"/>
      <c r="C363" s="87" t="str">
        <f t="shared" ref="C363:D363" si="483">IF($B362&lt;&gt;"",C359,"")</f>
        <v/>
      </c>
      <c r="D363" s="87" t="str">
        <f t="shared" si="483"/>
        <v/>
      </c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8">
        <f t="shared" si="462"/>
        <v>90</v>
      </c>
      <c r="B364" s="173"/>
      <c r="C364" s="87" t="str">
        <f t="shared" ref="C364:D364" si="484">IF($B362&lt;&gt;"",C360,"")</f>
        <v/>
      </c>
      <c r="D364" s="87" t="str">
        <f t="shared" si="484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8">
        <f t="shared" si="462"/>
        <v>90</v>
      </c>
      <c r="B365" s="174"/>
      <c r="C365" s="87" t="str">
        <f t="shared" ref="C365:D365" si="485">IF($B362&lt;&gt;"",C361,"")</f>
        <v/>
      </c>
      <c r="D365" s="87" t="str">
        <f t="shared" si="485"/>
        <v/>
      </c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8">
        <f t="shared" ref="A366" si="486">$A362+1</f>
        <v>91</v>
      </c>
      <c r="B366" s="172" t="str">
        <f>IFERROR(INDEX(TBL_PIPED_IMPORTERS_CONNECTIONS[Name],$A366),"")</f>
        <v/>
      </c>
      <c r="C366" s="87" t="str">
        <f t="shared" ref="C366:D366" si="487">IF($B366&lt;&gt;"",C362,"")</f>
        <v/>
      </c>
      <c r="D366" s="87" t="str">
        <f t="shared" si="487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8">
        <f t="shared" ref="A367:A369" si="488">$A366</f>
        <v>91</v>
      </c>
      <c r="B367" s="173"/>
      <c r="C367" s="87" t="str">
        <f t="shared" ref="C367:D367" si="489">IF($B366&lt;&gt;"",C363,"")</f>
        <v/>
      </c>
      <c r="D367" s="87" t="str">
        <f t="shared" si="489"/>
        <v/>
      </c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8">
        <f t="shared" si="488"/>
        <v>91</v>
      </c>
      <c r="B368" s="173"/>
      <c r="C368" s="87" t="str">
        <f t="shared" ref="C368:D368" si="490">IF($B366&lt;&gt;"",C364,"")</f>
        <v/>
      </c>
      <c r="D368" s="87" t="str">
        <f t="shared" si="490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8">
        <f t="shared" si="488"/>
        <v>91</v>
      </c>
      <c r="B369" s="174"/>
      <c r="C369" s="87" t="str">
        <f t="shared" ref="C369:D369" si="491">IF($B366&lt;&gt;"",C365,"")</f>
        <v/>
      </c>
      <c r="D369" s="87" t="str">
        <f t="shared" si="491"/>
        <v/>
      </c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8">
        <f t="shared" ref="A370" si="492">$A366+1</f>
        <v>92</v>
      </c>
      <c r="B370" s="172" t="str">
        <f>IFERROR(INDEX(TBL_PIPED_IMPORTERS_CONNECTIONS[Name],$A370),"")</f>
        <v/>
      </c>
      <c r="C370" s="87" t="str">
        <f t="shared" ref="C370:D370" si="493">IF($B370&lt;&gt;"",C366,"")</f>
        <v/>
      </c>
      <c r="D370" s="87" t="str">
        <f t="shared" si="493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8">
        <f t="shared" ref="A371:A373" si="494">$A370</f>
        <v>92</v>
      </c>
      <c r="B371" s="173"/>
      <c r="C371" s="87" t="str">
        <f t="shared" ref="C371:D371" si="495">IF($B370&lt;&gt;"",C367,"")</f>
        <v/>
      </c>
      <c r="D371" s="87" t="str">
        <f t="shared" si="495"/>
        <v/>
      </c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8">
        <f t="shared" si="494"/>
        <v>92</v>
      </c>
      <c r="B372" s="173"/>
      <c r="C372" s="87" t="str">
        <f t="shared" ref="C372:D372" si="496">IF($B370&lt;&gt;"",C368,"")</f>
        <v/>
      </c>
      <c r="D372" s="87" t="str">
        <f t="shared" si="496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8">
        <f t="shared" si="494"/>
        <v>92</v>
      </c>
      <c r="B373" s="174"/>
      <c r="C373" s="87" t="str">
        <f t="shared" ref="C373:D373" si="497">IF($B370&lt;&gt;"",C369,"")</f>
        <v/>
      </c>
      <c r="D373" s="87" t="str">
        <f t="shared" si="497"/>
        <v/>
      </c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8">
        <f t="shared" ref="A374" si="498">$A370+1</f>
        <v>93</v>
      </c>
      <c r="B374" s="172" t="str">
        <f>IFERROR(INDEX(TBL_PIPED_IMPORTERS_CONNECTIONS[Name],$A374),"")</f>
        <v/>
      </c>
      <c r="C374" s="87" t="str">
        <f t="shared" ref="C374:D374" si="499">IF($B374&lt;&gt;"",C370,"")</f>
        <v/>
      </c>
      <c r="D374" s="87" t="str">
        <f t="shared" si="499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8">
        <f t="shared" ref="A375:A393" si="500">$A374</f>
        <v>93</v>
      </c>
      <c r="B375" s="173"/>
      <c r="C375" s="87" t="str">
        <f t="shared" ref="C375:D375" si="501">IF($B374&lt;&gt;"",C371,"")</f>
        <v/>
      </c>
      <c r="D375" s="87" t="str">
        <f t="shared" si="501"/>
        <v/>
      </c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8">
        <f t="shared" si="500"/>
        <v>93</v>
      </c>
      <c r="B376" s="173"/>
      <c r="C376" s="87" t="str">
        <f t="shared" ref="C376:D376" si="502">IF($B374&lt;&gt;"",C372,"")</f>
        <v/>
      </c>
      <c r="D376" s="87" t="str">
        <f t="shared" si="502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8">
        <f t="shared" si="500"/>
        <v>93</v>
      </c>
      <c r="B377" s="174"/>
      <c r="C377" s="87" t="str">
        <f t="shared" ref="C377:D377" si="503">IF($B374&lt;&gt;"",C373,"")</f>
        <v/>
      </c>
      <c r="D377" s="87" t="str">
        <f t="shared" si="503"/>
        <v/>
      </c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8">
        <f t="shared" ref="A378" si="504">$A374+1</f>
        <v>94</v>
      </c>
      <c r="B378" s="172" t="str">
        <f>IFERROR(INDEX(TBL_PIPED_IMPORTERS_CONNECTIONS[Name],$A378),"")</f>
        <v/>
      </c>
      <c r="C378" s="87" t="str">
        <f t="shared" ref="C378:D378" si="505">IF($B378&lt;&gt;"",C374,"")</f>
        <v/>
      </c>
      <c r="D378" s="87" t="str">
        <f t="shared" si="505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8">
        <f t="shared" si="500"/>
        <v>94</v>
      </c>
      <c r="B379" s="173"/>
      <c r="C379" s="87" t="str">
        <f t="shared" ref="C379:D379" si="506">IF($B378&lt;&gt;"",C375,"")</f>
        <v/>
      </c>
      <c r="D379" s="87" t="str">
        <f t="shared" si="506"/>
        <v/>
      </c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8">
        <f t="shared" si="500"/>
        <v>94</v>
      </c>
      <c r="B380" s="173"/>
      <c r="C380" s="87" t="str">
        <f t="shared" ref="C380:D380" si="507">IF($B378&lt;&gt;"",C376,"")</f>
        <v/>
      </c>
      <c r="D380" s="87" t="str">
        <f t="shared" si="507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8">
        <f t="shared" si="500"/>
        <v>94</v>
      </c>
      <c r="B381" s="174"/>
      <c r="C381" s="87" t="str">
        <f t="shared" ref="C381:D381" si="508">IF($B378&lt;&gt;"",C377,"")</f>
        <v/>
      </c>
      <c r="D381" s="87" t="str">
        <f t="shared" si="508"/>
        <v/>
      </c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8">
        <f t="shared" ref="A382" si="509">$A378+1</f>
        <v>95</v>
      </c>
      <c r="B382" s="172" t="str">
        <f>IFERROR(INDEX(TBL_PIPED_IMPORTERS_CONNECTIONS[Name],$A382),"")</f>
        <v/>
      </c>
      <c r="C382" s="87" t="str">
        <f t="shared" ref="C382:D382" si="510">IF($B382&lt;&gt;"",C378,"")</f>
        <v/>
      </c>
      <c r="D382" s="87" t="str">
        <f t="shared" si="510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8">
        <f t="shared" si="500"/>
        <v>95</v>
      </c>
      <c r="B383" s="173"/>
      <c r="C383" s="87" t="str">
        <f t="shared" ref="C383:D383" si="511">IF($B382&lt;&gt;"",C379,"")</f>
        <v/>
      </c>
      <c r="D383" s="87" t="str">
        <f t="shared" si="511"/>
        <v/>
      </c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8">
        <f t="shared" si="500"/>
        <v>95</v>
      </c>
      <c r="B384" s="173"/>
      <c r="C384" s="87" t="str">
        <f t="shared" ref="C384:D384" si="512">IF($B382&lt;&gt;"",C380,"")</f>
        <v/>
      </c>
      <c r="D384" s="87" t="str">
        <f t="shared" si="512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8">
        <f t="shared" si="500"/>
        <v>95</v>
      </c>
      <c r="B385" s="174"/>
      <c r="C385" s="87" t="str">
        <f t="shared" ref="C385:D385" si="513">IF($B382&lt;&gt;"",C381,"")</f>
        <v/>
      </c>
      <c r="D385" s="87" t="str">
        <f t="shared" si="513"/>
        <v/>
      </c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8">
        <f t="shared" ref="A386" si="514">$A382+1</f>
        <v>96</v>
      </c>
      <c r="B386" s="172" t="str">
        <f>IFERROR(INDEX(TBL_PIPED_IMPORTERS_CONNECTIONS[Name],$A386),"")</f>
        <v/>
      </c>
      <c r="C386" s="87" t="str">
        <f t="shared" ref="C386:D386" si="515">IF($B386&lt;&gt;"",C382,"")</f>
        <v/>
      </c>
      <c r="D386" s="87" t="str">
        <f t="shared" si="515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8">
        <f t="shared" si="500"/>
        <v>96</v>
      </c>
      <c r="B387" s="173"/>
      <c r="C387" s="87" t="str">
        <f t="shared" ref="C387:D387" si="516">IF($B386&lt;&gt;"",C383,"")</f>
        <v/>
      </c>
      <c r="D387" s="87" t="str">
        <f t="shared" si="516"/>
        <v/>
      </c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8">
        <f t="shared" si="500"/>
        <v>96</v>
      </c>
      <c r="B388" s="173"/>
      <c r="C388" s="87" t="str">
        <f t="shared" ref="C388:D388" si="517">IF($B386&lt;&gt;"",C384,"")</f>
        <v/>
      </c>
      <c r="D388" s="87" t="str">
        <f t="shared" si="517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8">
        <f t="shared" si="500"/>
        <v>96</v>
      </c>
      <c r="B389" s="174"/>
      <c r="C389" s="87" t="str">
        <f t="shared" ref="C389:D389" si="518">IF($B386&lt;&gt;"",C385,"")</f>
        <v/>
      </c>
      <c r="D389" s="87" t="str">
        <f t="shared" si="518"/>
        <v/>
      </c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8">
        <f t="shared" ref="A390" si="519">$A386+1</f>
        <v>97</v>
      </c>
      <c r="B390" s="172" t="str">
        <f>IFERROR(INDEX(TBL_PIPED_IMPORTERS_CONNECTIONS[Name],$A390),"")</f>
        <v/>
      </c>
      <c r="C390" s="87" t="str">
        <f t="shared" ref="C390:D390" si="520">IF($B390&lt;&gt;"",C386,"")</f>
        <v/>
      </c>
      <c r="D390" s="87" t="str">
        <f t="shared" si="520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8">
        <f t="shared" si="500"/>
        <v>97</v>
      </c>
      <c r="B391" s="173"/>
      <c r="C391" s="87" t="str">
        <f t="shared" ref="C391:D391" si="521">IF($B390&lt;&gt;"",C387,"")</f>
        <v/>
      </c>
      <c r="D391" s="87" t="str">
        <f t="shared" si="521"/>
        <v/>
      </c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8">
        <f t="shared" si="500"/>
        <v>97</v>
      </c>
      <c r="B392" s="173"/>
      <c r="C392" s="87" t="str">
        <f t="shared" ref="C392:D392" si="522">IF($B390&lt;&gt;"",C388,"")</f>
        <v/>
      </c>
      <c r="D392" s="87" t="str">
        <f t="shared" si="522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8">
        <f t="shared" si="500"/>
        <v>97</v>
      </c>
      <c r="B393" s="174"/>
      <c r="C393" s="87" t="str">
        <f t="shared" ref="C393:D393" si="523">IF($B390&lt;&gt;"",C389,"")</f>
        <v/>
      </c>
      <c r="D393" s="87" t="str">
        <f t="shared" si="523"/>
        <v/>
      </c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8">
        <f t="shared" ref="A394" si="524">$A390+1</f>
        <v>98</v>
      </c>
      <c r="B394" s="172" t="str">
        <f>IFERROR(INDEX(TBL_PIPED_IMPORTERS_CONNECTIONS[Name],$A394),"")</f>
        <v/>
      </c>
      <c r="C394" s="87" t="str">
        <f t="shared" ref="C394:D394" si="525">IF($B394&lt;&gt;"",C390,"")</f>
        <v/>
      </c>
      <c r="D394" s="87" t="str">
        <f t="shared" si="525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8">
        <f t="shared" ref="A395:A397" si="526">$A394</f>
        <v>98</v>
      </c>
      <c r="B395" s="173"/>
      <c r="C395" s="87" t="str">
        <f t="shared" ref="C395:D395" si="527">IF($B394&lt;&gt;"",C391,"")</f>
        <v/>
      </c>
      <c r="D395" s="87" t="str">
        <f t="shared" si="527"/>
        <v/>
      </c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8">
        <f t="shared" si="526"/>
        <v>98</v>
      </c>
      <c r="B396" s="173"/>
      <c r="C396" s="87" t="str">
        <f t="shared" ref="C396:D396" si="528">IF($B394&lt;&gt;"",C392,"")</f>
        <v/>
      </c>
      <c r="D396" s="87" t="str">
        <f t="shared" si="528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8">
        <f t="shared" si="526"/>
        <v>98</v>
      </c>
      <c r="B397" s="174"/>
      <c r="C397" s="87" t="str">
        <f t="shared" ref="C397:D397" si="529">IF($B394&lt;&gt;"",C393,"")</f>
        <v/>
      </c>
      <c r="D397" s="87" t="str">
        <f t="shared" si="529"/>
        <v/>
      </c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8">
        <f t="shared" ref="A398" si="530">$A394+1</f>
        <v>99</v>
      </c>
      <c r="B398" s="172" t="str">
        <f>IFERROR(INDEX(TBL_PIPED_IMPORTERS_CONNECTIONS[Name],$A398),"")</f>
        <v/>
      </c>
      <c r="C398" s="87" t="str">
        <f t="shared" ref="C398:D398" si="531">IF($B398&lt;&gt;"",C394,"")</f>
        <v/>
      </c>
      <c r="D398" s="87" t="str">
        <f t="shared" si="531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8">
        <f t="shared" ref="A399:A401" si="532">$A398</f>
        <v>99</v>
      </c>
      <c r="B399" s="173"/>
      <c r="C399" s="87" t="str">
        <f t="shared" ref="C399:D399" si="533">IF($B398&lt;&gt;"",C395,"")</f>
        <v/>
      </c>
      <c r="D399" s="87" t="str">
        <f t="shared" si="533"/>
        <v/>
      </c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8">
        <f t="shared" si="532"/>
        <v>99</v>
      </c>
      <c r="B400" s="173"/>
      <c r="C400" s="87" t="str">
        <f t="shared" ref="C400:D400" si="534">IF($B398&lt;&gt;"",C396,"")</f>
        <v/>
      </c>
      <c r="D400" s="87" t="str">
        <f t="shared" si="534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8">
        <f t="shared" si="532"/>
        <v>99</v>
      </c>
      <c r="B401" s="174"/>
      <c r="C401" s="87" t="str">
        <f t="shared" ref="C401:D401" si="535">IF($B398&lt;&gt;"",C397,"")</f>
        <v/>
      </c>
      <c r="D401" s="87" t="str">
        <f t="shared" si="535"/>
        <v/>
      </c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8">
        <f t="shared" ref="A402" si="536">$A398+1</f>
        <v>100</v>
      </c>
      <c r="B402" s="172" t="str">
        <f>IFERROR(INDEX(TBL_PIPED_IMPORTERS_CONNECTIONS[Name],$A402),"")</f>
        <v/>
      </c>
      <c r="C402" s="87" t="str">
        <f t="shared" ref="C402:D402" si="537">IF($B402&lt;&gt;"",C398,"")</f>
        <v/>
      </c>
      <c r="D402" s="87" t="str">
        <f t="shared" si="537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8">
        <f t="shared" ref="A403:A421" si="538">$A402</f>
        <v>100</v>
      </c>
      <c r="B403" s="173"/>
      <c r="C403" s="87" t="str">
        <f t="shared" ref="C403:D403" si="539">IF($B402&lt;&gt;"",C399,"")</f>
        <v/>
      </c>
      <c r="D403" s="87" t="str">
        <f t="shared" si="539"/>
        <v/>
      </c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8">
        <f t="shared" si="538"/>
        <v>100</v>
      </c>
      <c r="B404" s="173"/>
      <c r="C404" s="87" t="str">
        <f t="shared" ref="C404:D404" si="540">IF($B402&lt;&gt;"",C400,"")</f>
        <v/>
      </c>
      <c r="D404" s="87" t="str">
        <f t="shared" si="540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8">
        <f t="shared" si="538"/>
        <v>100</v>
      </c>
      <c r="B405" s="174"/>
      <c r="C405" s="87" t="str">
        <f t="shared" ref="C405:D405" si="541">IF($B402&lt;&gt;"",C401,"")</f>
        <v/>
      </c>
      <c r="D405" s="87" t="str">
        <f t="shared" si="541"/>
        <v/>
      </c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8">
        <f t="shared" ref="A406" si="542">$A402+1</f>
        <v>101</v>
      </c>
      <c r="B406" s="172" t="str">
        <f>IFERROR(INDEX(TBL_PIPED_IMPORTERS_CONNECTIONS[Name],$A406),"")</f>
        <v/>
      </c>
      <c r="C406" s="87" t="str">
        <f t="shared" ref="C406:D406" si="543">IF($B406&lt;&gt;"",C402,"")</f>
        <v/>
      </c>
      <c r="D406" s="87" t="str">
        <f t="shared" si="543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8">
        <f t="shared" si="538"/>
        <v>101</v>
      </c>
      <c r="B407" s="173"/>
      <c r="C407" s="87" t="str">
        <f t="shared" ref="C407:D407" si="544">IF($B406&lt;&gt;"",C403,"")</f>
        <v/>
      </c>
      <c r="D407" s="87" t="str">
        <f t="shared" si="544"/>
        <v/>
      </c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8">
        <f t="shared" si="538"/>
        <v>101</v>
      </c>
      <c r="B408" s="173"/>
      <c r="C408" s="87" t="str">
        <f t="shared" ref="C408:D408" si="545">IF($B406&lt;&gt;"",C404,"")</f>
        <v/>
      </c>
      <c r="D408" s="87" t="str">
        <f t="shared" si="545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8">
        <f t="shared" si="538"/>
        <v>101</v>
      </c>
      <c r="B409" s="174"/>
      <c r="C409" s="87" t="str">
        <f t="shared" ref="C409:D409" si="546">IF($B406&lt;&gt;"",C405,"")</f>
        <v/>
      </c>
      <c r="D409" s="87" t="str">
        <f t="shared" si="546"/>
        <v/>
      </c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8">
        <f t="shared" ref="A410" si="547">$A406+1</f>
        <v>102</v>
      </c>
      <c r="B410" s="172" t="str">
        <f>IFERROR(INDEX(TBL_PIPED_IMPORTERS_CONNECTIONS[Name],$A410),"")</f>
        <v/>
      </c>
      <c r="C410" s="87" t="str">
        <f t="shared" ref="C410:D410" si="548">IF($B410&lt;&gt;"",C406,"")</f>
        <v/>
      </c>
      <c r="D410" s="87" t="str">
        <f t="shared" si="548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8">
        <f t="shared" si="538"/>
        <v>102</v>
      </c>
      <c r="B411" s="173"/>
      <c r="C411" s="87" t="str">
        <f t="shared" ref="C411:D411" si="549">IF($B410&lt;&gt;"",C407,"")</f>
        <v/>
      </c>
      <c r="D411" s="87" t="str">
        <f t="shared" si="549"/>
        <v/>
      </c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8">
        <f t="shared" si="538"/>
        <v>102</v>
      </c>
      <c r="B412" s="173"/>
      <c r="C412" s="87" t="str">
        <f t="shared" ref="C412:D412" si="550">IF($B410&lt;&gt;"",C408,"")</f>
        <v/>
      </c>
      <c r="D412" s="87" t="str">
        <f t="shared" si="550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8">
        <f t="shared" si="538"/>
        <v>102</v>
      </c>
      <c r="B413" s="174"/>
      <c r="C413" s="87" t="str">
        <f t="shared" ref="C413:D413" si="551">IF($B410&lt;&gt;"",C409,"")</f>
        <v/>
      </c>
      <c r="D413" s="87" t="str">
        <f t="shared" si="551"/>
        <v/>
      </c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8">
        <f t="shared" ref="A414" si="552">$A410+1</f>
        <v>103</v>
      </c>
      <c r="B414" s="172" t="str">
        <f>IFERROR(INDEX(TBL_PIPED_IMPORTERS_CONNECTIONS[Name],$A414),"")</f>
        <v/>
      </c>
      <c r="C414" s="87" t="str">
        <f t="shared" ref="C414:D414" si="553">IF($B414&lt;&gt;"",C410,"")</f>
        <v/>
      </c>
      <c r="D414" s="87" t="str">
        <f t="shared" si="553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8">
        <f t="shared" si="538"/>
        <v>103</v>
      </c>
      <c r="B415" s="173"/>
      <c r="C415" s="87" t="str">
        <f t="shared" ref="C415:D415" si="554">IF($B414&lt;&gt;"",C411,"")</f>
        <v/>
      </c>
      <c r="D415" s="87" t="str">
        <f t="shared" si="554"/>
        <v/>
      </c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8">
        <f t="shared" si="538"/>
        <v>103</v>
      </c>
      <c r="B416" s="173"/>
      <c r="C416" s="87" t="str">
        <f t="shared" ref="C416:D416" si="555">IF($B414&lt;&gt;"",C412,"")</f>
        <v/>
      </c>
      <c r="D416" s="87" t="str">
        <f t="shared" si="555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8">
        <f t="shared" si="538"/>
        <v>103</v>
      </c>
      <c r="B417" s="174"/>
      <c r="C417" s="87" t="str">
        <f t="shared" ref="C417:D417" si="556">IF($B414&lt;&gt;"",C413,"")</f>
        <v/>
      </c>
      <c r="D417" s="87" t="str">
        <f t="shared" si="556"/>
        <v/>
      </c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8">
        <f t="shared" ref="A418" si="557">$A414+1</f>
        <v>104</v>
      </c>
      <c r="B418" s="172" t="str">
        <f>IFERROR(INDEX(TBL_PIPED_IMPORTERS_CONNECTIONS[Name],$A418),"")</f>
        <v/>
      </c>
      <c r="C418" s="87" t="str">
        <f t="shared" ref="C418:D418" si="558">IF($B418&lt;&gt;"",C414,"")</f>
        <v/>
      </c>
      <c r="D418" s="87" t="str">
        <f t="shared" si="558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8">
        <f t="shared" si="538"/>
        <v>104</v>
      </c>
      <c r="B419" s="173"/>
      <c r="C419" s="87" t="str">
        <f t="shared" ref="C419:D419" si="559">IF($B418&lt;&gt;"",C415,"")</f>
        <v/>
      </c>
      <c r="D419" s="87" t="str">
        <f t="shared" si="559"/>
        <v/>
      </c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8">
        <f t="shared" si="538"/>
        <v>104</v>
      </c>
      <c r="B420" s="173"/>
      <c r="C420" s="87" t="str">
        <f t="shared" ref="C420:D420" si="560">IF($B418&lt;&gt;"",C416,"")</f>
        <v/>
      </c>
      <c r="D420" s="87" t="str">
        <f t="shared" si="560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8">
        <f t="shared" si="538"/>
        <v>104</v>
      </c>
      <c r="B421" s="174"/>
      <c r="C421" s="87" t="str">
        <f t="shared" ref="C421:D421" si="561">IF($B418&lt;&gt;"",C417,"")</f>
        <v/>
      </c>
      <c r="D421" s="87" t="str">
        <f t="shared" si="561"/>
        <v/>
      </c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8">
        <f t="shared" ref="A422" si="562">$A418+1</f>
        <v>105</v>
      </c>
      <c r="B422" s="172" t="str">
        <f>IFERROR(INDEX(TBL_PIPED_IMPORTERS_CONNECTIONS[Name],$A422),"")</f>
        <v/>
      </c>
      <c r="C422" s="87" t="str">
        <f t="shared" ref="C422:D422" si="563">IF($B422&lt;&gt;"",C418,"")</f>
        <v/>
      </c>
      <c r="D422" s="87" t="str">
        <f t="shared" si="563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8">
        <f t="shared" ref="A423:A425" si="564">$A422</f>
        <v>105</v>
      </c>
      <c r="B423" s="173"/>
      <c r="C423" s="87" t="str">
        <f t="shared" ref="C423:D423" si="565">IF($B422&lt;&gt;"",C419,"")</f>
        <v/>
      </c>
      <c r="D423" s="87" t="str">
        <f t="shared" si="565"/>
        <v/>
      </c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8">
        <f t="shared" si="564"/>
        <v>105</v>
      </c>
      <c r="B424" s="173"/>
      <c r="C424" s="87" t="str">
        <f t="shared" ref="C424:D424" si="566">IF($B422&lt;&gt;"",C420,"")</f>
        <v/>
      </c>
      <c r="D424" s="87" t="str">
        <f t="shared" si="566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8">
        <f t="shared" si="564"/>
        <v>105</v>
      </c>
      <c r="B425" s="174"/>
      <c r="C425" s="87" t="str">
        <f t="shared" ref="C425:D425" si="567">IF($B422&lt;&gt;"",C421,"")</f>
        <v/>
      </c>
      <c r="D425" s="87" t="str">
        <f t="shared" si="567"/>
        <v/>
      </c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8">
        <f t="shared" ref="A426" si="568">$A422+1</f>
        <v>106</v>
      </c>
      <c r="B426" s="172" t="str">
        <f>IFERROR(INDEX(TBL_PIPED_IMPORTERS_CONNECTIONS[Name],$A426),"")</f>
        <v/>
      </c>
      <c r="C426" s="87" t="str">
        <f t="shared" ref="C426:D426" si="569">IF($B426&lt;&gt;"",C422,"")</f>
        <v/>
      </c>
      <c r="D426" s="87" t="str">
        <f t="shared" si="569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8">
        <f t="shared" ref="A427:A429" si="570">$A426</f>
        <v>106</v>
      </c>
      <c r="B427" s="173"/>
      <c r="C427" s="87" t="str">
        <f t="shared" ref="C427:D427" si="571">IF($B426&lt;&gt;"",C423,"")</f>
        <v/>
      </c>
      <c r="D427" s="87" t="str">
        <f t="shared" si="571"/>
        <v/>
      </c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8">
        <f t="shared" si="570"/>
        <v>106</v>
      </c>
      <c r="B428" s="173"/>
      <c r="C428" s="87" t="str">
        <f t="shared" ref="C428:D428" si="572">IF($B426&lt;&gt;"",C424,"")</f>
        <v/>
      </c>
      <c r="D428" s="87" t="str">
        <f t="shared" si="57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8">
        <f t="shared" si="570"/>
        <v>106</v>
      </c>
      <c r="B429" s="174"/>
      <c r="C429" s="87" t="str">
        <f t="shared" ref="C429:D429" si="573">IF($B426&lt;&gt;"",C425,"")</f>
        <v/>
      </c>
      <c r="D429" s="87" t="str">
        <f t="shared" si="573"/>
        <v/>
      </c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8">
        <f t="shared" ref="A430" si="574">$A426+1</f>
        <v>107</v>
      </c>
      <c r="B430" s="172" t="str">
        <f>IFERROR(INDEX(TBL_PIPED_IMPORTERS_CONNECTIONS[Name],$A430),"")</f>
        <v/>
      </c>
      <c r="C430" s="87" t="str">
        <f t="shared" ref="C430:D430" si="575">IF($B430&lt;&gt;"",C426,"")</f>
        <v/>
      </c>
      <c r="D430" s="87" t="str">
        <f t="shared" si="57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8">
        <f t="shared" ref="A431:A445" si="576">$A430</f>
        <v>107</v>
      </c>
      <c r="B431" s="173"/>
      <c r="C431" s="87" t="str">
        <f t="shared" ref="C431:D431" si="577">IF($B430&lt;&gt;"",C427,"")</f>
        <v/>
      </c>
      <c r="D431" s="87" t="str">
        <f t="shared" si="577"/>
        <v/>
      </c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8">
        <f t="shared" si="576"/>
        <v>107</v>
      </c>
      <c r="B432" s="173"/>
      <c r="C432" s="87" t="str">
        <f t="shared" ref="C432:D432" si="578">IF($B430&lt;&gt;"",C428,"")</f>
        <v/>
      </c>
      <c r="D432" s="87" t="str">
        <f t="shared" si="578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8">
        <f t="shared" si="576"/>
        <v>107</v>
      </c>
      <c r="B433" s="174"/>
      <c r="C433" s="87" t="str">
        <f t="shared" ref="C433:D433" si="579">IF($B430&lt;&gt;"",C429,"")</f>
        <v/>
      </c>
      <c r="D433" s="87" t="str">
        <f t="shared" si="579"/>
        <v/>
      </c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8">
        <f t="shared" ref="A434" si="580">$A430+1</f>
        <v>108</v>
      </c>
      <c r="B434" s="172" t="str">
        <f>IFERROR(INDEX(TBL_PIPED_IMPORTERS_CONNECTIONS[Name],$A434),"")</f>
        <v/>
      </c>
      <c r="C434" s="87" t="str">
        <f t="shared" ref="C434:D434" si="581">IF($B434&lt;&gt;"",C430,"")</f>
        <v/>
      </c>
      <c r="D434" s="87" t="str">
        <f t="shared" si="581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8">
        <f t="shared" si="576"/>
        <v>108</v>
      </c>
      <c r="B435" s="173"/>
      <c r="C435" s="87" t="str">
        <f t="shared" ref="C435:D435" si="582">IF($B434&lt;&gt;"",C431,"")</f>
        <v/>
      </c>
      <c r="D435" s="87" t="str">
        <f t="shared" si="582"/>
        <v/>
      </c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8">
        <f t="shared" si="576"/>
        <v>108</v>
      </c>
      <c r="B436" s="173"/>
      <c r="C436" s="87" t="str">
        <f t="shared" ref="C436:D436" si="583">IF($B434&lt;&gt;"",C432,"")</f>
        <v/>
      </c>
      <c r="D436" s="87" t="str">
        <f t="shared" si="583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8">
        <f t="shared" si="576"/>
        <v>108</v>
      </c>
      <c r="B437" s="174"/>
      <c r="C437" s="87" t="str">
        <f t="shared" ref="C437:D437" si="584">IF($B434&lt;&gt;"",C433,"")</f>
        <v/>
      </c>
      <c r="D437" s="87" t="str">
        <f t="shared" si="584"/>
        <v/>
      </c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8">
        <f t="shared" ref="A438" si="585">$A434+1</f>
        <v>109</v>
      </c>
      <c r="B438" s="172" t="str">
        <f>IFERROR(INDEX(TBL_PIPED_IMPORTERS_CONNECTIONS[Name],$A438),"")</f>
        <v/>
      </c>
      <c r="C438" s="87" t="str">
        <f t="shared" ref="C438:D438" si="586">IF($B438&lt;&gt;"",C434,"")</f>
        <v/>
      </c>
      <c r="D438" s="87" t="str">
        <f t="shared" si="586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8">
        <f t="shared" si="576"/>
        <v>109</v>
      </c>
      <c r="B439" s="173"/>
      <c r="C439" s="87" t="str">
        <f t="shared" ref="C439:D439" si="587">IF($B438&lt;&gt;"",C435,"")</f>
        <v/>
      </c>
      <c r="D439" s="87" t="str">
        <f t="shared" si="587"/>
        <v/>
      </c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8">
        <f t="shared" si="576"/>
        <v>109</v>
      </c>
      <c r="B440" s="173"/>
      <c r="C440" s="87" t="str">
        <f t="shared" ref="C440:D440" si="588">IF($B438&lt;&gt;"",C436,"")</f>
        <v/>
      </c>
      <c r="D440" s="87" t="str">
        <f t="shared" si="588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8">
        <f t="shared" si="576"/>
        <v>109</v>
      </c>
      <c r="B441" s="174"/>
      <c r="C441" s="87" t="str">
        <f t="shared" ref="C441:D441" si="589">IF($B438&lt;&gt;"",C437,"")</f>
        <v/>
      </c>
      <c r="D441" s="87" t="str">
        <f t="shared" si="589"/>
        <v/>
      </c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8">
        <f t="shared" ref="A442" si="590">$A438+1</f>
        <v>110</v>
      </c>
      <c r="B442" s="172" t="str">
        <f>IFERROR(INDEX(TBL_PIPED_IMPORTERS_CONNECTIONS[Name],$A442),"")</f>
        <v/>
      </c>
      <c r="C442" s="87" t="str">
        <f t="shared" ref="C442:D442" si="591">IF($B442&lt;&gt;"",C438,"")</f>
        <v/>
      </c>
      <c r="D442" s="87" t="str">
        <f t="shared" si="591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8">
        <f t="shared" si="576"/>
        <v>110</v>
      </c>
      <c r="B443" s="173"/>
      <c r="C443" s="87" t="str">
        <f t="shared" ref="C443:D443" si="592">IF($B442&lt;&gt;"",C439,"")</f>
        <v/>
      </c>
      <c r="D443" s="87" t="str">
        <f t="shared" si="592"/>
        <v/>
      </c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8">
        <f t="shared" si="576"/>
        <v>110</v>
      </c>
      <c r="B444" s="173"/>
      <c r="C444" s="87" t="str">
        <f t="shared" ref="C444:D444" si="593">IF($B442&lt;&gt;"",C440,"")</f>
        <v/>
      </c>
      <c r="D444" s="87" t="str">
        <f t="shared" si="593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8">
        <f t="shared" si="576"/>
        <v>110</v>
      </c>
      <c r="B445" s="174"/>
      <c r="C445" s="87" t="str">
        <f t="shared" ref="C445:D445" si="594">IF($B442&lt;&gt;"",C441,"")</f>
        <v/>
      </c>
      <c r="D445" s="87" t="str">
        <f t="shared" si="594"/>
        <v/>
      </c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4" priority="15" operator="equal">
      <formula>#REF!</formula>
    </cfRule>
  </conditionalFormatting>
  <conditionalFormatting sqref="D8:D9">
    <cfRule type="cellIs" dxfId="133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9" t="s">
        <v>202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9" t="s">
        <v>203</v>
      </c>
      <c r="B7" s="4">
        <f t="shared" ref="B7:B33" si="0">ROW(2:2)</f>
        <v>2</v>
      </c>
      <c r="C7" s="20"/>
      <c r="D7" s="107" t="str">
        <f>"LNGImporter_"&amp;TEXT(TBL_LNG_IMPORTERS[[#This Row],[Index]],"000")</f>
        <v>LNGImporter_002</v>
      </c>
    </row>
    <row r="8" spans="1:4" x14ac:dyDescent="0.25">
      <c r="A8" s="79" t="s">
        <v>204</v>
      </c>
      <c r="B8" s="4">
        <f t="shared" si="0"/>
        <v>3</v>
      </c>
      <c r="C8" s="20"/>
      <c r="D8" s="107" t="str">
        <f>"LNGImporter_"&amp;TEXT(TBL_LNG_IMPORTERS[[#This Row],[Index]],"000")</f>
        <v>LNGImporter_003</v>
      </c>
    </row>
    <row r="9" spans="1:4" x14ac:dyDescent="0.25">
      <c r="A9" s="79" t="s">
        <v>205</v>
      </c>
      <c r="B9" s="4">
        <f t="shared" si="0"/>
        <v>4</v>
      </c>
      <c r="C9" s="20"/>
      <c r="D9" s="107" t="str">
        <f>"LNGImporter_"&amp;TEXT(TBL_LNG_IMPORTERS[[#This Row],[Index]],"000")</f>
        <v>LNGImporter_004</v>
      </c>
    </row>
    <row r="10" spans="1:4" x14ac:dyDescent="0.25">
      <c r="A10" s="79" t="s">
        <v>206</v>
      </c>
      <c r="B10" s="4">
        <f t="shared" si="0"/>
        <v>5</v>
      </c>
      <c r="C10" s="20"/>
      <c r="D10" s="107" t="str">
        <f>"LNGImporter_"&amp;TEXT(TBL_LNG_IMPORTERS[[#This Row],[Index]],"000")</f>
        <v>LNGImporter_005</v>
      </c>
    </row>
    <row r="11" spans="1:4" x14ac:dyDescent="0.25">
      <c r="A11" s="79" t="s">
        <v>207</v>
      </c>
      <c r="B11" s="4">
        <f t="shared" si="0"/>
        <v>6</v>
      </c>
      <c r="C11" s="20"/>
      <c r="D11" s="107" t="str">
        <f>"LNGImporter_"&amp;TEXT(TBL_LNG_IMPORTERS[[#This Row],[Index]],"000")</f>
        <v>LNGImporter_006</v>
      </c>
    </row>
    <row r="12" spans="1:4" x14ac:dyDescent="0.25">
      <c r="A12" s="79" t="s">
        <v>208</v>
      </c>
      <c r="B12" s="4">
        <f t="shared" si="0"/>
        <v>7</v>
      </c>
      <c r="C12" s="20"/>
      <c r="D12" s="107" t="str">
        <f>"LNGImporter_"&amp;TEXT(TBL_LNG_IMPORTERS[[#This Row],[Index]],"000")</f>
        <v>LNGImporter_007</v>
      </c>
    </row>
    <row r="13" spans="1:4" x14ac:dyDescent="0.25">
      <c r="A13" s="79" t="s">
        <v>209</v>
      </c>
      <c r="B13" s="4">
        <f t="shared" si="0"/>
        <v>8</v>
      </c>
      <c r="C13" s="20"/>
      <c r="D13" s="107" t="str">
        <f>"LNGImporter_"&amp;TEXT(TBL_LNG_IMPORTERS[[#This Row],[Index]],"000")</f>
        <v>LNGImporter_008</v>
      </c>
    </row>
    <row r="14" spans="1:4" x14ac:dyDescent="0.25">
      <c r="A14" s="79" t="s">
        <v>210</v>
      </c>
      <c r="B14" s="4">
        <f t="shared" si="0"/>
        <v>9</v>
      </c>
      <c r="C14" s="20"/>
      <c r="D14" s="107" t="str">
        <f>"LNGImporter_"&amp;TEXT(TBL_LNG_IMPORTERS[[#This Row],[Index]],"000")</f>
        <v>LNGImporter_009</v>
      </c>
    </row>
    <row r="15" spans="1:4" x14ac:dyDescent="0.25">
      <c r="A15" s="79" t="s">
        <v>211</v>
      </c>
      <c r="B15" s="4">
        <f t="shared" si="0"/>
        <v>10</v>
      </c>
      <c r="C15" s="20"/>
      <c r="D15" s="107" t="str">
        <f>"LNGImporter_"&amp;TEXT(TBL_LNG_IMPORTERS[[#This Row],[Index]],"000")</f>
        <v>LNGImporter_010</v>
      </c>
    </row>
    <row r="16" spans="1:4" x14ac:dyDescent="0.25">
      <c r="A16" s="79" t="s">
        <v>212</v>
      </c>
      <c r="B16" s="4">
        <f t="shared" si="0"/>
        <v>11</v>
      </c>
      <c r="C16" s="20"/>
      <c r="D16" s="107" t="str">
        <f>"LNGImporter_"&amp;TEXT(TBL_LNG_IMPORTERS[[#This Row],[Index]],"000")</f>
        <v>LNGImporter_011</v>
      </c>
    </row>
    <row r="17" spans="1:4" x14ac:dyDescent="0.25">
      <c r="A17" s="79" t="s">
        <v>213</v>
      </c>
      <c r="B17" s="4">
        <f t="shared" si="0"/>
        <v>12</v>
      </c>
      <c r="C17" s="20"/>
      <c r="D17" s="107" t="str">
        <f>"LNGImporter_"&amp;TEXT(TBL_LNG_IMPORTERS[[#This Row],[Index]],"000")</f>
        <v>LNGImporter_012</v>
      </c>
    </row>
    <row r="18" spans="1:4" x14ac:dyDescent="0.25">
      <c r="A18" s="79" t="s">
        <v>214</v>
      </c>
      <c r="B18" s="4">
        <f t="shared" si="0"/>
        <v>13</v>
      </c>
      <c r="C18" s="20"/>
      <c r="D18" s="107" t="str">
        <f>"LNGImporter_"&amp;TEXT(TBL_LNG_IMPORTERS[[#This Row],[Index]],"000")</f>
        <v>LNGImporter_013</v>
      </c>
    </row>
    <row r="19" spans="1:4" x14ac:dyDescent="0.25">
      <c r="A19" s="79" t="s">
        <v>215</v>
      </c>
      <c r="B19" s="4">
        <f t="shared" si="0"/>
        <v>14</v>
      </c>
      <c r="C19" s="20"/>
      <c r="D19" s="107" t="str">
        <f>"LNGImporter_"&amp;TEXT(TBL_LNG_IMPORTERS[[#This Row],[Index]],"000")</f>
        <v>LNGImporter_014</v>
      </c>
    </row>
    <row r="20" spans="1:4" x14ac:dyDescent="0.25">
      <c r="A20" s="79" t="s">
        <v>216</v>
      </c>
      <c r="B20" s="4">
        <f t="shared" si="0"/>
        <v>15</v>
      </c>
      <c r="C20" s="20"/>
      <c r="D20" s="107" t="str">
        <f>"LNGImporter_"&amp;TEXT(TBL_LNG_IMPORTERS[[#This Row],[Index]],"000")</f>
        <v>LNGImporter_015</v>
      </c>
    </row>
    <row r="21" spans="1:4" x14ac:dyDescent="0.25">
      <c r="A21" s="79" t="s">
        <v>217</v>
      </c>
      <c r="B21" s="4">
        <f t="shared" si="0"/>
        <v>16</v>
      </c>
      <c r="C21" s="20"/>
      <c r="D21" s="107" t="str">
        <f>"LNGImporter_"&amp;TEXT(TBL_LNG_IMPORTERS[[#This Row],[Index]],"000")</f>
        <v>LNGImporter_016</v>
      </c>
    </row>
    <row r="22" spans="1:4" x14ac:dyDescent="0.25">
      <c r="A22" s="79" t="s">
        <v>218</v>
      </c>
      <c r="B22" s="4">
        <f t="shared" si="0"/>
        <v>17</v>
      </c>
      <c r="C22" s="20"/>
      <c r="D22" s="107" t="str">
        <f>"LNGImporter_"&amp;TEXT(TBL_LNG_IMPORTERS[[#This Row],[Index]],"000")</f>
        <v>LNGImporter_017</v>
      </c>
    </row>
    <row r="23" spans="1:4" x14ac:dyDescent="0.25">
      <c r="A23" s="79" t="s">
        <v>219</v>
      </c>
      <c r="B23" s="4">
        <f t="shared" si="0"/>
        <v>18</v>
      </c>
      <c r="C23" s="20"/>
      <c r="D23" s="107" t="str">
        <f>"LNGImporter_"&amp;TEXT(TBL_LNG_IMPORTERS[[#This Row],[Index]],"000")</f>
        <v>LNGImporter_018</v>
      </c>
    </row>
    <row r="24" spans="1:4" x14ac:dyDescent="0.25">
      <c r="A24" s="79" t="s">
        <v>220</v>
      </c>
      <c r="B24" s="4">
        <f t="shared" si="0"/>
        <v>19</v>
      </c>
      <c r="C24" s="20"/>
      <c r="D24" s="107" t="str">
        <f>"LNGImporter_"&amp;TEXT(TBL_LNG_IMPORTERS[[#This Row],[Index]],"000")</f>
        <v>LNGImporter_019</v>
      </c>
    </row>
    <row r="25" spans="1:4" x14ac:dyDescent="0.25">
      <c r="A25" s="79" t="s">
        <v>221</v>
      </c>
      <c r="B25" s="4">
        <f t="shared" si="0"/>
        <v>20</v>
      </c>
      <c r="C25" s="20"/>
      <c r="D25" s="107" t="str">
        <f>"LNGImporter_"&amp;TEXT(TBL_LNG_IMPORTERS[[#This Row],[Index]],"000")</f>
        <v>LNGImporter_020</v>
      </c>
    </row>
    <row r="26" spans="1:4" x14ac:dyDescent="0.25">
      <c r="A26" s="79" t="s">
        <v>222</v>
      </c>
      <c r="B26" s="4">
        <f t="shared" si="0"/>
        <v>21</v>
      </c>
      <c r="C26" s="20"/>
      <c r="D26" s="107" t="str">
        <f>"LNGImporter_"&amp;TEXT(TBL_LNG_IMPORTERS[[#This Row],[Index]],"000")</f>
        <v>LNGImporter_021</v>
      </c>
    </row>
    <row r="27" spans="1:4" x14ac:dyDescent="0.25">
      <c r="A27" s="79" t="s">
        <v>223</v>
      </c>
      <c r="B27" s="4">
        <f t="shared" si="0"/>
        <v>22</v>
      </c>
      <c r="C27" s="20"/>
      <c r="D27" s="107" t="str">
        <f>"LNGImporter_"&amp;TEXT(TBL_LNG_IMPORTERS[[#This Row],[Index]],"000")</f>
        <v>LNGImporter_022</v>
      </c>
    </row>
    <row r="28" spans="1:4" x14ac:dyDescent="0.25">
      <c r="A28" s="79" t="s">
        <v>224</v>
      </c>
      <c r="B28" s="4">
        <f t="shared" si="0"/>
        <v>23</v>
      </c>
      <c r="C28" s="20"/>
      <c r="D28" s="107" t="str">
        <f>"LNGImporter_"&amp;TEXT(TBL_LNG_IMPORTERS[[#This Row],[Index]],"000")</f>
        <v>LNGImporter_023</v>
      </c>
    </row>
    <row r="29" spans="1:4" x14ac:dyDescent="0.25">
      <c r="A29" s="79" t="s">
        <v>225</v>
      </c>
      <c r="B29" s="4">
        <f t="shared" si="0"/>
        <v>24</v>
      </c>
      <c r="C29" s="20"/>
      <c r="D29" s="107" t="str">
        <f>"LNGImporter_"&amp;TEXT(TBL_LNG_IMPORTERS[[#This Row],[Index]],"000")</f>
        <v>LNGImporter_024</v>
      </c>
    </row>
    <row r="30" spans="1:4" x14ac:dyDescent="0.25">
      <c r="A30" s="79" t="s">
        <v>226</v>
      </c>
      <c r="B30" s="4">
        <f t="shared" si="0"/>
        <v>25</v>
      </c>
      <c r="C30" s="20"/>
      <c r="D30" s="107" t="str">
        <f>"LNGImporter_"&amp;TEXT(TBL_LNG_IMPORTERS[[#This Row],[Index]],"000")</f>
        <v>LNGImporter_025</v>
      </c>
    </row>
    <row r="31" spans="1:4" x14ac:dyDescent="0.25">
      <c r="A31" s="79" t="s">
        <v>227</v>
      </c>
      <c r="B31" s="4">
        <f t="shared" si="0"/>
        <v>26</v>
      </c>
      <c r="C31" s="20"/>
      <c r="D31" s="107" t="str">
        <f>"LNGImporter_"&amp;TEXT(TBL_LNG_IMPORTERS[[#This Row],[Index]],"000")</f>
        <v>LNGImporter_026</v>
      </c>
    </row>
    <row r="32" spans="1:4" x14ac:dyDescent="0.25">
      <c r="A32" s="79" t="s">
        <v>228</v>
      </c>
      <c r="B32" s="4">
        <f t="shared" si="0"/>
        <v>27</v>
      </c>
      <c r="C32" s="20"/>
      <c r="D32" s="107" t="str">
        <f>"LNGImporter_"&amp;TEXT(TBL_LNG_IMPORTERS[[#This Row],[Index]],"000")</f>
        <v>LNGImporter_027</v>
      </c>
    </row>
    <row r="33" spans="1:4" x14ac:dyDescent="0.25">
      <c r="A33" s="79" t="s">
        <v>229</v>
      </c>
      <c r="B33" s="4">
        <f t="shared" si="0"/>
        <v>28</v>
      </c>
      <c r="C33" s="20"/>
      <c r="D33" s="107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workbookViewId="0">
      <selection activeCell="F6" sqref="F6:G6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122</v>
      </c>
    </row>
    <row r="2" spans="1:12" x14ac:dyDescent="0.25">
      <c r="A2" s="1" t="s">
        <v>130</v>
      </c>
    </row>
    <row r="5" spans="1:12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199</v>
      </c>
      <c r="G5" t="s">
        <v>198</v>
      </c>
      <c r="H5" t="s">
        <v>263</v>
      </c>
      <c r="I5" t="s">
        <v>119</v>
      </c>
      <c r="J5" t="s">
        <v>118</v>
      </c>
      <c r="K5" s="2" t="s">
        <v>3</v>
      </c>
      <c r="L5" s="2" t="s">
        <v>71</v>
      </c>
    </row>
    <row r="6" spans="1:12" x14ac:dyDescent="0.25">
      <c r="A6" s="80" t="s">
        <v>202</v>
      </c>
      <c r="B6" s="4">
        <f>INDEX(TBL_LNG_IMPORTERS[Index],MATCH(TBL_LNG_IMPORTERS_CONNECTIONS[[#This Row],[Terminal]],TBL_LNG_IMPORTERS[Terminal],0))</f>
        <v>1</v>
      </c>
      <c r="C6" s="81" t="s">
        <v>163</v>
      </c>
      <c r="D6" s="4">
        <f>INDEX(TBL_REGIONS_INDEX[Index],MATCH(TBL_LNG_IMPORTERS_CONNECTIONS[[#This Row],[Region]],TBL_REGIONS_INDEX[Region],0))</f>
        <v>2</v>
      </c>
      <c r="E6" s="82" t="s">
        <v>230</v>
      </c>
      <c r="F6" s="105">
        <v>52.347000000000001</v>
      </c>
      <c r="G6" s="105">
        <v>4.8037000000000001</v>
      </c>
      <c r="H6" s="108">
        <v>90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258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80" t="s">
        <v>203</v>
      </c>
      <c r="B7" s="4">
        <f>INDEX(TBL_LNG_IMPORTERS[Index],MATCH(TBL_LNG_IMPORTERS_CONNECTIONS[[#This Row],[Terminal]],TBL_LNG_IMPORTERS[Terminal],0))</f>
        <v>2</v>
      </c>
      <c r="C7" s="106" t="s">
        <v>187</v>
      </c>
      <c r="D7" s="4">
        <f>INDEX(TBL_REGIONS_INDEX[Index],MATCH(TBL_LNG_IMPORTERS_CONNECTIONS[[#This Row],[Region]],TBL_REGIONS_INDEX[Region],0))</f>
        <v>27</v>
      </c>
      <c r="E7" s="82" t="s">
        <v>231</v>
      </c>
      <c r="F7" s="105">
        <v>45.210999999999999</v>
      </c>
      <c r="G7" s="105">
        <v>14.556900000000001</v>
      </c>
      <c r="H7" s="108">
        <v>120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258</v>
      </c>
      <c r="L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80" t="s">
        <v>204</v>
      </c>
      <c r="B8" s="4">
        <f>INDEX(TBL_LNG_IMPORTERS[Index],MATCH(TBL_LNG_IMPORTERS_CONNECTIONS[[#This Row],[Terminal]],TBL_LNG_IMPORTERS[Terminal],0))</f>
        <v>3</v>
      </c>
      <c r="C8" s="106" t="s">
        <v>166</v>
      </c>
      <c r="D8" s="4">
        <f>INDEX(TBL_REGIONS_INDEX[Index],MATCH(TBL_LNG_IMPORTERS_CONNECTIONS[[#This Row],[Region]],TBL_REGIONS_INDEX[Region],0))</f>
        <v>5</v>
      </c>
      <c r="E8" s="82" t="s">
        <v>232</v>
      </c>
      <c r="F8" s="105">
        <v>51.034599999999998</v>
      </c>
      <c r="G8" s="105">
        <v>2.3752</v>
      </c>
      <c r="H8" s="108">
        <v>90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258</v>
      </c>
      <c r="L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80" t="s">
        <v>205</v>
      </c>
      <c r="B9" s="4">
        <f>INDEX(TBL_LNG_IMPORTERS[Index],MATCH(TBL_LNG_IMPORTERS_CONNECTIONS[[#This Row],[Terminal]],TBL_LNG_IMPORTERS[Terminal],0))</f>
        <v>4</v>
      </c>
      <c r="C9" s="106" t="s">
        <v>166</v>
      </c>
      <c r="D9" s="4">
        <f>INDEX(TBL_REGIONS_INDEX[Index],MATCH(TBL_LNG_IMPORTERS_CONNECTIONS[[#This Row],[Region]],TBL_REGIONS_INDEX[Region],0))</f>
        <v>5</v>
      </c>
      <c r="E9" s="82" t="s">
        <v>233</v>
      </c>
      <c r="F9" s="105">
        <v>43.431399999999996</v>
      </c>
      <c r="G9" s="105">
        <v>4.9184000000000001</v>
      </c>
      <c r="H9" s="108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258</v>
      </c>
      <c r="L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80" t="s">
        <v>206</v>
      </c>
      <c r="B10" s="4">
        <f>INDEX(TBL_LNG_IMPORTERS[Index],MATCH(TBL_LNG_IMPORTERS_CONNECTIONS[[#This Row],[Terminal]],TBL_LNG_IMPORTERS[Terminal],0))</f>
        <v>5</v>
      </c>
      <c r="C10" s="106" t="s">
        <v>166</v>
      </c>
      <c r="D10" s="4">
        <f>INDEX(TBL_REGIONS_INDEX[Index],MATCH(TBL_LNG_IMPORTERS_CONNECTIONS[[#This Row],[Region]],TBL_REGIONS_INDEX[Region],0))</f>
        <v>5</v>
      </c>
      <c r="E10" s="82" t="s">
        <v>234</v>
      </c>
      <c r="F10" s="105">
        <v>43.468868000000001</v>
      </c>
      <c r="G10" s="105">
        <v>4.8663889999999999</v>
      </c>
      <c r="H10" s="108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258</v>
      </c>
      <c r="L1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80" t="s">
        <v>207</v>
      </c>
      <c r="B11" s="4">
        <f>INDEX(TBL_LNG_IMPORTERS[Index],MATCH(TBL_LNG_IMPORTERS_CONNECTIONS[[#This Row],[Terminal]],TBL_LNG_IMPORTERS[Terminal],0))</f>
        <v>6</v>
      </c>
      <c r="C11" s="106" t="s">
        <v>166</v>
      </c>
      <c r="D11" s="4">
        <f>INDEX(TBL_REGIONS_INDEX[Index],MATCH(TBL_LNG_IMPORTERS_CONNECTIONS[[#This Row],[Region]],TBL_REGIONS_INDEX[Region],0))</f>
        <v>5</v>
      </c>
      <c r="E11" s="82" t="s">
        <v>235</v>
      </c>
      <c r="F11" s="105">
        <v>47.302959999999999</v>
      </c>
      <c r="G11" s="105">
        <v>-2.1427800000000001</v>
      </c>
      <c r="H11" s="108">
        <v>180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258</v>
      </c>
      <c r="L1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80" t="s">
        <v>208</v>
      </c>
      <c r="B12" s="4">
        <f>INDEX(TBL_LNG_IMPORTERS[Index],MATCH(TBL_LNG_IMPORTERS_CONNECTIONS[[#This Row],[Terminal]],TBL_LNG_IMPORTERS[Terminal],0))</f>
        <v>7</v>
      </c>
      <c r="C12" s="106" t="s">
        <v>190</v>
      </c>
      <c r="D12" s="4">
        <f>INDEX(TBL_REGIONS_INDEX[Index],MATCH(TBL_LNG_IMPORTERS_CONNECTIONS[[#This Row],[Region]],TBL_REGIONS_INDEX[Region],0))</f>
        <v>30</v>
      </c>
      <c r="E12" s="82" t="s">
        <v>236</v>
      </c>
      <c r="F12" s="105">
        <v>37.96</v>
      </c>
      <c r="G12" s="105">
        <v>23.4023</v>
      </c>
      <c r="H12" s="108">
        <v>90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258</v>
      </c>
      <c r="L1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80" t="s">
        <v>209</v>
      </c>
      <c r="B13" s="4">
        <f>INDEX(TBL_LNG_IMPORTERS[Index],MATCH(TBL_LNG_IMPORTERS_CONNECTIONS[[#This Row],[Terminal]],TBL_LNG_IMPORTERS[Terminal],0))</f>
        <v>8</v>
      </c>
      <c r="C13" s="106" t="s">
        <v>170</v>
      </c>
      <c r="D13" s="4">
        <f>INDEX(TBL_REGIONS_INDEX[Index],MATCH(TBL_LNG_IMPORTERS_CONNECTIONS[[#This Row],[Region]],TBL_REGIONS_INDEX[Region],0))</f>
        <v>9</v>
      </c>
      <c r="E13" s="82" t="s">
        <v>237</v>
      </c>
      <c r="F13" s="105">
        <v>43.674399999999999</v>
      </c>
      <c r="G13" s="105">
        <v>10.0449</v>
      </c>
      <c r="H13" s="108">
        <v>180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258</v>
      </c>
      <c r="L1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80" t="s">
        <v>210</v>
      </c>
      <c r="B14" s="4">
        <f>INDEX(TBL_LNG_IMPORTERS[Index],MATCH(TBL_LNG_IMPORTERS_CONNECTIONS[[#This Row],[Terminal]],TBL_LNG_IMPORTERS[Terminal],0))</f>
        <v>9</v>
      </c>
      <c r="C14" s="106" t="s">
        <v>170</v>
      </c>
      <c r="D14" s="4">
        <f>INDEX(TBL_REGIONS_INDEX[Index],MATCH(TBL_LNG_IMPORTERS_CONNECTIONS[[#This Row],[Region]],TBL_REGIONS_INDEX[Region],0))</f>
        <v>9</v>
      </c>
      <c r="E14" s="82" t="s">
        <v>238</v>
      </c>
      <c r="F14" s="105">
        <v>44.073900000000002</v>
      </c>
      <c r="G14" s="105">
        <v>9.8314000000000004</v>
      </c>
      <c r="H14" s="108">
        <v>270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258</v>
      </c>
      <c r="L14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80" t="s">
        <v>211</v>
      </c>
      <c r="B15" s="4">
        <f>INDEX(TBL_LNG_IMPORTERS[Index],MATCH(TBL_LNG_IMPORTERS_CONNECTIONS[[#This Row],[Terminal]],TBL_LNG_IMPORTERS[Terminal],0))</f>
        <v>10</v>
      </c>
      <c r="C15" s="106" t="s">
        <v>170</v>
      </c>
      <c r="D15" s="4">
        <f>INDEX(TBL_REGIONS_INDEX[Index],MATCH(TBL_LNG_IMPORTERS_CONNECTIONS[[#This Row],[Region]],TBL_REGIONS_INDEX[Region],0))</f>
        <v>9</v>
      </c>
      <c r="E15" s="82" t="s">
        <v>239</v>
      </c>
      <c r="F15" s="105">
        <v>45.0593</v>
      </c>
      <c r="G15" s="105">
        <v>12.7486</v>
      </c>
      <c r="H15" s="108">
        <v>270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258</v>
      </c>
      <c r="L15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80" t="s">
        <v>212</v>
      </c>
      <c r="B16" s="4">
        <f>INDEX(TBL_LNG_IMPORTERS[Index],MATCH(TBL_LNG_IMPORTERS_CONNECTIONS[[#This Row],[Terminal]],TBL_LNG_IMPORTERS[Terminal],0))</f>
        <v>11</v>
      </c>
      <c r="C16" s="106" t="s">
        <v>182</v>
      </c>
      <c r="D16" s="4">
        <f>INDEX(TBL_REGIONS_INDEX[Index],MATCH(TBL_LNG_IMPORTERS_CONNECTIONS[[#This Row],[Region]],TBL_REGIONS_INDEX[Region],0))</f>
        <v>21</v>
      </c>
      <c r="E16" s="82" t="s">
        <v>240</v>
      </c>
      <c r="F16" s="105">
        <v>55.664360000000002</v>
      </c>
      <c r="G16" s="105">
        <v>21.13767</v>
      </c>
      <c r="H16" s="108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258</v>
      </c>
      <c r="L16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80" t="s">
        <v>213</v>
      </c>
      <c r="B17" s="4">
        <f>INDEX(TBL_LNG_IMPORTERS[Index],MATCH(TBL_LNG_IMPORTERS_CONNECTIONS[[#This Row],[Terminal]],TBL_LNG_IMPORTERS[Terminal],0))</f>
        <v>12</v>
      </c>
      <c r="C17" s="106" t="s">
        <v>194</v>
      </c>
      <c r="D17" s="4">
        <f>INDEX(TBL_REGIONS_INDEX[Index],MATCH(TBL_LNG_IMPORTERS_CONNECTIONS[[#This Row],[Region]],TBL_REGIONS_INDEX[Region],0))</f>
        <v>34</v>
      </c>
      <c r="E17" s="82" t="s">
        <v>241</v>
      </c>
      <c r="F17" s="105">
        <v>35.831772999999998</v>
      </c>
      <c r="G17" s="105">
        <v>14.556062000000001</v>
      </c>
      <c r="H17" s="108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259</v>
      </c>
      <c r="L1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80" t="s">
        <v>214</v>
      </c>
      <c r="B18" s="4">
        <f>INDEX(TBL_LNG_IMPORTERS[Index],MATCH(TBL_LNG_IMPORTERS_CONNECTIONS[[#This Row],[Terminal]],TBL_LNG_IMPORTERS[Terminal],0))</f>
        <v>13</v>
      </c>
      <c r="C18" s="106" t="s">
        <v>165</v>
      </c>
      <c r="D18" s="4">
        <f>INDEX(TBL_REGIONS_INDEX[Index],MATCH(TBL_LNG_IMPORTERS_CONNECTIONS[[#This Row],[Region]],TBL_REGIONS_INDEX[Region],0))</f>
        <v>4</v>
      </c>
      <c r="E18" s="82" t="s">
        <v>242</v>
      </c>
      <c r="F18" s="105">
        <v>51.971800000000002</v>
      </c>
      <c r="G18" s="105">
        <v>4.0754999999999999</v>
      </c>
      <c r="H18" s="108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258</v>
      </c>
      <c r="L1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80" t="s">
        <v>215</v>
      </c>
      <c r="B19" s="4">
        <f>INDEX(TBL_LNG_IMPORTERS[Index],MATCH(TBL_LNG_IMPORTERS_CONNECTIONS[[#This Row],[Terminal]],TBL_LNG_IMPORTERS[Terminal],0))</f>
        <v>14</v>
      </c>
      <c r="C19" s="106" t="s">
        <v>178</v>
      </c>
      <c r="D19" s="4">
        <f>INDEX(TBL_REGIONS_INDEX[Index],MATCH(TBL_LNG_IMPORTERS_CONNECTIONS[[#This Row],[Region]],TBL_REGIONS_INDEX[Region],0))</f>
        <v>17</v>
      </c>
      <c r="E19" s="82" t="s">
        <v>243</v>
      </c>
      <c r="F19" s="105">
        <v>53.909170000000003</v>
      </c>
      <c r="G19" s="105">
        <v>14.29472</v>
      </c>
      <c r="H19" s="108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260</v>
      </c>
      <c r="L1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80" t="s">
        <v>216</v>
      </c>
      <c r="B20" s="4">
        <f>INDEX(TBL_LNG_IMPORTERS[Index],MATCH(TBL_LNG_IMPORTERS_CONNECTIONS[[#This Row],[Terminal]],TBL_LNG_IMPORTERS[Terminal],0))</f>
        <v>15</v>
      </c>
      <c r="C20" s="106" t="s">
        <v>169</v>
      </c>
      <c r="D20" s="4">
        <f>INDEX(TBL_REGIONS_INDEX[Index],MATCH(TBL_LNG_IMPORTERS_CONNECTIONS[[#This Row],[Region]],TBL_REGIONS_INDEX[Region],0))</f>
        <v>8</v>
      </c>
      <c r="E20" s="82" t="s">
        <v>244</v>
      </c>
      <c r="F20" s="105">
        <v>37.941899999999997</v>
      </c>
      <c r="G20" s="105">
        <v>-8.8435000000000006</v>
      </c>
      <c r="H20" s="108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258</v>
      </c>
      <c r="L2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80" t="s">
        <v>217</v>
      </c>
      <c r="B21" s="4">
        <f>INDEX(TBL_LNG_IMPORTERS[Index],MATCH(TBL_LNG_IMPORTERS_CONNECTIONS[[#This Row],[Terminal]],TBL_LNG_IMPORTERS[Terminal],0))</f>
        <v>16</v>
      </c>
      <c r="C21" s="106" t="s">
        <v>168</v>
      </c>
      <c r="D21" s="4">
        <f>INDEX(TBL_REGIONS_INDEX[Index],MATCH(TBL_LNG_IMPORTERS_CONNECTIONS[[#This Row],[Region]],TBL_REGIONS_INDEX[Region],0))</f>
        <v>7</v>
      </c>
      <c r="E21" s="82" t="s">
        <v>245</v>
      </c>
      <c r="F21" s="105">
        <v>41.339399999999998</v>
      </c>
      <c r="G21" s="105">
        <v>2.1583000000000001</v>
      </c>
      <c r="H21" s="108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258</v>
      </c>
      <c r="L2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80" t="s">
        <v>218</v>
      </c>
      <c r="B22" s="4">
        <f>INDEX(TBL_LNG_IMPORTERS[Index],MATCH(TBL_LNG_IMPORTERS_CONNECTIONS[[#This Row],[Terminal]],TBL_LNG_IMPORTERS[Terminal],0))</f>
        <v>17</v>
      </c>
      <c r="C22" s="106" t="s">
        <v>168</v>
      </c>
      <c r="D22" s="4">
        <f>INDEX(TBL_REGIONS_INDEX[Index],MATCH(TBL_LNG_IMPORTERS_CONNECTIONS[[#This Row],[Region]],TBL_REGIONS_INDEX[Region],0))</f>
        <v>7</v>
      </c>
      <c r="E22" s="82" t="s">
        <v>246</v>
      </c>
      <c r="F22" s="105">
        <v>43.361199999999997</v>
      </c>
      <c r="G22" s="105">
        <v>-3.0947300000000002</v>
      </c>
      <c r="H22" s="108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258</v>
      </c>
      <c r="L2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80" t="s">
        <v>219</v>
      </c>
      <c r="B23" s="4">
        <f>INDEX(TBL_LNG_IMPORTERS[Index],MATCH(TBL_LNG_IMPORTERS_CONNECTIONS[[#This Row],[Terminal]],TBL_LNG_IMPORTERS[Terminal],0))</f>
        <v>18</v>
      </c>
      <c r="C23" s="106" t="s">
        <v>168</v>
      </c>
      <c r="D23" s="4">
        <f>INDEX(TBL_REGIONS_INDEX[Index],MATCH(TBL_LNG_IMPORTERS_CONNECTIONS[[#This Row],[Region]],TBL_REGIONS_INDEX[Region],0))</f>
        <v>7</v>
      </c>
      <c r="E23" s="82" t="s">
        <v>247</v>
      </c>
      <c r="F23" s="105">
        <v>37.574570000000001</v>
      </c>
      <c r="G23" s="105">
        <v>-0.95950000000000002</v>
      </c>
      <c r="H23" s="108">
        <v>270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258</v>
      </c>
      <c r="L2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80" t="s">
        <v>220</v>
      </c>
      <c r="B24" s="4">
        <f>INDEX(TBL_LNG_IMPORTERS[Index],MATCH(TBL_LNG_IMPORTERS_CONNECTIONS[[#This Row],[Terminal]],TBL_LNG_IMPORTERS[Terminal],0))</f>
        <v>19</v>
      </c>
      <c r="C24" s="106" t="s">
        <v>168</v>
      </c>
      <c r="D24" s="4">
        <f>INDEX(TBL_REGIONS_INDEX[Index],MATCH(TBL_LNG_IMPORTERS_CONNECTIONS[[#This Row],[Region]],TBL_REGIONS_INDEX[Region],0))</f>
        <v>7</v>
      </c>
      <c r="E24" s="82" t="s">
        <v>248</v>
      </c>
      <c r="F24" s="105">
        <v>37.173549999999999</v>
      </c>
      <c r="G24" s="105">
        <v>-6.9109999999999996</v>
      </c>
      <c r="H24" s="108">
        <v>270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258</v>
      </c>
      <c r="L24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80" t="s">
        <v>221</v>
      </c>
      <c r="B25" s="4">
        <f>INDEX(TBL_LNG_IMPORTERS[Index],MATCH(TBL_LNG_IMPORTERS_CONNECTIONS[[#This Row],[Terminal]],TBL_LNG_IMPORTERS[Terminal],0))</f>
        <v>20</v>
      </c>
      <c r="C25" s="106" t="s">
        <v>168</v>
      </c>
      <c r="D25" s="4">
        <f>INDEX(TBL_REGIONS_INDEX[Index],MATCH(TBL_LNG_IMPORTERS_CONNECTIONS[[#This Row],[Region]],TBL_REGIONS_INDEX[Region],0))</f>
        <v>7</v>
      </c>
      <c r="E25" s="82" t="s">
        <v>249</v>
      </c>
      <c r="F25" s="105">
        <v>43.461300000000001</v>
      </c>
      <c r="G25" s="105">
        <v>-8.2394999999999996</v>
      </c>
      <c r="H25" s="108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258</v>
      </c>
      <c r="L25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80" t="s">
        <v>222</v>
      </c>
      <c r="B26" s="4">
        <f>INDEX(TBL_LNG_IMPORTERS[Index],MATCH(TBL_LNG_IMPORTERS_CONNECTIONS[[#This Row],[Terminal]],TBL_LNG_IMPORTERS[Terminal],0))</f>
        <v>21</v>
      </c>
      <c r="C26" s="106" t="s">
        <v>168</v>
      </c>
      <c r="D26" s="4">
        <f>INDEX(TBL_REGIONS_INDEX[Index],MATCH(TBL_LNG_IMPORTERS_CONNECTIONS[[#This Row],[Region]],TBL_REGIONS_INDEX[Region],0))</f>
        <v>7</v>
      </c>
      <c r="E26" s="82" t="s">
        <v>250</v>
      </c>
      <c r="F26" s="105">
        <v>39.632899999999999</v>
      </c>
      <c r="G26" s="105">
        <v>-0.2152</v>
      </c>
      <c r="H26" s="108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258</v>
      </c>
      <c r="L26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80" t="s">
        <v>223</v>
      </c>
      <c r="B27" s="4">
        <f>INDEX(TBL_LNG_IMPORTERS[Index],MATCH(TBL_LNG_IMPORTERS_CONNECTIONS[[#This Row],[Terminal]],TBL_LNG_IMPORTERS[Terminal],0))</f>
        <v>22</v>
      </c>
      <c r="C27" s="106" t="s">
        <v>193</v>
      </c>
      <c r="D27" s="4">
        <f>INDEX(TBL_REGIONS_INDEX[Index],MATCH(TBL_LNG_IMPORTERS_CONNECTIONS[[#This Row],[Region]],TBL_REGIONS_INDEX[Region],0))</f>
        <v>33</v>
      </c>
      <c r="E27" s="82" t="s">
        <v>251</v>
      </c>
      <c r="F27" s="105">
        <v>51.451070000000001</v>
      </c>
      <c r="G27" s="105">
        <v>0.67986999999999997</v>
      </c>
      <c r="H27" s="108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258</v>
      </c>
      <c r="L27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80" t="s">
        <v>224</v>
      </c>
      <c r="B28" s="4">
        <f>INDEX(TBL_LNG_IMPORTERS[Index],MATCH(TBL_LNG_IMPORTERS_CONNECTIONS[[#This Row],[Terminal]],TBL_LNG_IMPORTERS[Terminal],0))</f>
        <v>23</v>
      </c>
      <c r="C28" s="106" t="s">
        <v>193</v>
      </c>
      <c r="D28" s="4">
        <f>INDEX(TBL_REGIONS_INDEX[Index],MATCH(TBL_LNG_IMPORTERS_CONNECTIONS[[#This Row],[Region]],TBL_REGIONS_INDEX[Region],0))</f>
        <v>33</v>
      </c>
      <c r="E28" s="82" t="s">
        <v>252</v>
      </c>
      <c r="F28" s="105">
        <v>51.704529999999998</v>
      </c>
      <c r="G28" s="105">
        <v>-4.9977400000000003</v>
      </c>
      <c r="H28" s="108">
        <v>200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261</v>
      </c>
      <c r="L28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80" t="s">
        <v>225</v>
      </c>
      <c r="B29" s="4">
        <f>INDEX(TBL_LNG_IMPORTERS[Index],MATCH(TBL_LNG_IMPORTERS_CONNECTIONS[[#This Row],[Terminal]],TBL_LNG_IMPORTERS[Terminal],0))</f>
        <v>24</v>
      </c>
      <c r="C29" s="106" t="s">
        <v>193</v>
      </c>
      <c r="D29" s="4">
        <f>INDEX(TBL_REGIONS_INDEX[Index],MATCH(TBL_LNG_IMPORTERS_CONNECTIONS[[#This Row],[Region]],TBL_REGIONS_INDEX[Region],0))</f>
        <v>33</v>
      </c>
      <c r="E29" s="82" t="s">
        <v>253</v>
      </c>
      <c r="F29" s="105">
        <v>51.715200000000003</v>
      </c>
      <c r="G29" s="105">
        <v>-5.0762700000000001</v>
      </c>
      <c r="H29" s="108">
        <v>180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262</v>
      </c>
      <c r="L29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80" t="s">
        <v>226</v>
      </c>
      <c r="B30" s="4">
        <f>INDEX(TBL_LNG_IMPORTERS[Index],MATCH(TBL_LNG_IMPORTERS_CONNECTIONS[[#This Row],[Terminal]],TBL_LNG_IMPORTERS[Terminal],0))</f>
        <v>25</v>
      </c>
      <c r="C30" s="106" t="s">
        <v>175</v>
      </c>
      <c r="D30" s="4">
        <f>INDEX(TBL_REGIONS_INDEX[Index],MATCH(TBL_LNG_IMPORTERS_CONNECTIONS[[#This Row],[Region]],TBL_REGIONS_INDEX[Region],0))</f>
        <v>14</v>
      </c>
      <c r="E30" s="82" t="s">
        <v>254</v>
      </c>
      <c r="F30" s="105">
        <v>58.275573000000001</v>
      </c>
      <c r="G30" s="105">
        <v>11.435558</v>
      </c>
      <c r="H30" s="108">
        <v>270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258</v>
      </c>
      <c r="L30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80" t="s">
        <v>227</v>
      </c>
      <c r="B31" s="4">
        <f>INDEX(TBL_LNG_IMPORTERS[Index],MATCH(TBL_LNG_IMPORTERS_CONNECTIONS[[#This Row],[Terminal]],TBL_LNG_IMPORTERS[Terminal],0))</f>
        <v>26</v>
      </c>
      <c r="C31" s="106" t="s">
        <v>175</v>
      </c>
      <c r="D31" s="4">
        <f>INDEX(TBL_REGIONS_INDEX[Index],MATCH(TBL_LNG_IMPORTERS_CONNECTIONS[[#This Row],[Region]],TBL_REGIONS_INDEX[Region],0))</f>
        <v>14</v>
      </c>
      <c r="E31" s="82" t="s">
        <v>255</v>
      </c>
      <c r="F31" s="105">
        <v>58.902926000000001</v>
      </c>
      <c r="G31" s="105">
        <v>17.946529000000002</v>
      </c>
      <c r="H31" s="108">
        <v>0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258</v>
      </c>
      <c r="L31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80" t="s">
        <v>228</v>
      </c>
      <c r="B32" s="4">
        <f>INDEX(TBL_LNG_IMPORTERS[Index],MATCH(TBL_LNG_IMPORTERS_CONNECTIONS[[#This Row],[Terminal]],TBL_LNG_IMPORTERS[Terminal],0))</f>
        <v>27</v>
      </c>
      <c r="C32" s="106" t="s">
        <v>176</v>
      </c>
      <c r="D32" s="4">
        <f>INDEX(TBL_REGIONS_INDEX[Index],MATCH(TBL_LNG_IMPORTERS_CONNECTIONS[[#This Row],[Region]],TBL_REGIONS_INDEX[Region],0))</f>
        <v>15</v>
      </c>
      <c r="E32" s="82" t="s">
        <v>256</v>
      </c>
      <c r="F32" s="105">
        <v>61.638170000000002</v>
      </c>
      <c r="G32" s="105">
        <v>21.398810000000001</v>
      </c>
      <c r="H32" s="108">
        <v>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258</v>
      </c>
      <c r="L32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80" t="s">
        <v>229</v>
      </c>
      <c r="B33" s="4">
        <f>INDEX(TBL_LNG_IMPORTERS[Index],MATCH(TBL_LNG_IMPORTERS_CONNECTIONS[[#This Row],[Terminal]],TBL_LNG_IMPORTERS[Terminal],0))</f>
        <v>28</v>
      </c>
      <c r="C33" s="106" t="s">
        <v>176</v>
      </c>
      <c r="D33" s="4">
        <f>INDEX(TBL_REGIONS_INDEX[Index],MATCH(TBL_LNG_IMPORTERS_CONNECTIONS[[#This Row],[Region]],TBL_REGIONS_INDEX[Region],0))</f>
        <v>15</v>
      </c>
      <c r="E33" s="82" t="s">
        <v>257</v>
      </c>
      <c r="F33" s="105">
        <v>65.7607</v>
      </c>
      <c r="G33" s="105">
        <v>24.173249999999999</v>
      </c>
      <c r="H33" s="108">
        <v>0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258</v>
      </c>
      <c r="L33" s="107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O57" sqref="O57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8">
        <v>1</v>
      </c>
      <c r="B6" s="172" t="str">
        <f>IFERROR(INDEX(TBL_LNG_IMPORTERS_CONNECTIONS[Name],$A6),"")</f>
        <v>Zeebrugge_BE_LNG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8">
        <f>$A6</f>
        <v>1</v>
      </c>
      <c r="B7" s="173"/>
      <c r="C7" s="85" t="s">
        <v>42</v>
      </c>
      <c r="D7" s="86" t="s">
        <v>154</v>
      </c>
      <c r="E7" s="150">
        <v>541</v>
      </c>
      <c r="F7" s="150">
        <f>E7</f>
        <v>541</v>
      </c>
      <c r="G7" s="150">
        <v>541</v>
      </c>
      <c r="H7" s="150">
        <v>541</v>
      </c>
      <c r="I7" s="150">
        <v>541</v>
      </c>
      <c r="J7" s="150">
        <v>541</v>
      </c>
      <c r="K7" s="150">
        <v>541</v>
      </c>
      <c r="L7" s="150">
        <v>541</v>
      </c>
      <c r="M7" s="150">
        <v>541</v>
      </c>
      <c r="N7" s="150">
        <v>541</v>
      </c>
      <c r="O7" s="150">
        <v>541</v>
      </c>
      <c r="P7" s="150">
        <v>541</v>
      </c>
      <c r="Q7" s="150">
        <v>541</v>
      </c>
      <c r="R7" s="150">
        <v>541</v>
      </c>
      <c r="S7" s="150">
        <v>541</v>
      </c>
      <c r="T7" s="150">
        <v>541</v>
      </c>
      <c r="U7" s="150">
        <v>541</v>
      </c>
      <c r="V7" s="25"/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8">
        <f>$A7</f>
        <v>1</v>
      </c>
      <c r="B8" s="173"/>
      <c r="C8" s="83" t="s">
        <v>84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8">
        <f>$A8</f>
        <v>1</v>
      </c>
      <c r="B9" s="174"/>
      <c r="C9" s="85" t="s">
        <v>85</v>
      </c>
      <c r="D9" s="86" t="s">
        <v>46</v>
      </c>
      <c r="E9" s="154">
        <v>0.71387244130628114</v>
      </c>
      <c r="F9" s="154">
        <v>0.66963721089153738</v>
      </c>
      <c r="G9" s="154">
        <v>0.15132808846569301</v>
      </c>
      <c r="H9" s="154">
        <v>0.41386764641710094</v>
      </c>
      <c r="I9" s="154">
        <v>0.54695395297905613</v>
      </c>
      <c r="J9" s="154">
        <v>0.28932750773982685</v>
      </c>
      <c r="K9" s="154">
        <v>0.90918989538804518</v>
      </c>
      <c r="L9" s="154">
        <v>3.1986579820203587E-2</v>
      </c>
      <c r="M9" s="154">
        <v>0.8408666960489779</v>
      </c>
      <c r="N9" s="154">
        <v>0.4291616091052064</v>
      </c>
      <c r="O9" s="154">
        <v>0.53115606550494987</v>
      </c>
      <c r="P9" s="154">
        <v>0.39178671319224989</v>
      </c>
      <c r="Q9" s="154">
        <v>0.11176421707403661</v>
      </c>
      <c r="R9" s="154">
        <v>0.71223312146608109</v>
      </c>
      <c r="S9" s="154">
        <v>0.61138080638498105</v>
      </c>
      <c r="T9" s="154">
        <v>0.10434658658430829</v>
      </c>
      <c r="U9" s="154">
        <v>0.84532592152918506</v>
      </c>
      <c r="V9" s="25"/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8">
        <f>$A6+1</f>
        <v>2</v>
      </c>
      <c r="B10" s="172" t="str">
        <f>IFERROR(INDEX(TBL_LNG_IMPORTERS_CONNECTIONS[Name],$A10),"")</f>
        <v>Krk_CR_LNG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8">
        <f>$A10</f>
        <v>2</v>
      </c>
      <c r="B11" s="173"/>
      <c r="C11" s="87" t="str">
        <f>IF($B10&lt;&gt;"",C7,"")</f>
        <v>Capacity - Max</v>
      </c>
      <c r="D11" s="87" t="str">
        <f>IF($B10&lt;&gt;"",D7,"")</f>
        <v>GWh/day</v>
      </c>
      <c r="E11" s="150">
        <v>79.900000000000006</v>
      </c>
      <c r="F11" s="150">
        <f>E11</f>
        <v>79.900000000000006</v>
      </c>
      <c r="G11" s="150">
        <v>79.900000000000006</v>
      </c>
      <c r="H11" s="150">
        <v>79.900000000000006</v>
      </c>
      <c r="I11" s="150">
        <v>79.900000000000006</v>
      </c>
      <c r="J11" s="150">
        <v>79.900000000000006</v>
      </c>
      <c r="K11" s="150">
        <v>79.900000000000006</v>
      </c>
      <c r="L11" s="150">
        <v>79.900000000000006</v>
      </c>
      <c r="M11" s="150">
        <v>79.900000000000006</v>
      </c>
      <c r="N11" s="150">
        <v>79.900000000000006</v>
      </c>
      <c r="O11" s="150">
        <v>79.900000000000006</v>
      </c>
      <c r="P11" s="150">
        <v>79.900000000000006</v>
      </c>
      <c r="Q11" s="150">
        <v>79.900000000000006</v>
      </c>
      <c r="R11" s="150">
        <v>79.900000000000006</v>
      </c>
      <c r="S11" s="150">
        <v>79.900000000000006</v>
      </c>
      <c r="T11" s="150">
        <v>79.900000000000006</v>
      </c>
      <c r="U11" s="150">
        <v>79.900000000000006</v>
      </c>
      <c r="V11" s="25"/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8">
        <f>$A11</f>
        <v>2</v>
      </c>
      <c r="B12" s="173"/>
      <c r="C12" s="87" t="str">
        <f>IF($B10&lt;&gt;"",C8,"")</f>
        <v>Cost to Market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8">
        <f>$A12</f>
        <v>2</v>
      </c>
      <c r="B13" s="174"/>
      <c r="C13" s="87" t="str">
        <f>IF($B10&lt;&gt;"",C9,"")</f>
        <v>Cost to Market - variable</v>
      </c>
      <c r="D13" s="87" t="str">
        <f>IF($B10&lt;&gt;"",D9,"")</f>
        <v>EUR/MWh</v>
      </c>
      <c r="E13" s="154">
        <v>0.39604948124088324</v>
      </c>
      <c r="F13" s="154">
        <v>0.74754037862393929</v>
      </c>
      <c r="G13" s="154">
        <v>0.38188806420750143</v>
      </c>
      <c r="H13" s="154">
        <v>0.52257757719852727</v>
      </c>
      <c r="I13" s="154">
        <v>1.6723162533439639E-2</v>
      </c>
      <c r="J13" s="154">
        <v>0.25658999421632067</v>
      </c>
      <c r="K13" s="154">
        <v>0.60138780804157521</v>
      </c>
      <c r="L13" s="154">
        <v>0.33213850696647929</v>
      </c>
      <c r="M13" s="154">
        <v>0.61921495987967023</v>
      </c>
      <c r="N13" s="154">
        <v>0.5609282531996661</v>
      </c>
      <c r="O13" s="154">
        <v>0.30084689146933041</v>
      </c>
      <c r="P13" s="154">
        <v>0.56718222992113521</v>
      </c>
      <c r="Q13" s="154">
        <v>0.29580692202450487</v>
      </c>
      <c r="R13" s="154">
        <v>0.81849292947259522</v>
      </c>
      <c r="S13" s="154">
        <v>0.49058804468685235</v>
      </c>
      <c r="T13" s="154">
        <v>0.62003522053548887</v>
      </c>
      <c r="U13" s="154">
        <v>0.41865210416870224</v>
      </c>
      <c r="V13" s="25"/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8">
        <f t="shared" ref="A14" si="0">$A10+1</f>
        <v>3</v>
      </c>
      <c r="B14" s="172" t="str">
        <f>IFERROR(INDEX(TBL_LNG_IMPORTERS_CONNECTIONS[Name],$A14),"")</f>
        <v>Dunkerque_FR_LNG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8">
        <f t="shared" ref="A15:A17" si="2">$A14</f>
        <v>3</v>
      </c>
      <c r="B15" s="173"/>
      <c r="C15" s="87" t="str">
        <f t="shared" ref="C15:D15" si="3">IF($B14&lt;&gt;"",C11,"")</f>
        <v>Capacity - Max</v>
      </c>
      <c r="D15" s="87" t="str">
        <f t="shared" si="3"/>
        <v>GWh/day</v>
      </c>
      <c r="E15" s="150">
        <v>519.79999999999995</v>
      </c>
      <c r="F15" s="150">
        <f>E15</f>
        <v>519.79999999999995</v>
      </c>
      <c r="G15" s="150">
        <v>519.79999999999995</v>
      </c>
      <c r="H15" s="150">
        <v>519.79999999999995</v>
      </c>
      <c r="I15" s="150">
        <v>519.79999999999995</v>
      </c>
      <c r="J15" s="150">
        <v>519.79999999999995</v>
      </c>
      <c r="K15" s="150">
        <v>519.79999999999995</v>
      </c>
      <c r="L15" s="150">
        <v>519.79999999999995</v>
      </c>
      <c r="M15" s="150">
        <v>519.79999999999995</v>
      </c>
      <c r="N15" s="150">
        <v>519.79999999999995</v>
      </c>
      <c r="O15" s="150">
        <v>519.79999999999995</v>
      </c>
      <c r="P15" s="150">
        <v>519.79999999999995</v>
      </c>
      <c r="Q15" s="150">
        <v>519.79999999999995</v>
      </c>
      <c r="R15" s="150">
        <v>519.79999999999995</v>
      </c>
      <c r="S15" s="150">
        <v>519.79999999999995</v>
      </c>
      <c r="T15" s="150">
        <v>519.79999999999995</v>
      </c>
      <c r="U15" s="150">
        <v>519.79999999999995</v>
      </c>
      <c r="V15" s="25"/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8">
        <f t="shared" si="2"/>
        <v>3</v>
      </c>
      <c r="B16" s="173"/>
      <c r="C16" s="87" t="str">
        <f t="shared" ref="C16:D16" si="4">IF($B14&lt;&gt;"",C12,"")</f>
        <v>Cost to Market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8">
        <f t="shared" si="2"/>
        <v>3</v>
      </c>
      <c r="B17" s="174"/>
      <c r="C17" s="87" t="str">
        <f t="shared" ref="C17:D17" si="5">IF($B14&lt;&gt;"",C13,"")</f>
        <v>Cost to Market - variable</v>
      </c>
      <c r="D17" s="87" t="str">
        <f t="shared" si="5"/>
        <v>EUR/MWh</v>
      </c>
      <c r="E17" s="154">
        <v>0.89270910405376191</v>
      </c>
      <c r="F17" s="154">
        <v>5.6987769442487735E-2</v>
      </c>
      <c r="G17" s="154">
        <v>0.13563451823673245</v>
      </c>
      <c r="H17" s="154">
        <v>0.61403959721783119</v>
      </c>
      <c r="I17" s="154">
        <v>0.41658600380628641</v>
      </c>
      <c r="J17" s="154">
        <v>0.56542134071463801</v>
      </c>
      <c r="K17" s="154">
        <v>0.23624425052876818</v>
      </c>
      <c r="L17" s="154">
        <v>3.0058267650079462E-2</v>
      </c>
      <c r="M17" s="154">
        <v>0.82798073292358487</v>
      </c>
      <c r="N17" s="154">
        <v>0.76375729033590289</v>
      </c>
      <c r="O17" s="154">
        <v>0.66611964306221916</v>
      </c>
      <c r="P17" s="154">
        <v>0.39319594870640495</v>
      </c>
      <c r="Q17" s="154">
        <v>0.79785743077547577</v>
      </c>
      <c r="R17" s="154">
        <v>0.20949591913064103</v>
      </c>
      <c r="S17" s="154">
        <v>8.2841184448262384E-2</v>
      </c>
      <c r="T17" s="154">
        <v>0.54663833410581752</v>
      </c>
      <c r="U17" s="154">
        <v>0.72254002885554847</v>
      </c>
      <c r="V17" s="25"/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8">
        <f t="shared" ref="A18" si="6">$A14+1</f>
        <v>4</v>
      </c>
      <c r="B18" s="172" t="str">
        <f>IFERROR(INDEX(TBL_LNG_IMPORTERS_CONNECTIONS[Name],$A18),"")</f>
        <v>Fos_Cavaou_FR_LNG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8">
        <f t="shared" ref="A19:A21" si="8">$A18</f>
        <v>4</v>
      </c>
      <c r="B19" s="173"/>
      <c r="C19" s="87" t="str">
        <f t="shared" ref="C19:D19" si="9">IF($B18&lt;&gt;"",C15,"")</f>
        <v>Capacity - Max</v>
      </c>
      <c r="D19" s="87" t="str">
        <f t="shared" si="9"/>
        <v>GWh/day</v>
      </c>
      <c r="E19" s="150">
        <v>300</v>
      </c>
      <c r="F19" s="150">
        <f>E19</f>
        <v>300</v>
      </c>
      <c r="G19" s="150">
        <v>300</v>
      </c>
      <c r="H19" s="150">
        <v>300</v>
      </c>
      <c r="I19" s="150">
        <v>300</v>
      </c>
      <c r="J19" s="150">
        <v>300</v>
      </c>
      <c r="K19" s="150">
        <v>300</v>
      </c>
      <c r="L19" s="150">
        <v>300</v>
      </c>
      <c r="M19" s="150">
        <v>300</v>
      </c>
      <c r="N19" s="150">
        <v>300</v>
      </c>
      <c r="O19" s="150">
        <v>300</v>
      </c>
      <c r="P19" s="150">
        <v>300</v>
      </c>
      <c r="Q19" s="150">
        <v>300</v>
      </c>
      <c r="R19" s="150">
        <v>300</v>
      </c>
      <c r="S19" s="150">
        <v>300</v>
      </c>
      <c r="T19" s="150">
        <v>300</v>
      </c>
      <c r="U19" s="150">
        <v>300</v>
      </c>
      <c r="V19" s="25"/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8">
        <f t="shared" si="8"/>
        <v>4</v>
      </c>
      <c r="B20" s="173"/>
      <c r="C20" s="87" t="str">
        <f t="shared" ref="C20:D20" si="10">IF($B18&lt;&gt;"",C16,"")</f>
        <v>Cost to Market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8">
        <f t="shared" si="8"/>
        <v>4</v>
      </c>
      <c r="B21" s="174"/>
      <c r="C21" s="87" t="str">
        <f t="shared" ref="C21:D21" si="11">IF($B18&lt;&gt;"",C17,"")</f>
        <v>Cost to Market - variable</v>
      </c>
      <c r="D21" s="87" t="str">
        <f t="shared" si="11"/>
        <v>EUR/MWh</v>
      </c>
      <c r="E21" s="154">
        <v>0.35718779960536806</v>
      </c>
      <c r="F21" s="154">
        <v>0.3633743722793209</v>
      </c>
      <c r="G21" s="154">
        <v>0.14410265048068804</v>
      </c>
      <c r="H21" s="154">
        <v>0.37959623675347742</v>
      </c>
      <c r="I21" s="154">
        <v>0.86176113724743364</v>
      </c>
      <c r="J21" s="154">
        <v>0.68802778122793529</v>
      </c>
      <c r="K21" s="154">
        <v>0.67837837689892044</v>
      </c>
      <c r="L21" s="154">
        <v>0.41543850850974262</v>
      </c>
      <c r="M21" s="154">
        <v>0.16356790549885114</v>
      </c>
      <c r="N21" s="154">
        <v>0.25963554555760016</v>
      </c>
      <c r="O21" s="154">
        <v>0.22281212809495998</v>
      </c>
      <c r="P21" s="154">
        <v>0.21674794627114335</v>
      </c>
      <c r="Q21" s="154">
        <v>0.17935361092769131</v>
      </c>
      <c r="R21" s="154">
        <v>0.23744053060247916</v>
      </c>
      <c r="S21" s="154">
        <v>0.42802403639506814</v>
      </c>
      <c r="T21" s="154">
        <v>0.64015080117405498</v>
      </c>
      <c r="U21" s="154">
        <v>0.26806281107483998</v>
      </c>
      <c r="V21" s="25"/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8">
        <f t="shared" ref="A22" si="12">$A18+1</f>
        <v>5</v>
      </c>
      <c r="B22" s="172" t="str">
        <f>IFERROR(INDEX(TBL_LNG_IMPORTERS_CONNECTIONS[Name],$A22),"")</f>
        <v>Fos-Tonkin_FR_LNG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8">
        <f t="shared" ref="A23:A25" si="14">$A22</f>
        <v>5</v>
      </c>
      <c r="B23" s="173"/>
      <c r="C23" s="87" t="str">
        <f t="shared" ref="C23:D23" si="15">IF($B22&lt;&gt;"",C19,"")</f>
        <v>Capacity - Max</v>
      </c>
      <c r="D23" s="87" t="str">
        <f t="shared" si="15"/>
        <v>GWh/day</v>
      </c>
      <c r="E23" s="150">
        <v>95.9</v>
      </c>
      <c r="F23" s="150">
        <f>E23</f>
        <v>95.9</v>
      </c>
      <c r="G23" s="150">
        <v>95.9</v>
      </c>
      <c r="H23" s="150">
        <v>95.9</v>
      </c>
      <c r="I23" s="150">
        <v>95.9</v>
      </c>
      <c r="J23" s="150">
        <v>95.9</v>
      </c>
      <c r="K23" s="150">
        <v>95.9</v>
      </c>
      <c r="L23" s="150">
        <v>95.9</v>
      </c>
      <c r="M23" s="150">
        <v>95.9</v>
      </c>
      <c r="N23" s="150">
        <v>95.9</v>
      </c>
      <c r="O23" s="150">
        <v>95.9</v>
      </c>
      <c r="P23" s="150">
        <v>95.9</v>
      </c>
      <c r="Q23" s="150">
        <v>95.9</v>
      </c>
      <c r="R23" s="150">
        <v>95.9</v>
      </c>
      <c r="S23" s="150">
        <v>95.9</v>
      </c>
      <c r="T23" s="150">
        <v>95.9</v>
      </c>
      <c r="U23" s="150">
        <v>95.9</v>
      </c>
      <c r="V23" s="25"/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8">
        <f t="shared" si="14"/>
        <v>5</v>
      </c>
      <c r="B24" s="173"/>
      <c r="C24" s="87" t="str">
        <f t="shared" ref="C24:D24" si="16">IF($B22&lt;&gt;"",C20,"")</f>
        <v>Cost to Market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8">
        <f t="shared" si="14"/>
        <v>5</v>
      </c>
      <c r="B25" s="174"/>
      <c r="C25" s="87" t="str">
        <f t="shared" ref="C25:D25" si="17">IF($B22&lt;&gt;"",C21,"")</f>
        <v>Cost to Market - variable</v>
      </c>
      <c r="D25" s="87" t="str">
        <f t="shared" si="17"/>
        <v>EUR/MWh</v>
      </c>
      <c r="E25" s="154">
        <v>0.55953336726661684</v>
      </c>
      <c r="F25" s="154">
        <v>0.54695301371124894</v>
      </c>
      <c r="G25" s="154">
        <v>0.38070845187715607</v>
      </c>
      <c r="H25" s="154">
        <v>0.81770703950345924</v>
      </c>
      <c r="I25" s="154">
        <v>0.60457169359959106</v>
      </c>
      <c r="J25" s="154">
        <v>9.8918278419690808E-2</v>
      </c>
      <c r="K25" s="154">
        <v>3.3197466297802736E-2</v>
      </c>
      <c r="L25" s="154">
        <v>0.9061870172243075</v>
      </c>
      <c r="M25" s="154">
        <v>0.55844164764137427</v>
      </c>
      <c r="N25" s="154">
        <v>0.46543082901728183</v>
      </c>
      <c r="O25" s="154">
        <v>0.28377284998071928</v>
      </c>
      <c r="P25" s="154">
        <v>0.61303136558937166</v>
      </c>
      <c r="Q25" s="154">
        <v>0.1965226662043974</v>
      </c>
      <c r="R25" s="154">
        <v>0.59611157629429712</v>
      </c>
      <c r="S25" s="154">
        <v>0.53021072789375212</v>
      </c>
      <c r="T25" s="154">
        <v>0.69501555678090876</v>
      </c>
      <c r="U25" s="154">
        <v>0.67656033453834741</v>
      </c>
      <c r="V25" s="25"/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8">
        <f t="shared" ref="A26" si="18">$A22+1</f>
        <v>6</v>
      </c>
      <c r="B26" s="172" t="str">
        <f>IFERROR(INDEX(TBL_LNG_IMPORTERS_CONNECTIONS[Name],$A26),"")</f>
        <v>Montoir-de-Bretagne_FR_LNG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8">
        <f t="shared" ref="A27:A29" si="20">$A26</f>
        <v>6</v>
      </c>
      <c r="B27" s="173"/>
      <c r="C27" s="87" t="str">
        <f t="shared" ref="C27:D27" si="21">IF($B26&lt;&gt;"",C23,"")</f>
        <v>Capacity - Max</v>
      </c>
      <c r="D27" s="87" t="str">
        <f t="shared" si="21"/>
        <v>GWh/day</v>
      </c>
      <c r="E27" s="150">
        <v>337</v>
      </c>
      <c r="F27" s="150">
        <f>E27</f>
        <v>337</v>
      </c>
      <c r="G27" s="150">
        <v>337</v>
      </c>
      <c r="H27" s="150">
        <v>337</v>
      </c>
      <c r="I27" s="150">
        <v>337</v>
      </c>
      <c r="J27" s="150">
        <v>337</v>
      </c>
      <c r="K27" s="150">
        <v>337</v>
      </c>
      <c r="L27" s="150">
        <v>337</v>
      </c>
      <c r="M27" s="150">
        <v>337</v>
      </c>
      <c r="N27" s="150">
        <v>337</v>
      </c>
      <c r="O27" s="150">
        <v>337</v>
      </c>
      <c r="P27" s="150">
        <v>337</v>
      </c>
      <c r="Q27" s="150">
        <v>337</v>
      </c>
      <c r="R27" s="150">
        <v>337</v>
      </c>
      <c r="S27" s="150">
        <v>337</v>
      </c>
      <c r="T27" s="150">
        <v>337</v>
      </c>
      <c r="U27" s="150">
        <v>337</v>
      </c>
      <c r="V27" s="25"/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8">
        <f t="shared" si="20"/>
        <v>6</v>
      </c>
      <c r="B28" s="173"/>
      <c r="C28" s="87" t="str">
        <f t="shared" ref="C28:D28" si="22">IF($B26&lt;&gt;"",C24,"")</f>
        <v>Cost to Market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8">
        <f t="shared" si="20"/>
        <v>6</v>
      </c>
      <c r="B29" s="174"/>
      <c r="C29" s="87" t="str">
        <f t="shared" ref="C29:D29" si="23">IF($B26&lt;&gt;"",C25,"")</f>
        <v>Cost to Market - variable</v>
      </c>
      <c r="D29" s="87" t="str">
        <f t="shared" si="23"/>
        <v>EUR/MWh</v>
      </c>
      <c r="E29" s="154">
        <v>0.89432889020446971</v>
      </c>
      <c r="F29" s="154">
        <v>0.37221724793561961</v>
      </c>
      <c r="G29" s="154">
        <v>0.87881944842385162</v>
      </c>
      <c r="H29" s="154">
        <v>0.93119771689223929</v>
      </c>
      <c r="I29" s="154">
        <v>0.93957586052744779</v>
      </c>
      <c r="J29" s="154">
        <v>0.18545699799917481</v>
      </c>
      <c r="K29" s="154">
        <v>0.12704186474270851</v>
      </c>
      <c r="L29" s="154">
        <v>0.81845065142733264</v>
      </c>
      <c r="M29" s="154">
        <v>0.28811606041421622</v>
      </c>
      <c r="N29" s="154">
        <v>7.5311269332364317E-2</v>
      </c>
      <c r="O29" s="154">
        <v>0.95643859121189889</v>
      </c>
      <c r="P29" s="154">
        <v>0.50700911996426767</v>
      </c>
      <c r="Q29" s="154">
        <v>0.10122039494732293</v>
      </c>
      <c r="R29" s="154">
        <v>0.7184131695142717</v>
      </c>
      <c r="S29" s="154">
        <v>0.97029483575287279</v>
      </c>
      <c r="T29" s="154">
        <v>0.1765598235904936</v>
      </c>
      <c r="U29" s="154">
        <v>0.68808582233585569</v>
      </c>
      <c r="V29" s="25"/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8">
        <f t="shared" ref="A30" si="24">$A26+1</f>
        <v>7</v>
      </c>
      <c r="B30" s="172" t="str">
        <f>IFERROR(INDEX(TBL_LNG_IMPORTERS_CONNECTIONS[Name],$A30),"")</f>
        <v>Revithoussa_GR_LNG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8">
        <f t="shared" ref="A31:A33" si="26">$A30</f>
        <v>7</v>
      </c>
      <c r="B31" s="173"/>
      <c r="C31" s="87" t="str">
        <f t="shared" ref="C31:D31" si="27">IF($B30&lt;&gt;"",C27,"")</f>
        <v>Capacity - Max</v>
      </c>
      <c r="D31" s="87" t="str">
        <f t="shared" si="27"/>
        <v>GWh/day</v>
      </c>
      <c r="E31" s="150">
        <v>269.89999999999998</v>
      </c>
      <c r="F31" s="150">
        <f>E31</f>
        <v>269.89999999999998</v>
      </c>
      <c r="G31" s="150">
        <v>269.89999999999998</v>
      </c>
      <c r="H31" s="150">
        <v>269.89999999999998</v>
      </c>
      <c r="I31" s="150">
        <v>269.89999999999998</v>
      </c>
      <c r="J31" s="150">
        <v>269.89999999999998</v>
      </c>
      <c r="K31" s="150">
        <v>269.89999999999998</v>
      </c>
      <c r="L31" s="150">
        <v>269.89999999999998</v>
      </c>
      <c r="M31" s="150">
        <v>269.89999999999998</v>
      </c>
      <c r="N31" s="150">
        <v>269.89999999999998</v>
      </c>
      <c r="O31" s="150">
        <v>269.89999999999998</v>
      </c>
      <c r="P31" s="150">
        <v>269.89999999999998</v>
      </c>
      <c r="Q31" s="150">
        <v>269.89999999999998</v>
      </c>
      <c r="R31" s="150">
        <v>269.89999999999998</v>
      </c>
      <c r="S31" s="150">
        <v>269.89999999999998</v>
      </c>
      <c r="T31" s="150">
        <v>269.89999999999998</v>
      </c>
      <c r="U31" s="150">
        <v>269.89999999999998</v>
      </c>
      <c r="V31" s="25"/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8">
        <f t="shared" si="26"/>
        <v>7</v>
      </c>
      <c r="B32" s="173"/>
      <c r="C32" s="87" t="str">
        <f t="shared" ref="C32:D32" si="28">IF($B30&lt;&gt;"",C28,"")</f>
        <v>Cost to Market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8">
        <f t="shared" si="26"/>
        <v>7</v>
      </c>
      <c r="B33" s="174"/>
      <c r="C33" s="87" t="str">
        <f t="shared" ref="C33:D33" si="29">IF($B30&lt;&gt;"",C29,"")</f>
        <v>Cost to Market - variable</v>
      </c>
      <c r="D33" s="87" t="str">
        <f t="shared" si="29"/>
        <v>EUR/MWh</v>
      </c>
      <c r="E33" s="154">
        <v>0.61640190241321724</v>
      </c>
      <c r="F33" s="154">
        <v>0.31618629687682287</v>
      </c>
      <c r="G33" s="154">
        <v>0.38852395252423422</v>
      </c>
      <c r="H33" s="154">
        <v>0.40098165298319233</v>
      </c>
      <c r="I33" s="154">
        <v>0.2113938495157085</v>
      </c>
      <c r="J33" s="154">
        <v>0.5051967478579551</v>
      </c>
      <c r="K33" s="154">
        <v>2.7586014800148773E-2</v>
      </c>
      <c r="L33" s="154">
        <v>0.36932533683731372</v>
      </c>
      <c r="M33" s="154">
        <v>4.4089300832580447E-3</v>
      </c>
      <c r="N33" s="154">
        <v>3.923188904903363E-2</v>
      </c>
      <c r="O33" s="154">
        <v>0.57237713579621963</v>
      </c>
      <c r="P33" s="154">
        <v>0.40006479214246715</v>
      </c>
      <c r="Q33" s="154">
        <v>0.77761144119220904</v>
      </c>
      <c r="R33" s="154">
        <v>0.53905708705676203</v>
      </c>
      <c r="S33" s="154">
        <v>0.19621616205153214</v>
      </c>
      <c r="T33" s="154">
        <v>0.48311853223936119</v>
      </c>
      <c r="U33" s="154">
        <v>0.96653102032644633</v>
      </c>
      <c r="V33" s="25"/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8">
        <f t="shared" ref="A34" si="30">$A30+1</f>
        <v>8</v>
      </c>
      <c r="B34" s="172" t="str">
        <f>IFERROR(INDEX(TBL_LNG_IMPORTERS_CONNECTIONS[Name],$A34),"")</f>
        <v>Toscana_IT_LNG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8">
        <f t="shared" ref="A35:A37" si="32">$A34</f>
        <v>8</v>
      </c>
      <c r="B35" s="173"/>
      <c r="C35" s="87" t="str">
        <f t="shared" ref="C35:D35" si="33">IF($B34&lt;&gt;"",C31,"")</f>
        <v>Capacity - Max</v>
      </c>
      <c r="D35" s="87" t="str">
        <f t="shared" si="33"/>
        <v>GWh/day</v>
      </c>
      <c r="E35" s="150">
        <v>166.5</v>
      </c>
      <c r="F35" s="150">
        <f>E35</f>
        <v>166.5</v>
      </c>
      <c r="G35" s="150">
        <v>166.5</v>
      </c>
      <c r="H35" s="150">
        <v>166.5</v>
      </c>
      <c r="I35" s="150">
        <v>166.5</v>
      </c>
      <c r="J35" s="150">
        <v>166.5</v>
      </c>
      <c r="K35" s="150">
        <v>166.5</v>
      </c>
      <c r="L35" s="150">
        <v>166.5</v>
      </c>
      <c r="M35" s="150">
        <v>166.5</v>
      </c>
      <c r="N35" s="150">
        <v>166.5</v>
      </c>
      <c r="O35" s="150">
        <v>166.5</v>
      </c>
      <c r="P35" s="150">
        <v>166.5</v>
      </c>
      <c r="Q35" s="150">
        <v>166.5</v>
      </c>
      <c r="R35" s="150">
        <v>166.5</v>
      </c>
      <c r="S35" s="150">
        <v>166.5</v>
      </c>
      <c r="T35" s="150">
        <v>166.5</v>
      </c>
      <c r="U35" s="150">
        <v>166.5</v>
      </c>
      <c r="V35" s="25"/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8">
        <f t="shared" si="32"/>
        <v>8</v>
      </c>
      <c r="B36" s="173"/>
      <c r="C36" s="87" t="str">
        <f t="shared" ref="C36:D36" si="34">IF($B34&lt;&gt;"",C32,"")</f>
        <v>Cost to Market - fixed</v>
      </c>
      <c r="D36" s="87" t="str">
        <f t="shared" si="34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8">
        <f t="shared" si="32"/>
        <v>8</v>
      </c>
      <c r="B37" s="174"/>
      <c r="C37" s="87" t="str">
        <f t="shared" ref="C37:D37" si="35">IF($B34&lt;&gt;"",C33,"")</f>
        <v>Cost to Market - variable</v>
      </c>
      <c r="D37" s="87" t="str">
        <f t="shared" si="35"/>
        <v>EUR/MWh</v>
      </c>
      <c r="E37" s="154">
        <v>9.9156412802120397E-2</v>
      </c>
      <c r="F37" s="154">
        <v>0.76589170420528097</v>
      </c>
      <c r="G37" s="154">
        <v>0.90289885795776126</v>
      </c>
      <c r="H37" s="154">
        <v>0.47602371691967649</v>
      </c>
      <c r="I37" s="154">
        <v>3.8890475618517995E-2</v>
      </c>
      <c r="J37" s="154">
        <v>8.6567266639694163E-2</v>
      </c>
      <c r="K37" s="154">
        <v>0.10893275201001185</v>
      </c>
      <c r="L37" s="154">
        <v>0.88712302975794322</v>
      </c>
      <c r="M37" s="154">
        <v>0.92762020731296468</v>
      </c>
      <c r="N37" s="154">
        <v>0.31693092896758479</v>
      </c>
      <c r="O37" s="154">
        <v>2.4343182583196343E-3</v>
      </c>
      <c r="P37" s="154">
        <v>0.96183315156578941</v>
      </c>
      <c r="Q37" s="154">
        <v>0.19393589286636526</v>
      </c>
      <c r="R37" s="154">
        <v>0.25855419676337155</v>
      </c>
      <c r="S37" s="154">
        <v>0.56010277421329902</v>
      </c>
      <c r="T37" s="154">
        <v>0.72794207206901473</v>
      </c>
      <c r="U37" s="154">
        <v>0.24939315111761773</v>
      </c>
      <c r="V37" s="25"/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8">
        <f t="shared" ref="A38" si="36">$A34+1</f>
        <v>9</v>
      </c>
      <c r="B38" s="172" t="str">
        <f>IFERROR(INDEX(TBL_LNG_IMPORTERS_CONNECTIONS[Name],$A38),"")</f>
        <v>Panigaglia_IT_LNG</v>
      </c>
      <c r="C38" s="87" t="str">
        <f t="shared" ref="C38:D38" si="37">IF($B38&lt;&gt;"",C34,"")</f>
        <v>Capacity - Min</v>
      </c>
      <c r="D38" s="87" t="str">
        <f t="shared" si="37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8">
        <f t="shared" ref="A39:A57" si="38">$A38</f>
        <v>9</v>
      </c>
      <c r="B39" s="173"/>
      <c r="C39" s="87" t="str">
        <f t="shared" ref="C39:D39" si="39">IF($B38&lt;&gt;"",C35,"")</f>
        <v>Capacity - Max</v>
      </c>
      <c r="D39" s="87" t="str">
        <f t="shared" si="39"/>
        <v>GWh/day</v>
      </c>
      <c r="E39" s="150">
        <v>119.5</v>
      </c>
      <c r="F39" s="150">
        <f>E39</f>
        <v>119.5</v>
      </c>
      <c r="G39" s="150">
        <v>119.5</v>
      </c>
      <c r="H39" s="150">
        <v>119.5</v>
      </c>
      <c r="I39" s="150">
        <v>119.5</v>
      </c>
      <c r="J39" s="150">
        <v>119.5</v>
      </c>
      <c r="K39" s="150">
        <v>119.5</v>
      </c>
      <c r="L39" s="150">
        <v>119.5</v>
      </c>
      <c r="M39" s="150">
        <v>119.5</v>
      </c>
      <c r="N39" s="150">
        <v>119.5</v>
      </c>
      <c r="O39" s="150">
        <v>119.5</v>
      </c>
      <c r="P39" s="150">
        <v>119.5</v>
      </c>
      <c r="Q39" s="150">
        <v>119.5</v>
      </c>
      <c r="R39" s="150">
        <v>119.5</v>
      </c>
      <c r="S39" s="150">
        <v>119.5</v>
      </c>
      <c r="T39" s="150">
        <v>119.5</v>
      </c>
      <c r="U39" s="150">
        <v>119.5</v>
      </c>
      <c r="V39" s="25"/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8">
        <f t="shared" si="38"/>
        <v>9</v>
      </c>
      <c r="B40" s="173"/>
      <c r="C40" s="87" t="str">
        <f t="shared" ref="C40:D40" si="40">IF($B38&lt;&gt;"",C36,"")</f>
        <v>Cost to Market - fixed</v>
      </c>
      <c r="D40" s="87" t="str">
        <f t="shared" si="40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8">
        <f t="shared" si="38"/>
        <v>9</v>
      </c>
      <c r="B41" s="174"/>
      <c r="C41" s="87" t="str">
        <f t="shared" ref="C41:D41" si="41">IF($B38&lt;&gt;"",C37,"")</f>
        <v>Cost to Market - variable</v>
      </c>
      <c r="D41" s="87" t="str">
        <f t="shared" si="41"/>
        <v>EUR/MWh</v>
      </c>
      <c r="E41" s="154">
        <v>8.2868886838585065E-2</v>
      </c>
      <c r="F41" s="154">
        <v>0.6132528165665172</v>
      </c>
      <c r="G41" s="154">
        <v>0.93880652500065387</v>
      </c>
      <c r="H41" s="154">
        <v>0.16907633770086639</v>
      </c>
      <c r="I41" s="154">
        <v>0.61152883685783943</v>
      </c>
      <c r="J41" s="154">
        <v>0.40936026039573903</v>
      </c>
      <c r="K41" s="154">
        <v>0.34411614287439607</v>
      </c>
      <c r="L41" s="154">
        <v>0.92608031426062687</v>
      </c>
      <c r="M41" s="154">
        <v>0.58166220280993786</v>
      </c>
      <c r="N41" s="154">
        <v>0.87916416843061862</v>
      </c>
      <c r="O41" s="154">
        <v>0.5559416612216117</v>
      </c>
      <c r="P41" s="154">
        <v>0.17123758896163377</v>
      </c>
      <c r="Q41" s="154">
        <v>0.50023879721226305</v>
      </c>
      <c r="R41" s="154">
        <v>0.78141205108472078</v>
      </c>
      <c r="S41" s="154">
        <v>0.28516839066718558</v>
      </c>
      <c r="T41" s="154">
        <v>0.92783914949985669</v>
      </c>
      <c r="U41" s="154">
        <v>0.14784148047231671</v>
      </c>
      <c r="V41" s="25"/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8">
        <f t="shared" ref="A42" si="42">$A38+1</f>
        <v>10</v>
      </c>
      <c r="B42" s="172" t="str">
        <f>IFERROR(INDEX(TBL_LNG_IMPORTERS_CONNECTIONS[Name],$A42),"")</f>
        <v>Porto_Levante_IT_LNG</v>
      </c>
      <c r="C42" s="87" t="str">
        <f t="shared" ref="C42:D42" si="43">IF($B42&lt;&gt;"",C38,"")</f>
        <v>Capacity - Min</v>
      </c>
      <c r="D42" s="87" t="str">
        <f t="shared" si="43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8">
        <f t="shared" si="38"/>
        <v>10</v>
      </c>
      <c r="B43" s="173"/>
      <c r="C43" s="87" t="str">
        <f t="shared" ref="C43:D43" si="44">IF($B42&lt;&gt;"",C39,"")</f>
        <v>Capacity - Max</v>
      </c>
      <c r="D43" s="87" t="str">
        <f t="shared" si="44"/>
        <v>GWh/day</v>
      </c>
      <c r="E43" s="150">
        <v>228.5</v>
      </c>
      <c r="F43" s="150">
        <f>E43</f>
        <v>228.5</v>
      </c>
      <c r="G43" s="150">
        <v>228.5</v>
      </c>
      <c r="H43" s="150">
        <v>228.5</v>
      </c>
      <c r="I43" s="150">
        <v>228.5</v>
      </c>
      <c r="J43" s="150">
        <v>228.5</v>
      </c>
      <c r="K43" s="150">
        <v>228.5</v>
      </c>
      <c r="L43" s="150">
        <v>228.5</v>
      </c>
      <c r="M43" s="150">
        <v>228.5</v>
      </c>
      <c r="N43" s="150">
        <v>228.5</v>
      </c>
      <c r="O43" s="150">
        <v>228.5</v>
      </c>
      <c r="P43" s="150">
        <v>228.5</v>
      </c>
      <c r="Q43" s="150">
        <v>228.5</v>
      </c>
      <c r="R43" s="150">
        <v>228.5</v>
      </c>
      <c r="S43" s="150">
        <v>228.5</v>
      </c>
      <c r="T43" s="150">
        <v>228.5</v>
      </c>
      <c r="U43" s="150">
        <v>228.5</v>
      </c>
      <c r="V43" s="25"/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8">
        <f t="shared" si="38"/>
        <v>10</v>
      </c>
      <c r="B44" s="173"/>
      <c r="C44" s="87" t="str">
        <f t="shared" ref="C44:D44" si="45">IF($B42&lt;&gt;"",C40,"")</f>
        <v>Cost to Market - fixed</v>
      </c>
      <c r="D44" s="87" t="str">
        <f t="shared" si="45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8">
        <f t="shared" si="38"/>
        <v>10</v>
      </c>
      <c r="B45" s="174"/>
      <c r="C45" s="87" t="str">
        <f t="shared" ref="C45:D45" si="46">IF($B42&lt;&gt;"",C41,"")</f>
        <v>Cost to Market - variable</v>
      </c>
      <c r="D45" s="87" t="str">
        <f t="shared" si="46"/>
        <v>EUR/MWh</v>
      </c>
      <c r="E45" s="154">
        <v>0.62648320177990457</v>
      </c>
      <c r="F45" s="154">
        <v>0.37874401708539918</v>
      </c>
      <c r="G45" s="154">
        <v>0.8063679599031256</v>
      </c>
      <c r="H45" s="154">
        <v>0.54306743129064905</v>
      </c>
      <c r="I45" s="154">
        <v>0.93991620712053925</v>
      </c>
      <c r="J45" s="154">
        <v>0.88379901204022771</v>
      </c>
      <c r="K45" s="154">
        <v>6.6761169649615648E-2</v>
      </c>
      <c r="L45" s="154">
        <v>0.52231153624760795</v>
      </c>
      <c r="M45" s="154">
        <v>0.1439587359457436</v>
      </c>
      <c r="N45" s="154">
        <v>0.82089672412525827</v>
      </c>
      <c r="O45" s="154">
        <v>0.3194381398623436</v>
      </c>
      <c r="P45" s="154">
        <v>0.58671923611087484</v>
      </c>
      <c r="Q45" s="154">
        <v>0.60063465870392885</v>
      </c>
      <c r="R45" s="154">
        <v>0.93593665834508966</v>
      </c>
      <c r="S45" s="154">
        <v>0.73478767969039915</v>
      </c>
      <c r="T45" s="154">
        <v>0.56583806258590708</v>
      </c>
      <c r="U45" s="154">
        <v>0.27211677422632707</v>
      </c>
      <c r="V45" s="25"/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8">
        <f t="shared" ref="A46" si="47">$A42+1</f>
        <v>11</v>
      </c>
      <c r="B46" s="172" t="str">
        <f>IFERROR(INDEX(TBL_LNG_IMPORTERS_CONNECTIONS[Name],$A46),"")</f>
        <v>Independence_LI_LNG</v>
      </c>
      <c r="C46" s="87" t="str">
        <f t="shared" ref="C46:D46" si="48">IF($B46&lt;&gt;"",C42,"")</f>
        <v>Capacity - Min</v>
      </c>
      <c r="D46" s="87" t="str">
        <f t="shared" si="48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8">
        <f t="shared" si="38"/>
        <v>11</v>
      </c>
      <c r="B47" s="173"/>
      <c r="C47" s="87" t="str">
        <f t="shared" ref="C47:D47" si="49">IF($B46&lt;&gt;"",C43,"")</f>
        <v>Capacity - Max</v>
      </c>
      <c r="D47" s="87" t="str">
        <f t="shared" si="49"/>
        <v>GWh/day</v>
      </c>
      <c r="E47" s="150">
        <v>122.4</v>
      </c>
      <c r="F47" s="150">
        <f>E47</f>
        <v>122.4</v>
      </c>
      <c r="G47" s="150">
        <v>122.4</v>
      </c>
      <c r="H47" s="150">
        <v>122.4</v>
      </c>
      <c r="I47" s="150">
        <v>122.4</v>
      </c>
      <c r="J47" s="150">
        <v>122.4</v>
      </c>
      <c r="K47" s="150">
        <v>122.4</v>
      </c>
      <c r="L47" s="150">
        <v>122.4</v>
      </c>
      <c r="M47" s="150">
        <v>122.4</v>
      </c>
      <c r="N47" s="150">
        <v>122.4</v>
      </c>
      <c r="O47" s="150">
        <v>122.4</v>
      </c>
      <c r="P47" s="150">
        <v>122.4</v>
      </c>
      <c r="Q47" s="150">
        <v>122.4</v>
      </c>
      <c r="R47" s="150">
        <v>122.4</v>
      </c>
      <c r="S47" s="150">
        <v>122.4</v>
      </c>
      <c r="T47" s="150">
        <v>122.4</v>
      </c>
      <c r="U47" s="150">
        <v>122.4</v>
      </c>
      <c r="V47" s="25"/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8">
        <f t="shared" si="38"/>
        <v>11</v>
      </c>
      <c r="B48" s="173"/>
      <c r="C48" s="87" t="str">
        <f t="shared" ref="C48:D48" si="50">IF($B46&lt;&gt;"",C44,"")</f>
        <v>Cost to Market - fixed</v>
      </c>
      <c r="D48" s="87" t="str">
        <f t="shared" si="50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8">
        <f t="shared" si="38"/>
        <v>11</v>
      </c>
      <c r="B49" s="174"/>
      <c r="C49" s="87" t="str">
        <f t="shared" ref="C49:D49" si="51">IF($B46&lt;&gt;"",C45,"")</f>
        <v>Cost to Market - variable</v>
      </c>
      <c r="D49" s="87" t="str">
        <f t="shared" si="51"/>
        <v>EUR/MWh</v>
      </c>
      <c r="E49" s="154">
        <v>0.89327273015842101</v>
      </c>
      <c r="F49" s="154">
        <v>0.76331921860712015</v>
      </c>
      <c r="G49" s="154">
        <v>0.73516941705680794</v>
      </c>
      <c r="H49" s="154">
        <v>0.18967066405658095</v>
      </c>
      <c r="I49" s="154">
        <v>0.20688120643885144</v>
      </c>
      <c r="J49" s="154">
        <v>0.49339032893890866</v>
      </c>
      <c r="K49" s="154">
        <v>0.42297486708624765</v>
      </c>
      <c r="L49" s="154">
        <v>0.75236151976662335</v>
      </c>
      <c r="M49" s="154">
        <v>0.74999938394111443</v>
      </c>
      <c r="N49" s="154">
        <v>0.45940867435686561</v>
      </c>
      <c r="O49" s="154">
        <v>0.76805759123968154</v>
      </c>
      <c r="P49" s="154">
        <v>0.14573566474299393</v>
      </c>
      <c r="Q49" s="154">
        <v>2.4369437686439732E-2</v>
      </c>
      <c r="R49" s="154">
        <v>0.82849360364262792</v>
      </c>
      <c r="S49" s="154">
        <v>0.98685034411336148</v>
      </c>
      <c r="T49" s="154">
        <v>0.78703369920214861</v>
      </c>
      <c r="U49" s="154">
        <v>0.48008353582072427</v>
      </c>
      <c r="V49" s="25"/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8">
        <f t="shared" ref="A50" si="52">$A46+1</f>
        <v>12</v>
      </c>
      <c r="B50" s="172" t="str">
        <f>IFERROR(INDEX(TBL_LNG_IMPORTERS_CONNECTIONS[Name],$A50),"")</f>
        <v>Delimara_MA_LNG</v>
      </c>
      <c r="C50" s="87" t="str">
        <f t="shared" ref="C50:D50" si="53">IF($B50&lt;&gt;"",C46,"")</f>
        <v>Capacity - Min</v>
      </c>
      <c r="D50" s="87" t="str">
        <f t="shared" si="53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8">
        <f t="shared" si="38"/>
        <v>12</v>
      </c>
      <c r="B51" s="173"/>
      <c r="C51" s="87" t="str">
        <f t="shared" ref="C51:D51" si="54">IF($B50&lt;&gt;"",C47,"")</f>
        <v>Capacity - Max</v>
      </c>
      <c r="D51" s="87" t="str">
        <f t="shared" si="54"/>
        <v>GWh/day</v>
      </c>
      <c r="E51" s="150">
        <v>9.1</v>
      </c>
      <c r="F51" s="150">
        <f>E51</f>
        <v>9.1</v>
      </c>
      <c r="G51" s="150">
        <v>9.1</v>
      </c>
      <c r="H51" s="150">
        <v>9.1</v>
      </c>
      <c r="I51" s="150">
        <v>9.1</v>
      </c>
      <c r="J51" s="150">
        <v>9.1</v>
      </c>
      <c r="K51" s="150">
        <v>9.1</v>
      </c>
      <c r="L51" s="150">
        <v>9.1</v>
      </c>
      <c r="M51" s="150">
        <v>9.1</v>
      </c>
      <c r="N51" s="150">
        <v>9.1</v>
      </c>
      <c r="O51" s="150">
        <v>9.1</v>
      </c>
      <c r="P51" s="150">
        <v>9.1</v>
      </c>
      <c r="Q51" s="150">
        <v>9.1</v>
      </c>
      <c r="R51" s="150">
        <v>9.1</v>
      </c>
      <c r="S51" s="150">
        <v>9.1</v>
      </c>
      <c r="T51" s="150">
        <v>9.1</v>
      </c>
      <c r="U51" s="150">
        <v>9.1</v>
      </c>
      <c r="V51" s="25"/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8">
        <f t="shared" si="38"/>
        <v>12</v>
      </c>
      <c r="B52" s="173"/>
      <c r="C52" s="87" t="str">
        <f t="shared" ref="C52:D52" si="55">IF($B50&lt;&gt;"",C48,"")</f>
        <v>Cost to Market - fixed</v>
      </c>
      <c r="D52" s="87" t="str">
        <f t="shared" si="55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8">
        <f t="shared" si="38"/>
        <v>12</v>
      </c>
      <c r="B53" s="174"/>
      <c r="C53" s="87" t="str">
        <f t="shared" ref="C53:D53" si="56">IF($B50&lt;&gt;"",C49,"")</f>
        <v>Cost to Market - variable</v>
      </c>
      <c r="D53" s="87" t="str">
        <f t="shared" si="56"/>
        <v>EUR/MWh</v>
      </c>
      <c r="E53" s="154">
        <v>0.99844962417433036</v>
      </c>
      <c r="F53" s="154">
        <v>0.83228061781894347</v>
      </c>
      <c r="G53" s="154">
        <v>0.34228743649673898</v>
      </c>
      <c r="H53" s="154">
        <v>0.75509336166786489</v>
      </c>
      <c r="I53" s="154">
        <v>0.70716925947327325</v>
      </c>
      <c r="J53" s="154">
        <v>0.20565939099376251</v>
      </c>
      <c r="K53" s="154">
        <v>0.77761488603455442</v>
      </c>
      <c r="L53" s="154">
        <v>0.22979892227822007</v>
      </c>
      <c r="M53" s="154">
        <v>0.97293184833349122</v>
      </c>
      <c r="N53" s="154">
        <v>0.88658028429881941</v>
      </c>
      <c r="O53" s="154">
        <v>7.8472961450431922E-2</v>
      </c>
      <c r="P53" s="154">
        <v>0.57009215301667071</v>
      </c>
      <c r="Q53" s="154">
        <v>5.4976311060761618E-2</v>
      </c>
      <c r="R53" s="154">
        <v>0.15526459243965596</v>
      </c>
      <c r="S53" s="154">
        <v>0.31152204050844456</v>
      </c>
      <c r="T53" s="154">
        <v>0.2300918561090759</v>
      </c>
      <c r="U53" s="154">
        <v>0.67533263954263867</v>
      </c>
      <c r="V53" s="25"/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8">
        <f t="shared" ref="A54" si="57">$A50+1</f>
        <v>13</v>
      </c>
      <c r="B54" s="172" t="str">
        <f>IFERROR(INDEX(TBL_LNG_IMPORTERS_CONNECTIONS[Name],$A54),"")</f>
        <v>Gate_NE_LNG</v>
      </c>
      <c r="C54" s="87" t="str">
        <f t="shared" ref="C54:D54" si="58">IF($B54&lt;&gt;"",C50,"")</f>
        <v>Capacity - Min</v>
      </c>
      <c r="D54" s="87" t="str">
        <f t="shared" si="58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8">
        <f t="shared" si="38"/>
        <v>13</v>
      </c>
      <c r="B55" s="173"/>
      <c r="C55" s="87" t="str">
        <f t="shared" ref="C55:D55" si="59">IF($B54&lt;&gt;"",C51,"")</f>
        <v>Capacity - Max</v>
      </c>
      <c r="D55" s="87" t="str">
        <f t="shared" si="59"/>
        <v>GWh/day</v>
      </c>
      <c r="E55" s="150">
        <v>461</v>
      </c>
      <c r="F55" s="150">
        <f>E55</f>
        <v>461</v>
      </c>
      <c r="G55" s="150">
        <v>461</v>
      </c>
      <c r="H55" s="150">
        <v>461</v>
      </c>
      <c r="I55" s="150">
        <v>461</v>
      </c>
      <c r="J55" s="150">
        <v>461</v>
      </c>
      <c r="K55" s="150">
        <v>461</v>
      </c>
      <c r="L55" s="150">
        <v>461</v>
      </c>
      <c r="M55" s="150">
        <v>461</v>
      </c>
      <c r="N55" s="150">
        <v>461</v>
      </c>
      <c r="O55" s="150">
        <v>461</v>
      </c>
      <c r="P55" s="150">
        <v>461</v>
      </c>
      <c r="Q55" s="150">
        <v>461</v>
      </c>
      <c r="R55" s="150">
        <v>461</v>
      </c>
      <c r="S55" s="150">
        <v>461</v>
      </c>
      <c r="T55" s="150">
        <v>461</v>
      </c>
      <c r="U55" s="150">
        <v>461</v>
      </c>
      <c r="V55" s="25"/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8">
        <f t="shared" si="38"/>
        <v>13</v>
      </c>
      <c r="B56" s="173"/>
      <c r="C56" s="87" t="str">
        <f t="shared" ref="C56:D56" si="60">IF($B54&lt;&gt;"",C52,"")</f>
        <v>Cost to Market - fixed</v>
      </c>
      <c r="D56" s="87" t="str">
        <f t="shared" si="60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8">
        <f t="shared" si="38"/>
        <v>13</v>
      </c>
      <c r="B57" s="174"/>
      <c r="C57" s="87" t="str">
        <f t="shared" ref="C57:D57" si="61">IF($B54&lt;&gt;"",C53,"")</f>
        <v>Cost to Market - variable</v>
      </c>
      <c r="D57" s="87" t="str">
        <f t="shared" si="61"/>
        <v>EUR/MWh</v>
      </c>
      <c r="E57" s="154">
        <v>0.31286602154174536</v>
      </c>
      <c r="F57" s="154">
        <v>0.32052990169538254</v>
      </c>
      <c r="G57" s="154">
        <v>0.12890206943260651</v>
      </c>
      <c r="H57" s="154">
        <v>8.1899221619011309E-2</v>
      </c>
      <c r="I57" s="154">
        <v>0.91226711688940387</v>
      </c>
      <c r="J57" s="154">
        <v>0.42910035479072295</v>
      </c>
      <c r="K57" s="154">
        <v>0.93286896410581699</v>
      </c>
      <c r="L57" s="154">
        <v>0.91193914460731862</v>
      </c>
      <c r="M57" s="154">
        <v>0.21931344867464442</v>
      </c>
      <c r="N57" s="154">
        <v>0.54433988014859302</v>
      </c>
      <c r="O57" s="154">
        <v>0.01</v>
      </c>
      <c r="P57" s="154">
        <v>0.36337735390904313</v>
      </c>
      <c r="Q57" s="154">
        <v>0.65639469494107194</v>
      </c>
      <c r="R57" s="154">
        <v>0.17479300162656475</v>
      </c>
      <c r="S57" s="154">
        <v>0.86574367964075549</v>
      </c>
      <c r="T57" s="154">
        <v>0.68466400527264004</v>
      </c>
      <c r="U57" s="154">
        <v>0.39321888773303315</v>
      </c>
      <c r="V57" s="25"/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8">
        <f t="shared" ref="A58" si="62">$A54+1</f>
        <v>14</v>
      </c>
      <c r="B58" s="172" t="str">
        <f>IFERROR(INDEX(TBL_LNG_IMPORTERS_CONNECTIONS[Name],$A58),"")</f>
        <v>Swinoujscie_PL_LNG</v>
      </c>
      <c r="C58" s="87" t="str">
        <f t="shared" ref="C58:D58" si="63">IF($B58&lt;&gt;"",C54,"")</f>
        <v>Capacity - Min</v>
      </c>
      <c r="D58" s="87" t="str">
        <f t="shared" si="63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8">
        <f t="shared" ref="A59:A61" si="64">$A58</f>
        <v>14</v>
      </c>
      <c r="B59" s="173"/>
      <c r="C59" s="87" t="str">
        <f t="shared" ref="C59:D59" si="65">IF($B58&lt;&gt;"",C55,"")</f>
        <v>Capacity - Max</v>
      </c>
      <c r="D59" s="87" t="str">
        <f t="shared" si="65"/>
        <v>GWh/day</v>
      </c>
      <c r="E59" s="150">
        <v>162.80000000000001</v>
      </c>
      <c r="F59" s="150">
        <f>E59</f>
        <v>162.80000000000001</v>
      </c>
      <c r="G59" s="150">
        <v>162.80000000000001</v>
      </c>
      <c r="H59" s="150">
        <v>162.80000000000001</v>
      </c>
      <c r="I59" s="150">
        <v>162.80000000000001</v>
      </c>
      <c r="J59" s="150">
        <v>162.80000000000001</v>
      </c>
      <c r="K59" s="150">
        <v>162.80000000000001</v>
      </c>
      <c r="L59" s="150">
        <v>162.80000000000001</v>
      </c>
      <c r="M59" s="150">
        <v>162.80000000000001</v>
      </c>
      <c r="N59" s="150">
        <v>162.80000000000001</v>
      </c>
      <c r="O59" s="150">
        <v>162.80000000000001</v>
      </c>
      <c r="P59" s="150">
        <v>162.80000000000001</v>
      </c>
      <c r="Q59" s="150">
        <v>162.80000000000001</v>
      </c>
      <c r="R59" s="150">
        <v>162.80000000000001</v>
      </c>
      <c r="S59" s="150">
        <v>162.80000000000001</v>
      </c>
      <c r="T59" s="150">
        <v>162.80000000000001</v>
      </c>
      <c r="U59" s="150">
        <v>162.80000000000001</v>
      </c>
      <c r="V59" s="25"/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8">
        <f t="shared" si="64"/>
        <v>14</v>
      </c>
      <c r="B60" s="173"/>
      <c r="C60" s="87" t="str">
        <f t="shared" ref="C60:D60" si="66">IF($B58&lt;&gt;"",C56,"")</f>
        <v>Cost to Market - fixed</v>
      </c>
      <c r="D60" s="87" t="str">
        <f t="shared" si="66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8">
        <f t="shared" si="64"/>
        <v>14</v>
      </c>
      <c r="B61" s="174"/>
      <c r="C61" s="87" t="str">
        <f t="shared" ref="C61:D61" si="67">IF($B58&lt;&gt;"",C57,"")</f>
        <v>Cost to Market - variable</v>
      </c>
      <c r="D61" s="87" t="str">
        <f t="shared" si="67"/>
        <v>EUR/MWh</v>
      </c>
      <c r="E61" s="154">
        <v>0.75256237853856189</v>
      </c>
      <c r="F61" s="154">
        <v>0.41169581976455794</v>
      </c>
      <c r="G61" s="154">
        <v>0.72696195531958152</v>
      </c>
      <c r="H61" s="154">
        <v>0.27422719873651347</v>
      </c>
      <c r="I61" s="154">
        <v>0.43881219257920068</v>
      </c>
      <c r="J61" s="154">
        <v>6.0718887904296803E-2</v>
      </c>
      <c r="K61" s="154">
        <v>8.659861992216078E-2</v>
      </c>
      <c r="L61" s="154">
        <v>0.63881148614614136</v>
      </c>
      <c r="M61" s="154">
        <v>0.70955896933745422</v>
      </c>
      <c r="N61" s="154">
        <v>0.79396848708878953</v>
      </c>
      <c r="O61" s="154">
        <v>0.21799837769678954</v>
      </c>
      <c r="P61" s="154">
        <v>0.38392533345295443</v>
      </c>
      <c r="Q61" s="154">
        <v>0.70462265988078188</v>
      </c>
      <c r="R61" s="154">
        <v>0.4286102072734741</v>
      </c>
      <c r="S61" s="154">
        <v>0.32093775027311622</v>
      </c>
      <c r="T61" s="154">
        <v>0.2626361590500933</v>
      </c>
      <c r="U61" s="154">
        <v>0.66437226967911123</v>
      </c>
      <c r="V61" s="25"/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8">
        <f t="shared" ref="A62" si="68">$A58+1</f>
        <v>15</v>
      </c>
      <c r="B62" s="172" t="str">
        <f>IFERROR(INDEX(TBL_LNG_IMPORTERS_CONNECTIONS[Name],$A62),"")</f>
        <v>Sines_PT_LNG</v>
      </c>
      <c r="C62" s="87" t="str">
        <f t="shared" ref="C62:D62" si="69">IF($B62&lt;&gt;"",C58,"")</f>
        <v>Capacity - Min</v>
      </c>
      <c r="D62" s="87" t="str">
        <f t="shared" si="69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8">
        <f t="shared" ref="A63:A65" si="70">$A62</f>
        <v>15</v>
      </c>
      <c r="B63" s="173"/>
      <c r="C63" s="87" t="str">
        <f t="shared" ref="C63:D63" si="71">IF($B62&lt;&gt;"",C59,"")</f>
        <v>Capacity - Max</v>
      </c>
      <c r="D63" s="87" t="str">
        <f t="shared" si="71"/>
        <v>GWh/day</v>
      </c>
      <c r="E63" s="150">
        <v>200</v>
      </c>
      <c r="F63" s="150">
        <f>E63</f>
        <v>200</v>
      </c>
      <c r="G63" s="150">
        <v>200</v>
      </c>
      <c r="H63" s="150">
        <v>200</v>
      </c>
      <c r="I63" s="150">
        <v>200</v>
      </c>
      <c r="J63" s="150">
        <v>200</v>
      </c>
      <c r="K63" s="150">
        <v>200</v>
      </c>
      <c r="L63" s="150">
        <v>200</v>
      </c>
      <c r="M63" s="150">
        <v>200</v>
      </c>
      <c r="N63" s="150">
        <v>200</v>
      </c>
      <c r="O63" s="150">
        <v>200</v>
      </c>
      <c r="P63" s="150">
        <v>200</v>
      </c>
      <c r="Q63" s="150">
        <v>200</v>
      </c>
      <c r="R63" s="150">
        <v>200</v>
      </c>
      <c r="S63" s="150">
        <v>200</v>
      </c>
      <c r="T63" s="150">
        <v>200</v>
      </c>
      <c r="U63" s="150">
        <v>200</v>
      </c>
      <c r="V63" s="25"/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8">
        <f t="shared" si="70"/>
        <v>15</v>
      </c>
      <c r="B64" s="173"/>
      <c r="C64" s="87" t="str">
        <f t="shared" ref="C64:D64" si="72">IF($B62&lt;&gt;"",C60,"")</f>
        <v>Cost to Market - fixed</v>
      </c>
      <c r="D64" s="87" t="str">
        <f t="shared" si="72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8">
        <f t="shared" si="70"/>
        <v>15</v>
      </c>
      <c r="B65" s="174"/>
      <c r="C65" s="87" t="str">
        <f t="shared" ref="C65:D65" si="73">IF($B62&lt;&gt;"",C61,"")</f>
        <v>Cost to Market - variable</v>
      </c>
      <c r="D65" s="87" t="str">
        <f t="shared" si="73"/>
        <v>EUR/MWh</v>
      </c>
      <c r="E65" s="154">
        <v>0.84405652826197364</v>
      </c>
      <c r="F65" s="154">
        <v>0.20667568025403493</v>
      </c>
      <c r="G65" s="154">
        <v>0.66022137838754769</v>
      </c>
      <c r="H65" s="154">
        <v>0.35168345642074272</v>
      </c>
      <c r="I65" s="154">
        <v>0.87667467669651</v>
      </c>
      <c r="J65" s="154">
        <v>0.68972145943848251</v>
      </c>
      <c r="K65" s="154">
        <v>0.27004715999680284</v>
      </c>
      <c r="L65" s="154">
        <v>0.47609295178761124</v>
      </c>
      <c r="M65" s="154">
        <v>0.5508620868733366</v>
      </c>
      <c r="N65" s="154">
        <v>0.52153091639374083</v>
      </c>
      <c r="O65" s="154">
        <v>0.27676910060789606</v>
      </c>
      <c r="P65" s="154">
        <v>0.1717880976096775</v>
      </c>
      <c r="Q65" s="154">
        <v>0.45701130278089175</v>
      </c>
      <c r="R65" s="154">
        <v>0.45706982479511693</v>
      </c>
      <c r="S65" s="154">
        <v>0.19093835813435489</v>
      </c>
      <c r="T65" s="154">
        <v>0.17429115921854998</v>
      </c>
      <c r="U65" s="154">
        <v>0.18520993653689566</v>
      </c>
      <c r="V65" s="25"/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8">
        <f t="shared" ref="A66" si="74">$A62+1</f>
        <v>16</v>
      </c>
      <c r="B66" s="172" t="str">
        <f>IFERROR(INDEX(TBL_LNG_IMPORTERS_CONNECTIONS[Name],$A66),"")</f>
        <v>Barcelona_ES_LNG</v>
      </c>
      <c r="C66" s="87" t="str">
        <f t="shared" ref="C66:D66" si="75">IF($B66&lt;&gt;"",C62,"")</f>
        <v>Capacity - Min</v>
      </c>
      <c r="D66" s="87" t="str">
        <f t="shared" si="75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8">
        <f t="shared" ref="A67:A69" si="76">$A66</f>
        <v>16</v>
      </c>
      <c r="B67" s="173"/>
      <c r="C67" s="87" t="str">
        <f t="shared" ref="C67:D67" si="77">IF($B66&lt;&gt;"",C63,"")</f>
        <v>Capacity - Max</v>
      </c>
      <c r="D67" s="87" t="str">
        <f t="shared" si="77"/>
        <v>GWh/day</v>
      </c>
      <c r="E67" s="150">
        <v>542.9</v>
      </c>
      <c r="F67" s="150">
        <f>E67</f>
        <v>542.9</v>
      </c>
      <c r="G67" s="150">
        <v>542.9</v>
      </c>
      <c r="H67" s="150">
        <v>542.9</v>
      </c>
      <c r="I67" s="150">
        <v>542.9</v>
      </c>
      <c r="J67" s="150">
        <v>542.9</v>
      </c>
      <c r="K67" s="150">
        <v>542.9</v>
      </c>
      <c r="L67" s="150">
        <v>542.9</v>
      </c>
      <c r="M67" s="150">
        <v>542.9</v>
      </c>
      <c r="N67" s="150">
        <v>542.9</v>
      </c>
      <c r="O67" s="150">
        <v>542.9</v>
      </c>
      <c r="P67" s="150">
        <v>542.9</v>
      </c>
      <c r="Q67" s="150">
        <v>542.9</v>
      </c>
      <c r="R67" s="150">
        <v>542.9</v>
      </c>
      <c r="S67" s="150">
        <v>542.9</v>
      </c>
      <c r="T67" s="150">
        <v>542.9</v>
      </c>
      <c r="U67" s="150">
        <v>542.9</v>
      </c>
      <c r="V67" s="25"/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8">
        <f t="shared" si="76"/>
        <v>16</v>
      </c>
      <c r="B68" s="173"/>
      <c r="C68" s="87" t="str">
        <f t="shared" ref="C68:D68" si="78">IF($B66&lt;&gt;"",C64,"")</f>
        <v>Cost to Market - fixed</v>
      </c>
      <c r="D68" s="87" t="str">
        <f t="shared" si="78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8">
        <f t="shared" si="76"/>
        <v>16</v>
      </c>
      <c r="B69" s="174"/>
      <c r="C69" s="87" t="str">
        <f t="shared" ref="C69:D69" si="79">IF($B66&lt;&gt;"",C65,"")</f>
        <v>Cost to Market - variable</v>
      </c>
      <c r="D69" s="87" t="str">
        <f t="shared" si="79"/>
        <v>EUR/MWh</v>
      </c>
      <c r="E69" s="154">
        <v>0.80865292076402584</v>
      </c>
      <c r="F69" s="154">
        <v>0.25815658599533986</v>
      </c>
      <c r="G69" s="154">
        <v>0.6975896082776043</v>
      </c>
      <c r="H69" s="154">
        <v>0.57684623689382897</v>
      </c>
      <c r="I69" s="154">
        <v>0.37148957535311689</v>
      </c>
      <c r="J69" s="154">
        <v>0.95305835819864793</v>
      </c>
      <c r="K69" s="154">
        <v>1.0919341177811792E-2</v>
      </c>
      <c r="L69" s="154">
        <v>0.65800924868138566</v>
      </c>
      <c r="M69" s="154">
        <v>0.86844359486884803</v>
      </c>
      <c r="N69" s="154">
        <v>0.73582349226518273</v>
      </c>
      <c r="O69" s="154">
        <v>0.22953263654895595</v>
      </c>
      <c r="P69" s="154">
        <v>0.87927154400077168</v>
      </c>
      <c r="Q69" s="154">
        <v>0.57647023444934742</v>
      </c>
      <c r="R69" s="154">
        <v>0.47538364564936142</v>
      </c>
      <c r="S69" s="154">
        <v>0.18443937358220097</v>
      </c>
      <c r="T69" s="154">
        <v>4.109726618759979E-2</v>
      </c>
      <c r="U69" s="154">
        <v>0.74830440426003841</v>
      </c>
      <c r="V69" s="25"/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8">
        <f t="shared" ref="A70" si="80">$A66+1</f>
        <v>17</v>
      </c>
      <c r="B70" s="172" t="str">
        <f>IFERROR(INDEX(TBL_LNG_IMPORTERS_CONNECTIONS[Name],$A70),"")</f>
        <v>Bilbao_ES_LNG</v>
      </c>
      <c r="C70" s="87" t="str">
        <f t="shared" ref="C70:D70" si="81">IF($B70&lt;&gt;"",C66,"")</f>
        <v>Capacity - Min</v>
      </c>
      <c r="D70" s="87" t="str">
        <f t="shared" si="81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8">
        <f t="shared" ref="A71:A73" si="82">$A70</f>
        <v>17</v>
      </c>
      <c r="B71" s="173"/>
      <c r="C71" s="87" t="str">
        <f t="shared" ref="C71:D71" si="83">IF($B70&lt;&gt;"",C67,"")</f>
        <v>Capacity - Max</v>
      </c>
      <c r="D71" s="87" t="str">
        <f t="shared" si="83"/>
        <v>GWh/day</v>
      </c>
      <c r="E71" s="150">
        <v>222.7</v>
      </c>
      <c r="F71" s="150">
        <f>E71</f>
        <v>222.7</v>
      </c>
      <c r="G71" s="150">
        <v>222.7</v>
      </c>
      <c r="H71" s="150">
        <v>222.7</v>
      </c>
      <c r="I71" s="150">
        <v>222.7</v>
      </c>
      <c r="J71" s="150">
        <v>222.7</v>
      </c>
      <c r="K71" s="150">
        <v>222.7</v>
      </c>
      <c r="L71" s="150">
        <v>222.7</v>
      </c>
      <c r="M71" s="150">
        <v>222.7</v>
      </c>
      <c r="N71" s="150">
        <v>222.7</v>
      </c>
      <c r="O71" s="150">
        <v>222.7</v>
      </c>
      <c r="P71" s="150">
        <v>222.7</v>
      </c>
      <c r="Q71" s="150">
        <v>222.7</v>
      </c>
      <c r="R71" s="150">
        <v>222.7</v>
      </c>
      <c r="S71" s="150">
        <v>222.7</v>
      </c>
      <c r="T71" s="150">
        <v>222.7</v>
      </c>
      <c r="U71" s="150">
        <v>222.7</v>
      </c>
      <c r="V71" s="25"/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8">
        <f t="shared" si="82"/>
        <v>17</v>
      </c>
      <c r="B72" s="173"/>
      <c r="C72" s="87" t="str">
        <f t="shared" ref="C72:D72" si="84">IF($B70&lt;&gt;"",C68,"")</f>
        <v>Cost to Market - fixed</v>
      </c>
      <c r="D72" s="87" t="str">
        <f t="shared" si="84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8">
        <f t="shared" si="82"/>
        <v>17</v>
      </c>
      <c r="B73" s="174"/>
      <c r="C73" s="87" t="str">
        <f t="shared" ref="C73:D73" si="85">IF($B70&lt;&gt;"",C69,"")</f>
        <v>Cost to Market - variable</v>
      </c>
      <c r="D73" s="87" t="str">
        <f t="shared" si="85"/>
        <v>EUR/MWh</v>
      </c>
      <c r="E73" s="154">
        <v>0.62134114388299921</v>
      </c>
      <c r="F73" s="154">
        <v>0.82521020721231331</v>
      </c>
      <c r="G73" s="154">
        <v>0.2680151149420158</v>
      </c>
      <c r="H73" s="154">
        <v>0.82346950477902214</v>
      </c>
      <c r="I73" s="154">
        <v>0.92611118286356486</v>
      </c>
      <c r="J73" s="154">
        <v>0.18927870380528455</v>
      </c>
      <c r="K73" s="154">
        <v>4.7933627613927943E-2</v>
      </c>
      <c r="L73" s="154">
        <v>0.32080375138914075</v>
      </c>
      <c r="M73" s="154">
        <v>0.2104617780042356</v>
      </c>
      <c r="N73" s="154">
        <v>0.83189211084679227</v>
      </c>
      <c r="O73" s="154">
        <v>0.12769261272648336</v>
      </c>
      <c r="P73" s="154">
        <v>0.51634378356684252</v>
      </c>
      <c r="Q73" s="154">
        <v>7.1357424137152181E-2</v>
      </c>
      <c r="R73" s="154">
        <v>0.36597861360234429</v>
      </c>
      <c r="S73" s="154">
        <v>9.9001923516292334E-2</v>
      </c>
      <c r="T73" s="154">
        <v>0.81828099464762671</v>
      </c>
      <c r="U73" s="154">
        <v>0.17848940547635728</v>
      </c>
      <c r="V73" s="25"/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8">
        <f t="shared" ref="A74" si="86">$A70+1</f>
        <v>18</v>
      </c>
      <c r="B74" s="172" t="str">
        <f>IFERROR(INDEX(TBL_LNG_IMPORTERS_CONNECTIONS[Name],$A74),"")</f>
        <v>Cartagena_ES_LNG</v>
      </c>
      <c r="C74" s="87" t="str">
        <f t="shared" ref="C74:D74" si="87">IF($B74&lt;&gt;"",C70,"")</f>
        <v>Capacity - Min</v>
      </c>
      <c r="D74" s="87" t="str">
        <f t="shared" si="87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8">
        <f t="shared" ref="A75:A77" si="88">$A74</f>
        <v>18</v>
      </c>
      <c r="B75" s="173"/>
      <c r="C75" s="87" t="str">
        <f t="shared" ref="C75:D75" si="89">IF($B74&lt;&gt;"",C71,"")</f>
        <v>Capacity - Max</v>
      </c>
      <c r="D75" s="87" t="str">
        <f t="shared" si="89"/>
        <v>GWh/day</v>
      </c>
      <c r="E75" s="150">
        <v>375.8</v>
      </c>
      <c r="F75" s="150">
        <f>E75</f>
        <v>375.8</v>
      </c>
      <c r="G75" s="150">
        <v>375.8</v>
      </c>
      <c r="H75" s="150">
        <v>375.8</v>
      </c>
      <c r="I75" s="150">
        <v>375.8</v>
      </c>
      <c r="J75" s="150">
        <v>375.8</v>
      </c>
      <c r="K75" s="150">
        <v>375.8</v>
      </c>
      <c r="L75" s="150">
        <v>375.8</v>
      </c>
      <c r="M75" s="150">
        <v>375.8</v>
      </c>
      <c r="N75" s="150">
        <v>375.8</v>
      </c>
      <c r="O75" s="150">
        <v>375.8</v>
      </c>
      <c r="P75" s="150">
        <v>375.8</v>
      </c>
      <c r="Q75" s="150">
        <v>375.8</v>
      </c>
      <c r="R75" s="150">
        <v>375.8</v>
      </c>
      <c r="S75" s="150">
        <v>375.8</v>
      </c>
      <c r="T75" s="150">
        <v>375.8</v>
      </c>
      <c r="U75" s="150">
        <v>375.8</v>
      </c>
      <c r="V75" s="25"/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8">
        <f t="shared" si="88"/>
        <v>18</v>
      </c>
      <c r="B76" s="173"/>
      <c r="C76" s="87" t="str">
        <f t="shared" ref="C76:D76" si="90">IF($B74&lt;&gt;"",C72,"")</f>
        <v>Cost to Market - fixed</v>
      </c>
      <c r="D76" s="87" t="str">
        <f t="shared" si="90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8">
        <f t="shared" si="88"/>
        <v>18</v>
      </c>
      <c r="B77" s="174"/>
      <c r="C77" s="87" t="str">
        <f t="shared" ref="C77:D77" si="91">IF($B74&lt;&gt;"",C73,"")</f>
        <v>Cost to Market - variable</v>
      </c>
      <c r="D77" s="87" t="str">
        <f t="shared" si="91"/>
        <v>EUR/MWh</v>
      </c>
      <c r="E77" s="154">
        <v>0.6783203139270878</v>
      </c>
      <c r="F77" s="154">
        <v>0.63986496446202068</v>
      </c>
      <c r="G77" s="154">
        <v>0.73224182776684488</v>
      </c>
      <c r="H77" s="154">
        <v>0.8442613133121174</v>
      </c>
      <c r="I77" s="154">
        <v>0.33619362322226609</v>
      </c>
      <c r="J77" s="154">
        <v>0.67922727759124912</v>
      </c>
      <c r="K77" s="154">
        <v>0.5707143038391016</v>
      </c>
      <c r="L77" s="154">
        <v>0.92352596686709132</v>
      </c>
      <c r="M77" s="154">
        <v>0.98358334555306315</v>
      </c>
      <c r="N77" s="154">
        <v>1.4846482616931111E-2</v>
      </c>
      <c r="O77" s="154">
        <v>0.60212820027637148</v>
      </c>
      <c r="P77" s="154">
        <v>0.36028071517691396</v>
      </c>
      <c r="Q77" s="154">
        <v>0.39936835249267844</v>
      </c>
      <c r="R77" s="154">
        <v>0.1075158570664233</v>
      </c>
      <c r="S77" s="154">
        <v>0.26415188397846534</v>
      </c>
      <c r="T77" s="154">
        <v>0.96791529981869595</v>
      </c>
      <c r="U77" s="154">
        <v>0.49328432680593026</v>
      </c>
      <c r="V77" s="25"/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8">
        <f t="shared" ref="A78" si="92">$A74+1</f>
        <v>19</v>
      </c>
      <c r="B78" s="172" t="str">
        <f>IFERROR(INDEX(TBL_LNG_IMPORTERS_CONNECTIONS[Name],$A78),"")</f>
        <v>Huelva_ES_LNG</v>
      </c>
      <c r="C78" s="87" t="str">
        <f t="shared" ref="C78:D78" si="93">IF($B78&lt;&gt;"",C74,"")</f>
        <v>Capacity - Min</v>
      </c>
      <c r="D78" s="87" t="str">
        <f t="shared" si="93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8">
        <f t="shared" ref="A79:A97" si="94">$A78</f>
        <v>19</v>
      </c>
      <c r="B79" s="173"/>
      <c r="C79" s="87" t="str">
        <f t="shared" ref="C79:D79" si="95">IF($B78&lt;&gt;"",C75,"")</f>
        <v>Capacity - Max</v>
      </c>
      <c r="D79" s="87" t="str">
        <f t="shared" si="95"/>
        <v>GWh/day</v>
      </c>
      <c r="E79" s="150">
        <v>375.8</v>
      </c>
      <c r="F79" s="150">
        <f>E79</f>
        <v>375.8</v>
      </c>
      <c r="G79" s="150">
        <v>375.8</v>
      </c>
      <c r="H79" s="150">
        <v>375.8</v>
      </c>
      <c r="I79" s="150">
        <v>375.8</v>
      </c>
      <c r="J79" s="150">
        <v>375.8</v>
      </c>
      <c r="K79" s="150">
        <v>375.8</v>
      </c>
      <c r="L79" s="150">
        <v>375.8</v>
      </c>
      <c r="M79" s="150">
        <v>375.8</v>
      </c>
      <c r="N79" s="150">
        <v>375.8</v>
      </c>
      <c r="O79" s="150">
        <v>375.8</v>
      </c>
      <c r="P79" s="150">
        <v>375.8</v>
      </c>
      <c r="Q79" s="150">
        <v>375.8</v>
      </c>
      <c r="R79" s="150">
        <v>375.8</v>
      </c>
      <c r="S79" s="150">
        <v>375.8</v>
      </c>
      <c r="T79" s="150">
        <v>375.8</v>
      </c>
      <c r="U79" s="150">
        <v>375.8</v>
      </c>
      <c r="V79" s="25"/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8">
        <f t="shared" si="94"/>
        <v>19</v>
      </c>
      <c r="B80" s="173"/>
      <c r="C80" s="87" t="str">
        <f t="shared" ref="C80:D80" si="96">IF($B78&lt;&gt;"",C76,"")</f>
        <v>Cost to Market - fixed</v>
      </c>
      <c r="D80" s="87" t="str">
        <f t="shared" si="96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8">
        <f t="shared" si="94"/>
        <v>19</v>
      </c>
      <c r="B81" s="174"/>
      <c r="C81" s="87" t="str">
        <f t="shared" ref="C81:D81" si="97">IF($B78&lt;&gt;"",C77,"")</f>
        <v>Cost to Market - variable</v>
      </c>
      <c r="D81" s="87" t="str">
        <f t="shared" si="97"/>
        <v>EUR/MWh</v>
      </c>
      <c r="E81" s="154">
        <v>0.63762700538183303</v>
      </c>
      <c r="F81" s="154">
        <v>0.54833968074842732</v>
      </c>
      <c r="G81" s="154">
        <v>0.85282517957955883</v>
      </c>
      <c r="H81" s="154">
        <v>0.93053123261204584</v>
      </c>
      <c r="I81" s="154">
        <v>0.5411143789558045</v>
      </c>
      <c r="J81" s="154">
        <v>0.3242863248120269</v>
      </c>
      <c r="K81" s="154">
        <v>0.17114912224038625</v>
      </c>
      <c r="L81" s="154">
        <v>0.44727591102840847</v>
      </c>
      <c r="M81" s="154">
        <v>0.48558723538528126</v>
      </c>
      <c r="N81" s="154">
        <v>0.39224573985579703</v>
      </c>
      <c r="O81" s="154">
        <v>3.7541635384663929E-2</v>
      </c>
      <c r="P81" s="154">
        <v>0.76266287751155759</v>
      </c>
      <c r="Q81" s="154">
        <v>0.68827431095958791</v>
      </c>
      <c r="R81" s="154">
        <v>0.28529840502671111</v>
      </c>
      <c r="S81" s="154">
        <v>0.48222177329726756</v>
      </c>
      <c r="T81" s="154">
        <v>0.39603832565629105</v>
      </c>
      <c r="U81" s="154">
        <v>0.89199358731553602</v>
      </c>
      <c r="V81" s="25"/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8">
        <f t="shared" ref="A82" si="98">$A78+1</f>
        <v>20</v>
      </c>
      <c r="B82" s="172" t="str">
        <f>IFERROR(INDEX(TBL_LNG_IMPORTERS_CONNECTIONS[Name],$A82),"")</f>
        <v>Mugardos_ES_LNG</v>
      </c>
      <c r="C82" s="87" t="str">
        <f t="shared" ref="C82:D82" si="99">IF($B82&lt;&gt;"",C78,"")</f>
        <v>Capacity - Min</v>
      </c>
      <c r="D82" s="87" t="str">
        <f t="shared" si="99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8">
        <f t="shared" si="94"/>
        <v>20</v>
      </c>
      <c r="B83" s="173"/>
      <c r="C83" s="87" t="str">
        <f t="shared" ref="C83:D83" si="100">IF($B82&lt;&gt;"",C79,"")</f>
        <v>Capacity - Max</v>
      </c>
      <c r="D83" s="87" t="str">
        <f t="shared" si="100"/>
        <v>GWh/day</v>
      </c>
      <c r="E83" s="150">
        <v>114.9</v>
      </c>
      <c r="F83" s="150">
        <f>E83</f>
        <v>114.9</v>
      </c>
      <c r="G83" s="150">
        <v>114.9</v>
      </c>
      <c r="H83" s="150">
        <v>114.9</v>
      </c>
      <c r="I83" s="150">
        <v>114.9</v>
      </c>
      <c r="J83" s="150">
        <v>114.9</v>
      </c>
      <c r="K83" s="150">
        <v>114.9</v>
      </c>
      <c r="L83" s="150">
        <v>114.9</v>
      </c>
      <c r="M83" s="150">
        <v>114.9</v>
      </c>
      <c r="N83" s="150">
        <v>114.9</v>
      </c>
      <c r="O83" s="150">
        <v>114.9</v>
      </c>
      <c r="P83" s="150">
        <v>114.9</v>
      </c>
      <c r="Q83" s="150">
        <v>114.9</v>
      </c>
      <c r="R83" s="150">
        <v>114.9</v>
      </c>
      <c r="S83" s="150">
        <v>114.9</v>
      </c>
      <c r="T83" s="150">
        <v>114.9</v>
      </c>
      <c r="U83" s="150">
        <v>114.9</v>
      </c>
      <c r="V83" s="25"/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8">
        <f t="shared" si="94"/>
        <v>20</v>
      </c>
      <c r="B84" s="173"/>
      <c r="C84" s="87" t="str">
        <f t="shared" ref="C84:D84" si="101">IF($B82&lt;&gt;"",C80,"")</f>
        <v>Cost to Market - fixed</v>
      </c>
      <c r="D84" s="87" t="str">
        <f t="shared" si="101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8">
        <f t="shared" si="94"/>
        <v>20</v>
      </c>
      <c r="B85" s="174"/>
      <c r="C85" s="87" t="str">
        <f t="shared" ref="C85:D85" si="102">IF($B82&lt;&gt;"",C81,"")</f>
        <v>Cost to Market - variable</v>
      </c>
      <c r="D85" s="87" t="str">
        <f t="shared" si="102"/>
        <v>EUR/MWh</v>
      </c>
      <c r="E85" s="154">
        <v>0.1869853789093614</v>
      </c>
      <c r="F85" s="154">
        <v>0.86879927788122513</v>
      </c>
      <c r="G85" s="154">
        <v>0.91579930374402063</v>
      </c>
      <c r="H85" s="154">
        <v>0.40083189207316905</v>
      </c>
      <c r="I85" s="154">
        <v>0.1610254817166048</v>
      </c>
      <c r="J85" s="154">
        <v>0.58478381601322715</v>
      </c>
      <c r="K85" s="154">
        <v>0.28267165820337703</v>
      </c>
      <c r="L85" s="154">
        <v>0.31315992041080898</v>
      </c>
      <c r="M85" s="154">
        <v>0.45215323123324092</v>
      </c>
      <c r="N85" s="154">
        <v>0.65026642968286197</v>
      </c>
      <c r="O85" s="154">
        <v>0.52864710058801268</v>
      </c>
      <c r="P85" s="154">
        <v>0.63878669158172652</v>
      </c>
      <c r="Q85" s="154">
        <v>0.84841255953505235</v>
      </c>
      <c r="R85" s="154">
        <v>0.23075887200584699</v>
      </c>
      <c r="S85" s="154">
        <v>0.78099721758692253</v>
      </c>
      <c r="T85" s="154">
        <v>0.2017743317872317</v>
      </c>
      <c r="U85" s="154">
        <v>0.654536622882815</v>
      </c>
      <c r="V85" s="25"/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8">
        <f t="shared" ref="A86" si="103">$A82+1</f>
        <v>21</v>
      </c>
      <c r="B86" s="172" t="str">
        <f>IFERROR(INDEX(TBL_LNG_IMPORTERS_CONNECTIONS[Name],$A86),"")</f>
        <v>Sagunto_ES_LNG</v>
      </c>
      <c r="C86" s="87" t="str">
        <f t="shared" ref="C86:D86" si="104">IF($B86&lt;&gt;"",C82,"")</f>
        <v>Capacity - Min</v>
      </c>
      <c r="D86" s="87" t="str">
        <f t="shared" si="104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8">
        <f t="shared" si="94"/>
        <v>21</v>
      </c>
      <c r="B87" s="173"/>
      <c r="C87" s="87" t="str">
        <f t="shared" ref="C87:D87" si="105">IF($B86&lt;&gt;"",C83,"")</f>
        <v>Capacity - Max</v>
      </c>
      <c r="D87" s="87" t="str">
        <f t="shared" si="105"/>
        <v>GWh/day</v>
      </c>
      <c r="E87" s="150">
        <v>278.3</v>
      </c>
      <c r="F87" s="150">
        <f>E87</f>
        <v>278.3</v>
      </c>
      <c r="G87" s="150">
        <v>278.3</v>
      </c>
      <c r="H87" s="150">
        <v>278.3</v>
      </c>
      <c r="I87" s="150">
        <v>278.3</v>
      </c>
      <c r="J87" s="150">
        <v>278.3</v>
      </c>
      <c r="K87" s="150">
        <v>278.3</v>
      </c>
      <c r="L87" s="150">
        <v>278.3</v>
      </c>
      <c r="M87" s="150">
        <v>278.3</v>
      </c>
      <c r="N87" s="150">
        <v>278.3</v>
      </c>
      <c r="O87" s="150">
        <v>278.3</v>
      </c>
      <c r="P87" s="150">
        <v>278.3</v>
      </c>
      <c r="Q87" s="150">
        <v>278.3</v>
      </c>
      <c r="R87" s="150">
        <v>278.3</v>
      </c>
      <c r="S87" s="150">
        <v>278.3</v>
      </c>
      <c r="T87" s="150">
        <v>278.3</v>
      </c>
      <c r="U87" s="150">
        <v>278.3</v>
      </c>
      <c r="V87" s="25"/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8">
        <f t="shared" si="94"/>
        <v>21</v>
      </c>
      <c r="B88" s="173"/>
      <c r="C88" s="87" t="str">
        <f t="shared" ref="C88:D88" si="106">IF($B86&lt;&gt;"",C84,"")</f>
        <v>Cost to Market - fixed</v>
      </c>
      <c r="D88" s="87" t="str">
        <f t="shared" si="106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8">
        <f t="shared" si="94"/>
        <v>21</v>
      </c>
      <c r="B89" s="174"/>
      <c r="C89" s="87" t="str">
        <f t="shared" ref="C89:D89" si="107">IF($B86&lt;&gt;"",C85,"")</f>
        <v>Cost to Market - variable</v>
      </c>
      <c r="D89" s="87" t="str">
        <f t="shared" si="107"/>
        <v>EUR/MWh</v>
      </c>
      <c r="E89" s="154">
        <v>0.95471230014134634</v>
      </c>
      <c r="F89" s="154">
        <v>0.95669229626883823</v>
      </c>
      <c r="G89" s="154">
        <v>0.91532740432202475</v>
      </c>
      <c r="H89" s="154">
        <v>0.24268616528454556</v>
      </c>
      <c r="I89" s="154">
        <v>0.40010393263691491</v>
      </c>
      <c r="J89" s="154">
        <v>0.94373466950383433</v>
      </c>
      <c r="K89" s="154">
        <v>0.42236592747179291</v>
      </c>
      <c r="L89" s="154">
        <v>0.52453805454442415</v>
      </c>
      <c r="M89" s="154">
        <v>0.9166405351369834</v>
      </c>
      <c r="N89" s="154">
        <v>0.76119880078086311</v>
      </c>
      <c r="O89" s="154">
        <v>0.55485592505311854</v>
      </c>
      <c r="P89" s="154">
        <v>0.60185437981962875</v>
      </c>
      <c r="Q89" s="154">
        <v>0.2599063472011105</v>
      </c>
      <c r="R89" s="154">
        <v>8.2068713236787993E-2</v>
      </c>
      <c r="S89" s="154">
        <v>0.54806301952161629</v>
      </c>
      <c r="T89" s="154">
        <v>0.2012469751207776</v>
      </c>
      <c r="U89" s="154">
        <v>0.58957029508283521</v>
      </c>
      <c r="V89" s="25"/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8">
        <f t="shared" ref="A90" si="108">$A86+1</f>
        <v>22</v>
      </c>
      <c r="B90" s="172" t="str">
        <f>IFERROR(INDEX(TBL_LNG_IMPORTERS_CONNECTIONS[Name],$A90),"")</f>
        <v>Isle_of_Grain_UK_LNG</v>
      </c>
      <c r="C90" s="87" t="str">
        <f t="shared" ref="C90:D90" si="109">IF($B90&lt;&gt;"",C86,"")</f>
        <v>Capacity - Min</v>
      </c>
      <c r="D90" s="87" t="str">
        <f t="shared" si="109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8">
        <f t="shared" si="94"/>
        <v>22</v>
      </c>
      <c r="B91" s="173"/>
      <c r="C91" s="87" t="str">
        <f t="shared" ref="C91:D91" si="110">IF($B90&lt;&gt;"",C87,"")</f>
        <v>Capacity - Max</v>
      </c>
      <c r="D91" s="87" t="str">
        <f t="shared" si="110"/>
        <v>GWh/day</v>
      </c>
      <c r="E91" s="150">
        <v>645</v>
      </c>
      <c r="F91" s="150">
        <f>E91</f>
        <v>645</v>
      </c>
      <c r="G91" s="150">
        <v>645</v>
      </c>
      <c r="H91" s="150">
        <v>645</v>
      </c>
      <c r="I91" s="150">
        <v>645</v>
      </c>
      <c r="J91" s="150">
        <v>645</v>
      </c>
      <c r="K91" s="150">
        <v>645</v>
      </c>
      <c r="L91" s="150">
        <v>645</v>
      </c>
      <c r="M91" s="150">
        <v>645</v>
      </c>
      <c r="N91" s="150">
        <v>645</v>
      </c>
      <c r="O91" s="150">
        <v>645</v>
      </c>
      <c r="P91" s="150">
        <v>645</v>
      </c>
      <c r="Q91" s="150">
        <v>645</v>
      </c>
      <c r="R91" s="150">
        <v>645</v>
      </c>
      <c r="S91" s="150">
        <v>645</v>
      </c>
      <c r="T91" s="150">
        <v>645</v>
      </c>
      <c r="U91" s="150">
        <v>645</v>
      </c>
      <c r="V91" s="25"/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8">
        <f t="shared" si="94"/>
        <v>22</v>
      </c>
      <c r="B92" s="173"/>
      <c r="C92" s="87" t="str">
        <f t="shared" ref="C92:D92" si="111">IF($B90&lt;&gt;"",C88,"")</f>
        <v>Cost to Market - fixed</v>
      </c>
      <c r="D92" s="87" t="str">
        <f t="shared" si="111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8">
        <f t="shared" si="94"/>
        <v>22</v>
      </c>
      <c r="B93" s="174"/>
      <c r="C93" s="87" t="str">
        <f t="shared" ref="C93:D93" si="112">IF($B90&lt;&gt;"",C89,"")</f>
        <v>Cost to Market - variable</v>
      </c>
      <c r="D93" s="87" t="str">
        <f t="shared" si="112"/>
        <v>EUR/MWh</v>
      </c>
      <c r="E93" s="154">
        <v>0.71935162902041805</v>
      </c>
      <c r="F93" s="154">
        <v>0.65773765893884639</v>
      </c>
      <c r="G93" s="154">
        <v>0.16170273837833204</v>
      </c>
      <c r="H93" s="154">
        <v>0.31267543430178801</v>
      </c>
      <c r="I93" s="154">
        <v>0.68041988728280867</v>
      </c>
      <c r="J93" s="154">
        <v>0.74340698666469618</v>
      </c>
      <c r="K93" s="154">
        <v>0.78778264695151168</v>
      </c>
      <c r="L93" s="154">
        <v>0.82072978151358777</v>
      </c>
      <c r="M93" s="154">
        <v>0.4192840063508283</v>
      </c>
      <c r="N93" s="154">
        <v>0.31645145946541542</v>
      </c>
      <c r="O93" s="154">
        <v>0.25354574728878942</v>
      </c>
      <c r="P93" s="154">
        <v>0.93716466733262604</v>
      </c>
      <c r="Q93" s="154">
        <v>0.19999250792277035</v>
      </c>
      <c r="R93" s="154">
        <v>0.61955142545537489</v>
      </c>
      <c r="S93" s="154">
        <v>0.17404414895340214</v>
      </c>
      <c r="T93" s="154">
        <v>0.25937798347263308</v>
      </c>
      <c r="U93" s="154">
        <v>0.50035843123012358</v>
      </c>
      <c r="V93" s="25"/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8">
        <f t="shared" ref="A94" si="113">$A90+1</f>
        <v>23</v>
      </c>
      <c r="B94" s="172" t="str">
        <f>IFERROR(INDEX(TBL_LNG_IMPORTERS_CONNECTIONS[Name],$A94),"")</f>
        <v>Dragon_UK_LNG</v>
      </c>
      <c r="C94" s="87" t="str">
        <f t="shared" ref="C94:D94" si="114">IF($B94&lt;&gt;"",C90,"")</f>
        <v>Capacity - Min</v>
      </c>
      <c r="D94" s="87" t="str">
        <f t="shared" si="114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8">
        <f t="shared" si="94"/>
        <v>23</v>
      </c>
      <c r="B95" s="173"/>
      <c r="C95" s="87" t="str">
        <f t="shared" ref="C95:D95" si="115">IF($B94&lt;&gt;"",C91,"")</f>
        <v>Capacity - Max</v>
      </c>
      <c r="D95" s="87" t="str">
        <f t="shared" si="115"/>
        <v>GWh/day</v>
      </c>
      <c r="E95" s="150">
        <v>116.8</v>
      </c>
      <c r="F95" s="150">
        <f>E95</f>
        <v>116.8</v>
      </c>
      <c r="G95" s="150">
        <v>116.8</v>
      </c>
      <c r="H95" s="150">
        <v>116.8</v>
      </c>
      <c r="I95" s="150">
        <v>116.8</v>
      </c>
      <c r="J95" s="150">
        <v>116.8</v>
      </c>
      <c r="K95" s="150">
        <v>116.8</v>
      </c>
      <c r="L95" s="150">
        <v>116.8</v>
      </c>
      <c r="M95" s="150">
        <v>116.8</v>
      </c>
      <c r="N95" s="150">
        <v>116.8</v>
      </c>
      <c r="O95" s="150">
        <v>116.8</v>
      </c>
      <c r="P95" s="150">
        <v>116.8</v>
      </c>
      <c r="Q95" s="150">
        <v>116.8</v>
      </c>
      <c r="R95" s="150">
        <v>116.8</v>
      </c>
      <c r="S95" s="150">
        <v>116.8</v>
      </c>
      <c r="T95" s="150">
        <v>116.8</v>
      </c>
      <c r="U95" s="150">
        <v>116.8</v>
      </c>
      <c r="V95" s="25"/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8">
        <f t="shared" si="94"/>
        <v>23</v>
      </c>
      <c r="B96" s="173"/>
      <c r="C96" s="87" t="str">
        <f t="shared" ref="C96:D96" si="116">IF($B94&lt;&gt;"",C92,"")</f>
        <v>Cost to Market - fixed</v>
      </c>
      <c r="D96" s="87" t="str">
        <f t="shared" si="116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8">
        <f t="shared" si="94"/>
        <v>23</v>
      </c>
      <c r="B97" s="174"/>
      <c r="C97" s="87" t="str">
        <f t="shared" ref="C97:D97" si="117">IF($B94&lt;&gt;"",C93,"")</f>
        <v>Cost to Market - variable</v>
      </c>
      <c r="D97" s="87" t="str">
        <f t="shared" si="117"/>
        <v>EUR/MWh</v>
      </c>
      <c r="E97" s="154">
        <v>3.2231210421016288E-2</v>
      </c>
      <c r="F97" s="154">
        <v>8.7793375636870508E-2</v>
      </c>
      <c r="G97" s="154">
        <v>0.33544755905779933</v>
      </c>
      <c r="H97" s="154">
        <v>0.22210221195316904</v>
      </c>
      <c r="I97" s="154">
        <v>0.31764179634163969</v>
      </c>
      <c r="J97" s="154">
        <v>0.3269184947167304</v>
      </c>
      <c r="K97" s="154">
        <v>0.40067329850889744</v>
      </c>
      <c r="L97" s="154">
        <v>0.99521278491602372</v>
      </c>
      <c r="M97" s="154">
        <v>0.26227220907919879</v>
      </c>
      <c r="N97" s="154">
        <v>0.30439524851723898</v>
      </c>
      <c r="O97" s="154">
        <v>3.3257324921279974E-2</v>
      </c>
      <c r="P97" s="154">
        <v>0.87246700560712431</v>
      </c>
      <c r="Q97" s="154">
        <v>0.6996350794752304</v>
      </c>
      <c r="R97" s="154">
        <v>0.79202817566522232</v>
      </c>
      <c r="S97" s="154">
        <v>6.5006535794681297E-2</v>
      </c>
      <c r="T97" s="154">
        <v>0.68182402921531526</v>
      </c>
      <c r="U97" s="154">
        <v>0.42254869333052036</v>
      </c>
      <c r="V97" s="25"/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8">
        <f t="shared" ref="A98" si="118">$A94+1</f>
        <v>24</v>
      </c>
      <c r="B98" s="172" t="str">
        <f>IFERROR(INDEX(TBL_LNG_IMPORTERS_CONNECTIONS[Name],$A98),"")</f>
        <v>South_Hook_UK_LNG</v>
      </c>
      <c r="C98" s="87" t="str">
        <f t="shared" ref="C98:D98" si="119">IF($B98&lt;&gt;"",C94,"")</f>
        <v>Capacity - Min</v>
      </c>
      <c r="D98" s="87" t="str">
        <f t="shared" si="119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8">
        <f t="shared" ref="A99:A101" si="120">$A98</f>
        <v>24</v>
      </c>
      <c r="B99" s="173"/>
      <c r="C99" s="87" t="str">
        <f t="shared" ref="C99:D99" si="121">IF($B98&lt;&gt;"",C95,"")</f>
        <v>Capacity - Max</v>
      </c>
      <c r="D99" s="87" t="str">
        <f t="shared" si="121"/>
        <v>GWh/day</v>
      </c>
      <c r="E99" s="150">
        <v>650</v>
      </c>
      <c r="F99" s="150">
        <f>E99</f>
        <v>650</v>
      </c>
      <c r="G99" s="150">
        <v>650</v>
      </c>
      <c r="H99" s="150">
        <v>650</v>
      </c>
      <c r="I99" s="150">
        <v>650</v>
      </c>
      <c r="J99" s="150">
        <v>650</v>
      </c>
      <c r="K99" s="150">
        <v>650</v>
      </c>
      <c r="L99" s="150">
        <v>650</v>
      </c>
      <c r="M99" s="150">
        <v>650</v>
      </c>
      <c r="N99" s="150">
        <v>650</v>
      </c>
      <c r="O99" s="150">
        <v>650</v>
      </c>
      <c r="P99" s="150">
        <v>650</v>
      </c>
      <c r="Q99" s="150">
        <v>650</v>
      </c>
      <c r="R99" s="150">
        <v>650</v>
      </c>
      <c r="S99" s="150">
        <v>650</v>
      </c>
      <c r="T99" s="150">
        <v>650</v>
      </c>
      <c r="U99" s="150">
        <v>650</v>
      </c>
      <c r="V99" s="25"/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8">
        <f t="shared" si="120"/>
        <v>24</v>
      </c>
      <c r="B100" s="173"/>
      <c r="C100" s="87" t="str">
        <f t="shared" ref="C100:D100" si="122">IF($B98&lt;&gt;"",C96,"")</f>
        <v>Cost to Market - fixed</v>
      </c>
      <c r="D100" s="87" t="str">
        <f t="shared" si="122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8">
        <f t="shared" si="120"/>
        <v>24</v>
      </c>
      <c r="B101" s="174"/>
      <c r="C101" s="87" t="str">
        <f t="shared" ref="C101:D101" si="123">IF($B98&lt;&gt;"",C97,"")</f>
        <v>Cost to Market - variable</v>
      </c>
      <c r="D101" s="87" t="str">
        <f t="shared" si="123"/>
        <v>EUR/MWh</v>
      </c>
      <c r="E101" s="154">
        <v>0.2467065539739427</v>
      </c>
      <c r="F101" s="154">
        <v>0.26008241873843085</v>
      </c>
      <c r="G101" s="154">
        <v>7.1861239949953637E-2</v>
      </c>
      <c r="H101" s="154">
        <v>0.40278685807258563</v>
      </c>
      <c r="I101" s="154">
        <v>0.73616173965091136</v>
      </c>
      <c r="J101" s="154">
        <v>0.83375483280173024</v>
      </c>
      <c r="K101" s="154">
        <v>0.25498096430682282</v>
      </c>
      <c r="L101" s="154">
        <v>0.43475255971390936</v>
      </c>
      <c r="M101" s="154">
        <v>0.32486627462851769</v>
      </c>
      <c r="N101" s="154">
        <v>0.39141986606387824</v>
      </c>
      <c r="O101" s="154">
        <v>0.59745841171814662</v>
      </c>
      <c r="P101" s="154">
        <v>0.86032842639174845</v>
      </c>
      <c r="Q101" s="154">
        <v>0.11111097240289292</v>
      </c>
      <c r="R101" s="154">
        <v>0.40194331780103554</v>
      </c>
      <c r="S101" s="154">
        <v>0.64332670410413295</v>
      </c>
      <c r="T101" s="154">
        <v>0.83370012882857503</v>
      </c>
      <c r="U101" s="154">
        <v>0.41430766324992729</v>
      </c>
      <c r="V101" s="25"/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8">
        <f t="shared" ref="A102" si="124">$A98+1</f>
        <v>25</v>
      </c>
      <c r="B102" s="172" t="str">
        <f>IFERROR(INDEX(TBL_LNG_IMPORTERS_CONNECTIONS[Name],$A102),"")</f>
        <v>Lysekil_SW_LNG</v>
      </c>
      <c r="C102" s="87" t="str">
        <f t="shared" ref="C102:D102" si="125">IF($B102&lt;&gt;"",C98,"")</f>
        <v>Capacity - Min</v>
      </c>
      <c r="D102" s="87" t="str">
        <f t="shared" si="125"/>
        <v>GWh/day</v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8">
        <f t="shared" ref="A103:A105" si="126">$A102</f>
        <v>25</v>
      </c>
      <c r="B103" s="173"/>
      <c r="C103" s="87" t="str">
        <f t="shared" ref="C103:D103" si="127">IF($B102&lt;&gt;"",C99,"")</f>
        <v>Capacity - Max</v>
      </c>
      <c r="D103" s="87" t="str">
        <f t="shared" si="127"/>
        <v>GWh/day</v>
      </c>
      <c r="E103" s="150">
        <v>2.8</v>
      </c>
      <c r="F103" s="150">
        <f>E103</f>
        <v>2.8</v>
      </c>
      <c r="G103" s="150">
        <v>2.8</v>
      </c>
      <c r="H103" s="150">
        <v>2.8</v>
      </c>
      <c r="I103" s="150">
        <v>2.8</v>
      </c>
      <c r="J103" s="150">
        <v>2.8</v>
      </c>
      <c r="K103" s="150">
        <v>2.8</v>
      </c>
      <c r="L103" s="150">
        <v>2.8</v>
      </c>
      <c r="M103" s="150">
        <v>2.8</v>
      </c>
      <c r="N103" s="150">
        <v>2.8</v>
      </c>
      <c r="O103" s="150">
        <v>2.8</v>
      </c>
      <c r="P103" s="150">
        <v>2.8</v>
      </c>
      <c r="Q103" s="150">
        <v>2.8</v>
      </c>
      <c r="R103" s="150">
        <v>2.8</v>
      </c>
      <c r="S103" s="150">
        <v>2.8</v>
      </c>
      <c r="T103" s="150">
        <v>2.8</v>
      </c>
      <c r="U103" s="150">
        <v>2.8</v>
      </c>
      <c r="V103" s="25"/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8">
        <f t="shared" si="126"/>
        <v>25</v>
      </c>
      <c r="B104" s="173"/>
      <c r="C104" s="87" t="str">
        <f t="shared" ref="C104:D104" si="128">IF($B102&lt;&gt;"",C100,"")</f>
        <v>Cost to Market - fixed</v>
      </c>
      <c r="D104" s="87" t="str">
        <f t="shared" si="128"/>
        <v>EUR/month</v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8">
        <f t="shared" si="126"/>
        <v>25</v>
      </c>
      <c r="B105" s="174"/>
      <c r="C105" s="87" t="str">
        <f t="shared" ref="C105:D105" si="129">IF($B102&lt;&gt;"",C101,"")</f>
        <v>Cost to Market - variable</v>
      </c>
      <c r="D105" s="87" t="str">
        <f t="shared" si="129"/>
        <v>EUR/MWh</v>
      </c>
      <c r="E105" s="154">
        <v>0.5692151612789027</v>
      </c>
      <c r="F105" s="154">
        <v>0.76044190563479019</v>
      </c>
      <c r="G105" s="154">
        <v>0.21742251094139065</v>
      </c>
      <c r="H105" s="154">
        <v>0.18436541687902197</v>
      </c>
      <c r="I105" s="154">
        <v>0.92447960852314492</v>
      </c>
      <c r="J105" s="154">
        <v>5.2289779323153263E-2</v>
      </c>
      <c r="K105" s="154">
        <v>8.4685068442387879E-2</v>
      </c>
      <c r="L105" s="154">
        <v>0.28118619656346711</v>
      </c>
      <c r="M105" s="154">
        <v>0.96043201988626203</v>
      </c>
      <c r="N105" s="154">
        <v>4.4010023007391874E-2</v>
      </c>
      <c r="O105" s="154">
        <v>0.80363027570203305</v>
      </c>
      <c r="P105" s="154">
        <v>0.77626937231767823</v>
      </c>
      <c r="Q105" s="154">
        <v>0.56435090597070192</v>
      </c>
      <c r="R105" s="154">
        <v>0.51726342492995636</v>
      </c>
      <c r="S105" s="154">
        <v>0.49327492038595788</v>
      </c>
      <c r="T105" s="154">
        <v>0.39870406970570516</v>
      </c>
      <c r="U105" s="154">
        <v>0.99573339097709979</v>
      </c>
      <c r="V105" s="25"/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8">
        <f t="shared" ref="A106" si="130">$A102+1</f>
        <v>26</v>
      </c>
      <c r="B106" s="172" t="str">
        <f>IFERROR(INDEX(TBL_LNG_IMPORTERS_CONNECTIONS[Name],$A106),"")</f>
        <v>Nynäshamn_SW_LNG</v>
      </c>
      <c r="C106" s="87" t="str">
        <f t="shared" ref="C106:D106" si="131">IF($B106&lt;&gt;"",C102,"")</f>
        <v>Capacity - Min</v>
      </c>
      <c r="D106" s="87" t="str">
        <f t="shared" si="131"/>
        <v>GWh/day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8">
        <f t="shared" ref="A107:A109" si="132">$A106</f>
        <v>26</v>
      </c>
      <c r="B107" s="173"/>
      <c r="C107" s="87" t="str">
        <f t="shared" ref="C107:D107" si="133">IF($B106&lt;&gt;"",C103,"")</f>
        <v>Capacity - Max</v>
      </c>
      <c r="D107" s="87" t="str">
        <f t="shared" si="133"/>
        <v>GWh/day</v>
      </c>
      <c r="E107" s="150">
        <v>1.6</v>
      </c>
      <c r="F107" s="150">
        <f>E107</f>
        <v>1.6</v>
      </c>
      <c r="G107" s="150">
        <v>1.6</v>
      </c>
      <c r="H107" s="150">
        <v>1.6</v>
      </c>
      <c r="I107" s="150">
        <v>1.6</v>
      </c>
      <c r="J107" s="150">
        <v>1.6</v>
      </c>
      <c r="K107" s="150">
        <v>1.6</v>
      </c>
      <c r="L107" s="150">
        <v>1.6</v>
      </c>
      <c r="M107" s="150">
        <v>1.6</v>
      </c>
      <c r="N107" s="150">
        <v>1.6</v>
      </c>
      <c r="O107" s="150">
        <v>1.6</v>
      </c>
      <c r="P107" s="150">
        <v>1.6</v>
      </c>
      <c r="Q107" s="150">
        <v>1.6</v>
      </c>
      <c r="R107" s="150">
        <v>1.6</v>
      </c>
      <c r="S107" s="150">
        <v>1.6</v>
      </c>
      <c r="T107" s="150">
        <v>1.6</v>
      </c>
      <c r="U107" s="150">
        <v>1.6</v>
      </c>
      <c r="V107" s="25"/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8">
        <f t="shared" si="132"/>
        <v>26</v>
      </c>
      <c r="B108" s="173"/>
      <c r="C108" s="87" t="str">
        <f t="shared" ref="C108:D108" si="134">IF($B106&lt;&gt;"",C104,"")</f>
        <v>Cost to Market - fixed</v>
      </c>
      <c r="D108" s="87" t="str">
        <f t="shared" si="134"/>
        <v>EUR/month</v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8">
        <f t="shared" si="132"/>
        <v>26</v>
      </c>
      <c r="B109" s="174"/>
      <c r="C109" s="87" t="str">
        <f t="shared" ref="C109:D109" si="135">IF($B106&lt;&gt;"",C105,"")</f>
        <v>Cost to Market - variable</v>
      </c>
      <c r="D109" s="87" t="str">
        <f t="shared" si="135"/>
        <v>EUR/MWh</v>
      </c>
      <c r="E109" s="154">
        <v>3.3096169876772441E-2</v>
      </c>
      <c r="F109" s="154">
        <v>0.87051840939341996</v>
      </c>
      <c r="G109" s="154">
        <v>0.35634145861802713</v>
      </c>
      <c r="H109" s="154">
        <v>0.60441554392405561</v>
      </c>
      <c r="I109" s="154">
        <v>0.11823082751092684</v>
      </c>
      <c r="J109" s="154">
        <v>0.28057659182865047</v>
      </c>
      <c r="K109" s="154">
        <v>0.61119766045167545</v>
      </c>
      <c r="L109" s="154">
        <v>0.64060617620393001</v>
      </c>
      <c r="M109" s="154">
        <v>0.91982950136383568</v>
      </c>
      <c r="N109" s="154">
        <v>0.48537437681863216</v>
      </c>
      <c r="O109" s="154">
        <v>0.46582190249482225</v>
      </c>
      <c r="P109" s="154">
        <v>0.4510402444317132</v>
      </c>
      <c r="Q109" s="154">
        <v>0.64498679865791064</v>
      </c>
      <c r="R109" s="154">
        <v>0.51154386198099544</v>
      </c>
      <c r="S109" s="154">
        <v>0.83155065558068297</v>
      </c>
      <c r="T109" s="154">
        <v>0.13237192585806012</v>
      </c>
      <c r="U109" s="154">
        <v>0.84131658726536229</v>
      </c>
      <c r="V109" s="25"/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8">
        <f t="shared" ref="A110" si="136">$A106+1</f>
        <v>27</v>
      </c>
      <c r="B110" s="172" t="str">
        <f>IFERROR(INDEX(TBL_LNG_IMPORTERS_CONNECTIONS[Name],$A110),"")</f>
        <v>Pori_FI_LNG</v>
      </c>
      <c r="C110" s="87" t="str">
        <f t="shared" ref="C110:D110" si="137">IF($B110&lt;&gt;"",C106,"")</f>
        <v>Capacity - Min</v>
      </c>
      <c r="D110" s="87" t="str">
        <f t="shared" si="137"/>
        <v>GWh/day</v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8">
        <f t="shared" ref="A111:A113" si="138">$A110</f>
        <v>27</v>
      </c>
      <c r="B111" s="173"/>
      <c r="C111" s="87" t="str">
        <f t="shared" ref="C111:D111" si="139">IF($B110&lt;&gt;"",C107,"")</f>
        <v>Capacity - Max</v>
      </c>
      <c r="D111" s="87" t="str">
        <f t="shared" si="139"/>
        <v>GWh/day</v>
      </c>
      <c r="E111" s="150">
        <v>3.1</v>
      </c>
      <c r="F111" s="150">
        <f>E111</f>
        <v>3.1</v>
      </c>
      <c r="G111" s="150">
        <v>3.1</v>
      </c>
      <c r="H111" s="150">
        <v>3.1</v>
      </c>
      <c r="I111" s="150">
        <v>3.1</v>
      </c>
      <c r="J111" s="150">
        <v>3.1</v>
      </c>
      <c r="K111" s="150">
        <v>3.1</v>
      </c>
      <c r="L111" s="150">
        <v>3.1</v>
      </c>
      <c r="M111" s="150">
        <v>3.1</v>
      </c>
      <c r="N111" s="150">
        <v>3.1</v>
      </c>
      <c r="O111" s="150">
        <v>3.1</v>
      </c>
      <c r="P111" s="150">
        <v>3.1</v>
      </c>
      <c r="Q111" s="150">
        <v>3.1</v>
      </c>
      <c r="R111" s="150">
        <v>3.1</v>
      </c>
      <c r="S111" s="150">
        <v>3.1</v>
      </c>
      <c r="T111" s="150">
        <v>3.1</v>
      </c>
      <c r="U111" s="150">
        <v>3.1</v>
      </c>
      <c r="V111" s="25"/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8">
        <f t="shared" si="138"/>
        <v>27</v>
      </c>
      <c r="B112" s="173"/>
      <c r="C112" s="87" t="str">
        <f t="shared" ref="C112:D112" si="140">IF($B110&lt;&gt;"",C108,"")</f>
        <v>Cost to Market - fixed</v>
      </c>
      <c r="D112" s="87" t="str">
        <f t="shared" si="140"/>
        <v>EUR/month</v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8">
        <f t="shared" si="138"/>
        <v>27</v>
      </c>
      <c r="B113" s="174"/>
      <c r="C113" s="87" t="str">
        <f t="shared" ref="C113:D113" si="141">IF($B110&lt;&gt;"",C109,"")</f>
        <v>Cost to Market - variable</v>
      </c>
      <c r="D113" s="87" t="str">
        <f t="shared" si="141"/>
        <v>EUR/MWh</v>
      </c>
      <c r="E113" s="154">
        <v>0.42356275300583079</v>
      </c>
      <c r="F113" s="154">
        <v>0.61818368259709167</v>
      </c>
      <c r="G113" s="154">
        <v>0.36686085941499269</v>
      </c>
      <c r="H113" s="154">
        <v>0.80165751670977059</v>
      </c>
      <c r="I113" s="154">
        <v>0.27578747128526127</v>
      </c>
      <c r="J113" s="154">
        <v>8.1807389601396108E-2</v>
      </c>
      <c r="K113" s="154">
        <v>0.63122270981237494</v>
      </c>
      <c r="L113" s="154">
        <v>0.67592004146244389</v>
      </c>
      <c r="M113" s="154">
        <v>0.67871072472818772</v>
      </c>
      <c r="N113" s="154">
        <v>0.92810053392824199</v>
      </c>
      <c r="O113" s="154">
        <v>6.1746221549439206E-2</v>
      </c>
      <c r="P113" s="154">
        <v>0.7881546932869048</v>
      </c>
      <c r="Q113" s="154">
        <v>0.81409206361445119</v>
      </c>
      <c r="R113" s="154">
        <v>0.70363888381731365</v>
      </c>
      <c r="S113" s="154">
        <v>0.93774095166069249</v>
      </c>
      <c r="T113" s="154">
        <v>0.42673293074987328</v>
      </c>
      <c r="U113" s="154">
        <v>0.15565204122878684</v>
      </c>
      <c r="V113" s="25"/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8">
        <f t="shared" ref="A114" si="142">$A110+1</f>
        <v>28</v>
      </c>
      <c r="B114" s="172" t="str">
        <f>IFERROR(INDEX(TBL_LNG_IMPORTERS_CONNECTIONS[Name],$A114),"")</f>
        <v>Tornio_FL_LNG</v>
      </c>
      <c r="C114" s="87" t="str">
        <f t="shared" ref="C114:D114" si="143">IF($B114&lt;&gt;"",C110,"")</f>
        <v>Capacity - Min</v>
      </c>
      <c r="D114" s="87" t="str">
        <f t="shared" si="143"/>
        <v>GWh/day</v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8">
        <f t="shared" ref="A115:A117" si="144">$A114</f>
        <v>28</v>
      </c>
      <c r="B115" s="173"/>
      <c r="C115" s="87" t="str">
        <f t="shared" ref="C115:D115" si="145">IF($B114&lt;&gt;"",C111,"")</f>
        <v>Capacity - Max</v>
      </c>
      <c r="D115" s="87" t="str">
        <f t="shared" si="145"/>
        <v>GWh/day</v>
      </c>
      <c r="E115" s="150">
        <v>5.0999999999999996</v>
      </c>
      <c r="F115" s="150">
        <f>E115</f>
        <v>5.0999999999999996</v>
      </c>
      <c r="G115" s="150">
        <v>5.0999999999999996</v>
      </c>
      <c r="H115" s="150">
        <v>5.0999999999999996</v>
      </c>
      <c r="I115" s="150">
        <v>5.0999999999999996</v>
      </c>
      <c r="J115" s="150">
        <v>5.0999999999999996</v>
      </c>
      <c r="K115" s="150">
        <v>5.0999999999999996</v>
      </c>
      <c r="L115" s="150">
        <v>5.0999999999999996</v>
      </c>
      <c r="M115" s="150">
        <v>5.0999999999999996</v>
      </c>
      <c r="N115" s="150">
        <v>5.0999999999999996</v>
      </c>
      <c r="O115" s="150">
        <v>5.0999999999999996</v>
      </c>
      <c r="P115" s="150">
        <v>5.0999999999999996</v>
      </c>
      <c r="Q115" s="150">
        <v>5.0999999999999996</v>
      </c>
      <c r="R115" s="150">
        <v>5.0999999999999996</v>
      </c>
      <c r="S115" s="150">
        <v>5.0999999999999996</v>
      </c>
      <c r="T115" s="150">
        <v>5.0999999999999996</v>
      </c>
      <c r="U115" s="150">
        <v>5.0999999999999996</v>
      </c>
      <c r="V115" s="25"/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8">
        <f t="shared" si="144"/>
        <v>28</v>
      </c>
      <c r="B116" s="173"/>
      <c r="C116" s="87" t="str">
        <f t="shared" ref="C116:D116" si="146">IF($B114&lt;&gt;"",C112,"")</f>
        <v>Cost to Market - fixed</v>
      </c>
      <c r="D116" s="87" t="str">
        <f t="shared" si="146"/>
        <v>EUR/month</v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8">
        <f t="shared" si="144"/>
        <v>28</v>
      </c>
      <c r="B117" s="174"/>
      <c r="C117" s="87" t="str">
        <f t="shared" ref="C117:D117" si="147">IF($B114&lt;&gt;"",C113,"")</f>
        <v>Cost to Market - variable</v>
      </c>
      <c r="D117" s="87" t="str">
        <f t="shared" si="147"/>
        <v>EUR/MWh</v>
      </c>
      <c r="E117" s="154">
        <v>0.15145493459441273</v>
      </c>
      <c r="F117" s="154">
        <v>0.3216731650219834</v>
      </c>
      <c r="G117" s="154">
        <v>0.66085985998328667</v>
      </c>
      <c r="H117" s="154">
        <v>0.99606027752121451</v>
      </c>
      <c r="I117" s="154">
        <v>0.31632287492759426</v>
      </c>
      <c r="J117" s="154">
        <v>0.75122140406678173</v>
      </c>
      <c r="K117" s="154">
        <v>0.55341678737294375</v>
      </c>
      <c r="L117" s="154">
        <v>0.61080684012582298</v>
      </c>
      <c r="M117" s="154">
        <v>0.78388822138273972</v>
      </c>
      <c r="N117" s="154">
        <v>0.26089289086239698</v>
      </c>
      <c r="O117" s="154">
        <v>0.49807291424635314</v>
      </c>
      <c r="P117" s="154">
        <v>0.99422251990454336</v>
      </c>
      <c r="Q117" s="154">
        <v>0.60336020100743715</v>
      </c>
      <c r="R117" s="154">
        <v>7.2453916552033704E-2</v>
      </c>
      <c r="S117" s="154">
        <v>0.95856741374835552</v>
      </c>
      <c r="T117" s="154">
        <v>0.6716849993159496</v>
      </c>
      <c r="U117" s="154">
        <v>4.9367369483960921E-2</v>
      </c>
      <c r="V117" s="25"/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8">
        <f t="shared" ref="A118" si="148">$A114+1</f>
        <v>29</v>
      </c>
      <c r="B118" s="172" t="str">
        <f>IFERROR(INDEX(TBL_LNG_IMPORTERS_CONNECTIONS[Name],$A118),"")</f>
        <v/>
      </c>
      <c r="C118" s="87" t="str">
        <f t="shared" ref="C118:D118" si="149">IF($B118&lt;&gt;"",C114,"")</f>
        <v/>
      </c>
      <c r="D118" s="87" t="str">
        <f t="shared" si="149"/>
        <v/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8">
        <f t="shared" ref="A119:A137" si="150">$A118</f>
        <v>29</v>
      </c>
      <c r="B119" s="173"/>
      <c r="C119" s="87" t="str">
        <f t="shared" ref="C119:D119" si="151">IF($B118&lt;&gt;"",C115,"")</f>
        <v/>
      </c>
      <c r="D119" s="87" t="str">
        <f t="shared" si="151"/>
        <v/>
      </c>
      <c r="E119" s="150"/>
      <c r="F119" s="150"/>
      <c r="G119" s="150"/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8">
        <f t="shared" si="150"/>
        <v>29</v>
      </c>
      <c r="B120" s="173"/>
      <c r="C120" s="87" t="str">
        <f t="shared" ref="C120:D120" si="152">IF($B118&lt;&gt;"",C116,"")</f>
        <v/>
      </c>
      <c r="D120" s="87" t="str">
        <f t="shared" si="152"/>
        <v/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8">
        <f t="shared" si="150"/>
        <v>29</v>
      </c>
      <c r="B121" s="174"/>
      <c r="C121" s="87" t="str">
        <f t="shared" ref="C121:D121" si="153">IF($B118&lt;&gt;"",C117,"")</f>
        <v/>
      </c>
      <c r="D121" s="87" t="str">
        <f t="shared" si="153"/>
        <v/>
      </c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8">
        <f t="shared" ref="A122" si="154">$A118+1</f>
        <v>30</v>
      </c>
      <c r="B122" s="172" t="str">
        <f>IFERROR(INDEX(TBL_LNG_IMPORTERS_CONNECTIONS[Name],$A122),"")</f>
        <v/>
      </c>
      <c r="C122" s="87" t="str">
        <f t="shared" ref="C122:D122" si="155">IF($B122&lt;&gt;"",C118,"")</f>
        <v/>
      </c>
      <c r="D122" s="87" t="str">
        <f t="shared" si="155"/>
        <v/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8">
        <f t="shared" si="150"/>
        <v>30</v>
      </c>
      <c r="B123" s="173"/>
      <c r="C123" s="87" t="str">
        <f t="shared" ref="C123:D123" si="156">IF($B122&lt;&gt;"",C119,"")</f>
        <v/>
      </c>
      <c r="D123" s="87" t="str">
        <f t="shared" si="156"/>
        <v/>
      </c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8">
        <f t="shared" si="150"/>
        <v>30</v>
      </c>
      <c r="B124" s="173"/>
      <c r="C124" s="87" t="str">
        <f t="shared" ref="C124:D124" si="157">IF($B122&lt;&gt;"",C120,"")</f>
        <v/>
      </c>
      <c r="D124" s="87" t="str">
        <f t="shared" si="157"/>
        <v/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8">
        <f t="shared" si="150"/>
        <v>30</v>
      </c>
      <c r="B125" s="174"/>
      <c r="C125" s="87" t="str">
        <f t="shared" ref="C125:D125" si="158">IF($B122&lt;&gt;"",C121,"")</f>
        <v/>
      </c>
      <c r="D125" s="87" t="str">
        <f t="shared" si="158"/>
        <v/>
      </c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8">
        <f t="shared" ref="A126" si="159">$A122+1</f>
        <v>31</v>
      </c>
      <c r="B126" s="172" t="str">
        <f>IFERROR(INDEX(TBL_LNG_IMPORTERS_CONNECTIONS[Name],$A126),"")</f>
        <v/>
      </c>
      <c r="C126" s="87" t="str">
        <f t="shared" ref="C126:D126" si="160">IF($B126&lt;&gt;"",C122,"")</f>
        <v/>
      </c>
      <c r="D126" s="87" t="str">
        <f t="shared" si="160"/>
        <v/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8">
        <f t="shared" si="150"/>
        <v>31</v>
      </c>
      <c r="B127" s="173"/>
      <c r="C127" s="87" t="str">
        <f t="shared" ref="C127:D127" si="161">IF($B126&lt;&gt;"",C123,"")</f>
        <v/>
      </c>
      <c r="D127" s="87" t="str">
        <f t="shared" si="161"/>
        <v/>
      </c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8">
        <f t="shared" si="150"/>
        <v>31</v>
      </c>
      <c r="B128" s="173"/>
      <c r="C128" s="87" t="str">
        <f t="shared" ref="C128:D128" si="162">IF($B126&lt;&gt;"",C124,"")</f>
        <v/>
      </c>
      <c r="D128" s="87" t="str">
        <f t="shared" si="162"/>
        <v/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8">
        <f t="shared" si="150"/>
        <v>31</v>
      </c>
      <c r="B129" s="174"/>
      <c r="C129" s="87" t="str">
        <f t="shared" ref="C129:D129" si="163">IF($B126&lt;&gt;"",C125,"")</f>
        <v/>
      </c>
      <c r="D129" s="87" t="str">
        <f t="shared" si="163"/>
        <v/>
      </c>
      <c r="E129" s="150"/>
      <c r="F129" s="150"/>
      <c r="G129" s="150"/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8">
        <f t="shared" ref="A130" si="164">$A126+1</f>
        <v>32</v>
      </c>
      <c r="B130" s="172" t="str">
        <f>IFERROR(INDEX(TBL_LNG_IMPORTERS_CONNECTIONS[Name],$A130),"")</f>
        <v/>
      </c>
      <c r="C130" s="87" t="str">
        <f t="shared" ref="C130:D130" si="165">IF($B130&lt;&gt;"",C126,"")</f>
        <v/>
      </c>
      <c r="D130" s="87" t="str">
        <f t="shared" si="165"/>
        <v/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8">
        <f t="shared" si="150"/>
        <v>32</v>
      </c>
      <c r="B131" s="173"/>
      <c r="C131" s="87" t="str">
        <f t="shared" ref="C131:D131" si="166">IF($B130&lt;&gt;"",C127,"")</f>
        <v/>
      </c>
      <c r="D131" s="87" t="str">
        <f t="shared" si="166"/>
        <v/>
      </c>
      <c r="E131" s="150"/>
      <c r="F131" s="150"/>
      <c r="G131" s="150"/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8">
        <f t="shared" si="150"/>
        <v>32</v>
      </c>
      <c r="B132" s="173"/>
      <c r="C132" s="87" t="str">
        <f t="shared" ref="C132:D132" si="167">IF($B130&lt;&gt;"",C128,"")</f>
        <v/>
      </c>
      <c r="D132" s="87" t="str">
        <f t="shared" si="167"/>
        <v/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8">
        <f t="shared" si="150"/>
        <v>32</v>
      </c>
      <c r="B133" s="174"/>
      <c r="C133" s="87" t="str">
        <f t="shared" ref="C133:D133" si="168">IF($B130&lt;&gt;"",C129,"")</f>
        <v/>
      </c>
      <c r="D133" s="87" t="str">
        <f t="shared" si="168"/>
        <v/>
      </c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8">
        <f t="shared" ref="A134" si="169">$A130+1</f>
        <v>33</v>
      </c>
      <c r="B134" s="172" t="str">
        <f>IFERROR(INDEX(TBL_LNG_IMPORTERS_CONNECTIONS[Name],$A134),"")</f>
        <v/>
      </c>
      <c r="C134" s="87" t="str">
        <f t="shared" ref="C134:D134" si="170">IF($B134&lt;&gt;"",C130,"")</f>
        <v/>
      </c>
      <c r="D134" s="87" t="str">
        <f t="shared" si="170"/>
        <v/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8">
        <f t="shared" si="150"/>
        <v>33</v>
      </c>
      <c r="B135" s="173"/>
      <c r="C135" s="87" t="str">
        <f t="shared" ref="C135:D135" si="171">IF($B134&lt;&gt;"",C131,"")</f>
        <v/>
      </c>
      <c r="D135" s="87" t="str">
        <f t="shared" si="171"/>
        <v/>
      </c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8">
        <f t="shared" si="150"/>
        <v>33</v>
      </c>
      <c r="B136" s="173"/>
      <c r="C136" s="87" t="str">
        <f t="shared" ref="C136:D136" si="172">IF($B134&lt;&gt;"",C132,"")</f>
        <v/>
      </c>
      <c r="D136" s="87" t="str">
        <f t="shared" si="172"/>
        <v/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8">
        <f t="shared" si="150"/>
        <v>33</v>
      </c>
      <c r="B137" s="174"/>
      <c r="C137" s="87" t="str">
        <f t="shared" ref="C137:D137" si="173">IF($B134&lt;&gt;"",C133,"")</f>
        <v/>
      </c>
      <c r="D137" s="87" t="str">
        <f t="shared" si="173"/>
        <v/>
      </c>
      <c r="E137" s="150"/>
      <c r="F137" s="150"/>
      <c r="G137" s="150"/>
      <c r="H137" s="150"/>
      <c r="I137" s="150"/>
      <c r="J137" s="150"/>
      <c r="K137" s="150"/>
      <c r="L137" s="150"/>
      <c r="M137" s="150"/>
      <c r="N137" s="150"/>
      <c r="O137" s="150"/>
      <c r="P137" s="150"/>
      <c r="Q137" s="150"/>
      <c r="R137" s="150"/>
      <c r="S137" s="150"/>
      <c r="T137" s="150"/>
      <c r="U137" s="150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8">
        <f t="shared" ref="A138" si="174">$A134+1</f>
        <v>34</v>
      </c>
      <c r="B138" s="172" t="str">
        <f>IFERROR(INDEX(TBL_LNG_IMPORTERS_CONNECTIONS[Name],$A138),"")</f>
        <v/>
      </c>
      <c r="C138" s="87" t="str">
        <f t="shared" ref="C138:D138" si="175">IF($B138&lt;&gt;"",C134,"")</f>
        <v/>
      </c>
      <c r="D138" s="87" t="str">
        <f t="shared" si="175"/>
        <v/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8">
        <f t="shared" ref="A139:A141" si="176">$A138</f>
        <v>34</v>
      </c>
      <c r="B139" s="173"/>
      <c r="C139" s="87" t="str">
        <f t="shared" ref="C139:D139" si="177">IF($B138&lt;&gt;"",C135,"")</f>
        <v/>
      </c>
      <c r="D139" s="87" t="str">
        <f t="shared" si="177"/>
        <v/>
      </c>
      <c r="E139" s="150"/>
      <c r="F139" s="150"/>
      <c r="G139" s="150"/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8">
        <f t="shared" si="176"/>
        <v>34</v>
      </c>
      <c r="B140" s="173"/>
      <c r="C140" s="87" t="str">
        <f t="shared" ref="C140:D140" si="178">IF($B138&lt;&gt;"",C136,"")</f>
        <v/>
      </c>
      <c r="D140" s="87" t="str">
        <f t="shared" si="178"/>
        <v/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8">
        <f t="shared" si="176"/>
        <v>34</v>
      </c>
      <c r="B141" s="174"/>
      <c r="C141" s="87" t="str">
        <f t="shared" ref="C141:D141" si="179">IF($B138&lt;&gt;"",C137,"")</f>
        <v/>
      </c>
      <c r="D141" s="87" t="str">
        <f t="shared" si="179"/>
        <v/>
      </c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50"/>
      <c r="T141" s="150"/>
      <c r="U141" s="150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8">
        <f t="shared" ref="A142" si="180">$A138+1</f>
        <v>35</v>
      </c>
      <c r="B142" s="172" t="str">
        <f>IFERROR(INDEX(TBL_LNG_IMPORTERS_CONNECTIONS[Name],$A142),"")</f>
        <v/>
      </c>
      <c r="C142" s="87" t="str">
        <f t="shared" ref="C142:D142" si="181">IF($B142&lt;&gt;"",C138,"")</f>
        <v/>
      </c>
      <c r="D142" s="87" t="str">
        <f t="shared" si="181"/>
        <v/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8">
        <f t="shared" ref="A143:A145" si="182">$A142</f>
        <v>35</v>
      </c>
      <c r="B143" s="173"/>
      <c r="C143" s="87" t="str">
        <f t="shared" ref="C143:D143" si="183">IF($B142&lt;&gt;"",C139,"")</f>
        <v/>
      </c>
      <c r="D143" s="87" t="str">
        <f t="shared" si="183"/>
        <v/>
      </c>
      <c r="E143" s="150"/>
      <c r="F143" s="150"/>
      <c r="G143" s="150"/>
      <c r="H143" s="150"/>
      <c r="I143" s="150"/>
      <c r="J143" s="150"/>
      <c r="K143" s="150"/>
      <c r="L143" s="150"/>
      <c r="M143" s="150"/>
      <c r="N143" s="150"/>
      <c r="O143" s="150"/>
      <c r="P143" s="150"/>
      <c r="Q143" s="150"/>
      <c r="R143" s="150"/>
      <c r="S143" s="150"/>
      <c r="T143" s="150"/>
      <c r="U143" s="150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8">
        <f t="shared" si="182"/>
        <v>35</v>
      </c>
      <c r="B144" s="173"/>
      <c r="C144" s="87" t="str">
        <f t="shared" ref="C144:D144" si="184">IF($B142&lt;&gt;"",C140,"")</f>
        <v/>
      </c>
      <c r="D144" s="87" t="str">
        <f t="shared" si="184"/>
        <v/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8">
        <f t="shared" si="182"/>
        <v>35</v>
      </c>
      <c r="B145" s="174"/>
      <c r="C145" s="87" t="str">
        <f t="shared" ref="C145:D145" si="185">IF($B142&lt;&gt;"",C141,"")</f>
        <v/>
      </c>
      <c r="D145" s="87" t="str">
        <f t="shared" si="185"/>
        <v/>
      </c>
      <c r="E145" s="150"/>
      <c r="F145" s="150"/>
      <c r="G145" s="150"/>
      <c r="H145" s="150"/>
      <c r="I145" s="150"/>
      <c r="J145" s="150"/>
      <c r="K145" s="150"/>
      <c r="L145" s="150"/>
      <c r="M145" s="150"/>
      <c r="N145" s="150"/>
      <c r="O145" s="150"/>
      <c r="P145" s="150"/>
      <c r="Q145" s="150"/>
      <c r="R145" s="150"/>
      <c r="S145" s="150"/>
      <c r="T145" s="150"/>
      <c r="U145" s="150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8">
        <f t="shared" ref="A146" si="186">$A142+1</f>
        <v>36</v>
      </c>
      <c r="B146" s="172" t="str">
        <f>IFERROR(INDEX(TBL_LNG_IMPORTERS_CONNECTIONS[Name],$A146),"")</f>
        <v/>
      </c>
      <c r="C146" s="87" t="str">
        <f t="shared" ref="C146:D146" si="187">IF($B146&lt;&gt;"",C142,"")</f>
        <v/>
      </c>
      <c r="D146" s="87" t="str">
        <f t="shared" si="187"/>
        <v/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8">
        <f t="shared" ref="A147:A149" si="188">$A146</f>
        <v>36</v>
      </c>
      <c r="B147" s="173"/>
      <c r="C147" s="87" t="str">
        <f t="shared" ref="C147:D147" si="189">IF($B146&lt;&gt;"",C143,"")</f>
        <v/>
      </c>
      <c r="D147" s="87" t="str">
        <f t="shared" si="189"/>
        <v/>
      </c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8">
        <f t="shared" si="188"/>
        <v>36</v>
      </c>
      <c r="B148" s="173"/>
      <c r="C148" s="87" t="str">
        <f t="shared" ref="C148:D148" si="190">IF($B146&lt;&gt;"",C144,"")</f>
        <v/>
      </c>
      <c r="D148" s="87" t="str">
        <f t="shared" si="190"/>
        <v/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8">
        <f t="shared" si="188"/>
        <v>36</v>
      </c>
      <c r="B149" s="174"/>
      <c r="C149" s="87" t="str">
        <f t="shared" ref="C149:D149" si="191">IF($B146&lt;&gt;"",C145,"")</f>
        <v/>
      </c>
      <c r="D149" s="87" t="str">
        <f t="shared" si="191"/>
        <v/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50"/>
      <c r="O149" s="150"/>
      <c r="P149" s="150"/>
      <c r="Q149" s="150"/>
      <c r="R149" s="150"/>
      <c r="S149" s="150"/>
      <c r="T149" s="150"/>
      <c r="U149" s="150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8">
        <f t="shared" ref="A150" si="192">$A146+1</f>
        <v>37</v>
      </c>
      <c r="B150" s="172" t="str">
        <f>IFERROR(INDEX(TBL_LNG_IMPORTERS_CONNECTIONS[Name],$A150),"")</f>
        <v/>
      </c>
      <c r="C150" s="87" t="str">
        <f t="shared" ref="C150:D150" si="193">IF($B150&lt;&gt;"",C146,"")</f>
        <v/>
      </c>
      <c r="D150" s="87" t="str">
        <f t="shared" si="193"/>
        <v/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8">
        <f t="shared" ref="A151:A153" si="194">$A150</f>
        <v>37</v>
      </c>
      <c r="B151" s="173"/>
      <c r="C151" s="87" t="str">
        <f t="shared" ref="C151:D151" si="195">IF($B150&lt;&gt;"",C147,"")</f>
        <v/>
      </c>
      <c r="D151" s="87" t="str">
        <f t="shared" si="195"/>
        <v/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50"/>
      <c r="O151" s="150"/>
      <c r="P151" s="150"/>
      <c r="Q151" s="150"/>
      <c r="R151" s="150"/>
      <c r="S151" s="150"/>
      <c r="T151" s="150"/>
      <c r="U151" s="150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8">
        <f t="shared" si="194"/>
        <v>37</v>
      </c>
      <c r="B152" s="173"/>
      <c r="C152" s="87" t="str">
        <f t="shared" ref="C152:D152" si="196">IF($B150&lt;&gt;"",C148,"")</f>
        <v/>
      </c>
      <c r="D152" s="87" t="str">
        <f t="shared" si="196"/>
        <v/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8">
        <f t="shared" si="194"/>
        <v>37</v>
      </c>
      <c r="B153" s="174"/>
      <c r="C153" s="87" t="str">
        <f t="shared" ref="C153:D153" si="197">IF($B150&lt;&gt;"",C149,"")</f>
        <v/>
      </c>
      <c r="D153" s="87" t="str">
        <f t="shared" si="197"/>
        <v/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50"/>
      <c r="O153" s="150"/>
      <c r="P153" s="150"/>
      <c r="Q153" s="150"/>
      <c r="R153" s="150"/>
      <c r="S153" s="150"/>
      <c r="T153" s="150"/>
      <c r="U153" s="150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8">
        <f t="shared" ref="A154" si="198">$A150+1</f>
        <v>38</v>
      </c>
      <c r="B154" s="172" t="str">
        <f>IFERROR(INDEX(TBL_LNG_IMPORTERS_CONNECTIONS[Name],$A154),"")</f>
        <v/>
      </c>
      <c r="C154" s="87" t="str">
        <f t="shared" ref="C154:D154" si="199">IF($B154&lt;&gt;"",C150,"")</f>
        <v/>
      </c>
      <c r="D154" s="87" t="str">
        <f t="shared" si="199"/>
        <v/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8">
        <f t="shared" ref="A155:A157" si="200">$A154</f>
        <v>38</v>
      </c>
      <c r="B155" s="173"/>
      <c r="C155" s="87" t="str">
        <f t="shared" ref="C155:D155" si="201">IF($B154&lt;&gt;"",C151,"")</f>
        <v/>
      </c>
      <c r="D155" s="87" t="str">
        <f t="shared" si="201"/>
        <v/>
      </c>
      <c r="E155" s="150"/>
      <c r="F155" s="150"/>
      <c r="G155" s="150"/>
      <c r="H155" s="150"/>
      <c r="I155" s="150"/>
      <c r="J155" s="150"/>
      <c r="K155" s="150"/>
      <c r="L155" s="150"/>
      <c r="M155" s="150"/>
      <c r="N155" s="150"/>
      <c r="O155" s="150"/>
      <c r="P155" s="150"/>
      <c r="Q155" s="150"/>
      <c r="R155" s="150"/>
      <c r="S155" s="150"/>
      <c r="T155" s="150"/>
      <c r="U155" s="150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8">
        <f t="shared" si="200"/>
        <v>38</v>
      </c>
      <c r="B156" s="173"/>
      <c r="C156" s="87" t="str">
        <f t="shared" ref="C156:D156" si="202">IF($B154&lt;&gt;"",C152,"")</f>
        <v/>
      </c>
      <c r="D156" s="87" t="str">
        <f t="shared" si="202"/>
        <v/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8">
        <f t="shared" si="200"/>
        <v>38</v>
      </c>
      <c r="B157" s="174"/>
      <c r="C157" s="87" t="str">
        <f t="shared" ref="C157:D157" si="203">IF($B154&lt;&gt;"",C153,"")</f>
        <v/>
      </c>
      <c r="D157" s="87" t="str">
        <f t="shared" si="203"/>
        <v/>
      </c>
      <c r="E157" s="150"/>
      <c r="F157" s="150"/>
      <c r="G157" s="150"/>
      <c r="H157" s="150"/>
      <c r="I157" s="150"/>
      <c r="J157" s="150"/>
      <c r="K157" s="150"/>
      <c r="L157" s="150"/>
      <c r="M157" s="150"/>
      <c r="N157" s="150"/>
      <c r="O157" s="150"/>
      <c r="P157" s="150"/>
      <c r="Q157" s="150"/>
      <c r="R157" s="150"/>
      <c r="S157" s="150"/>
      <c r="T157" s="150"/>
      <c r="U157" s="150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8">
        <f t="shared" ref="A158" si="204">$A154+1</f>
        <v>39</v>
      </c>
      <c r="B158" s="172" t="str">
        <f>IFERROR(INDEX(TBL_LNG_IMPORTERS_CONNECTIONS[Name],$A158),"")</f>
        <v/>
      </c>
      <c r="C158" s="87" t="str">
        <f t="shared" ref="C158:D158" si="205">IF($B158&lt;&gt;"",C154,"")</f>
        <v/>
      </c>
      <c r="D158" s="87" t="str">
        <f t="shared" si="205"/>
        <v/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8">
        <f t="shared" ref="A159:A177" si="206">$A158</f>
        <v>39</v>
      </c>
      <c r="B159" s="173"/>
      <c r="C159" s="87" t="str">
        <f t="shared" ref="C159:D159" si="207">IF($B158&lt;&gt;"",C155,"")</f>
        <v/>
      </c>
      <c r="D159" s="87" t="str">
        <f t="shared" si="207"/>
        <v/>
      </c>
      <c r="E159" s="150"/>
      <c r="F159" s="150"/>
      <c r="G159" s="150"/>
      <c r="H159" s="150"/>
      <c r="I159" s="150"/>
      <c r="J159" s="150"/>
      <c r="K159" s="150"/>
      <c r="L159" s="150"/>
      <c r="M159" s="150"/>
      <c r="N159" s="150"/>
      <c r="O159" s="150"/>
      <c r="P159" s="150"/>
      <c r="Q159" s="150"/>
      <c r="R159" s="150"/>
      <c r="S159" s="150"/>
      <c r="T159" s="150"/>
      <c r="U159" s="150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8">
        <f t="shared" si="206"/>
        <v>39</v>
      </c>
      <c r="B160" s="173"/>
      <c r="C160" s="87" t="str">
        <f t="shared" ref="C160:D160" si="208">IF($B158&lt;&gt;"",C156,"")</f>
        <v/>
      </c>
      <c r="D160" s="87" t="str">
        <f t="shared" si="208"/>
        <v/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8">
        <f t="shared" si="206"/>
        <v>39</v>
      </c>
      <c r="B161" s="174"/>
      <c r="C161" s="87" t="str">
        <f t="shared" ref="C161:D161" si="209">IF($B158&lt;&gt;"",C157,"")</f>
        <v/>
      </c>
      <c r="D161" s="87" t="str">
        <f t="shared" si="209"/>
        <v/>
      </c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8">
        <f t="shared" ref="A162" si="210">$A158+1</f>
        <v>40</v>
      </c>
      <c r="B162" s="172" t="str">
        <f>IFERROR(INDEX(TBL_LNG_IMPORTERS_CONNECTIONS[Name],$A162),"")</f>
        <v/>
      </c>
      <c r="C162" s="87" t="str">
        <f t="shared" ref="C162:D162" si="211">IF($B162&lt;&gt;"",C158,"")</f>
        <v/>
      </c>
      <c r="D162" s="87" t="str">
        <f t="shared" si="211"/>
        <v/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8">
        <f t="shared" si="206"/>
        <v>40</v>
      </c>
      <c r="B163" s="173"/>
      <c r="C163" s="87" t="str">
        <f t="shared" ref="C163:D163" si="212">IF($B162&lt;&gt;"",C159,"")</f>
        <v/>
      </c>
      <c r="D163" s="87" t="str">
        <f t="shared" si="212"/>
        <v/>
      </c>
      <c r="E163" s="150"/>
      <c r="F163" s="150"/>
      <c r="G163" s="150"/>
      <c r="H163" s="150"/>
      <c r="I163" s="150"/>
      <c r="J163" s="150"/>
      <c r="K163" s="150"/>
      <c r="L163" s="150"/>
      <c r="M163" s="150"/>
      <c r="N163" s="150"/>
      <c r="O163" s="150"/>
      <c r="P163" s="150"/>
      <c r="Q163" s="150"/>
      <c r="R163" s="150"/>
      <c r="S163" s="150"/>
      <c r="T163" s="150"/>
      <c r="U163" s="150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8">
        <f t="shared" si="206"/>
        <v>40</v>
      </c>
      <c r="B164" s="173"/>
      <c r="C164" s="87" t="str">
        <f t="shared" ref="C164:D164" si="213">IF($B162&lt;&gt;"",C160,"")</f>
        <v/>
      </c>
      <c r="D164" s="87" t="str">
        <f t="shared" si="213"/>
        <v/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8">
        <f t="shared" si="206"/>
        <v>40</v>
      </c>
      <c r="B165" s="174"/>
      <c r="C165" s="87" t="str">
        <f t="shared" ref="C165:D165" si="214">IF($B162&lt;&gt;"",C161,"")</f>
        <v/>
      </c>
      <c r="D165" s="87" t="str">
        <f t="shared" si="214"/>
        <v/>
      </c>
      <c r="E165" s="150"/>
      <c r="F165" s="150"/>
      <c r="G165" s="150"/>
      <c r="H165" s="150"/>
      <c r="I165" s="150"/>
      <c r="J165" s="150"/>
      <c r="K165" s="150"/>
      <c r="L165" s="150"/>
      <c r="M165" s="150"/>
      <c r="N165" s="150"/>
      <c r="O165" s="150"/>
      <c r="P165" s="150"/>
      <c r="Q165" s="150"/>
      <c r="R165" s="150"/>
      <c r="S165" s="150"/>
      <c r="T165" s="150"/>
      <c r="U165" s="150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8">
        <f t="shared" ref="A166" si="215">$A162+1</f>
        <v>41</v>
      </c>
      <c r="B166" s="172" t="str">
        <f>IFERROR(INDEX(TBL_LNG_IMPORTERS_CONNECTIONS[Name],$A166),"")</f>
        <v/>
      </c>
      <c r="C166" s="87" t="str">
        <f t="shared" ref="C166:D166" si="216">IF($B166&lt;&gt;"",C162,"")</f>
        <v/>
      </c>
      <c r="D166" s="87" t="str">
        <f t="shared" si="216"/>
        <v/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8">
        <f t="shared" si="206"/>
        <v>41</v>
      </c>
      <c r="B167" s="173"/>
      <c r="C167" s="87" t="str">
        <f t="shared" ref="C167:D167" si="217">IF($B166&lt;&gt;"",C163,"")</f>
        <v/>
      </c>
      <c r="D167" s="87" t="str">
        <f t="shared" si="217"/>
        <v/>
      </c>
      <c r="E167" s="150"/>
      <c r="F167" s="150"/>
      <c r="G167" s="150"/>
      <c r="H167" s="150"/>
      <c r="I167" s="150"/>
      <c r="J167" s="150"/>
      <c r="K167" s="150"/>
      <c r="L167" s="150"/>
      <c r="M167" s="150"/>
      <c r="N167" s="150"/>
      <c r="O167" s="150"/>
      <c r="P167" s="150"/>
      <c r="Q167" s="150"/>
      <c r="R167" s="150"/>
      <c r="S167" s="150"/>
      <c r="T167" s="150"/>
      <c r="U167" s="150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8">
        <f t="shared" si="206"/>
        <v>41</v>
      </c>
      <c r="B168" s="173"/>
      <c r="C168" s="87" t="str">
        <f t="shared" ref="C168:D168" si="218">IF($B166&lt;&gt;"",C164,"")</f>
        <v/>
      </c>
      <c r="D168" s="87" t="str">
        <f t="shared" si="218"/>
        <v/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8">
        <f t="shared" si="206"/>
        <v>41</v>
      </c>
      <c r="B169" s="174"/>
      <c r="C169" s="87" t="str">
        <f t="shared" ref="C169:D169" si="219">IF($B166&lt;&gt;"",C165,"")</f>
        <v/>
      </c>
      <c r="D169" s="87" t="str">
        <f t="shared" si="219"/>
        <v/>
      </c>
      <c r="E169" s="150"/>
      <c r="F169" s="150"/>
      <c r="G169" s="150"/>
      <c r="H169" s="150"/>
      <c r="I169" s="150"/>
      <c r="J169" s="150"/>
      <c r="K169" s="150"/>
      <c r="L169" s="150"/>
      <c r="M169" s="150"/>
      <c r="N169" s="150"/>
      <c r="O169" s="150"/>
      <c r="P169" s="150"/>
      <c r="Q169" s="150"/>
      <c r="R169" s="150"/>
      <c r="S169" s="150"/>
      <c r="T169" s="150"/>
      <c r="U169" s="150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8">
        <f t="shared" ref="A170" si="220">$A166+1</f>
        <v>42</v>
      </c>
      <c r="B170" s="172" t="str">
        <f>IFERROR(INDEX(TBL_LNG_IMPORTERS_CONNECTIONS[Name],$A170),"")</f>
        <v/>
      </c>
      <c r="C170" s="87" t="str">
        <f t="shared" ref="C170:D170" si="221">IF($B170&lt;&gt;"",C166,"")</f>
        <v/>
      </c>
      <c r="D170" s="87" t="str">
        <f t="shared" si="221"/>
        <v/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8">
        <f t="shared" si="206"/>
        <v>42</v>
      </c>
      <c r="B171" s="173"/>
      <c r="C171" s="87" t="str">
        <f t="shared" ref="C171:D171" si="222">IF($B170&lt;&gt;"",C167,"")</f>
        <v/>
      </c>
      <c r="D171" s="87" t="str">
        <f t="shared" si="222"/>
        <v/>
      </c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0"/>
      <c r="S171" s="150"/>
      <c r="T171" s="150"/>
      <c r="U171" s="150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8">
        <f t="shared" si="206"/>
        <v>42</v>
      </c>
      <c r="B172" s="173"/>
      <c r="C172" s="87" t="str">
        <f t="shared" ref="C172:D172" si="223">IF($B170&lt;&gt;"",C168,"")</f>
        <v/>
      </c>
      <c r="D172" s="87" t="str">
        <f t="shared" si="223"/>
        <v/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8">
        <f t="shared" si="206"/>
        <v>42</v>
      </c>
      <c r="B173" s="174"/>
      <c r="C173" s="87" t="str">
        <f t="shared" ref="C173:D173" si="224">IF($B170&lt;&gt;"",C169,"")</f>
        <v/>
      </c>
      <c r="D173" s="87" t="str">
        <f t="shared" si="224"/>
        <v/>
      </c>
      <c r="E173" s="150"/>
      <c r="F173" s="150"/>
      <c r="G173" s="150"/>
      <c r="H173" s="150"/>
      <c r="I173" s="150"/>
      <c r="J173" s="150"/>
      <c r="K173" s="150"/>
      <c r="L173" s="150"/>
      <c r="M173" s="150"/>
      <c r="N173" s="150"/>
      <c r="O173" s="150"/>
      <c r="P173" s="150"/>
      <c r="Q173" s="150"/>
      <c r="R173" s="150"/>
      <c r="S173" s="150"/>
      <c r="T173" s="150"/>
      <c r="U173" s="150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8">
        <f t="shared" ref="A174" si="225">$A170+1</f>
        <v>43</v>
      </c>
      <c r="B174" s="172" t="str">
        <f>IFERROR(INDEX(TBL_LNG_IMPORTERS_CONNECTIONS[Name],$A174),"")</f>
        <v/>
      </c>
      <c r="C174" s="87" t="str">
        <f t="shared" ref="C174:D174" si="226">IF($B174&lt;&gt;"",C170,"")</f>
        <v/>
      </c>
      <c r="D174" s="87" t="str">
        <f t="shared" si="226"/>
        <v/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8">
        <f t="shared" si="206"/>
        <v>43</v>
      </c>
      <c r="B175" s="173"/>
      <c r="C175" s="87" t="str">
        <f t="shared" ref="C175:D175" si="227">IF($B174&lt;&gt;"",C171,"")</f>
        <v/>
      </c>
      <c r="D175" s="87" t="str">
        <f t="shared" si="227"/>
        <v/>
      </c>
      <c r="E175" s="150"/>
      <c r="F175" s="150"/>
      <c r="G175" s="150"/>
      <c r="H175" s="150"/>
      <c r="I175" s="150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8">
        <f t="shared" si="206"/>
        <v>43</v>
      </c>
      <c r="B176" s="173"/>
      <c r="C176" s="87" t="str">
        <f t="shared" ref="C176:D176" si="228">IF($B174&lt;&gt;"",C172,"")</f>
        <v/>
      </c>
      <c r="D176" s="87" t="str">
        <f t="shared" si="228"/>
        <v/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8">
        <f t="shared" si="206"/>
        <v>43</v>
      </c>
      <c r="B177" s="174"/>
      <c r="C177" s="87" t="str">
        <f t="shared" ref="C177:D177" si="229">IF($B174&lt;&gt;"",C173,"")</f>
        <v/>
      </c>
      <c r="D177" s="87" t="str">
        <f t="shared" si="229"/>
        <v/>
      </c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8">
        <f t="shared" ref="A178" si="230">$A174+1</f>
        <v>44</v>
      </c>
      <c r="B178" s="172" t="str">
        <f>IFERROR(INDEX(TBL_LNG_IMPORTERS_CONNECTIONS[Name],$A178),"")</f>
        <v/>
      </c>
      <c r="C178" s="87" t="str">
        <f t="shared" ref="C178:D178" si="231">IF($B178&lt;&gt;"",C174,"")</f>
        <v/>
      </c>
      <c r="D178" s="87" t="str">
        <f t="shared" si="231"/>
        <v/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8">
        <f t="shared" ref="A179:A181" si="232">$A178</f>
        <v>44</v>
      </c>
      <c r="B179" s="173"/>
      <c r="C179" s="87" t="str">
        <f t="shared" ref="C179:D179" si="233">IF($B178&lt;&gt;"",C175,"")</f>
        <v/>
      </c>
      <c r="D179" s="87" t="str">
        <f t="shared" si="233"/>
        <v/>
      </c>
      <c r="E179" s="150"/>
      <c r="F179" s="150"/>
      <c r="G179" s="150"/>
      <c r="H179" s="150"/>
      <c r="I179" s="150"/>
      <c r="J179" s="150"/>
      <c r="K179" s="150"/>
      <c r="L179" s="150"/>
      <c r="M179" s="150"/>
      <c r="N179" s="150"/>
      <c r="O179" s="150"/>
      <c r="P179" s="150"/>
      <c r="Q179" s="150"/>
      <c r="R179" s="150"/>
      <c r="S179" s="150"/>
      <c r="T179" s="150"/>
      <c r="U179" s="150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8">
        <f t="shared" si="232"/>
        <v>44</v>
      </c>
      <c r="B180" s="173"/>
      <c r="C180" s="87" t="str">
        <f t="shared" ref="C180:D180" si="234">IF($B178&lt;&gt;"",C176,"")</f>
        <v/>
      </c>
      <c r="D180" s="87" t="str">
        <f t="shared" si="234"/>
        <v/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8">
        <f t="shared" si="232"/>
        <v>44</v>
      </c>
      <c r="B181" s="174"/>
      <c r="C181" s="87" t="str">
        <f t="shared" ref="C181:D181" si="235">IF($B178&lt;&gt;"",C177,"")</f>
        <v/>
      </c>
      <c r="D181" s="87" t="str">
        <f t="shared" si="235"/>
        <v/>
      </c>
      <c r="E181" s="150"/>
      <c r="F181" s="150"/>
      <c r="G181" s="150"/>
      <c r="H181" s="150"/>
      <c r="I181" s="150"/>
      <c r="J181" s="150"/>
      <c r="K181" s="150"/>
      <c r="L181" s="150"/>
      <c r="M181" s="150"/>
      <c r="N181" s="150"/>
      <c r="O181" s="150"/>
      <c r="P181" s="150"/>
      <c r="Q181" s="150"/>
      <c r="R181" s="150"/>
      <c r="S181" s="150"/>
      <c r="T181" s="150"/>
      <c r="U181" s="150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8">
        <f t="shared" ref="A182" si="236">$A178+1</f>
        <v>45</v>
      </c>
      <c r="B182" s="172" t="str">
        <f>IFERROR(INDEX(TBL_LNG_IMPORTERS_CONNECTIONS[Name],$A182),"")</f>
        <v/>
      </c>
      <c r="C182" s="87" t="str">
        <f t="shared" ref="C182:D182" si="237">IF($B182&lt;&gt;"",C178,"")</f>
        <v/>
      </c>
      <c r="D182" s="87" t="str">
        <f t="shared" si="237"/>
        <v/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8">
        <f t="shared" ref="A183:A185" si="238">$A182</f>
        <v>45</v>
      </c>
      <c r="B183" s="173"/>
      <c r="C183" s="87" t="str">
        <f t="shared" ref="C183:D183" si="239">IF($B182&lt;&gt;"",C179,"")</f>
        <v/>
      </c>
      <c r="D183" s="87" t="str">
        <f t="shared" si="239"/>
        <v/>
      </c>
      <c r="E183" s="150"/>
      <c r="F183" s="150"/>
      <c r="G183" s="150"/>
      <c r="H183" s="150"/>
      <c r="I183" s="150"/>
      <c r="J183" s="150"/>
      <c r="K183" s="150"/>
      <c r="L183" s="150"/>
      <c r="M183" s="150"/>
      <c r="N183" s="150"/>
      <c r="O183" s="150"/>
      <c r="P183" s="150"/>
      <c r="Q183" s="150"/>
      <c r="R183" s="150"/>
      <c r="S183" s="150"/>
      <c r="T183" s="150"/>
      <c r="U183" s="150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8">
        <f t="shared" si="238"/>
        <v>45</v>
      </c>
      <c r="B184" s="173"/>
      <c r="C184" s="87" t="str">
        <f t="shared" ref="C184:D184" si="240">IF($B182&lt;&gt;"",C180,"")</f>
        <v/>
      </c>
      <c r="D184" s="87" t="str">
        <f t="shared" si="240"/>
        <v/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8">
        <f t="shared" si="238"/>
        <v>45</v>
      </c>
      <c r="B185" s="174"/>
      <c r="C185" s="87" t="str">
        <f t="shared" ref="C185:D185" si="241">IF($B182&lt;&gt;"",C181,"")</f>
        <v/>
      </c>
      <c r="D185" s="87" t="str">
        <f t="shared" si="241"/>
        <v/>
      </c>
      <c r="E185" s="150"/>
      <c r="F185" s="150"/>
      <c r="G185" s="150"/>
      <c r="H185" s="150"/>
      <c r="I185" s="150"/>
      <c r="J185" s="150"/>
      <c r="K185" s="150"/>
      <c r="L185" s="150"/>
      <c r="M185" s="150"/>
      <c r="N185" s="150"/>
      <c r="O185" s="150"/>
      <c r="P185" s="150"/>
      <c r="Q185" s="150"/>
      <c r="R185" s="150"/>
      <c r="S185" s="150"/>
      <c r="T185" s="150"/>
      <c r="U185" s="150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8">
        <f t="shared" ref="A186" si="242">$A182+1</f>
        <v>46</v>
      </c>
      <c r="B186" s="172" t="str">
        <f>IFERROR(INDEX(TBL_LNG_IMPORTERS_CONNECTIONS[Name],$A186),"")</f>
        <v/>
      </c>
      <c r="C186" s="87" t="str">
        <f t="shared" ref="C186:D186" si="243">IF($B186&lt;&gt;"",C182,"")</f>
        <v/>
      </c>
      <c r="D186" s="87" t="str">
        <f t="shared" si="243"/>
        <v/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8">
        <f t="shared" ref="A187:A189" si="244">$A186</f>
        <v>46</v>
      </c>
      <c r="B187" s="173"/>
      <c r="C187" s="87" t="str">
        <f t="shared" ref="C187:D187" si="245">IF($B186&lt;&gt;"",C183,"")</f>
        <v/>
      </c>
      <c r="D187" s="87" t="str">
        <f t="shared" si="245"/>
        <v/>
      </c>
      <c r="E187" s="150"/>
      <c r="F187" s="150"/>
      <c r="G187" s="150"/>
      <c r="H187" s="150"/>
      <c r="I187" s="150"/>
      <c r="J187" s="150"/>
      <c r="K187" s="150"/>
      <c r="L187" s="150"/>
      <c r="M187" s="150"/>
      <c r="N187" s="150"/>
      <c r="O187" s="150"/>
      <c r="P187" s="150"/>
      <c r="Q187" s="150"/>
      <c r="R187" s="150"/>
      <c r="S187" s="150"/>
      <c r="T187" s="150"/>
      <c r="U187" s="150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8">
        <f t="shared" si="244"/>
        <v>46</v>
      </c>
      <c r="B188" s="173"/>
      <c r="C188" s="87" t="str">
        <f t="shared" ref="C188:D188" si="246">IF($B186&lt;&gt;"",C184,"")</f>
        <v/>
      </c>
      <c r="D188" s="87" t="str">
        <f t="shared" si="246"/>
        <v/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8">
        <f t="shared" si="244"/>
        <v>46</v>
      </c>
      <c r="B189" s="174"/>
      <c r="C189" s="87" t="str">
        <f t="shared" ref="C189:D189" si="247">IF($B186&lt;&gt;"",C185,"")</f>
        <v/>
      </c>
      <c r="D189" s="87" t="str">
        <f t="shared" si="247"/>
        <v/>
      </c>
      <c r="E189" s="150"/>
      <c r="F189" s="150"/>
      <c r="G189" s="150"/>
      <c r="H189" s="150"/>
      <c r="I189" s="150"/>
      <c r="J189" s="150"/>
      <c r="K189" s="150"/>
      <c r="L189" s="150"/>
      <c r="M189" s="150"/>
      <c r="N189" s="150"/>
      <c r="O189" s="150"/>
      <c r="P189" s="150"/>
      <c r="Q189" s="150"/>
      <c r="R189" s="150"/>
      <c r="S189" s="150"/>
      <c r="T189" s="150"/>
      <c r="U189" s="150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8">
        <f t="shared" ref="A190" si="248">$A186+1</f>
        <v>47</v>
      </c>
      <c r="B190" s="172" t="str">
        <f>IFERROR(INDEX(TBL_LNG_IMPORTERS_CONNECTIONS[Name],$A190),"")</f>
        <v/>
      </c>
      <c r="C190" s="87" t="str">
        <f t="shared" ref="C190:D190" si="249">IF($B190&lt;&gt;"",C186,"")</f>
        <v/>
      </c>
      <c r="D190" s="87" t="str">
        <f t="shared" si="249"/>
        <v/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8">
        <f t="shared" ref="A191:A193" si="250">$A190</f>
        <v>47</v>
      </c>
      <c r="B191" s="173"/>
      <c r="C191" s="87" t="str">
        <f t="shared" ref="C191:D191" si="251">IF($B190&lt;&gt;"",C187,"")</f>
        <v/>
      </c>
      <c r="D191" s="87" t="str">
        <f t="shared" si="251"/>
        <v/>
      </c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8">
        <f t="shared" si="250"/>
        <v>47</v>
      </c>
      <c r="B192" s="173"/>
      <c r="C192" s="87" t="str">
        <f t="shared" ref="C192:D192" si="252">IF($B190&lt;&gt;"",C188,"")</f>
        <v/>
      </c>
      <c r="D192" s="87" t="str">
        <f t="shared" si="252"/>
        <v/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8">
        <f t="shared" si="250"/>
        <v>47</v>
      </c>
      <c r="B193" s="174"/>
      <c r="C193" s="87" t="str">
        <f t="shared" ref="C193:D193" si="253">IF($B190&lt;&gt;"",C189,"")</f>
        <v/>
      </c>
      <c r="D193" s="87" t="str">
        <f t="shared" si="253"/>
        <v/>
      </c>
      <c r="E193" s="150"/>
      <c r="F193" s="150"/>
      <c r="G193" s="150"/>
      <c r="H193" s="150"/>
      <c r="I193" s="150"/>
      <c r="J193" s="150"/>
      <c r="K193" s="150"/>
      <c r="L193" s="150"/>
      <c r="M193" s="150"/>
      <c r="N193" s="150"/>
      <c r="O193" s="150"/>
      <c r="P193" s="150"/>
      <c r="Q193" s="150"/>
      <c r="R193" s="150"/>
      <c r="S193" s="150"/>
      <c r="T193" s="150"/>
      <c r="U193" s="150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8">
        <f t="shared" ref="A194" si="254">$A190+1</f>
        <v>48</v>
      </c>
      <c r="B194" s="172" t="str">
        <f>IFERROR(INDEX(TBL_LNG_IMPORTERS_CONNECTIONS[Name],$A194),"")</f>
        <v/>
      </c>
      <c r="C194" s="87" t="str">
        <f t="shared" ref="C194:D194" si="255">IF($B194&lt;&gt;"",C190,"")</f>
        <v/>
      </c>
      <c r="D194" s="87" t="str">
        <f t="shared" si="255"/>
        <v/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8">
        <f t="shared" ref="A195:A197" si="256">$A194</f>
        <v>48</v>
      </c>
      <c r="B195" s="173"/>
      <c r="C195" s="87" t="str">
        <f t="shared" ref="C195:D195" si="257">IF($B194&lt;&gt;"",C191,"")</f>
        <v/>
      </c>
      <c r="D195" s="87" t="str">
        <f t="shared" si="257"/>
        <v/>
      </c>
      <c r="E195" s="150"/>
      <c r="F195" s="150"/>
      <c r="G195" s="150"/>
      <c r="H195" s="150"/>
      <c r="I195" s="150"/>
      <c r="J195" s="150"/>
      <c r="K195" s="150"/>
      <c r="L195" s="150"/>
      <c r="M195" s="150"/>
      <c r="N195" s="150"/>
      <c r="O195" s="150"/>
      <c r="P195" s="150"/>
      <c r="Q195" s="150"/>
      <c r="R195" s="150"/>
      <c r="S195" s="150"/>
      <c r="T195" s="150"/>
      <c r="U195" s="150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8">
        <f t="shared" si="256"/>
        <v>48</v>
      </c>
      <c r="B196" s="173"/>
      <c r="C196" s="87" t="str">
        <f t="shared" ref="C196:D196" si="258">IF($B194&lt;&gt;"",C192,"")</f>
        <v/>
      </c>
      <c r="D196" s="87" t="str">
        <f t="shared" si="258"/>
        <v/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8">
        <f t="shared" si="256"/>
        <v>48</v>
      </c>
      <c r="B197" s="174"/>
      <c r="C197" s="87" t="str">
        <f t="shared" ref="C197:D197" si="259">IF($B194&lt;&gt;"",C193,"")</f>
        <v/>
      </c>
      <c r="D197" s="87" t="str">
        <f t="shared" si="259"/>
        <v/>
      </c>
      <c r="E197" s="150"/>
      <c r="F197" s="150"/>
      <c r="G197" s="150"/>
      <c r="H197" s="150"/>
      <c r="I197" s="150"/>
      <c r="J197" s="150"/>
      <c r="K197" s="150"/>
      <c r="L197" s="150"/>
      <c r="M197" s="150"/>
      <c r="N197" s="150"/>
      <c r="O197" s="150"/>
      <c r="P197" s="150"/>
      <c r="Q197" s="150"/>
      <c r="R197" s="150"/>
      <c r="S197" s="150"/>
      <c r="T197" s="150"/>
      <c r="U197" s="150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8">
        <f t="shared" ref="A198" si="260">$A194+1</f>
        <v>49</v>
      </c>
      <c r="B198" s="172" t="str">
        <f>IFERROR(INDEX(TBL_LNG_IMPORTERS_CONNECTIONS[Name],$A198),"")</f>
        <v/>
      </c>
      <c r="C198" s="87" t="str">
        <f t="shared" ref="C198:D198" si="261">IF($B198&lt;&gt;"",C194,"")</f>
        <v/>
      </c>
      <c r="D198" s="87" t="str">
        <f t="shared" si="261"/>
        <v/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8">
        <f t="shared" ref="A199:A217" si="262">$A198</f>
        <v>49</v>
      </c>
      <c r="B199" s="173"/>
      <c r="C199" s="87" t="str">
        <f t="shared" ref="C199:D199" si="263">IF($B198&lt;&gt;"",C195,"")</f>
        <v/>
      </c>
      <c r="D199" s="87" t="str">
        <f t="shared" si="263"/>
        <v/>
      </c>
      <c r="E199" s="150"/>
      <c r="F199" s="150"/>
      <c r="G199" s="150"/>
      <c r="H199" s="150"/>
      <c r="I199" s="150"/>
      <c r="J199" s="150"/>
      <c r="K199" s="150"/>
      <c r="L199" s="150"/>
      <c r="M199" s="150"/>
      <c r="N199" s="150"/>
      <c r="O199" s="150"/>
      <c r="P199" s="150"/>
      <c r="Q199" s="150"/>
      <c r="R199" s="150"/>
      <c r="S199" s="150"/>
      <c r="T199" s="150"/>
      <c r="U199" s="150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8">
        <f t="shared" si="262"/>
        <v>49</v>
      </c>
      <c r="B200" s="173"/>
      <c r="C200" s="87" t="str">
        <f t="shared" ref="C200:D200" si="264">IF($B198&lt;&gt;"",C196,"")</f>
        <v/>
      </c>
      <c r="D200" s="87" t="str">
        <f t="shared" si="264"/>
        <v/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8">
        <f t="shared" si="262"/>
        <v>49</v>
      </c>
      <c r="B201" s="174"/>
      <c r="C201" s="87" t="str">
        <f t="shared" ref="C201:D201" si="265">IF($B198&lt;&gt;"",C197,"")</f>
        <v/>
      </c>
      <c r="D201" s="87" t="str">
        <f t="shared" si="265"/>
        <v/>
      </c>
      <c r="E201" s="150"/>
      <c r="F201" s="150"/>
      <c r="G201" s="150"/>
      <c r="H201" s="150"/>
      <c r="I201" s="150"/>
      <c r="J201" s="150"/>
      <c r="K201" s="150"/>
      <c r="L201" s="150"/>
      <c r="M201" s="150"/>
      <c r="N201" s="150"/>
      <c r="O201" s="150"/>
      <c r="P201" s="150"/>
      <c r="Q201" s="150"/>
      <c r="R201" s="150"/>
      <c r="S201" s="150"/>
      <c r="T201" s="150"/>
      <c r="U201" s="150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8">
        <f t="shared" ref="A202" si="266">$A198+1</f>
        <v>50</v>
      </c>
      <c r="B202" s="172" t="str">
        <f>IFERROR(INDEX(TBL_LNG_IMPORTERS_CONNECTIONS[Name],$A202),"")</f>
        <v/>
      </c>
      <c r="C202" s="87" t="str">
        <f t="shared" ref="C202:D202" si="267">IF($B202&lt;&gt;"",C198,"")</f>
        <v/>
      </c>
      <c r="D202" s="87" t="str">
        <f t="shared" si="267"/>
        <v/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8">
        <f t="shared" si="262"/>
        <v>50</v>
      </c>
      <c r="B203" s="173"/>
      <c r="C203" s="87" t="str">
        <f t="shared" ref="C203:D203" si="268">IF($B202&lt;&gt;"",C199,"")</f>
        <v/>
      </c>
      <c r="D203" s="87" t="str">
        <f t="shared" si="268"/>
        <v/>
      </c>
      <c r="E203" s="150"/>
      <c r="F203" s="150"/>
      <c r="G203" s="150"/>
      <c r="H203" s="150"/>
      <c r="I203" s="150"/>
      <c r="J203" s="150"/>
      <c r="K203" s="150"/>
      <c r="L203" s="150"/>
      <c r="M203" s="150"/>
      <c r="N203" s="150"/>
      <c r="O203" s="150"/>
      <c r="P203" s="150"/>
      <c r="Q203" s="150"/>
      <c r="R203" s="150"/>
      <c r="S203" s="150"/>
      <c r="T203" s="150"/>
      <c r="U203" s="150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8">
        <f t="shared" si="262"/>
        <v>50</v>
      </c>
      <c r="B204" s="173"/>
      <c r="C204" s="87" t="str">
        <f t="shared" ref="C204:D204" si="269">IF($B202&lt;&gt;"",C200,"")</f>
        <v/>
      </c>
      <c r="D204" s="87" t="str">
        <f t="shared" si="269"/>
        <v/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8">
        <f t="shared" si="262"/>
        <v>50</v>
      </c>
      <c r="B205" s="174"/>
      <c r="C205" s="87" t="str">
        <f t="shared" ref="C205:D205" si="270">IF($B202&lt;&gt;"",C201,"")</f>
        <v/>
      </c>
      <c r="D205" s="87" t="str">
        <f t="shared" si="270"/>
        <v/>
      </c>
      <c r="E205" s="150"/>
      <c r="F205" s="150"/>
      <c r="G205" s="150"/>
      <c r="H205" s="150"/>
      <c r="I205" s="150"/>
      <c r="J205" s="150"/>
      <c r="K205" s="150"/>
      <c r="L205" s="150"/>
      <c r="M205" s="150"/>
      <c r="N205" s="150"/>
      <c r="O205" s="150"/>
      <c r="P205" s="150"/>
      <c r="Q205" s="150"/>
      <c r="R205" s="150"/>
      <c r="S205" s="150"/>
      <c r="T205" s="150"/>
      <c r="U205" s="150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8">
        <f t="shared" ref="A206" si="271">$A202+1</f>
        <v>51</v>
      </c>
      <c r="B206" s="172" t="str">
        <f>IFERROR(INDEX(TBL_LNG_IMPORTERS_CONNECTIONS[Name],$A206),"")</f>
        <v/>
      </c>
      <c r="C206" s="87" t="str">
        <f t="shared" ref="C206:D206" si="272">IF($B206&lt;&gt;"",C202,"")</f>
        <v/>
      </c>
      <c r="D206" s="87" t="str">
        <f t="shared" si="272"/>
        <v/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8">
        <f t="shared" si="262"/>
        <v>51</v>
      </c>
      <c r="B207" s="173"/>
      <c r="C207" s="87" t="str">
        <f t="shared" ref="C207:D207" si="273">IF($B206&lt;&gt;"",C203,"")</f>
        <v/>
      </c>
      <c r="D207" s="87" t="str">
        <f t="shared" si="273"/>
        <v/>
      </c>
      <c r="E207" s="150"/>
      <c r="F207" s="150"/>
      <c r="G207" s="150"/>
      <c r="H207" s="150"/>
      <c r="I207" s="150"/>
      <c r="J207" s="150"/>
      <c r="K207" s="150"/>
      <c r="L207" s="150"/>
      <c r="M207" s="150"/>
      <c r="N207" s="150"/>
      <c r="O207" s="150"/>
      <c r="P207" s="150"/>
      <c r="Q207" s="150"/>
      <c r="R207" s="150"/>
      <c r="S207" s="150"/>
      <c r="T207" s="150"/>
      <c r="U207" s="150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8">
        <f t="shared" si="262"/>
        <v>51</v>
      </c>
      <c r="B208" s="173"/>
      <c r="C208" s="87" t="str">
        <f t="shared" ref="C208:D208" si="274">IF($B206&lt;&gt;"",C204,"")</f>
        <v/>
      </c>
      <c r="D208" s="87" t="str">
        <f t="shared" si="274"/>
        <v/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8">
        <f t="shared" si="262"/>
        <v>51</v>
      </c>
      <c r="B209" s="174"/>
      <c r="C209" s="87" t="str">
        <f t="shared" ref="C209:D209" si="275">IF($B206&lt;&gt;"",C205,"")</f>
        <v/>
      </c>
      <c r="D209" s="87" t="str">
        <f t="shared" si="275"/>
        <v/>
      </c>
      <c r="E209" s="150"/>
      <c r="F209" s="150"/>
      <c r="G209" s="150"/>
      <c r="H209" s="150"/>
      <c r="I209" s="150"/>
      <c r="J209" s="150"/>
      <c r="K209" s="150"/>
      <c r="L209" s="150"/>
      <c r="M209" s="150"/>
      <c r="N209" s="150"/>
      <c r="O209" s="150"/>
      <c r="P209" s="150"/>
      <c r="Q209" s="150"/>
      <c r="R209" s="150"/>
      <c r="S209" s="150"/>
      <c r="T209" s="150"/>
      <c r="U209" s="150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8">
        <f t="shared" ref="A210" si="276">$A206+1</f>
        <v>52</v>
      </c>
      <c r="B210" s="172" t="str">
        <f>IFERROR(INDEX(TBL_LNG_IMPORTERS_CONNECTIONS[Name],$A210),"")</f>
        <v/>
      </c>
      <c r="C210" s="87" t="str">
        <f t="shared" ref="C210:D210" si="277">IF($B210&lt;&gt;"",C206,"")</f>
        <v/>
      </c>
      <c r="D210" s="87" t="str">
        <f t="shared" si="277"/>
        <v/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8">
        <f t="shared" si="262"/>
        <v>52</v>
      </c>
      <c r="B211" s="173"/>
      <c r="C211" s="87" t="str">
        <f t="shared" ref="C211:D211" si="278">IF($B210&lt;&gt;"",C207,"")</f>
        <v/>
      </c>
      <c r="D211" s="87" t="str">
        <f t="shared" si="278"/>
        <v/>
      </c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0"/>
      <c r="R211" s="150"/>
      <c r="S211" s="150"/>
      <c r="T211" s="150"/>
      <c r="U211" s="150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8">
        <f t="shared" si="262"/>
        <v>52</v>
      </c>
      <c r="B212" s="173"/>
      <c r="C212" s="87" t="str">
        <f t="shared" ref="C212:D212" si="279">IF($B210&lt;&gt;"",C208,"")</f>
        <v/>
      </c>
      <c r="D212" s="87" t="str">
        <f t="shared" si="279"/>
        <v/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8">
        <f t="shared" si="262"/>
        <v>52</v>
      </c>
      <c r="B213" s="174"/>
      <c r="C213" s="87" t="str">
        <f t="shared" ref="C213:D213" si="280">IF($B210&lt;&gt;"",C209,"")</f>
        <v/>
      </c>
      <c r="D213" s="87" t="str">
        <f t="shared" si="280"/>
        <v/>
      </c>
      <c r="E213" s="150"/>
      <c r="F213" s="150"/>
      <c r="G213" s="150"/>
      <c r="H213" s="150"/>
      <c r="I213" s="150"/>
      <c r="J213" s="150"/>
      <c r="K213" s="150"/>
      <c r="L213" s="150"/>
      <c r="M213" s="150"/>
      <c r="N213" s="150"/>
      <c r="O213" s="150"/>
      <c r="P213" s="150"/>
      <c r="Q213" s="150"/>
      <c r="R213" s="150"/>
      <c r="S213" s="150"/>
      <c r="T213" s="150"/>
      <c r="U213" s="150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8">
        <f t="shared" ref="A214" si="281">$A210+1</f>
        <v>53</v>
      </c>
      <c r="B214" s="172" t="str">
        <f>IFERROR(INDEX(TBL_LNG_IMPORTERS_CONNECTIONS[Name],$A214),"")</f>
        <v/>
      </c>
      <c r="C214" s="87" t="str">
        <f t="shared" ref="C214:D214" si="282">IF($B214&lt;&gt;"",C210,"")</f>
        <v/>
      </c>
      <c r="D214" s="87" t="str">
        <f t="shared" si="282"/>
        <v/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8">
        <f t="shared" si="262"/>
        <v>53</v>
      </c>
      <c r="B215" s="173"/>
      <c r="C215" s="87" t="str">
        <f t="shared" ref="C215:D215" si="283">IF($B214&lt;&gt;"",C211,"")</f>
        <v/>
      </c>
      <c r="D215" s="87" t="str">
        <f t="shared" si="283"/>
        <v/>
      </c>
      <c r="E215" s="150"/>
      <c r="F215" s="150"/>
      <c r="G215" s="150"/>
      <c r="H215" s="150"/>
      <c r="I215" s="150"/>
      <c r="J215" s="150"/>
      <c r="K215" s="150"/>
      <c r="L215" s="150"/>
      <c r="M215" s="150"/>
      <c r="N215" s="150"/>
      <c r="O215" s="150"/>
      <c r="P215" s="150"/>
      <c r="Q215" s="150"/>
      <c r="R215" s="150"/>
      <c r="S215" s="150"/>
      <c r="T215" s="150"/>
      <c r="U215" s="150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8">
        <f t="shared" si="262"/>
        <v>53</v>
      </c>
      <c r="B216" s="173"/>
      <c r="C216" s="87" t="str">
        <f t="shared" ref="C216:D216" si="284">IF($B214&lt;&gt;"",C212,"")</f>
        <v/>
      </c>
      <c r="D216" s="87" t="str">
        <f t="shared" si="284"/>
        <v/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8">
        <f t="shared" si="262"/>
        <v>53</v>
      </c>
      <c r="B217" s="174"/>
      <c r="C217" s="87" t="str">
        <f t="shared" ref="C217:D217" si="285">IF($B214&lt;&gt;"",C213,"")</f>
        <v/>
      </c>
      <c r="D217" s="87" t="str">
        <f t="shared" si="285"/>
        <v/>
      </c>
      <c r="E217" s="150"/>
      <c r="F217" s="150"/>
      <c r="G217" s="150"/>
      <c r="H217" s="150"/>
      <c r="I217" s="150"/>
      <c r="J217" s="150"/>
      <c r="K217" s="150"/>
      <c r="L217" s="150"/>
      <c r="M217" s="150"/>
      <c r="N217" s="150"/>
      <c r="O217" s="150"/>
      <c r="P217" s="150"/>
      <c r="Q217" s="150"/>
      <c r="R217" s="150"/>
      <c r="S217" s="150"/>
      <c r="T217" s="150"/>
      <c r="U217" s="150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8">
        <f t="shared" ref="A218" si="286">$A214+1</f>
        <v>54</v>
      </c>
      <c r="B218" s="172" t="str">
        <f>IFERROR(INDEX(TBL_LNG_IMPORTERS_CONNECTIONS[Name],$A218),"")</f>
        <v/>
      </c>
      <c r="C218" s="87" t="str">
        <f t="shared" ref="C218:D218" si="287">IF($B218&lt;&gt;"",C214,"")</f>
        <v/>
      </c>
      <c r="D218" s="87" t="str">
        <f t="shared" si="287"/>
        <v/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8">
        <f t="shared" ref="A219:A221" si="288">$A218</f>
        <v>54</v>
      </c>
      <c r="B219" s="173"/>
      <c r="C219" s="87" t="str">
        <f t="shared" ref="C219:D219" si="289">IF($B218&lt;&gt;"",C215,"")</f>
        <v/>
      </c>
      <c r="D219" s="87" t="str">
        <f t="shared" si="289"/>
        <v/>
      </c>
      <c r="E219" s="150"/>
      <c r="F219" s="150"/>
      <c r="G219" s="150"/>
      <c r="H219" s="150"/>
      <c r="I219" s="150"/>
      <c r="J219" s="150"/>
      <c r="K219" s="150"/>
      <c r="L219" s="150"/>
      <c r="M219" s="150"/>
      <c r="N219" s="150"/>
      <c r="O219" s="150"/>
      <c r="P219" s="150"/>
      <c r="Q219" s="150"/>
      <c r="R219" s="150"/>
      <c r="S219" s="150"/>
      <c r="T219" s="150"/>
      <c r="U219" s="150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8">
        <f t="shared" si="288"/>
        <v>54</v>
      </c>
      <c r="B220" s="173"/>
      <c r="C220" s="87" t="str">
        <f t="shared" ref="C220:D220" si="290">IF($B218&lt;&gt;"",C216,"")</f>
        <v/>
      </c>
      <c r="D220" s="87" t="str">
        <f t="shared" si="290"/>
        <v/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8">
        <f t="shared" si="288"/>
        <v>54</v>
      </c>
      <c r="B221" s="174"/>
      <c r="C221" s="87" t="str">
        <f t="shared" ref="C221:D221" si="291">IF($B218&lt;&gt;"",C217,"")</f>
        <v/>
      </c>
      <c r="D221" s="87" t="str">
        <f t="shared" si="291"/>
        <v/>
      </c>
      <c r="E221" s="150"/>
      <c r="F221" s="150"/>
      <c r="G221" s="150"/>
      <c r="H221" s="150"/>
      <c r="I221" s="150"/>
      <c r="J221" s="150"/>
      <c r="K221" s="150"/>
      <c r="L221" s="150"/>
      <c r="M221" s="150"/>
      <c r="N221" s="150"/>
      <c r="O221" s="150"/>
      <c r="P221" s="150"/>
      <c r="Q221" s="150"/>
      <c r="R221" s="150"/>
      <c r="S221" s="150"/>
      <c r="T221" s="150"/>
      <c r="U221" s="150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8">
        <f t="shared" ref="A222" si="292">$A218+1</f>
        <v>55</v>
      </c>
      <c r="B222" s="172" t="str">
        <f>IFERROR(INDEX(TBL_LNG_IMPORTERS_CONNECTIONS[Name],$A222),"")</f>
        <v/>
      </c>
      <c r="C222" s="87" t="str">
        <f t="shared" ref="C222:D222" si="293">IF($B222&lt;&gt;"",C218,"")</f>
        <v/>
      </c>
      <c r="D222" s="87" t="str">
        <f t="shared" si="293"/>
        <v/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8">
        <f t="shared" ref="A223:A225" si="294">$A222</f>
        <v>55</v>
      </c>
      <c r="B223" s="173"/>
      <c r="C223" s="87" t="str">
        <f t="shared" ref="C223:D223" si="295">IF($B222&lt;&gt;"",C219,"")</f>
        <v/>
      </c>
      <c r="D223" s="87" t="str">
        <f t="shared" si="295"/>
        <v/>
      </c>
      <c r="E223" s="150"/>
      <c r="F223" s="150"/>
      <c r="G223" s="150"/>
      <c r="H223" s="150"/>
      <c r="I223" s="150"/>
      <c r="J223" s="150"/>
      <c r="K223" s="150"/>
      <c r="L223" s="150"/>
      <c r="M223" s="150"/>
      <c r="N223" s="150"/>
      <c r="O223" s="150"/>
      <c r="P223" s="150"/>
      <c r="Q223" s="150"/>
      <c r="R223" s="150"/>
      <c r="S223" s="150"/>
      <c r="T223" s="150"/>
      <c r="U223" s="150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8">
        <f t="shared" si="294"/>
        <v>55</v>
      </c>
      <c r="B224" s="173"/>
      <c r="C224" s="87" t="str">
        <f t="shared" ref="C224:D224" si="296">IF($B222&lt;&gt;"",C220,"")</f>
        <v/>
      </c>
      <c r="D224" s="87" t="str">
        <f t="shared" si="296"/>
        <v/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8">
        <f t="shared" si="294"/>
        <v>55</v>
      </c>
      <c r="B225" s="174"/>
      <c r="C225" s="87" t="str">
        <f t="shared" ref="C225:D225" si="297">IF($B222&lt;&gt;"",C221,"")</f>
        <v/>
      </c>
      <c r="D225" s="87" t="str">
        <f t="shared" si="297"/>
        <v/>
      </c>
      <c r="E225" s="150"/>
      <c r="F225" s="150"/>
      <c r="G225" s="150"/>
      <c r="H225" s="150"/>
      <c r="I225" s="150"/>
      <c r="J225" s="150"/>
      <c r="K225" s="150"/>
      <c r="L225" s="150"/>
      <c r="M225" s="150"/>
      <c r="N225" s="150"/>
      <c r="O225" s="150"/>
      <c r="P225" s="150"/>
      <c r="Q225" s="150"/>
      <c r="R225" s="150"/>
      <c r="S225" s="150"/>
      <c r="T225" s="150"/>
      <c r="U225" s="150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8">
        <f t="shared" ref="A226" si="298">$A222+1</f>
        <v>56</v>
      </c>
      <c r="B226" s="172" t="str">
        <f>IFERROR(INDEX(TBL_LNG_IMPORTERS_CONNECTIONS[Name],$A226),"")</f>
        <v/>
      </c>
      <c r="C226" s="87" t="str">
        <f t="shared" ref="C226:D226" si="299">IF($B226&lt;&gt;"",C222,"")</f>
        <v/>
      </c>
      <c r="D226" s="87" t="str">
        <f t="shared" si="299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8">
        <f t="shared" ref="A227:A229" si="300">$A226</f>
        <v>56</v>
      </c>
      <c r="B227" s="173"/>
      <c r="C227" s="87" t="str">
        <f t="shared" ref="C227:D227" si="301">IF($B226&lt;&gt;"",C223,"")</f>
        <v/>
      </c>
      <c r="D227" s="87" t="str">
        <f t="shared" si="301"/>
        <v/>
      </c>
      <c r="E227" s="150"/>
      <c r="F227" s="150"/>
      <c r="G227" s="150"/>
      <c r="H227" s="150"/>
      <c r="I227" s="150"/>
      <c r="J227" s="150"/>
      <c r="K227" s="150"/>
      <c r="L227" s="150"/>
      <c r="M227" s="150"/>
      <c r="N227" s="150"/>
      <c r="O227" s="150"/>
      <c r="P227" s="150"/>
      <c r="Q227" s="150"/>
      <c r="R227" s="150"/>
      <c r="S227" s="150"/>
      <c r="T227" s="150"/>
      <c r="U227" s="150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8">
        <f t="shared" si="300"/>
        <v>56</v>
      </c>
      <c r="B228" s="173"/>
      <c r="C228" s="87" t="str">
        <f t="shared" ref="C228:D228" si="302">IF($B226&lt;&gt;"",C224,"")</f>
        <v/>
      </c>
      <c r="D228" s="87" t="str">
        <f t="shared" si="302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8">
        <f t="shared" si="300"/>
        <v>56</v>
      </c>
      <c r="B229" s="174"/>
      <c r="C229" s="87" t="str">
        <f t="shared" ref="C229:D229" si="303">IF($B226&lt;&gt;"",C225,"")</f>
        <v/>
      </c>
      <c r="D229" s="87" t="str">
        <f t="shared" si="303"/>
        <v/>
      </c>
      <c r="E229" s="150"/>
      <c r="F229" s="150"/>
      <c r="G229" s="150"/>
      <c r="H229" s="150"/>
      <c r="I229" s="150"/>
      <c r="J229" s="150"/>
      <c r="K229" s="150"/>
      <c r="L229" s="150"/>
      <c r="M229" s="150"/>
      <c r="N229" s="150"/>
      <c r="O229" s="150"/>
      <c r="P229" s="150"/>
      <c r="Q229" s="150"/>
      <c r="R229" s="150"/>
      <c r="S229" s="150"/>
      <c r="T229" s="150"/>
      <c r="U229" s="150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8">
        <f t="shared" ref="A230" si="304">$A226+1</f>
        <v>57</v>
      </c>
      <c r="B230" s="172" t="str">
        <f>IFERROR(INDEX(TBL_LNG_IMPORTERS_CONNECTIONS[Name],$A230),"")</f>
        <v/>
      </c>
      <c r="C230" s="87" t="str">
        <f t="shared" ref="C230:D230" si="305">IF($B230&lt;&gt;"",C226,"")</f>
        <v/>
      </c>
      <c r="D230" s="87" t="str">
        <f t="shared" si="305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8">
        <f t="shared" ref="A231:A233" si="306">$A230</f>
        <v>57</v>
      </c>
      <c r="B231" s="173"/>
      <c r="C231" s="87" t="str">
        <f t="shared" ref="C231:D231" si="307">IF($B230&lt;&gt;"",C227,"")</f>
        <v/>
      </c>
      <c r="D231" s="87" t="str">
        <f t="shared" si="307"/>
        <v/>
      </c>
      <c r="E231" s="150"/>
      <c r="F231" s="150"/>
      <c r="G231" s="150"/>
      <c r="H231" s="150"/>
      <c r="I231" s="150"/>
      <c r="J231" s="150"/>
      <c r="K231" s="150"/>
      <c r="L231" s="150"/>
      <c r="M231" s="150"/>
      <c r="N231" s="150"/>
      <c r="O231" s="150"/>
      <c r="P231" s="150"/>
      <c r="Q231" s="150"/>
      <c r="R231" s="150"/>
      <c r="S231" s="150"/>
      <c r="T231" s="150"/>
      <c r="U231" s="150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8">
        <f t="shared" si="306"/>
        <v>57</v>
      </c>
      <c r="B232" s="173"/>
      <c r="C232" s="87" t="str">
        <f t="shared" ref="C232:D232" si="308">IF($B230&lt;&gt;"",C228,"")</f>
        <v/>
      </c>
      <c r="D232" s="87" t="str">
        <f t="shared" si="308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8">
        <f t="shared" si="306"/>
        <v>57</v>
      </c>
      <c r="B233" s="174"/>
      <c r="C233" s="87" t="str">
        <f t="shared" ref="C233:D233" si="309">IF($B230&lt;&gt;"",C229,"")</f>
        <v/>
      </c>
      <c r="D233" s="87" t="str">
        <f t="shared" si="309"/>
        <v/>
      </c>
      <c r="E233" s="150"/>
      <c r="F233" s="150"/>
      <c r="G233" s="150"/>
      <c r="H233" s="150"/>
      <c r="I233" s="150"/>
      <c r="J233" s="150"/>
      <c r="K233" s="150"/>
      <c r="L233" s="150"/>
      <c r="M233" s="150"/>
      <c r="N233" s="150"/>
      <c r="O233" s="150"/>
      <c r="P233" s="150"/>
      <c r="Q233" s="150"/>
      <c r="R233" s="150"/>
      <c r="S233" s="150"/>
      <c r="T233" s="150"/>
      <c r="U233" s="150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8">
        <f t="shared" ref="A234" si="310">$A230+1</f>
        <v>58</v>
      </c>
      <c r="B234" s="172" t="str">
        <f>IFERROR(INDEX(TBL_LNG_IMPORTERS_CONNECTIONS[Name],$A234),"")</f>
        <v/>
      </c>
      <c r="C234" s="87" t="str">
        <f t="shared" ref="C234:D234" si="311">IF($B234&lt;&gt;"",C230,"")</f>
        <v/>
      </c>
      <c r="D234" s="87" t="str">
        <f t="shared" si="311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8">
        <f t="shared" ref="A235:A237" si="312">$A234</f>
        <v>58</v>
      </c>
      <c r="B235" s="173"/>
      <c r="C235" s="87" t="str">
        <f t="shared" ref="C235:D235" si="313">IF($B234&lt;&gt;"",C231,"")</f>
        <v/>
      </c>
      <c r="D235" s="87" t="str">
        <f t="shared" si="313"/>
        <v/>
      </c>
      <c r="E235" s="150"/>
      <c r="F235" s="150"/>
      <c r="G235" s="150"/>
      <c r="H235" s="150"/>
      <c r="I235" s="150"/>
      <c r="J235" s="150"/>
      <c r="K235" s="150"/>
      <c r="L235" s="150"/>
      <c r="M235" s="150"/>
      <c r="N235" s="150"/>
      <c r="O235" s="150"/>
      <c r="P235" s="150"/>
      <c r="Q235" s="150"/>
      <c r="R235" s="150"/>
      <c r="S235" s="150"/>
      <c r="T235" s="150"/>
      <c r="U235" s="150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8">
        <f t="shared" si="312"/>
        <v>58</v>
      </c>
      <c r="B236" s="173"/>
      <c r="C236" s="87" t="str">
        <f t="shared" ref="C236:D236" si="314">IF($B234&lt;&gt;"",C232,"")</f>
        <v/>
      </c>
      <c r="D236" s="87" t="str">
        <f t="shared" si="314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8">
        <f t="shared" si="312"/>
        <v>58</v>
      </c>
      <c r="B237" s="174"/>
      <c r="C237" s="87" t="str">
        <f t="shared" ref="C237:D237" si="315">IF($B234&lt;&gt;"",C233,"")</f>
        <v/>
      </c>
      <c r="D237" s="87" t="str">
        <f t="shared" si="315"/>
        <v/>
      </c>
      <c r="E237" s="150"/>
      <c r="F237" s="150"/>
      <c r="G237" s="150"/>
      <c r="H237" s="150"/>
      <c r="I237" s="150"/>
      <c r="J237" s="150"/>
      <c r="K237" s="150"/>
      <c r="L237" s="150"/>
      <c r="M237" s="150"/>
      <c r="N237" s="150"/>
      <c r="O237" s="150"/>
      <c r="P237" s="150"/>
      <c r="Q237" s="150"/>
      <c r="R237" s="150"/>
      <c r="S237" s="150"/>
      <c r="T237" s="150"/>
      <c r="U237" s="150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8">
        <f t="shared" ref="A238" si="316">$A234+1</f>
        <v>59</v>
      </c>
      <c r="B238" s="172" t="str">
        <f>IFERROR(INDEX(TBL_LNG_IMPORTERS_CONNECTIONS[Name],$A238),"")</f>
        <v/>
      </c>
      <c r="C238" s="87" t="str">
        <f t="shared" ref="C238:D238" si="317">IF($B238&lt;&gt;"",C234,"")</f>
        <v/>
      </c>
      <c r="D238" s="87" t="str">
        <f t="shared" si="317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8">
        <f t="shared" ref="A239:A257" si="318">$A238</f>
        <v>59</v>
      </c>
      <c r="B239" s="173"/>
      <c r="C239" s="87" t="str">
        <f t="shared" ref="C239:D239" si="319">IF($B238&lt;&gt;"",C235,"")</f>
        <v/>
      </c>
      <c r="D239" s="87" t="str">
        <f t="shared" si="319"/>
        <v/>
      </c>
      <c r="E239" s="150"/>
      <c r="F239" s="150"/>
      <c r="G239" s="150"/>
      <c r="H239" s="150"/>
      <c r="I239" s="150"/>
      <c r="J239" s="150"/>
      <c r="K239" s="150"/>
      <c r="L239" s="150"/>
      <c r="M239" s="150"/>
      <c r="N239" s="150"/>
      <c r="O239" s="150"/>
      <c r="P239" s="150"/>
      <c r="Q239" s="150"/>
      <c r="R239" s="150"/>
      <c r="S239" s="150"/>
      <c r="T239" s="150"/>
      <c r="U239" s="150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8">
        <f t="shared" si="318"/>
        <v>59</v>
      </c>
      <c r="B240" s="173"/>
      <c r="C240" s="87" t="str">
        <f t="shared" ref="C240:D240" si="320">IF($B238&lt;&gt;"",C236,"")</f>
        <v/>
      </c>
      <c r="D240" s="87" t="str">
        <f t="shared" si="320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8">
        <f t="shared" si="318"/>
        <v>59</v>
      </c>
      <c r="B241" s="174"/>
      <c r="C241" s="87" t="str">
        <f t="shared" ref="C241:D241" si="321">IF($B238&lt;&gt;"",C237,"")</f>
        <v/>
      </c>
      <c r="D241" s="87" t="str">
        <f t="shared" si="321"/>
        <v/>
      </c>
      <c r="E241" s="150"/>
      <c r="F241" s="150"/>
      <c r="G241" s="150"/>
      <c r="H241" s="150"/>
      <c r="I241" s="150"/>
      <c r="J241" s="150"/>
      <c r="K241" s="150"/>
      <c r="L241" s="150"/>
      <c r="M241" s="150"/>
      <c r="N241" s="150"/>
      <c r="O241" s="150"/>
      <c r="P241" s="150"/>
      <c r="Q241" s="150"/>
      <c r="R241" s="150"/>
      <c r="S241" s="150"/>
      <c r="T241" s="150"/>
      <c r="U241" s="150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8">
        <f t="shared" ref="A242" si="322">$A238+1</f>
        <v>60</v>
      </c>
      <c r="B242" s="172" t="str">
        <f>IFERROR(INDEX(TBL_LNG_IMPORTERS_CONNECTIONS[Name],$A242),"")</f>
        <v/>
      </c>
      <c r="C242" s="87" t="str">
        <f t="shared" ref="C242:D242" si="323">IF($B242&lt;&gt;"",C238,"")</f>
        <v/>
      </c>
      <c r="D242" s="87" t="str">
        <f t="shared" si="323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8">
        <f t="shared" si="318"/>
        <v>60</v>
      </c>
      <c r="B243" s="173"/>
      <c r="C243" s="87" t="str">
        <f t="shared" ref="C243:D243" si="324">IF($B242&lt;&gt;"",C239,"")</f>
        <v/>
      </c>
      <c r="D243" s="87" t="str">
        <f t="shared" si="324"/>
        <v/>
      </c>
      <c r="E243" s="150"/>
      <c r="F243" s="150"/>
      <c r="G243" s="150"/>
      <c r="H243" s="150"/>
      <c r="I243" s="150"/>
      <c r="J243" s="150"/>
      <c r="K243" s="150"/>
      <c r="L243" s="150"/>
      <c r="M243" s="150"/>
      <c r="N243" s="150"/>
      <c r="O243" s="150"/>
      <c r="P243" s="150"/>
      <c r="Q243" s="150"/>
      <c r="R243" s="150"/>
      <c r="S243" s="150"/>
      <c r="T243" s="150"/>
      <c r="U243" s="150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8">
        <f t="shared" si="318"/>
        <v>60</v>
      </c>
      <c r="B244" s="173"/>
      <c r="C244" s="87" t="str">
        <f t="shared" ref="C244:D244" si="325">IF($B242&lt;&gt;"",C240,"")</f>
        <v/>
      </c>
      <c r="D244" s="87" t="str">
        <f t="shared" si="325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8">
        <f t="shared" si="318"/>
        <v>60</v>
      </c>
      <c r="B245" s="174"/>
      <c r="C245" s="87" t="str">
        <f t="shared" ref="C245:D245" si="326">IF($B242&lt;&gt;"",C241,"")</f>
        <v/>
      </c>
      <c r="D245" s="87" t="str">
        <f t="shared" si="326"/>
        <v/>
      </c>
      <c r="E245" s="150"/>
      <c r="F245" s="150"/>
      <c r="G245" s="150"/>
      <c r="H245" s="150"/>
      <c r="I245" s="150"/>
      <c r="J245" s="150"/>
      <c r="K245" s="150"/>
      <c r="L245" s="150"/>
      <c r="M245" s="150"/>
      <c r="N245" s="150"/>
      <c r="O245" s="150"/>
      <c r="P245" s="150"/>
      <c r="Q245" s="150"/>
      <c r="R245" s="150"/>
      <c r="S245" s="150"/>
      <c r="T245" s="150"/>
      <c r="U245" s="150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8">
        <f t="shared" ref="A246" si="327">$A242+1</f>
        <v>61</v>
      </c>
      <c r="B246" s="172" t="str">
        <f>IFERROR(INDEX(TBL_LNG_IMPORTERS_CONNECTIONS[Name],$A246),"")</f>
        <v/>
      </c>
      <c r="C246" s="87" t="str">
        <f t="shared" ref="C246:D246" si="328">IF($B246&lt;&gt;"",C242,"")</f>
        <v/>
      </c>
      <c r="D246" s="87" t="str">
        <f t="shared" si="328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8">
        <f t="shared" si="318"/>
        <v>61</v>
      </c>
      <c r="B247" s="173"/>
      <c r="C247" s="87" t="str">
        <f t="shared" ref="C247:D247" si="329">IF($B246&lt;&gt;"",C243,"")</f>
        <v/>
      </c>
      <c r="D247" s="87" t="str">
        <f t="shared" si="329"/>
        <v/>
      </c>
      <c r="E247" s="150"/>
      <c r="F247" s="150"/>
      <c r="G247" s="150"/>
      <c r="H247" s="150"/>
      <c r="I247" s="150"/>
      <c r="J247" s="150"/>
      <c r="K247" s="150"/>
      <c r="L247" s="150"/>
      <c r="M247" s="150"/>
      <c r="N247" s="150"/>
      <c r="O247" s="150"/>
      <c r="P247" s="150"/>
      <c r="Q247" s="150"/>
      <c r="R247" s="150"/>
      <c r="S247" s="150"/>
      <c r="T247" s="150"/>
      <c r="U247" s="150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8">
        <f t="shared" si="318"/>
        <v>61</v>
      </c>
      <c r="B248" s="173"/>
      <c r="C248" s="87" t="str">
        <f t="shared" ref="C248:D248" si="330">IF($B246&lt;&gt;"",C244,"")</f>
        <v/>
      </c>
      <c r="D248" s="87" t="str">
        <f t="shared" si="330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8">
        <f t="shared" si="318"/>
        <v>61</v>
      </c>
      <c r="B249" s="174"/>
      <c r="C249" s="87" t="str">
        <f t="shared" ref="C249:D249" si="331">IF($B246&lt;&gt;"",C245,"")</f>
        <v/>
      </c>
      <c r="D249" s="87" t="str">
        <f t="shared" si="331"/>
        <v/>
      </c>
      <c r="E249" s="150"/>
      <c r="F249" s="150"/>
      <c r="G249" s="150"/>
      <c r="H249" s="150"/>
      <c r="I249" s="150"/>
      <c r="J249" s="150"/>
      <c r="K249" s="150"/>
      <c r="L249" s="150"/>
      <c r="M249" s="150"/>
      <c r="N249" s="150"/>
      <c r="O249" s="150"/>
      <c r="P249" s="150"/>
      <c r="Q249" s="150"/>
      <c r="R249" s="150"/>
      <c r="S249" s="150"/>
      <c r="T249" s="150"/>
      <c r="U249" s="150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8">
        <f t="shared" ref="A250" si="332">$A246+1</f>
        <v>62</v>
      </c>
      <c r="B250" s="172" t="str">
        <f>IFERROR(INDEX(TBL_LNG_IMPORTERS_CONNECTIONS[Name],$A250),"")</f>
        <v/>
      </c>
      <c r="C250" s="87" t="str">
        <f t="shared" ref="C250:D250" si="333">IF($B250&lt;&gt;"",C246,"")</f>
        <v/>
      </c>
      <c r="D250" s="87" t="str">
        <f t="shared" si="333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8">
        <f t="shared" si="318"/>
        <v>62</v>
      </c>
      <c r="B251" s="173"/>
      <c r="C251" s="87" t="str">
        <f t="shared" ref="C251:D251" si="334">IF($B250&lt;&gt;"",C247,"")</f>
        <v/>
      </c>
      <c r="D251" s="87" t="str">
        <f t="shared" si="334"/>
        <v/>
      </c>
      <c r="E251" s="150"/>
      <c r="F251" s="150"/>
      <c r="G251" s="150"/>
      <c r="H251" s="150"/>
      <c r="I251" s="150"/>
      <c r="J251" s="150"/>
      <c r="K251" s="150"/>
      <c r="L251" s="150"/>
      <c r="M251" s="150"/>
      <c r="N251" s="150"/>
      <c r="O251" s="150"/>
      <c r="P251" s="150"/>
      <c r="Q251" s="150"/>
      <c r="R251" s="150"/>
      <c r="S251" s="150"/>
      <c r="T251" s="150"/>
      <c r="U251" s="150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8">
        <f t="shared" si="318"/>
        <v>62</v>
      </c>
      <c r="B252" s="173"/>
      <c r="C252" s="87" t="str">
        <f t="shared" ref="C252:D252" si="335">IF($B250&lt;&gt;"",C248,"")</f>
        <v/>
      </c>
      <c r="D252" s="87" t="str">
        <f t="shared" si="335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8">
        <f t="shared" si="318"/>
        <v>62</v>
      </c>
      <c r="B253" s="174"/>
      <c r="C253" s="87" t="str">
        <f t="shared" ref="C253:D253" si="336">IF($B250&lt;&gt;"",C249,"")</f>
        <v/>
      </c>
      <c r="D253" s="87" t="str">
        <f t="shared" si="336"/>
        <v/>
      </c>
      <c r="E253" s="150"/>
      <c r="F253" s="150"/>
      <c r="G253" s="150"/>
      <c r="H253" s="150"/>
      <c r="I253" s="150"/>
      <c r="J253" s="150"/>
      <c r="K253" s="150"/>
      <c r="L253" s="150"/>
      <c r="M253" s="150"/>
      <c r="N253" s="150"/>
      <c r="O253" s="150"/>
      <c r="P253" s="150"/>
      <c r="Q253" s="150"/>
      <c r="R253" s="150"/>
      <c r="S253" s="150"/>
      <c r="T253" s="150"/>
      <c r="U253" s="150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8">
        <f t="shared" ref="A254" si="337">$A250+1</f>
        <v>63</v>
      </c>
      <c r="B254" s="172" t="str">
        <f>IFERROR(INDEX(TBL_LNG_IMPORTERS_CONNECTIONS[Name],$A254),"")</f>
        <v/>
      </c>
      <c r="C254" s="87" t="str">
        <f t="shared" ref="C254:D254" si="338">IF($B254&lt;&gt;"",C250,"")</f>
        <v/>
      </c>
      <c r="D254" s="87" t="str">
        <f t="shared" si="338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8">
        <f t="shared" si="318"/>
        <v>63</v>
      </c>
      <c r="B255" s="173"/>
      <c r="C255" s="87" t="str">
        <f t="shared" ref="C255:D255" si="339">IF($B254&lt;&gt;"",C251,"")</f>
        <v/>
      </c>
      <c r="D255" s="87" t="str">
        <f t="shared" si="339"/>
        <v/>
      </c>
      <c r="E255" s="150"/>
      <c r="F255" s="150"/>
      <c r="G255" s="150"/>
      <c r="H255" s="150"/>
      <c r="I255" s="150"/>
      <c r="J255" s="150"/>
      <c r="K255" s="150"/>
      <c r="L255" s="150"/>
      <c r="M255" s="150"/>
      <c r="N255" s="150"/>
      <c r="O255" s="150"/>
      <c r="P255" s="150"/>
      <c r="Q255" s="150"/>
      <c r="R255" s="150"/>
      <c r="S255" s="150"/>
      <c r="T255" s="150"/>
      <c r="U255" s="150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8">
        <f t="shared" si="318"/>
        <v>63</v>
      </c>
      <c r="B256" s="173"/>
      <c r="C256" s="87" t="str">
        <f t="shared" ref="C256:D256" si="340">IF($B254&lt;&gt;"",C252,"")</f>
        <v/>
      </c>
      <c r="D256" s="87" t="str">
        <f t="shared" si="340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8">
        <f t="shared" si="318"/>
        <v>63</v>
      </c>
      <c r="B257" s="174"/>
      <c r="C257" s="87" t="str">
        <f t="shared" ref="C257:D257" si="341">IF($B254&lt;&gt;"",C253,"")</f>
        <v/>
      </c>
      <c r="D257" s="87" t="str">
        <f t="shared" si="341"/>
        <v/>
      </c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  <c r="R257" s="150"/>
      <c r="S257" s="150"/>
      <c r="T257" s="150"/>
      <c r="U257" s="150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8">
        <f t="shared" ref="A258" si="342">$A254+1</f>
        <v>64</v>
      </c>
      <c r="B258" s="172" t="str">
        <f>IFERROR(INDEX(TBL_LNG_IMPORTERS_CONNECTIONS[Name],$A258),"")</f>
        <v/>
      </c>
      <c r="C258" s="87" t="str">
        <f t="shared" ref="C258:D258" si="343">IF($B258&lt;&gt;"",C254,"")</f>
        <v/>
      </c>
      <c r="D258" s="87" t="str">
        <f t="shared" si="343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8">
        <f t="shared" ref="A259:A261" si="344">$A258</f>
        <v>64</v>
      </c>
      <c r="B259" s="173"/>
      <c r="C259" s="87" t="str">
        <f t="shared" ref="C259:D259" si="345">IF($B258&lt;&gt;"",C255,"")</f>
        <v/>
      </c>
      <c r="D259" s="87" t="str">
        <f t="shared" si="345"/>
        <v/>
      </c>
      <c r="E259" s="150"/>
      <c r="F259" s="150"/>
      <c r="G259" s="150"/>
      <c r="H259" s="150"/>
      <c r="I259" s="150"/>
      <c r="J259" s="150"/>
      <c r="K259" s="150"/>
      <c r="L259" s="150"/>
      <c r="M259" s="150"/>
      <c r="N259" s="150"/>
      <c r="O259" s="150"/>
      <c r="P259" s="150"/>
      <c r="Q259" s="150"/>
      <c r="R259" s="150"/>
      <c r="S259" s="150"/>
      <c r="T259" s="150"/>
      <c r="U259" s="150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8">
        <f t="shared" si="344"/>
        <v>64</v>
      </c>
      <c r="B260" s="173"/>
      <c r="C260" s="87" t="str">
        <f t="shared" ref="C260:D260" si="346">IF($B258&lt;&gt;"",C256,"")</f>
        <v/>
      </c>
      <c r="D260" s="87" t="str">
        <f t="shared" si="346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8">
        <f t="shared" si="344"/>
        <v>64</v>
      </c>
      <c r="B261" s="174"/>
      <c r="C261" s="87" t="str">
        <f t="shared" ref="C261:D261" si="347">IF($B258&lt;&gt;"",C257,"")</f>
        <v/>
      </c>
      <c r="D261" s="87" t="str">
        <f t="shared" si="347"/>
        <v/>
      </c>
      <c r="E261" s="150"/>
      <c r="F261" s="150"/>
      <c r="G261" s="150"/>
      <c r="H261" s="150"/>
      <c r="I261" s="150"/>
      <c r="J261" s="150"/>
      <c r="K261" s="150"/>
      <c r="L261" s="150"/>
      <c r="M261" s="150"/>
      <c r="N261" s="150"/>
      <c r="O261" s="150"/>
      <c r="P261" s="150"/>
      <c r="Q261" s="150"/>
      <c r="R261" s="150"/>
      <c r="S261" s="150"/>
      <c r="T261" s="150"/>
      <c r="U261" s="150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8">
        <f t="shared" ref="A262" si="348">$A258+1</f>
        <v>65</v>
      </c>
      <c r="B262" s="172" t="str">
        <f>IFERROR(INDEX(TBL_LNG_IMPORTERS_CONNECTIONS[Name],$A262),"")</f>
        <v/>
      </c>
      <c r="C262" s="87" t="str">
        <f t="shared" ref="C262:D262" si="349">IF($B262&lt;&gt;"",C258,"")</f>
        <v/>
      </c>
      <c r="D262" s="87" t="str">
        <f t="shared" si="349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8">
        <f t="shared" ref="A263:A265" si="350">$A262</f>
        <v>65</v>
      </c>
      <c r="B263" s="173"/>
      <c r="C263" s="87" t="str">
        <f t="shared" ref="C263:D263" si="351">IF($B262&lt;&gt;"",C259,"")</f>
        <v/>
      </c>
      <c r="D263" s="87" t="str">
        <f t="shared" si="351"/>
        <v/>
      </c>
      <c r="E263" s="150"/>
      <c r="F263" s="150"/>
      <c r="G263" s="150"/>
      <c r="H263" s="150"/>
      <c r="I263" s="150"/>
      <c r="J263" s="150"/>
      <c r="K263" s="150"/>
      <c r="L263" s="150"/>
      <c r="M263" s="150"/>
      <c r="N263" s="150"/>
      <c r="O263" s="150"/>
      <c r="P263" s="150"/>
      <c r="Q263" s="150"/>
      <c r="R263" s="150"/>
      <c r="S263" s="150"/>
      <c r="T263" s="150"/>
      <c r="U263" s="150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8">
        <f t="shared" si="350"/>
        <v>65</v>
      </c>
      <c r="B264" s="173"/>
      <c r="C264" s="87" t="str">
        <f t="shared" ref="C264:D264" si="352">IF($B262&lt;&gt;"",C260,"")</f>
        <v/>
      </c>
      <c r="D264" s="87" t="str">
        <f t="shared" si="352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8">
        <f t="shared" si="350"/>
        <v>65</v>
      </c>
      <c r="B265" s="174"/>
      <c r="C265" s="87" t="str">
        <f t="shared" ref="C265:D265" si="353">IF($B262&lt;&gt;"",C261,"")</f>
        <v/>
      </c>
      <c r="D265" s="87" t="str">
        <f t="shared" si="353"/>
        <v/>
      </c>
      <c r="E265" s="150"/>
      <c r="F265" s="150"/>
      <c r="G265" s="150"/>
      <c r="H265" s="150"/>
      <c r="I265" s="150"/>
      <c r="J265" s="150"/>
      <c r="K265" s="150"/>
      <c r="L265" s="150"/>
      <c r="M265" s="150"/>
      <c r="N265" s="150"/>
      <c r="O265" s="150"/>
      <c r="P265" s="150"/>
      <c r="Q265" s="150"/>
      <c r="R265" s="150"/>
      <c r="S265" s="150"/>
      <c r="T265" s="150"/>
      <c r="U265" s="150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8">
        <f t="shared" ref="A266" si="354">$A262+1</f>
        <v>66</v>
      </c>
      <c r="B266" s="172" t="str">
        <f>IFERROR(INDEX(TBL_LNG_IMPORTERS_CONNECTIONS[Name],$A266),"")</f>
        <v/>
      </c>
      <c r="C266" s="87" t="str">
        <f t="shared" ref="C266:D266" si="355">IF($B266&lt;&gt;"",C262,"")</f>
        <v/>
      </c>
      <c r="D266" s="87" t="str">
        <f t="shared" si="355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8">
        <f t="shared" ref="A267:A269" si="356">$A266</f>
        <v>66</v>
      </c>
      <c r="B267" s="173"/>
      <c r="C267" s="87" t="str">
        <f t="shared" ref="C267:D267" si="357">IF($B266&lt;&gt;"",C263,"")</f>
        <v/>
      </c>
      <c r="D267" s="87" t="str">
        <f t="shared" si="357"/>
        <v/>
      </c>
      <c r="E267" s="150"/>
      <c r="F267" s="150"/>
      <c r="G267" s="150"/>
      <c r="H267" s="150"/>
      <c r="I267" s="150"/>
      <c r="J267" s="150"/>
      <c r="K267" s="150"/>
      <c r="L267" s="150"/>
      <c r="M267" s="150"/>
      <c r="N267" s="150"/>
      <c r="O267" s="150"/>
      <c r="P267" s="150"/>
      <c r="Q267" s="150"/>
      <c r="R267" s="150"/>
      <c r="S267" s="150"/>
      <c r="T267" s="150"/>
      <c r="U267" s="150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8">
        <f t="shared" si="356"/>
        <v>66</v>
      </c>
      <c r="B268" s="173"/>
      <c r="C268" s="87" t="str">
        <f t="shared" ref="C268:D268" si="358">IF($B266&lt;&gt;"",C264,"")</f>
        <v/>
      </c>
      <c r="D268" s="87" t="str">
        <f t="shared" si="358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8">
        <f t="shared" si="356"/>
        <v>66</v>
      </c>
      <c r="B269" s="174"/>
      <c r="C269" s="87" t="str">
        <f t="shared" ref="C269:D269" si="359">IF($B266&lt;&gt;"",C265,"")</f>
        <v/>
      </c>
      <c r="D269" s="87" t="str">
        <f t="shared" si="359"/>
        <v/>
      </c>
      <c r="E269" s="150"/>
      <c r="F269" s="150"/>
      <c r="G269" s="150"/>
      <c r="H269" s="150"/>
      <c r="I269" s="150"/>
      <c r="J269" s="150"/>
      <c r="K269" s="150"/>
      <c r="L269" s="150"/>
      <c r="M269" s="150"/>
      <c r="N269" s="150"/>
      <c r="O269" s="150"/>
      <c r="P269" s="150"/>
      <c r="Q269" s="150"/>
      <c r="R269" s="150"/>
      <c r="S269" s="150"/>
      <c r="T269" s="150"/>
      <c r="U269" s="150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8">
        <f t="shared" ref="A270" si="360">$A266+1</f>
        <v>67</v>
      </c>
      <c r="B270" s="172" t="str">
        <f>IFERROR(INDEX(TBL_LNG_IMPORTERS_CONNECTIONS[Name],$A270),"")</f>
        <v/>
      </c>
      <c r="C270" s="87" t="str">
        <f t="shared" ref="C270:D270" si="361">IF($B270&lt;&gt;"",C266,"")</f>
        <v/>
      </c>
      <c r="D270" s="87" t="str">
        <f t="shared" si="361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8">
        <f t="shared" ref="A271:A273" si="362">$A270</f>
        <v>67</v>
      </c>
      <c r="B271" s="173"/>
      <c r="C271" s="87" t="str">
        <f t="shared" ref="C271:D271" si="363">IF($B270&lt;&gt;"",C267,"")</f>
        <v/>
      </c>
      <c r="D271" s="87" t="str">
        <f t="shared" si="363"/>
        <v/>
      </c>
      <c r="E271" s="150"/>
      <c r="F271" s="150"/>
      <c r="G271" s="150"/>
      <c r="H271" s="150"/>
      <c r="I271" s="150"/>
      <c r="J271" s="150"/>
      <c r="K271" s="150"/>
      <c r="L271" s="150"/>
      <c r="M271" s="150"/>
      <c r="N271" s="150"/>
      <c r="O271" s="150"/>
      <c r="P271" s="150"/>
      <c r="Q271" s="150"/>
      <c r="R271" s="150"/>
      <c r="S271" s="150"/>
      <c r="T271" s="150"/>
      <c r="U271" s="150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8">
        <f t="shared" si="362"/>
        <v>67</v>
      </c>
      <c r="B272" s="173"/>
      <c r="C272" s="87" t="str">
        <f t="shared" ref="C272:D272" si="364">IF($B270&lt;&gt;"",C268,"")</f>
        <v/>
      </c>
      <c r="D272" s="87" t="str">
        <f t="shared" si="364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8">
        <f t="shared" si="362"/>
        <v>67</v>
      </c>
      <c r="B273" s="174"/>
      <c r="C273" s="87" t="str">
        <f t="shared" ref="C273:D273" si="365">IF($B270&lt;&gt;"",C269,"")</f>
        <v/>
      </c>
      <c r="D273" s="87" t="str">
        <f t="shared" si="365"/>
        <v/>
      </c>
      <c r="E273" s="150"/>
      <c r="F273" s="150"/>
      <c r="G273" s="150"/>
      <c r="H273" s="150"/>
      <c r="I273" s="150"/>
      <c r="J273" s="150"/>
      <c r="K273" s="150"/>
      <c r="L273" s="150"/>
      <c r="M273" s="150"/>
      <c r="N273" s="150"/>
      <c r="O273" s="150"/>
      <c r="P273" s="150"/>
      <c r="Q273" s="150"/>
      <c r="R273" s="150"/>
      <c r="S273" s="150"/>
      <c r="T273" s="150"/>
      <c r="U273" s="150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8">
        <f t="shared" ref="A274" si="366">$A270+1</f>
        <v>68</v>
      </c>
      <c r="B274" s="172" t="str">
        <f>IFERROR(INDEX(TBL_LNG_IMPORTERS_CONNECTIONS[Name],$A274),"")</f>
        <v/>
      </c>
      <c r="C274" s="87" t="str">
        <f t="shared" ref="C274:D274" si="367">IF($B274&lt;&gt;"",C270,"")</f>
        <v/>
      </c>
      <c r="D274" s="87" t="str">
        <f t="shared" si="367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8">
        <f t="shared" ref="A275:A277" si="368">$A274</f>
        <v>68</v>
      </c>
      <c r="B275" s="173"/>
      <c r="C275" s="87" t="str">
        <f t="shared" ref="C275:D275" si="369">IF($B274&lt;&gt;"",C271,"")</f>
        <v/>
      </c>
      <c r="D275" s="87" t="str">
        <f t="shared" si="369"/>
        <v/>
      </c>
      <c r="E275" s="150"/>
      <c r="F275" s="150"/>
      <c r="G275" s="150"/>
      <c r="H275" s="150"/>
      <c r="I275" s="150"/>
      <c r="J275" s="150"/>
      <c r="K275" s="150"/>
      <c r="L275" s="150"/>
      <c r="M275" s="150"/>
      <c r="N275" s="150"/>
      <c r="O275" s="150"/>
      <c r="P275" s="150"/>
      <c r="Q275" s="150"/>
      <c r="R275" s="150"/>
      <c r="S275" s="150"/>
      <c r="T275" s="150"/>
      <c r="U275" s="150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8">
        <f t="shared" si="368"/>
        <v>68</v>
      </c>
      <c r="B276" s="173"/>
      <c r="C276" s="87" t="str">
        <f t="shared" ref="C276:D276" si="370">IF($B274&lt;&gt;"",C272,"")</f>
        <v/>
      </c>
      <c r="D276" s="87" t="str">
        <f t="shared" si="370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8">
        <f t="shared" si="368"/>
        <v>68</v>
      </c>
      <c r="B277" s="174"/>
      <c r="C277" s="87" t="str">
        <f t="shared" ref="C277:D277" si="371">IF($B274&lt;&gt;"",C273,"")</f>
        <v/>
      </c>
      <c r="D277" s="87" t="str">
        <f t="shared" si="371"/>
        <v/>
      </c>
      <c r="E277" s="150"/>
      <c r="F277" s="150"/>
      <c r="G277" s="150"/>
      <c r="H277" s="150"/>
      <c r="I277" s="150"/>
      <c r="J277" s="150"/>
      <c r="K277" s="150"/>
      <c r="L277" s="150"/>
      <c r="M277" s="150"/>
      <c r="N277" s="150"/>
      <c r="O277" s="150"/>
      <c r="P277" s="150"/>
      <c r="Q277" s="150"/>
      <c r="R277" s="150"/>
      <c r="S277" s="150"/>
      <c r="T277" s="150"/>
      <c r="U277" s="150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8">
        <f t="shared" ref="A278" si="372">$A274+1</f>
        <v>69</v>
      </c>
      <c r="B278" s="172" t="str">
        <f>IFERROR(INDEX(TBL_LNG_IMPORTERS_CONNECTIONS[Name],$A278),"")</f>
        <v/>
      </c>
      <c r="C278" s="87" t="str">
        <f t="shared" ref="C278:D278" si="373">IF($B278&lt;&gt;"",C274,"")</f>
        <v/>
      </c>
      <c r="D278" s="87" t="str">
        <f t="shared" si="373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8">
        <f t="shared" ref="A279:A297" si="374">$A278</f>
        <v>69</v>
      </c>
      <c r="B279" s="173"/>
      <c r="C279" s="87" t="str">
        <f t="shared" ref="C279:D279" si="375">IF($B278&lt;&gt;"",C275,"")</f>
        <v/>
      </c>
      <c r="D279" s="87" t="str">
        <f t="shared" si="375"/>
        <v/>
      </c>
      <c r="E279" s="150"/>
      <c r="F279" s="150"/>
      <c r="G279" s="150"/>
      <c r="H279" s="150"/>
      <c r="I279" s="150"/>
      <c r="J279" s="150"/>
      <c r="K279" s="150"/>
      <c r="L279" s="150"/>
      <c r="M279" s="150"/>
      <c r="N279" s="150"/>
      <c r="O279" s="150"/>
      <c r="P279" s="150"/>
      <c r="Q279" s="150"/>
      <c r="R279" s="150"/>
      <c r="S279" s="150"/>
      <c r="T279" s="150"/>
      <c r="U279" s="150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8">
        <f t="shared" si="374"/>
        <v>69</v>
      </c>
      <c r="B280" s="173"/>
      <c r="C280" s="87" t="str">
        <f t="shared" ref="C280:D280" si="376">IF($B278&lt;&gt;"",C276,"")</f>
        <v/>
      </c>
      <c r="D280" s="87" t="str">
        <f t="shared" si="376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8">
        <f t="shared" si="374"/>
        <v>69</v>
      </c>
      <c r="B281" s="174"/>
      <c r="C281" s="87" t="str">
        <f t="shared" ref="C281:D281" si="377">IF($B278&lt;&gt;"",C277,"")</f>
        <v/>
      </c>
      <c r="D281" s="87" t="str">
        <f t="shared" si="377"/>
        <v/>
      </c>
      <c r="E281" s="150"/>
      <c r="F281" s="150"/>
      <c r="G281" s="150"/>
      <c r="H281" s="150"/>
      <c r="I281" s="150"/>
      <c r="J281" s="150"/>
      <c r="K281" s="150"/>
      <c r="L281" s="150"/>
      <c r="M281" s="150"/>
      <c r="N281" s="150"/>
      <c r="O281" s="150"/>
      <c r="P281" s="150"/>
      <c r="Q281" s="150"/>
      <c r="R281" s="150"/>
      <c r="S281" s="150"/>
      <c r="T281" s="150"/>
      <c r="U281" s="150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8">
        <f t="shared" ref="A282" si="378">$A278+1</f>
        <v>70</v>
      </c>
      <c r="B282" s="172" t="str">
        <f>IFERROR(INDEX(TBL_LNG_IMPORTERS_CONNECTIONS[Name],$A282),"")</f>
        <v/>
      </c>
      <c r="C282" s="87" t="str">
        <f t="shared" ref="C282:D282" si="379">IF($B282&lt;&gt;"",C278,"")</f>
        <v/>
      </c>
      <c r="D282" s="87" t="str">
        <f t="shared" si="379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8">
        <f t="shared" si="374"/>
        <v>70</v>
      </c>
      <c r="B283" s="173"/>
      <c r="C283" s="87" t="str">
        <f t="shared" ref="C283:D283" si="380">IF($B282&lt;&gt;"",C279,"")</f>
        <v/>
      </c>
      <c r="D283" s="87" t="str">
        <f t="shared" si="380"/>
        <v/>
      </c>
      <c r="E283" s="150"/>
      <c r="F283" s="150"/>
      <c r="G283" s="150"/>
      <c r="H283" s="150"/>
      <c r="I283" s="150"/>
      <c r="J283" s="150"/>
      <c r="K283" s="150"/>
      <c r="L283" s="150"/>
      <c r="M283" s="150"/>
      <c r="N283" s="150"/>
      <c r="O283" s="150"/>
      <c r="P283" s="150"/>
      <c r="Q283" s="150"/>
      <c r="R283" s="150"/>
      <c r="S283" s="150"/>
      <c r="T283" s="150"/>
      <c r="U283" s="150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8">
        <f t="shared" si="374"/>
        <v>70</v>
      </c>
      <c r="B284" s="173"/>
      <c r="C284" s="87" t="str">
        <f t="shared" ref="C284:D284" si="381">IF($B282&lt;&gt;"",C280,"")</f>
        <v/>
      </c>
      <c r="D284" s="87" t="str">
        <f t="shared" si="381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8">
        <f t="shared" si="374"/>
        <v>70</v>
      </c>
      <c r="B285" s="174"/>
      <c r="C285" s="87" t="str">
        <f t="shared" ref="C285:D285" si="382">IF($B282&lt;&gt;"",C281,"")</f>
        <v/>
      </c>
      <c r="D285" s="87" t="str">
        <f t="shared" si="382"/>
        <v/>
      </c>
      <c r="E285" s="150"/>
      <c r="F285" s="150"/>
      <c r="G285" s="150"/>
      <c r="H285" s="150"/>
      <c r="I285" s="150"/>
      <c r="J285" s="150"/>
      <c r="K285" s="150"/>
      <c r="L285" s="150"/>
      <c r="M285" s="150"/>
      <c r="N285" s="150"/>
      <c r="O285" s="150"/>
      <c r="P285" s="150"/>
      <c r="Q285" s="150"/>
      <c r="R285" s="150"/>
      <c r="S285" s="150"/>
      <c r="T285" s="150"/>
      <c r="U285" s="150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8">
        <f t="shared" ref="A286" si="383">$A282+1</f>
        <v>71</v>
      </c>
      <c r="B286" s="172" t="str">
        <f>IFERROR(INDEX(TBL_LNG_IMPORTERS_CONNECTIONS[Name],$A286),"")</f>
        <v/>
      </c>
      <c r="C286" s="87" t="str">
        <f t="shared" ref="C286:D286" si="384">IF($B286&lt;&gt;"",C282,"")</f>
        <v/>
      </c>
      <c r="D286" s="87" t="str">
        <f t="shared" si="384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8">
        <f t="shared" si="374"/>
        <v>71</v>
      </c>
      <c r="B287" s="173"/>
      <c r="C287" s="87" t="str">
        <f t="shared" ref="C287:D287" si="385">IF($B286&lt;&gt;"",C283,"")</f>
        <v/>
      </c>
      <c r="D287" s="87" t="str">
        <f t="shared" si="385"/>
        <v/>
      </c>
      <c r="E287" s="150"/>
      <c r="F287" s="150"/>
      <c r="G287" s="150"/>
      <c r="H287" s="150"/>
      <c r="I287" s="150"/>
      <c r="J287" s="150"/>
      <c r="K287" s="150"/>
      <c r="L287" s="150"/>
      <c r="M287" s="150"/>
      <c r="N287" s="150"/>
      <c r="O287" s="150"/>
      <c r="P287" s="150"/>
      <c r="Q287" s="150"/>
      <c r="R287" s="150"/>
      <c r="S287" s="150"/>
      <c r="T287" s="150"/>
      <c r="U287" s="150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8">
        <f t="shared" si="374"/>
        <v>71</v>
      </c>
      <c r="B288" s="173"/>
      <c r="C288" s="87" t="str">
        <f t="shared" ref="C288:D288" si="386">IF($B286&lt;&gt;"",C284,"")</f>
        <v/>
      </c>
      <c r="D288" s="87" t="str">
        <f t="shared" si="386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8">
        <f t="shared" si="374"/>
        <v>71</v>
      </c>
      <c r="B289" s="174"/>
      <c r="C289" s="87" t="str">
        <f t="shared" ref="C289:D289" si="387">IF($B286&lt;&gt;"",C285,"")</f>
        <v/>
      </c>
      <c r="D289" s="87" t="str">
        <f t="shared" si="387"/>
        <v/>
      </c>
      <c r="E289" s="150"/>
      <c r="F289" s="150"/>
      <c r="G289" s="150"/>
      <c r="H289" s="150"/>
      <c r="I289" s="150"/>
      <c r="J289" s="150"/>
      <c r="K289" s="150"/>
      <c r="L289" s="150"/>
      <c r="M289" s="150"/>
      <c r="N289" s="150"/>
      <c r="O289" s="150"/>
      <c r="P289" s="150"/>
      <c r="Q289" s="150"/>
      <c r="R289" s="150"/>
      <c r="S289" s="150"/>
      <c r="T289" s="150"/>
      <c r="U289" s="150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8">
        <f t="shared" ref="A290" si="388">$A286+1</f>
        <v>72</v>
      </c>
      <c r="B290" s="172" t="str">
        <f>IFERROR(INDEX(TBL_LNG_IMPORTERS_CONNECTIONS[Name],$A290),"")</f>
        <v/>
      </c>
      <c r="C290" s="87" t="str">
        <f t="shared" ref="C290:D290" si="389">IF($B290&lt;&gt;"",C286,"")</f>
        <v/>
      </c>
      <c r="D290" s="87" t="str">
        <f t="shared" si="389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8">
        <f t="shared" si="374"/>
        <v>72</v>
      </c>
      <c r="B291" s="173"/>
      <c r="C291" s="87" t="str">
        <f t="shared" ref="C291:D291" si="390">IF($B290&lt;&gt;"",C287,"")</f>
        <v/>
      </c>
      <c r="D291" s="87" t="str">
        <f t="shared" si="390"/>
        <v/>
      </c>
      <c r="E291" s="150"/>
      <c r="F291" s="150"/>
      <c r="G291" s="150"/>
      <c r="H291" s="150"/>
      <c r="I291" s="150"/>
      <c r="J291" s="150"/>
      <c r="K291" s="150"/>
      <c r="L291" s="150"/>
      <c r="M291" s="150"/>
      <c r="N291" s="150"/>
      <c r="O291" s="150"/>
      <c r="P291" s="150"/>
      <c r="Q291" s="150"/>
      <c r="R291" s="150"/>
      <c r="S291" s="150"/>
      <c r="T291" s="150"/>
      <c r="U291" s="150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8">
        <f t="shared" si="374"/>
        <v>72</v>
      </c>
      <c r="B292" s="173"/>
      <c r="C292" s="87" t="str">
        <f t="shared" ref="C292:D292" si="391">IF($B290&lt;&gt;"",C288,"")</f>
        <v/>
      </c>
      <c r="D292" s="87" t="str">
        <f t="shared" si="391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8">
        <f t="shared" si="374"/>
        <v>72</v>
      </c>
      <c r="B293" s="174"/>
      <c r="C293" s="87" t="str">
        <f t="shared" ref="C293:D293" si="392">IF($B290&lt;&gt;"",C289,"")</f>
        <v/>
      </c>
      <c r="D293" s="87" t="str">
        <f t="shared" si="392"/>
        <v/>
      </c>
      <c r="E293" s="150"/>
      <c r="F293" s="150"/>
      <c r="G293" s="150"/>
      <c r="H293" s="150"/>
      <c r="I293" s="150"/>
      <c r="J293" s="150"/>
      <c r="K293" s="150"/>
      <c r="L293" s="150"/>
      <c r="M293" s="150"/>
      <c r="N293" s="150"/>
      <c r="O293" s="150"/>
      <c r="P293" s="150"/>
      <c r="Q293" s="150"/>
      <c r="R293" s="150"/>
      <c r="S293" s="150"/>
      <c r="T293" s="150"/>
      <c r="U293" s="150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8">
        <f t="shared" ref="A294" si="393">$A290+1</f>
        <v>73</v>
      </c>
      <c r="B294" s="172" t="str">
        <f>IFERROR(INDEX(TBL_LNG_IMPORTERS_CONNECTIONS[Name],$A294),"")</f>
        <v/>
      </c>
      <c r="C294" s="87" t="str">
        <f t="shared" ref="C294:D294" si="394">IF($B294&lt;&gt;"",C290,"")</f>
        <v/>
      </c>
      <c r="D294" s="87" t="str">
        <f t="shared" si="394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8">
        <f t="shared" si="374"/>
        <v>73</v>
      </c>
      <c r="B295" s="173"/>
      <c r="C295" s="87" t="str">
        <f t="shared" ref="C295:D295" si="395">IF($B294&lt;&gt;"",C291,"")</f>
        <v/>
      </c>
      <c r="D295" s="87" t="str">
        <f t="shared" si="395"/>
        <v/>
      </c>
      <c r="E295" s="150"/>
      <c r="F295" s="150"/>
      <c r="G295" s="150"/>
      <c r="H295" s="150"/>
      <c r="I295" s="150"/>
      <c r="J295" s="150"/>
      <c r="K295" s="150"/>
      <c r="L295" s="150"/>
      <c r="M295" s="150"/>
      <c r="N295" s="150"/>
      <c r="O295" s="150"/>
      <c r="P295" s="150"/>
      <c r="Q295" s="150"/>
      <c r="R295" s="150"/>
      <c r="S295" s="150"/>
      <c r="T295" s="150"/>
      <c r="U295" s="150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8">
        <f t="shared" si="374"/>
        <v>73</v>
      </c>
      <c r="B296" s="173"/>
      <c r="C296" s="87" t="str">
        <f t="shared" ref="C296:D296" si="396">IF($B294&lt;&gt;"",C292,"")</f>
        <v/>
      </c>
      <c r="D296" s="87" t="str">
        <f t="shared" si="396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8">
        <f t="shared" si="374"/>
        <v>73</v>
      </c>
      <c r="B297" s="174"/>
      <c r="C297" s="87" t="str">
        <f t="shared" ref="C297:D297" si="397">IF($B294&lt;&gt;"",C293,"")</f>
        <v/>
      </c>
      <c r="D297" s="87" t="str">
        <f t="shared" si="397"/>
        <v/>
      </c>
      <c r="E297" s="150"/>
      <c r="F297" s="150"/>
      <c r="G297" s="150"/>
      <c r="H297" s="150"/>
      <c r="I297" s="150"/>
      <c r="J297" s="150"/>
      <c r="K297" s="150"/>
      <c r="L297" s="150"/>
      <c r="M297" s="150"/>
      <c r="N297" s="150"/>
      <c r="O297" s="150"/>
      <c r="P297" s="150"/>
      <c r="Q297" s="150"/>
      <c r="R297" s="150"/>
      <c r="S297" s="150"/>
      <c r="T297" s="150"/>
      <c r="U297" s="150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8">
        <f t="shared" ref="A298" si="398">$A294+1</f>
        <v>74</v>
      </c>
      <c r="B298" s="172" t="str">
        <f>IFERROR(INDEX(TBL_LNG_IMPORTERS_CONNECTIONS[Name],$A298),"")</f>
        <v/>
      </c>
      <c r="C298" s="87" t="str">
        <f t="shared" ref="C298:D298" si="399">IF($B298&lt;&gt;"",C294,"")</f>
        <v/>
      </c>
      <c r="D298" s="87" t="str">
        <f t="shared" si="399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8">
        <f t="shared" ref="A299:A301" si="400">$A298</f>
        <v>74</v>
      </c>
      <c r="B299" s="173"/>
      <c r="C299" s="87" t="str">
        <f t="shared" ref="C299:D299" si="401">IF($B298&lt;&gt;"",C295,"")</f>
        <v/>
      </c>
      <c r="D299" s="87" t="str">
        <f t="shared" si="401"/>
        <v/>
      </c>
      <c r="E299" s="150"/>
      <c r="F299" s="150"/>
      <c r="G299" s="150"/>
      <c r="H299" s="150"/>
      <c r="I299" s="150"/>
      <c r="J299" s="150"/>
      <c r="K299" s="150"/>
      <c r="L299" s="150"/>
      <c r="M299" s="150"/>
      <c r="N299" s="150"/>
      <c r="O299" s="150"/>
      <c r="P299" s="150"/>
      <c r="Q299" s="150"/>
      <c r="R299" s="150"/>
      <c r="S299" s="150"/>
      <c r="T299" s="150"/>
      <c r="U299" s="150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8">
        <f t="shared" si="400"/>
        <v>74</v>
      </c>
      <c r="B300" s="173"/>
      <c r="C300" s="87" t="str">
        <f t="shared" ref="C300:D300" si="402">IF($B298&lt;&gt;"",C296,"")</f>
        <v/>
      </c>
      <c r="D300" s="87" t="str">
        <f t="shared" si="402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8">
        <f t="shared" si="400"/>
        <v>74</v>
      </c>
      <c r="B301" s="174"/>
      <c r="C301" s="87" t="str">
        <f t="shared" ref="C301:D301" si="403">IF($B298&lt;&gt;"",C297,"")</f>
        <v/>
      </c>
      <c r="D301" s="87" t="str">
        <f t="shared" si="403"/>
        <v/>
      </c>
      <c r="E301" s="150"/>
      <c r="F301" s="150"/>
      <c r="G301" s="150"/>
      <c r="H301" s="150"/>
      <c r="I301" s="150"/>
      <c r="J301" s="150"/>
      <c r="K301" s="150"/>
      <c r="L301" s="150"/>
      <c r="M301" s="150"/>
      <c r="N301" s="150"/>
      <c r="O301" s="150"/>
      <c r="P301" s="150"/>
      <c r="Q301" s="150"/>
      <c r="R301" s="150"/>
      <c r="S301" s="150"/>
      <c r="T301" s="150"/>
      <c r="U301" s="150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8">
        <f t="shared" ref="A302" si="404">$A298+1</f>
        <v>75</v>
      </c>
      <c r="B302" s="172" t="str">
        <f>IFERROR(INDEX(TBL_LNG_IMPORTERS_CONNECTIONS[Name],$A302),"")</f>
        <v/>
      </c>
      <c r="C302" s="87" t="str">
        <f t="shared" ref="C302:D302" si="405">IF($B302&lt;&gt;"",C298,"")</f>
        <v/>
      </c>
      <c r="D302" s="87" t="str">
        <f t="shared" si="405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8">
        <f t="shared" ref="A303:A305" si="406">$A302</f>
        <v>75</v>
      </c>
      <c r="B303" s="173"/>
      <c r="C303" s="87" t="str">
        <f t="shared" ref="C303:D303" si="407">IF($B302&lt;&gt;"",C299,"")</f>
        <v/>
      </c>
      <c r="D303" s="87" t="str">
        <f t="shared" si="407"/>
        <v/>
      </c>
      <c r="E303" s="150"/>
      <c r="F303" s="150"/>
      <c r="G303" s="150"/>
      <c r="H303" s="150"/>
      <c r="I303" s="150"/>
      <c r="J303" s="150"/>
      <c r="K303" s="150"/>
      <c r="L303" s="150"/>
      <c r="M303" s="150"/>
      <c r="N303" s="150"/>
      <c r="O303" s="150"/>
      <c r="P303" s="150"/>
      <c r="Q303" s="150"/>
      <c r="R303" s="150"/>
      <c r="S303" s="150"/>
      <c r="T303" s="150"/>
      <c r="U303" s="150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8">
        <f t="shared" si="406"/>
        <v>75</v>
      </c>
      <c r="B304" s="173"/>
      <c r="C304" s="87" t="str">
        <f t="shared" ref="C304:D304" si="408">IF($B302&lt;&gt;"",C300,"")</f>
        <v/>
      </c>
      <c r="D304" s="87" t="str">
        <f t="shared" si="408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8">
        <f t="shared" si="406"/>
        <v>75</v>
      </c>
      <c r="B305" s="174"/>
      <c r="C305" s="87" t="str">
        <f t="shared" ref="C305:D305" si="409">IF($B302&lt;&gt;"",C301,"")</f>
        <v/>
      </c>
      <c r="D305" s="87" t="str">
        <f t="shared" si="409"/>
        <v/>
      </c>
      <c r="E305" s="150"/>
      <c r="F305" s="150"/>
      <c r="G305" s="150"/>
      <c r="H305" s="150"/>
      <c r="I305" s="150"/>
      <c r="J305" s="150"/>
      <c r="K305" s="150"/>
      <c r="L305" s="150"/>
      <c r="M305" s="150"/>
      <c r="N305" s="150"/>
      <c r="O305" s="150"/>
      <c r="P305" s="150"/>
      <c r="Q305" s="150"/>
      <c r="R305" s="150"/>
      <c r="S305" s="150"/>
      <c r="T305" s="150"/>
      <c r="U305" s="150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8">
        <f t="shared" ref="A306" si="410">$A302+1</f>
        <v>76</v>
      </c>
      <c r="B306" s="172" t="str">
        <f>IFERROR(INDEX(TBL_LNG_IMPORTERS_CONNECTIONS[Name],$A306),"")</f>
        <v/>
      </c>
      <c r="C306" s="87" t="str">
        <f t="shared" ref="C306:D306" si="411">IF($B306&lt;&gt;"",C302,"")</f>
        <v/>
      </c>
      <c r="D306" s="87" t="str">
        <f t="shared" si="411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8">
        <f t="shared" ref="A307:A309" si="412">$A306</f>
        <v>76</v>
      </c>
      <c r="B307" s="173"/>
      <c r="C307" s="87" t="str">
        <f t="shared" ref="C307:D307" si="413">IF($B306&lt;&gt;"",C303,"")</f>
        <v/>
      </c>
      <c r="D307" s="87" t="str">
        <f t="shared" si="413"/>
        <v/>
      </c>
      <c r="E307" s="150"/>
      <c r="F307" s="150"/>
      <c r="G307" s="150"/>
      <c r="H307" s="150"/>
      <c r="I307" s="150"/>
      <c r="J307" s="150"/>
      <c r="K307" s="150"/>
      <c r="L307" s="150"/>
      <c r="M307" s="150"/>
      <c r="N307" s="150"/>
      <c r="O307" s="150"/>
      <c r="P307" s="150"/>
      <c r="Q307" s="150"/>
      <c r="R307" s="150"/>
      <c r="S307" s="150"/>
      <c r="T307" s="150"/>
      <c r="U307" s="150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8">
        <f t="shared" si="412"/>
        <v>76</v>
      </c>
      <c r="B308" s="173"/>
      <c r="C308" s="87" t="str">
        <f t="shared" ref="C308:D308" si="414">IF($B306&lt;&gt;"",C304,"")</f>
        <v/>
      </c>
      <c r="D308" s="87" t="str">
        <f t="shared" si="414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8">
        <f t="shared" si="412"/>
        <v>76</v>
      </c>
      <c r="B309" s="174"/>
      <c r="C309" s="87" t="str">
        <f t="shared" ref="C309:D309" si="415">IF($B306&lt;&gt;"",C305,"")</f>
        <v/>
      </c>
      <c r="D309" s="87" t="str">
        <f t="shared" si="415"/>
        <v/>
      </c>
      <c r="E309" s="150"/>
      <c r="F309" s="150"/>
      <c r="G309" s="150"/>
      <c r="H309" s="150"/>
      <c r="I309" s="150"/>
      <c r="J309" s="150"/>
      <c r="K309" s="150"/>
      <c r="L309" s="150"/>
      <c r="M309" s="150"/>
      <c r="N309" s="150"/>
      <c r="O309" s="150"/>
      <c r="P309" s="150"/>
      <c r="Q309" s="150"/>
      <c r="R309" s="150"/>
      <c r="S309" s="150"/>
      <c r="T309" s="150"/>
      <c r="U309" s="150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8">
        <f t="shared" ref="A310" si="416">$A306+1</f>
        <v>77</v>
      </c>
      <c r="B310" s="172" t="str">
        <f>IFERROR(INDEX(TBL_LNG_IMPORTERS_CONNECTIONS[Name],$A310),"")</f>
        <v/>
      </c>
      <c r="C310" s="87" t="str">
        <f t="shared" ref="C310:D310" si="417">IF($B310&lt;&gt;"",C306,"")</f>
        <v/>
      </c>
      <c r="D310" s="87" t="str">
        <f t="shared" si="417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8">
        <f t="shared" ref="A311:A313" si="418">$A310</f>
        <v>77</v>
      </c>
      <c r="B311" s="173"/>
      <c r="C311" s="87" t="str">
        <f t="shared" ref="C311:D311" si="419">IF($B310&lt;&gt;"",C307,"")</f>
        <v/>
      </c>
      <c r="D311" s="87" t="str">
        <f t="shared" si="419"/>
        <v/>
      </c>
      <c r="E311" s="150"/>
      <c r="F311" s="150"/>
      <c r="G311" s="150"/>
      <c r="H311" s="150"/>
      <c r="I311" s="150"/>
      <c r="J311" s="150"/>
      <c r="K311" s="150"/>
      <c r="L311" s="150"/>
      <c r="M311" s="150"/>
      <c r="N311" s="150"/>
      <c r="O311" s="150"/>
      <c r="P311" s="150"/>
      <c r="Q311" s="150"/>
      <c r="R311" s="150"/>
      <c r="S311" s="150"/>
      <c r="T311" s="150"/>
      <c r="U311" s="150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8">
        <f t="shared" si="418"/>
        <v>77</v>
      </c>
      <c r="B312" s="173"/>
      <c r="C312" s="87" t="str">
        <f t="shared" ref="C312:D312" si="420">IF($B310&lt;&gt;"",C308,"")</f>
        <v/>
      </c>
      <c r="D312" s="87" t="str">
        <f t="shared" si="420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8">
        <f t="shared" si="418"/>
        <v>77</v>
      </c>
      <c r="B313" s="174"/>
      <c r="C313" s="87" t="str">
        <f t="shared" ref="C313:D313" si="421">IF($B310&lt;&gt;"",C309,"")</f>
        <v/>
      </c>
      <c r="D313" s="87" t="str">
        <f t="shared" si="421"/>
        <v/>
      </c>
      <c r="E313" s="150"/>
      <c r="F313" s="150"/>
      <c r="G313" s="150"/>
      <c r="H313" s="150"/>
      <c r="I313" s="150"/>
      <c r="J313" s="150"/>
      <c r="K313" s="150"/>
      <c r="L313" s="150"/>
      <c r="M313" s="150"/>
      <c r="N313" s="150"/>
      <c r="O313" s="150"/>
      <c r="P313" s="150"/>
      <c r="Q313" s="150"/>
      <c r="R313" s="150"/>
      <c r="S313" s="150"/>
      <c r="T313" s="150"/>
      <c r="U313" s="150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8">
        <f t="shared" ref="A314" si="422">$A310+1</f>
        <v>78</v>
      </c>
      <c r="B314" s="172" t="str">
        <f>IFERROR(INDEX(TBL_LNG_IMPORTERS_CONNECTIONS[Name],$A314),"")</f>
        <v/>
      </c>
      <c r="C314" s="87" t="str">
        <f t="shared" ref="C314:D314" si="423">IF($B314&lt;&gt;"",C310,"")</f>
        <v/>
      </c>
      <c r="D314" s="87" t="str">
        <f t="shared" si="423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8">
        <f t="shared" ref="A315:A317" si="424">$A314</f>
        <v>78</v>
      </c>
      <c r="B315" s="173"/>
      <c r="C315" s="87" t="str">
        <f t="shared" ref="C315:D315" si="425">IF($B314&lt;&gt;"",C311,"")</f>
        <v/>
      </c>
      <c r="D315" s="87" t="str">
        <f t="shared" si="425"/>
        <v/>
      </c>
      <c r="E315" s="150"/>
      <c r="F315" s="150"/>
      <c r="G315" s="150"/>
      <c r="H315" s="150"/>
      <c r="I315" s="150"/>
      <c r="J315" s="150"/>
      <c r="K315" s="150"/>
      <c r="L315" s="150"/>
      <c r="M315" s="150"/>
      <c r="N315" s="150"/>
      <c r="O315" s="150"/>
      <c r="P315" s="150"/>
      <c r="Q315" s="150"/>
      <c r="R315" s="150"/>
      <c r="S315" s="150"/>
      <c r="T315" s="150"/>
      <c r="U315" s="150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8">
        <f t="shared" si="424"/>
        <v>78</v>
      </c>
      <c r="B316" s="173"/>
      <c r="C316" s="87" t="str">
        <f t="shared" ref="C316:D316" si="426">IF($B314&lt;&gt;"",C312,"")</f>
        <v/>
      </c>
      <c r="D316" s="87" t="str">
        <f t="shared" si="426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8">
        <f t="shared" si="424"/>
        <v>78</v>
      </c>
      <c r="B317" s="174"/>
      <c r="C317" s="87" t="str">
        <f t="shared" ref="C317:D317" si="427">IF($B314&lt;&gt;"",C313,"")</f>
        <v/>
      </c>
      <c r="D317" s="87" t="str">
        <f t="shared" si="427"/>
        <v/>
      </c>
      <c r="E317" s="150"/>
      <c r="F317" s="150"/>
      <c r="G317" s="150"/>
      <c r="H317" s="150"/>
      <c r="I317" s="150"/>
      <c r="J317" s="150"/>
      <c r="K317" s="150"/>
      <c r="L317" s="150"/>
      <c r="M317" s="150"/>
      <c r="N317" s="150"/>
      <c r="O317" s="150"/>
      <c r="P317" s="150"/>
      <c r="Q317" s="150"/>
      <c r="R317" s="150"/>
      <c r="S317" s="150"/>
      <c r="T317" s="150"/>
      <c r="U317" s="150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8">
        <f t="shared" ref="A318" si="428">$A314+1</f>
        <v>79</v>
      </c>
      <c r="B318" s="172" t="str">
        <f>IFERROR(INDEX(TBL_LNG_IMPORTERS_CONNECTIONS[Name],$A318),"")</f>
        <v/>
      </c>
      <c r="C318" s="87" t="str">
        <f t="shared" ref="C318:D318" si="429">IF($B318&lt;&gt;"",C314,"")</f>
        <v/>
      </c>
      <c r="D318" s="87" t="str">
        <f t="shared" si="429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8">
        <f t="shared" ref="A319:A337" si="430">$A318</f>
        <v>79</v>
      </c>
      <c r="B319" s="173"/>
      <c r="C319" s="87" t="str">
        <f t="shared" ref="C319:D319" si="431">IF($B318&lt;&gt;"",C315,"")</f>
        <v/>
      </c>
      <c r="D319" s="87" t="str">
        <f t="shared" si="431"/>
        <v/>
      </c>
      <c r="E319" s="150"/>
      <c r="F319" s="150"/>
      <c r="G319" s="150"/>
      <c r="H319" s="150"/>
      <c r="I319" s="150"/>
      <c r="J319" s="150"/>
      <c r="K319" s="150"/>
      <c r="L319" s="150"/>
      <c r="M319" s="150"/>
      <c r="N319" s="150"/>
      <c r="O319" s="150"/>
      <c r="P319" s="150"/>
      <c r="Q319" s="150"/>
      <c r="R319" s="150"/>
      <c r="S319" s="150"/>
      <c r="T319" s="150"/>
      <c r="U319" s="150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8">
        <f t="shared" si="430"/>
        <v>79</v>
      </c>
      <c r="B320" s="173"/>
      <c r="C320" s="87" t="str">
        <f t="shared" ref="C320:D320" si="432">IF($B318&lt;&gt;"",C316,"")</f>
        <v/>
      </c>
      <c r="D320" s="87" t="str">
        <f t="shared" si="432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8">
        <f t="shared" si="430"/>
        <v>79</v>
      </c>
      <c r="B321" s="174"/>
      <c r="C321" s="87" t="str">
        <f t="shared" ref="C321:D321" si="433">IF($B318&lt;&gt;"",C317,"")</f>
        <v/>
      </c>
      <c r="D321" s="87" t="str">
        <f t="shared" si="433"/>
        <v/>
      </c>
      <c r="E321" s="150"/>
      <c r="F321" s="150"/>
      <c r="G321" s="150"/>
      <c r="H321" s="150"/>
      <c r="I321" s="150"/>
      <c r="J321" s="150"/>
      <c r="K321" s="150"/>
      <c r="L321" s="150"/>
      <c r="M321" s="150"/>
      <c r="N321" s="150"/>
      <c r="O321" s="150"/>
      <c r="P321" s="150"/>
      <c r="Q321" s="150"/>
      <c r="R321" s="150"/>
      <c r="S321" s="150"/>
      <c r="T321" s="150"/>
      <c r="U321" s="150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8">
        <f t="shared" ref="A322" si="434">$A318+1</f>
        <v>80</v>
      </c>
      <c r="B322" s="172" t="str">
        <f>IFERROR(INDEX(TBL_LNG_IMPORTERS_CONNECTIONS[Name],$A322),"")</f>
        <v/>
      </c>
      <c r="C322" s="87" t="str">
        <f t="shared" ref="C322:D322" si="435">IF($B322&lt;&gt;"",C318,"")</f>
        <v/>
      </c>
      <c r="D322" s="87" t="str">
        <f t="shared" si="435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8">
        <f t="shared" si="430"/>
        <v>80</v>
      </c>
      <c r="B323" s="173"/>
      <c r="C323" s="87" t="str">
        <f t="shared" ref="C323:D323" si="436">IF($B322&lt;&gt;"",C319,"")</f>
        <v/>
      </c>
      <c r="D323" s="87" t="str">
        <f t="shared" si="436"/>
        <v/>
      </c>
      <c r="E323" s="150"/>
      <c r="F323" s="150"/>
      <c r="G323" s="150"/>
      <c r="H323" s="150"/>
      <c r="I323" s="150"/>
      <c r="J323" s="150"/>
      <c r="K323" s="150"/>
      <c r="L323" s="150"/>
      <c r="M323" s="150"/>
      <c r="N323" s="150"/>
      <c r="O323" s="150"/>
      <c r="P323" s="150"/>
      <c r="Q323" s="150"/>
      <c r="R323" s="150"/>
      <c r="S323" s="150"/>
      <c r="T323" s="150"/>
      <c r="U323" s="150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8">
        <f t="shared" si="430"/>
        <v>80</v>
      </c>
      <c r="B324" s="173"/>
      <c r="C324" s="87" t="str">
        <f t="shared" ref="C324:D324" si="437">IF($B322&lt;&gt;"",C320,"")</f>
        <v/>
      </c>
      <c r="D324" s="87" t="str">
        <f t="shared" si="437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8">
        <f t="shared" si="430"/>
        <v>80</v>
      </c>
      <c r="B325" s="174"/>
      <c r="C325" s="87" t="str">
        <f t="shared" ref="C325:D325" si="438">IF($B322&lt;&gt;"",C321,"")</f>
        <v/>
      </c>
      <c r="D325" s="87" t="str">
        <f t="shared" si="438"/>
        <v/>
      </c>
      <c r="E325" s="150"/>
      <c r="F325" s="150"/>
      <c r="G325" s="150"/>
      <c r="H325" s="150"/>
      <c r="I325" s="150"/>
      <c r="J325" s="150"/>
      <c r="K325" s="150"/>
      <c r="L325" s="150"/>
      <c r="M325" s="150"/>
      <c r="N325" s="150"/>
      <c r="O325" s="150"/>
      <c r="P325" s="150"/>
      <c r="Q325" s="150"/>
      <c r="R325" s="150"/>
      <c r="S325" s="150"/>
      <c r="T325" s="150"/>
      <c r="U325" s="150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8">
        <f t="shared" ref="A326" si="439">$A322+1</f>
        <v>81</v>
      </c>
      <c r="B326" s="172" t="str">
        <f>IFERROR(INDEX(TBL_LNG_IMPORTERS_CONNECTIONS[Name],$A326),"")</f>
        <v/>
      </c>
      <c r="C326" s="87" t="str">
        <f t="shared" ref="C326:D326" si="440">IF($B326&lt;&gt;"",C322,"")</f>
        <v/>
      </c>
      <c r="D326" s="87" t="str">
        <f t="shared" si="440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8">
        <f t="shared" si="430"/>
        <v>81</v>
      </c>
      <c r="B327" s="173"/>
      <c r="C327" s="87" t="str">
        <f t="shared" ref="C327:D327" si="441">IF($B326&lt;&gt;"",C323,"")</f>
        <v/>
      </c>
      <c r="D327" s="87" t="str">
        <f t="shared" si="441"/>
        <v/>
      </c>
      <c r="E327" s="150"/>
      <c r="F327" s="150"/>
      <c r="G327" s="150"/>
      <c r="H327" s="150"/>
      <c r="I327" s="150"/>
      <c r="J327" s="150"/>
      <c r="K327" s="150"/>
      <c r="L327" s="150"/>
      <c r="M327" s="150"/>
      <c r="N327" s="150"/>
      <c r="O327" s="150"/>
      <c r="P327" s="150"/>
      <c r="Q327" s="150"/>
      <c r="R327" s="150"/>
      <c r="S327" s="150"/>
      <c r="T327" s="150"/>
      <c r="U327" s="150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8">
        <f t="shared" si="430"/>
        <v>81</v>
      </c>
      <c r="B328" s="173"/>
      <c r="C328" s="87" t="str">
        <f t="shared" ref="C328:D328" si="442">IF($B326&lt;&gt;"",C324,"")</f>
        <v/>
      </c>
      <c r="D328" s="87" t="str">
        <f t="shared" si="442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8">
        <f t="shared" si="430"/>
        <v>81</v>
      </c>
      <c r="B329" s="174"/>
      <c r="C329" s="87" t="str">
        <f t="shared" ref="C329:D329" si="443">IF($B326&lt;&gt;"",C325,"")</f>
        <v/>
      </c>
      <c r="D329" s="87" t="str">
        <f t="shared" si="443"/>
        <v/>
      </c>
      <c r="E329" s="150"/>
      <c r="F329" s="150"/>
      <c r="G329" s="150"/>
      <c r="H329" s="150"/>
      <c r="I329" s="150"/>
      <c r="J329" s="150"/>
      <c r="K329" s="150"/>
      <c r="L329" s="150"/>
      <c r="M329" s="150"/>
      <c r="N329" s="150"/>
      <c r="O329" s="150"/>
      <c r="P329" s="150"/>
      <c r="Q329" s="150"/>
      <c r="R329" s="150"/>
      <c r="S329" s="150"/>
      <c r="T329" s="150"/>
      <c r="U329" s="150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8">
        <f t="shared" ref="A330" si="444">$A326+1</f>
        <v>82</v>
      </c>
      <c r="B330" s="172" t="str">
        <f>IFERROR(INDEX(TBL_LNG_IMPORTERS_CONNECTIONS[Name],$A330),"")</f>
        <v/>
      </c>
      <c r="C330" s="87" t="str">
        <f t="shared" ref="C330:D330" si="445">IF($B330&lt;&gt;"",C326,"")</f>
        <v/>
      </c>
      <c r="D330" s="87" t="str">
        <f t="shared" si="445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8">
        <f t="shared" si="430"/>
        <v>82</v>
      </c>
      <c r="B331" s="173"/>
      <c r="C331" s="87" t="str">
        <f t="shared" ref="C331:D331" si="446">IF($B330&lt;&gt;"",C327,"")</f>
        <v/>
      </c>
      <c r="D331" s="87" t="str">
        <f t="shared" si="446"/>
        <v/>
      </c>
      <c r="E331" s="150"/>
      <c r="F331" s="150"/>
      <c r="G331" s="150"/>
      <c r="H331" s="150"/>
      <c r="I331" s="150"/>
      <c r="J331" s="150"/>
      <c r="K331" s="150"/>
      <c r="L331" s="150"/>
      <c r="M331" s="150"/>
      <c r="N331" s="150"/>
      <c r="O331" s="150"/>
      <c r="P331" s="150"/>
      <c r="Q331" s="150"/>
      <c r="R331" s="150"/>
      <c r="S331" s="150"/>
      <c r="T331" s="150"/>
      <c r="U331" s="150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8">
        <f t="shared" si="430"/>
        <v>82</v>
      </c>
      <c r="B332" s="173"/>
      <c r="C332" s="87" t="str">
        <f t="shared" ref="C332:D332" si="447">IF($B330&lt;&gt;"",C328,"")</f>
        <v/>
      </c>
      <c r="D332" s="87" t="str">
        <f t="shared" si="447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8">
        <f t="shared" si="430"/>
        <v>82</v>
      </c>
      <c r="B333" s="174"/>
      <c r="C333" s="87" t="str">
        <f t="shared" ref="C333:D333" si="448">IF($B330&lt;&gt;"",C329,"")</f>
        <v/>
      </c>
      <c r="D333" s="87" t="str">
        <f t="shared" si="448"/>
        <v/>
      </c>
      <c r="E333" s="150"/>
      <c r="F333" s="150"/>
      <c r="G333" s="150"/>
      <c r="H333" s="150"/>
      <c r="I333" s="150"/>
      <c r="J333" s="150"/>
      <c r="K333" s="150"/>
      <c r="L333" s="150"/>
      <c r="M333" s="150"/>
      <c r="N333" s="150"/>
      <c r="O333" s="150"/>
      <c r="P333" s="150"/>
      <c r="Q333" s="150"/>
      <c r="R333" s="150"/>
      <c r="S333" s="150"/>
      <c r="T333" s="150"/>
      <c r="U333" s="150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8">
        <f t="shared" ref="A334" si="449">$A330+1</f>
        <v>83</v>
      </c>
      <c r="B334" s="172" t="str">
        <f>IFERROR(INDEX(TBL_LNG_IMPORTERS_CONNECTIONS[Name],$A334),"")</f>
        <v/>
      </c>
      <c r="C334" s="87" t="str">
        <f t="shared" ref="C334:D334" si="450">IF($B334&lt;&gt;"",C330,"")</f>
        <v/>
      </c>
      <c r="D334" s="87" t="str">
        <f t="shared" si="450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8">
        <f t="shared" si="430"/>
        <v>83</v>
      </c>
      <c r="B335" s="173"/>
      <c r="C335" s="87" t="str">
        <f t="shared" ref="C335:D335" si="451">IF($B334&lt;&gt;"",C331,"")</f>
        <v/>
      </c>
      <c r="D335" s="87" t="str">
        <f t="shared" si="451"/>
        <v/>
      </c>
      <c r="E335" s="150"/>
      <c r="F335" s="150"/>
      <c r="G335" s="150"/>
      <c r="H335" s="150"/>
      <c r="I335" s="150"/>
      <c r="J335" s="150"/>
      <c r="K335" s="150"/>
      <c r="L335" s="150"/>
      <c r="M335" s="150"/>
      <c r="N335" s="150"/>
      <c r="O335" s="150"/>
      <c r="P335" s="150"/>
      <c r="Q335" s="150"/>
      <c r="R335" s="150"/>
      <c r="S335" s="150"/>
      <c r="T335" s="150"/>
      <c r="U335" s="150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8">
        <f t="shared" si="430"/>
        <v>83</v>
      </c>
      <c r="B336" s="173"/>
      <c r="C336" s="87" t="str">
        <f t="shared" ref="C336:D336" si="452">IF($B334&lt;&gt;"",C332,"")</f>
        <v/>
      </c>
      <c r="D336" s="87" t="str">
        <f t="shared" si="452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8">
        <f t="shared" si="430"/>
        <v>83</v>
      </c>
      <c r="B337" s="174"/>
      <c r="C337" s="87" t="str">
        <f t="shared" ref="C337:D337" si="453">IF($B334&lt;&gt;"",C333,"")</f>
        <v/>
      </c>
      <c r="D337" s="87" t="str">
        <f t="shared" si="453"/>
        <v/>
      </c>
      <c r="E337" s="150"/>
      <c r="F337" s="150"/>
      <c r="G337" s="150"/>
      <c r="H337" s="150"/>
      <c r="I337" s="150"/>
      <c r="J337" s="150"/>
      <c r="K337" s="150"/>
      <c r="L337" s="150"/>
      <c r="M337" s="150"/>
      <c r="N337" s="150"/>
      <c r="O337" s="150"/>
      <c r="P337" s="150"/>
      <c r="Q337" s="150"/>
      <c r="R337" s="150"/>
      <c r="S337" s="150"/>
      <c r="T337" s="150"/>
      <c r="U337" s="150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8">
        <f t="shared" ref="A338" si="454">$A334+1</f>
        <v>84</v>
      </c>
      <c r="B338" s="172" t="str">
        <f>IFERROR(INDEX(TBL_LNG_IMPORTERS_CONNECTIONS[Name],$A338),"")</f>
        <v/>
      </c>
      <c r="C338" s="87" t="str">
        <f t="shared" ref="C338:D338" si="455">IF($B338&lt;&gt;"",C334,"")</f>
        <v/>
      </c>
      <c r="D338" s="87" t="str">
        <f t="shared" si="455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8">
        <f t="shared" ref="A339:A341" si="456">$A338</f>
        <v>84</v>
      </c>
      <c r="B339" s="173"/>
      <c r="C339" s="87" t="str">
        <f t="shared" ref="C339:D339" si="457">IF($B338&lt;&gt;"",C335,"")</f>
        <v/>
      </c>
      <c r="D339" s="87" t="str">
        <f t="shared" si="457"/>
        <v/>
      </c>
      <c r="E339" s="150"/>
      <c r="F339" s="150"/>
      <c r="G339" s="150"/>
      <c r="H339" s="150"/>
      <c r="I339" s="150"/>
      <c r="J339" s="150"/>
      <c r="K339" s="150"/>
      <c r="L339" s="150"/>
      <c r="M339" s="150"/>
      <c r="N339" s="150"/>
      <c r="O339" s="150"/>
      <c r="P339" s="150"/>
      <c r="Q339" s="150"/>
      <c r="R339" s="150"/>
      <c r="S339" s="150"/>
      <c r="T339" s="150"/>
      <c r="U339" s="150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8">
        <f t="shared" si="456"/>
        <v>84</v>
      </c>
      <c r="B340" s="173"/>
      <c r="C340" s="87" t="str">
        <f t="shared" ref="C340:D340" si="458">IF($B338&lt;&gt;"",C336,"")</f>
        <v/>
      </c>
      <c r="D340" s="87" t="str">
        <f t="shared" si="458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8">
        <f t="shared" si="456"/>
        <v>84</v>
      </c>
      <c r="B341" s="174"/>
      <c r="C341" s="87" t="str">
        <f t="shared" ref="C341:D341" si="459">IF($B338&lt;&gt;"",C337,"")</f>
        <v/>
      </c>
      <c r="D341" s="87" t="str">
        <f t="shared" si="459"/>
        <v/>
      </c>
      <c r="E341" s="150"/>
      <c r="F341" s="150"/>
      <c r="G341" s="150"/>
      <c r="H341" s="150"/>
      <c r="I341" s="150"/>
      <c r="J341" s="150"/>
      <c r="K341" s="150"/>
      <c r="L341" s="150"/>
      <c r="M341" s="150"/>
      <c r="N341" s="150"/>
      <c r="O341" s="150"/>
      <c r="P341" s="150"/>
      <c r="Q341" s="150"/>
      <c r="R341" s="150"/>
      <c r="S341" s="150"/>
      <c r="T341" s="150"/>
      <c r="U341" s="150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8">
        <f t="shared" ref="A342" si="460">$A338+1</f>
        <v>85</v>
      </c>
      <c r="B342" s="172" t="str">
        <f>IFERROR(INDEX(TBL_LNG_IMPORTERS_CONNECTIONS[Name],$A342),"")</f>
        <v/>
      </c>
      <c r="C342" s="87" t="str">
        <f t="shared" ref="C342:D342" si="461">IF($B342&lt;&gt;"",C338,"")</f>
        <v/>
      </c>
      <c r="D342" s="87" t="str">
        <f t="shared" si="461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8">
        <f t="shared" ref="A343:A345" si="462">$A342</f>
        <v>85</v>
      </c>
      <c r="B343" s="173"/>
      <c r="C343" s="87" t="str">
        <f t="shared" ref="C343:D343" si="463">IF($B342&lt;&gt;"",C339,"")</f>
        <v/>
      </c>
      <c r="D343" s="87" t="str">
        <f t="shared" si="463"/>
        <v/>
      </c>
      <c r="E343" s="150"/>
      <c r="F343" s="150"/>
      <c r="G343" s="150"/>
      <c r="H343" s="150"/>
      <c r="I343" s="150"/>
      <c r="J343" s="150"/>
      <c r="K343" s="150"/>
      <c r="L343" s="150"/>
      <c r="M343" s="150"/>
      <c r="N343" s="150"/>
      <c r="O343" s="150"/>
      <c r="P343" s="150"/>
      <c r="Q343" s="150"/>
      <c r="R343" s="150"/>
      <c r="S343" s="150"/>
      <c r="T343" s="150"/>
      <c r="U343" s="150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8">
        <f t="shared" si="462"/>
        <v>85</v>
      </c>
      <c r="B344" s="173"/>
      <c r="C344" s="87" t="str">
        <f t="shared" ref="C344:D344" si="464">IF($B342&lt;&gt;"",C340,"")</f>
        <v/>
      </c>
      <c r="D344" s="87" t="str">
        <f t="shared" si="464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8">
        <f t="shared" si="462"/>
        <v>85</v>
      </c>
      <c r="B345" s="174"/>
      <c r="C345" s="87" t="str">
        <f t="shared" ref="C345:D345" si="465">IF($B342&lt;&gt;"",C341,"")</f>
        <v/>
      </c>
      <c r="D345" s="87" t="str">
        <f t="shared" si="465"/>
        <v/>
      </c>
      <c r="E345" s="150"/>
      <c r="F345" s="150"/>
      <c r="G345" s="150"/>
      <c r="H345" s="150"/>
      <c r="I345" s="150"/>
      <c r="J345" s="150"/>
      <c r="K345" s="150"/>
      <c r="L345" s="150"/>
      <c r="M345" s="150"/>
      <c r="N345" s="150"/>
      <c r="O345" s="150"/>
      <c r="P345" s="150"/>
      <c r="Q345" s="150"/>
      <c r="R345" s="150"/>
      <c r="S345" s="150"/>
      <c r="T345" s="150"/>
      <c r="U345" s="150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8">
        <f t="shared" ref="A346" si="466">$A342+1</f>
        <v>86</v>
      </c>
      <c r="B346" s="172" t="str">
        <f>IFERROR(INDEX(TBL_LNG_IMPORTERS_CONNECTIONS[Name],$A346),"")</f>
        <v/>
      </c>
      <c r="C346" s="87" t="str">
        <f t="shared" ref="C346:D346" si="467">IF($B346&lt;&gt;"",C342,"")</f>
        <v/>
      </c>
      <c r="D346" s="87" t="str">
        <f t="shared" si="467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8">
        <f t="shared" ref="A347:A349" si="468">$A346</f>
        <v>86</v>
      </c>
      <c r="B347" s="173"/>
      <c r="C347" s="87" t="str">
        <f t="shared" ref="C347:D347" si="469">IF($B346&lt;&gt;"",C343,"")</f>
        <v/>
      </c>
      <c r="D347" s="87" t="str">
        <f t="shared" si="469"/>
        <v/>
      </c>
      <c r="E347" s="150"/>
      <c r="F347" s="150"/>
      <c r="G347" s="150"/>
      <c r="H347" s="150"/>
      <c r="I347" s="150"/>
      <c r="J347" s="150"/>
      <c r="K347" s="150"/>
      <c r="L347" s="150"/>
      <c r="M347" s="150"/>
      <c r="N347" s="150"/>
      <c r="O347" s="150"/>
      <c r="P347" s="150"/>
      <c r="Q347" s="150"/>
      <c r="R347" s="150"/>
      <c r="S347" s="150"/>
      <c r="T347" s="150"/>
      <c r="U347" s="150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8">
        <f t="shared" si="468"/>
        <v>86</v>
      </c>
      <c r="B348" s="173"/>
      <c r="C348" s="87" t="str">
        <f t="shared" ref="C348:D348" si="470">IF($B346&lt;&gt;"",C344,"")</f>
        <v/>
      </c>
      <c r="D348" s="87" t="str">
        <f t="shared" si="470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8">
        <f t="shared" si="468"/>
        <v>86</v>
      </c>
      <c r="B349" s="174"/>
      <c r="C349" s="87" t="str">
        <f t="shared" ref="C349:D349" si="471">IF($B346&lt;&gt;"",C345,"")</f>
        <v/>
      </c>
      <c r="D349" s="87" t="str">
        <f t="shared" si="471"/>
        <v/>
      </c>
      <c r="E349" s="150"/>
      <c r="F349" s="150"/>
      <c r="G349" s="150"/>
      <c r="H349" s="150"/>
      <c r="I349" s="150"/>
      <c r="J349" s="150"/>
      <c r="K349" s="150"/>
      <c r="L349" s="150"/>
      <c r="M349" s="150"/>
      <c r="N349" s="150"/>
      <c r="O349" s="150"/>
      <c r="P349" s="150"/>
      <c r="Q349" s="150"/>
      <c r="R349" s="150"/>
      <c r="S349" s="150"/>
      <c r="T349" s="150"/>
      <c r="U349" s="150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8">
        <f t="shared" ref="A350" si="472">$A346+1</f>
        <v>87</v>
      </c>
      <c r="B350" s="172" t="str">
        <f>IFERROR(INDEX(TBL_LNG_IMPORTERS_CONNECTIONS[Name],$A350),"")</f>
        <v/>
      </c>
      <c r="C350" s="87" t="str">
        <f t="shared" ref="C350:D350" si="473">IF($B350&lt;&gt;"",C346,"")</f>
        <v/>
      </c>
      <c r="D350" s="87" t="str">
        <f t="shared" si="473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8">
        <f t="shared" ref="A351:A353" si="474">$A350</f>
        <v>87</v>
      </c>
      <c r="B351" s="173"/>
      <c r="C351" s="87" t="str">
        <f t="shared" ref="C351:D351" si="475">IF($B350&lt;&gt;"",C347,"")</f>
        <v/>
      </c>
      <c r="D351" s="87" t="str">
        <f t="shared" si="475"/>
        <v/>
      </c>
      <c r="E351" s="150"/>
      <c r="F351" s="150"/>
      <c r="G351" s="150"/>
      <c r="H351" s="150"/>
      <c r="I351" s="150"/>
      <c r="J351" s="150"/>
      <c r="K351" s="150"/>
      <c r="L351" s="150"/>
      <c r="M351" s="150"/>
      <c r="N351" s="150"/>
      <c r="O351" s="150"/>
      <c r="P351" s="150"/>
      <c r="Q351" s="150"/>
      <c r="R351" s="150"/>
      <c r="S351" s="150"/>
      <c r="T351" s="150"/>
      <c r="U351" s="150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8">
        <f t="shared" si="474"/>
        <v>87</v>
      </c>
      <c r="B352" s="173"/>
      <c r="C352" s="87" t="str">
        <f t="shared" ref="C352:D352" si="476">IF($B350&lt;&gt;"",C348,"")</f>
        <v/>
      </c>
      <c r="D352" s="87" t="str">
        <f t="shared" si="476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8">
        <f t="shared" si="474"/>
        <v>87</v>
      </c>
      <c r="B353" s="174"/>
      <c r="C353" s="87" t="str">
        <f t="shared" ref="C353:D353" si="477">IF($B350&lt;&gt;"",C349,"")</f>
        <v/>
      </c>
      <c r="D353" s="87" t="str">
        <f t="shared" si="477"/>
        <v/>
      </c>
      <c r="E353" s="150"/>
      <c r="F353" s="150"/>
      <c r="G353" s="150"/>
      <c r="H353" s="150"/>
      <c r="I353" s="150"/>
      <c r="J353" s="150"/>
      <c r="K353" s="150"/>
      <c r="L353" s="150"/>
      <c r="M353" s="150"/>
      <c r="N353" s="150"/>
      <c r="O353" s="150"/>
      <c r="P353" s="150"/>
      <c r="Q353" s="150"/>
      <c r="R353" s="150"/>
      <c r="S353" s="150"/>
      <c r="T353" s="150"/>
      <c r="U353" s="150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8">
        <f t="shared" ref="A354" si="478">$A350+1</f>
        <v>88</v>
      </c>
      <c r="B354" s="172" t="str">
        <f>IFERROR(INDEX(TBL_LNG_IMPORTERS_CONNECTIONS[Name],$A354),"")</f>
        <v/>
      </c>
      <c r="C354" s="87" t="str">
        <f t="shared" ref="C354:D354" si="479">IF($B354&lt;&gt;"",C350,"")</f>
        <v/>
      </c>
      <c r="D354" s="87" t="str">
        <f t="shared" si="479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8">
        <f t="shared" ref="A355:A357" si="480">$A354</f>
        <v>88</v>
      </c>
      <c r="B355" s="173"/>
      <c r="C355" s="87" t="str">
        <f t="shared" ref="C355:D355" si="481">IF($B354&lt;&gt;"",C351,"")</f>
        <v/>
      </c>
      <c r="D355" s="87" t="str">
        <f t="shared" si="481"/>
        <v/>
      </c>
      <c r="E355" s="150"/>
      <c r="F355" s="150"/>
      <c r="G355" s="150"/>
      <c r="H355" s="150"/>
      <c r="I355" s="150"/>
      <c r="J355" s="150"/>
      <c r="K355" s="150"/>
      <c r="L355" s="150"/>
      <c r="M355" s="150"/>
      <c r="N355" s="150"/>
      <c r="O355" s="150"/>
      <c r="P355" s="150"/>
      <c r="Q355" s="150"/>
      <c r="R355" s="150"/>
      <c r="S355" s="150"/>
      <c r="T355" s="150"/>
      <c r="U355" s="150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8">
        <f t="shared" si="480"/>
        <v>88</v>
      </c>
      <c r="B356" s="173"/>
      <c r="C356" s="87" t="str">
        <f t="shared" ref="C356:D356" si="482">IF($B354&lt;&gt;"",C352,"")</f>
        <v/>
      </c>
      <c r="D356" s="87" t="str">
        <f t="shared" si="482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8">
        <f t="shared" si="480"/>
        <v>88</v>
      </c>
      <c r="B357" s="174"/>
      <c r="C357" s="87" t="str">
        <f t="shared" ref="C357:D357" si="483">IF($B354&lt;&gt;"",C353,"")</f>
        <v/>
      </c>
      <c r="D357" s="87" t="str">
        <f t="shared" si="483"/>
        <v/>
      </c>
      <c r="E357" s="150"/>
      <c r="F357" s="150"/>
      <c r="G357" s="150"/>
      <c r="H357" s="150"/>
      <c r="I357" s="150"/>
      <c r="J357" s="150"/>
      <c r="K357" s="150"/>
      <c r="L357" s="150"/>
      <c r="M357" s="150"/>
      <c r="N357" s="150"/>
      <c r="O357" s="150"/>
      <c r="P357" s="150"/>
      <c r="Q357" s="150"/>
      <c r="R357" s="150"/>
      <c r="S357" s="150"/>
      <c r="T357" s="150"/>
      <c r="U357" s="150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8">
        <f t="shared" ref="A358" si="484">$A354+1</f>
        <v>89</v>
      </c>
      <c r="B358" s="172" t="str">
        <f>IFERROR(INDEX(TBL_LNG_IMPORTERS_CONNECTIONS[Name],$A358),"")</f>
        <v/>
      </c>
      <c r="C358" s="87" t="str">
        <f t="shared" ref="C358:D358" si="485">IF($B358&lt;&gt;"",C354,"")</f>
        <v/>
      </c>
      <c r="D358" s="87" t="str">
        <f t="shared" si="485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8">
        <f t="shared" ref="A359:A377" si="486">$A358</f>
        <v>89</v>
      </c>
      <c r="B359" s="173"/>
      <c r="C359" s="87" t="str">
        <f t="shared" ref="C359:D359" si="487">IF($B358&lt;&gt;"",C355,"")</f>
        <v/>
      </c>
      <c r="D359" s="87" t="str">
        <f t="shared" si="487"/>
        <v/>
      </c>
      <c r="E359" s="150"/>
      <c r="F359" s="150"/>
      <c r="G359" s="150"/>
      <c r="H359" s="150"/>
      <c r="I359" s="150"/>
      <c r="J359" s="150"/>
      <c r="K359" s="150"/>
      <c r="L359" s="150"/>
      <c r="M359" s="150"/>
      <c r="N359" s="150"/>
      <c r="O359" s="150"/>
      <c r="P359" s="150"/>
      <c r="Q359" s="150"/>
      <c r="R359" s="150"/>
      <c r="S359" s="150"/>
      <c r="T359" s="150"/>
      <c r="U359" s="150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8">
        <f t="shared" si="486"/>
        <v>89</v>
      </c>
      <c r="B360" s="173"/>
      <c r="C360" s="87" t="str">
        <f t="shared" ref="C360:D360" si="488">IF($B358&lt;&gt;"",C356,"")</f>
        <v/>
      </c>
      <c r="D360" s="87" t="str">
        <f t="shared" si="488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8">
        <f t="shared" si="486"/>
        <v>89</v>
      </c>
      <c r="B361" s="174"/>
      <c r="C361" s="87" t="str">
        <f t="shared" ref="C361:D361" si="489">IF($B358&lt;&gt;"",C357,"")</f>
        <v/>
      </c>
      <c r="D361" s="87" t="str">
        <f t="shared" si="489"/>
        <v/>
      </c>
      <c r="E361" s="150"/>
      <c r="F361" s="150"/>
      <c r="G361" s="150"/>
      <c r="H361" s="150"/>
      <c r="I361" s="150"/>
      <c r="J361" s="150"/>
      <c r="K361" s="150"/>
      <c r="L361" s="150"/>
      <c r="M361" s="150"/>
      <c r="N361" s="150"/>
      <c r="O361" s="150"/>
      <c r="P361" s="150"/>
      <c r="Q361" s="150"/>
      <c r="R361" s="150"/>
      <c r="S361" s="150"/>
      <c r="T361" s="150"/>
      <c r="U361" s="150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8">
        <f t="shared" ref="A362" si="490">$A358+1</f>
        <v>90</v>
      </c>
      <c r="B362" s="172" t="str">
        <f>IFERROR(INDEX(TBL_LNG_IMPORTERS_CONNECTIONS[Name],$A362),"")</f>
        <v/>
      </c>
      <c r="C362" s="87" t="str">
        <f t="shared" ref="C362:D362" si="491">IF($B362&lt;&gt;"",C358,"")</f>
        <v/>
      </c>
      <c r="D362" s="87" t="str">
        <f t="shared" si="491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8">
        <f t="shared" si="486"/>
        <v>90</v>
      </c>
      <c r="B363" s="173"/>
      <c r="C363" s="87" t="str">
        <f t="shared" ref="C363:D363" si="492">IF($B362&lt;&gt;"",C359,"")</f>
        <v/>
      </c>
      <c r="D363" s="87" t="str">
        <f t="shared" si="492"/>
        <v/>
      </c>
      <c r="E363" s="150"/>
      <c r="F363" s="150"/>
      <c r="G363" s="150"/>
      <c r="H363" s="150"/>
      <c r="I363" s="150"/>
      <c r="J363" s="150"/>
      <c r="K363" s="150"/>
      <c r="L363" s="150"/>
      <c r="M363" s="150"/>
      <c r="N363" s="150"/>
      <c r="O363" s="150"/>
      <c r="P363" s="150"/>
      <c r="Q363" s="150"/>
      <c r="R363" s="150"/>
      <c r="S363" s="150"/>
      <c r="T363" s="150"/>
      <c r="U363" s="150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8">
        <f t="shared" si="486"/>
        <v>90</v>
      </c>
      <c r="B364" s="173"/>
      <c r="C364" s="87" t="str">
        <f t="shared" ref="C364:D364" si="493">IF($B362&lt;&gt;"",C360,"")</f>
        <v/>
      </c>
      <c r="D364" s="87" t="str">
        <f t="shared" si="493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8">
        <f t="shared" si="486"/>
        <v>90</v>
      </c>
      <c r="B365" s="174"/>
      <c r="C365" s="87" t="str">
        <f t="shared" ref="C365:D365" si="494">IF($B362&lt;&gt;"",C361,"")</f>
        <v/>
      </c>
      <c r="D365" s="87" t="str">
        <f t="shared" si="494"/>
        <v/>
      </c>
      <c r="E365" s="150"/>
      <c r="F365" s="150"/>
      <c r="G365" s="150"/>
      <c r="H365" s="150"/>
      <c r="I365" s="150"/>
      <c r="J365" s="150"/>
      <c r="K365" s="150"/>
      <c r="L365" s="150"/>
      <c r="M365" s="150"/>
      <c r="N365" s="150"/>
      <c r="O365" s="150"/>
      <c r="P365" s="150"/>
      <c r="Q365" s="150"/>
      <c r="R365" s="150"/>
      <c r="S365" s="150"/>
      <c r="T365" s="150"/>
      <c r="U365" s="150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8">
        <f t="shared" ref="A366" si="495">$A362+1</f>
        <v>91</v>
      </c>
      <c r="B366" s="172" t="str">
        <f>IFERROR(INDEX(TBL_LNG_IMPORTERS_CONNECTIONS[Name],$A366),"")</f>
        <v/>
      </c>
      <c r="C366" s="87" t="str">
        <f t="shared" ref="C366:D366" si="496">IF($B366&lt;&gt;"",C362,"")</f>
        <v/>
      </c>
      <c r="D366" s="87" t="str">
        <f t="shared" si="496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8">
        <f t="shared" si="486"/>
        <v>91</v>
      </c>
      <c r="B367" s="173"/>
      <c r="C367" s="87" t="str">
        <f t="shared" ref="C367:D367" si="497">IF($B366&lt;&gt;"",C363,"")</f>
        <v/>
      </c>
      <c r="D367" s="87" t="str">
        <f t="shared" si="497"/>
        <v/>
      </c>
      <c r="E367" s="150"/>
      <c r="F367" s="150"/>
      <c r="G367" s="150"/>
      <c r="H367" s="150"/>
      <c r="I367" s="150"/>
      <c r="J367" s="150"/>
      <c r="K367" s="150"/>
      <c r="L367" s="150"/>
      <c r="M367" s="150"/>
      <c r="N367" s="150"/>
      <c r="O367" s="150"/>
      <c r="P367" s="150"/>
      <c r="Q367" s="150"/>
      <c r="R367" s="150"/>
      <c r="S367" s="150"/>
      <c r="T367" s="150"/>
      <c r="U367" s="150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8">
        <f t="shared" si="486"/>
        <v>91</v>
      </c>
      <c r="B368" s="173"/>
      <c r="C368" s="87" t="str">
        <f t="shared" ref="C368:D368" si="498">IF($B366&lt;&gt;"",C364,"")</f>
        <v/>
      </c>
      <c r="D368" s="87" t="str">
        <f t="shared" si="498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8">
        <f t="shared" si="486"/>
        <v>91</v>
      </c>
      <c r="B369" s="174"/>
      <c r="C369" s="87" t="str">
        <f t="shared" ref="C369:D369" si="499">IF($B366&lt;&gt;"",C365,"")</f>
        <v/>
      </c>
      <c r="D369" s="87" t="str">
        <f t="shared" si="499"/>
        <v/>
      </c>
      <c r="E369" s="150"/>
      <c r="F369" s="150"/>
      <c r="G369" s="150"/>
      <c r="H369" s="150"/>
      <c r="I369" s="150"/>
      <c r="J369" s="150"/>
      <c r="K369" s="150"/>
      <c r="L369" s="150"/>
      <c r="M369" s="150"/>
      <c r="N369" s="150"/>
      <c r="O369" s="150"/>
      <c r="P369" s="150"/>
      <c r="Q369" s="150"/>
      <c r="R369" s="150"/>
      <c r="S369" s="150"/>
      <c r="T369" s="150"/>
      <c r="U369" s="150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8">
        <f t="shared" ref="A370" si="500">$A366+1</f>
        <v>92</v>
      </c>
      <c r="B370" s="172" t="str">
        <f>IFERROR(INDEX(TBL_LNG_IMPORTERS_CONNECTIONS[Name],$A370),"")</f>
        <v/>
      </c>
      <c r="C370" s="87" t="str">
        <f t="shared" ref="C370:D370" si="501">IF($B370&lt;&gt;"",C366,"")</f>
        <v/>
      </c>
      <c r="D370" s="87" t="str">
        <f t="shared" si="501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8">
        <f t="shared" si="486"/>
        <v>92</v>
      </c>
      <c r="B371" s="173"/>
      <c r="C371" s="87" t="str">
        <f t="shared" ref="C371:D371" si="502">IF($B370&lt;&gt;"",C367,"")</f>
        <v/>
      </c>
      <c r="D371" s="87" t="str">
        <f t="shared" si="502"/>
        <v/>
      </c>
      <c r="E371" s="150"/>
      <c r="F371" s="150"/>
      <c r="G371" s="150"/>
      <c r="H371" s="150"/>
      <c r="I371" s="150"/>
      <c r="J371" s="150"/>
      <c r="K371" s="150"/>
      <c r="L371" s="150"/>
      <c r="M371" s="150"/>
      <c r="N371" s="150"/>
      <c r="O371" s="150"/>
      <c r="P371" s="150"/>
      <c r="Q371" s="150"/>
      <c r="R371" s="150"/>
      <c r="S371" s="150"/>
      <c r="T371" s="150"/>
      <c r="U371" s="150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8">
        <f t="shared" si="486"/>
        <v>92</v>
      </c>
      <c r="B372" s="173"/>
      <c r="C372" s="87" t="str">
        <f t="shared" ref="C372:D372" si="503">IF($B370&lt;&gt;"",C368,"")</f>
        <v/>
      </c>
      <c r="D372" s="87" t="str">
        <f t="shared" si="503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8">
        <f t="shared" si="486"/>
        <v>92</v>
      </c>
      <c r="B373" s="174"/>
      <c r="C373" s="87" t="str">
        <f t="shared" ref="C373:D373" si="504">IF($B370&lt;&gt;"",C369,"")</f>
        <v/>
      </c>
      <c r="D373" s="87" t="str">
        <f t="shared" si="504"/>
        <v/>
      </c>
      <c r="E373" s="150"/>
      <c r="F373" s="150"/>
      <c r="G373" s="150"/>
      <c r="H373" s="150"/>
      <c r="I373" s="150"/>
      <c r="J373" s="150"/>
      <c r="K373" s="150"/>
      <c r="L373" s="150"/>
      <c r="M373" s="150"/>
      <c r="N373" s="150"/>
      <c r="O373" s="150"/>
      <c r="P373" s="150"/>
      <c r="Q373" s="150"/>
      <c r="R373" s="150"/>
      <c r="S373" s="150"/>
      <c r="T373" s="150"/>
      <c r="U373" s="150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8">
        <f t="shared" ref="A374" si="505">$A370+1</f>
        <v>93</v>
      </c>
      <c r="B374" s="172" t="str">
        <f>IFERROR(INDEX(TBL_LNG_IMPORTERS_CONNECTIONS[Name],$A374),"")</f>
        <v/>
      </c>
      <c r="C374" s="87" t="str">
        <f t="shared" ref="C374:D374" si="506">IF($B374&lt;&gt;"",C370,"")</f>
        <v/>
      </c>
      <c r="D374" s="87" t="str">
        <f t="shared" si="506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8">
        <f t="shared" si="486"/>
        <v>93</v>
      </c>
      <c r="B375" s="173"/>
      <c r="C375" s="87" t="str">
        <f t="shared" ref="C375:D375" si="507">IF($B374&lt;&gt;"",C371,"")</f>
        <v/>
      </c>
      <c r="D375" s="87" t="str">
        <f t="shared" si="507"/>
        <v/>
      </c>
      <c r="E375" s="150"/>
      <c r="F375" s="150"/>
      <c r="G375" s="150"/>
      <c r="H375" s="150"/>
      <c r="I375" s="150"/>
      <c r="J375" s="150"/>
      <c r="K375" s="150"/>
      <c r="L375" s="150"/>
      <c r="M375" s="150"/>
      <c r="N375" s="150"/>
      <c r="O375" s="150"/>
      <c r="P375" s="150"/>
      <c r="Q375" s="150"/>
      <c r="R375" s="150"/>
      <c r="S375" s="150"/>
      <c r="T375" s="150"/>
      <c r="U375" s="150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8">
        <f t="shared" si="486"/>
        <v>93</v>
      </c>
      <c r="B376" s="173"/>
      <c r="C376" s="87" t="str">
        <f t="shared" ref="C376:D376" si="508">IF($B374&lt;&gt;"",C372,"")</f>
        <v/>
      </c>
      <c r="D376" s="87" t="str">
        <f t="shared" si="508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8">
        <f t="shared" si="486"/>
        <v>93</v>
      </c>
      <c r="B377" s="174"/>
      <c r="C377" s="87" t="str">
        <f t="shared" ref="C377:D377" si="509">IF($B374&lt;&gt;"",C373,"")</f>
        <v/>
      </c>
      <c r="D377" s="87" t="str">
        <f t="shared" si="509"/>
        <v/>
      </c>
      <c r="E377" s="150"/>
      <c r="F377" s="150"/>
      <c r="G377" s="150"/>
      <c r="H377" s="150"/>
      <c r="I377" s="150"/>
      <c r="J377" s="150"/>
      <c r="K377" s="150"/>
      <c r="L377" s="150"/>
      <c r="M377" s="150"/>
      <c r="N377" s="150"/>
      <c r="O377" s="150"/>
      <c r="P377" s="150"/>
      <c r="Q377" s="150"/>
      <c r="R377" s="150"/>
      <c r="S377" s="150"/>
      <c r="T377" s="150"/>
      <c r="U377" s="150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8">
        <f t="shared" ref="A378" si="510">$A374+1</f>
        <v>94</v>
      </c>
      <c r="B378" s="172" t="str">
        <f>IFERROR(INDEX(TBL_LNG_IMPORTERS_CONNECTIONS[Name],$A378),"")</f>
        <v/>
      </c>
      <c r="C378" s="87" t="str">
        <f t="shared" ref="C378:D378" si="511">IF($B378&lt;&gt;"",C374,"")</f>
        <v/>
      </c>
      <c r="D378" s="87" t="str">
        <f t="shared" si="511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8">
        <f t="shared" ref="A379:A381" si="512">$A378</f>
        <v>94</v>
      </c>
      <c r="B379" s="173"/>
      <c r="C379" s="87" t="str">
        <f t="shared" ref="C379:D379" si="513">IF($B378&lt;&gt;"",C375,"")</f>
        <v/>
      </c>
      <c r="D379" s="87" t="str">
        <f t="shared" si="513"/>
        <v/>
      </c>
      <c r="E379" s="150"/>
      <c r="F379" s="150"/>
      <c r="G379" s="150"/>
      <c r="H379" s="150"/>
      <c r="I379" s="150"/>
      <c r="J379" s="150"/>
      <c r="K379" s="150"/>
      <c r="L379" s="150"/>
      <c r="M379" s="150"/>
      <c r="N379" s="150"/>
      <c r="O379" s="150"/>
      <c r="P379" s="150"/>
      <c r="Q379" s="150"/>
      <c r="R379" s="150"/>
      <c r="S379" s="150"/>
      <c r="T379" s="150"/>
      <c r="U379" s="150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8">
        <f t="shared" si="512"/>
        <v>94</v>
      </c>
      <c r="B380" s="173"/>
      <c r="C380" s="87" t="str">
        <f t="shared" ref="C380:D380" si="514">IF($B378&lt;&gt;"",C376,"")</f>
        <v/>
      </c>
      <c r="D380" s="87" t="str">
        <f t="shared" si="514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8">
        <f t="shared" si="512"/>
        <v>94</v>
      </c>
      <c r="B381" s="174"/>
      <c r="C381" s="87" t="str">
        <f t="shared" ref="C381:D381" si="515">IF($B378&lt;&gt;"",C377,"")</f>
        <v/>
      </c>
      <c r="D381" s="87" t="str">
        <f t="shared" si="515"/>
        <v/>
      </c>
      <c r="E381" s="150"/>
      <c r="F381" s="150"/>
      <c r="G381" s="150"/>
      <c r="H381" s="150"/>
      <c r="I381" s="150"/>
      <c r="J381" s="150"/>
      <c r="K381" s="150"/>
      <c r="L381" s="150"/>
      <c r="M381" s="150"/>
      <c r="N381" s="150"/>
      <c r="O381" s="150"/>
      <c r="P381" s="150"/>
      <c r="Q381" s="150"/>
      <c r="R381" s="150"/>
      <c r="S381" s="150"/>
      <c r="T381" s="150"/>
      <c r="U381" s="150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8">
        <f t="shared" ref="A382" si="516">$A378+1</f>
        <v>95</v>
      </c>
      <c r="B382" s="172" t="str">
        <f>IFERROR(INDEX(TBL_LNG_IMPORTERS_CONNECTIONS[Name],$A382),"")</f>
        <v/>
      </c>
      <c r="C382" s="87" t="str">
        <f t="shared" ref="C382:D382" si="517">IF($B382&lt;&gt;"",C378,"")</f>
        <v/>
      </c>
      <c r="D382" s="87" t="str">
        <f t="shared" si="517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8">
        <f t="shared" ref="A383:A385" si="518">$A382</f>
        <v>95</v>
      </c>
      <c r="B383" s="173"/>
      <c r="C383" s="87" t="str">
        <f t="shared" ref="C383:D383" si="519">IF($B382&lt;&gt;"",C379,"")</f>
        <v/>
      </c>
      <c r="D383" s="87" t="str">
        <f t="shared" si="519"/>
        <v/>
      </c>
      <c r="E383" s="150"/>
      <c r="F383" s="150"/>
      <c r="G383" s="150"/>
      <c r="H383" s="150"/>
      <c r="I383" s="150"/>
      <c r="J383" s="150"/>
      <c r="K383" s="150"/>
      <c r="L383" s="150"/>
      <c r="M383" s="150"/>
      <c r="N383" s="150"/>
      <c r="O383" s="150"/>
      <c r="P383" s="150"/>
      <c r="Q383" s="150"/>
      <c r="R383" s="150"/>
      <c r="S383" s="150"/>
      <c r="T383" s="150"/>
      <c r="U383" s="150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8">
        <f t="shared" si="518"/>
        <v>95</v>
      </c>
      <c r="B384" s="173"/>
      <c r="C384" s="87" t="str">
        <f t="shared" ref="C384:D384" si="520">IF($B382&lt;&gt;"",C380,"")</f>
        <v/>
      </c>
      <c r="D384" s="87" t="str">
        <f t="shared" si="520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8">
        <f t="shared" si="518"/>
        <v>95</v>
      </c>
      <c r="B385" s="174"/>
      <c r="C385" s="87" t="str">
        <f t="shared" ref="C385:D385" si="521">IF($B382&lt;&gt;"",C381,"")</f>
        <v/>
      </c>
      <c r="D385" s="87" t="str">
        <f t="shared" si="521"/>
        <v/>
      </c>
      <c r="E385" s="150"/>
      <c r="F385" s="150"/>
      <c r="G385" s="150"/>
      <c r="H385" s="150"/>
      <c r="I385" s="150"/>
      <c r="J385" s="150"/>
      <c r="K385" s="150"/>
      <c r="L385" s="150"/>
      <c r="M385" s="150"/>
      <c r="N385" s="150"/>
      <c r="O385" s="150"/>
      <c r="P385" s="150"/>
      <c r="Q385" s="150"/>
      <c r="R385" s="150"/>
      <c r="S385" s="150"/>
      <c r="T385" s="150"/>
      <c r="U385" s="150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8">
        <f t="shared" ref="A386" si="522">$A382+1</f>
        <v>96</v>
      </c>
      <c r="B386" s="172" t="str">
        <f>IFERROR(INDEX(TBL_LNG_IMPORTERS_CONNECTIONS[Name],$A386),"")</f>
        <v/>
      </c>
      <c r="C386" s="87" t="str">
        <f t="shared" ref="C386:D386" si="523">IF($B386&lt;&gt;"",C382,"")</f>
        <v/>
      </c>
      <c r="D386" s="87" t="str">
        <f t="shared" si="523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8">
        <f t="shared" ref="A387:A389" si="524">$A386</f>
        <v>96</v>
      </c>
      <c r="B387" s="173"/>
      <c r="C387" s="87" t="str">
        <f t="shared" ref="C387:D387" si="525">IF($B386&lt;&gt;"",C383,"")</f>
        <v/>
      </c>
      <c r="D387" s="87" t="str">
        <f t="shared" si="525"/>
        <v/>
      </c>
      <c r="E387" s="150"/>
      <c r="F387" s="150"/>
      <c r="G387" s="150"/>
      <c r="H387" s="150"/>
      <c r="I387" s="150"/>
      <c r="J387" s="150"/>
      <c r="K387" s="150"/>
      <c r="L387" s="150"/>
      <c r="M387" s="150"/>
      <c r="N387" s="150"/>
      <c r="O387" s="150"/>
      <c r="P387" s="150"/>
      <c r="Q387" s="150"/>
      <c r="R387" s="150"/>
      <c r="S387" s="150"/>
      <c r="T387" s="150"/>
      <c r="U387" s="150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8">
        <f t="shared" si="524"/>
        <v>96</v>
      </c>
      <c r="B388" s="173"/>
      <c r="C388" s="87" t="str">
        <f t="shared" ref="C388:D388" si="526">IF($B386&lt;&gt;"",C384,"")</f>
        <v/>
      </c>
      <c r="D388" s="87" t="str">
        <f t="shared" si="526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8">
        <f t="shared" si="524"/>
        <v>96</v>
      </c>
      <c r="B389" s="174"/>
      <c r="C389" s="87" t="str">
        <f t="shared" ref="C389:D389" si="527">IF($B386&lt;&gt;"",C385,"")</f>
        <v/>
      </c>
      <c r="D389" s="87" t="str">
        <f t="shared" si="527"/>
        <v/>
      </c>
      <c r="E389" s="150"/>
      <c r="F389" s="150"/>
      <c r="G389" s="150"/>
      <c r="H389" s="150"/>
      <c r="I389" s="150"/>
      <c r="J389" s="150"/>
      <c r="K389" s="150"/>
      <c r="L389" s="150"/>
      <c r="M389" s="150"/>
      <c r="N389" s="150"/>
      <c r="O389" s="150"/>
      <c r="P389" s="150"/>
      <c r="Q389" s="150"/>
      <c r="R389" s="150"/>
      <c r="S389" s="150"/>
      <c r="T389" s="150"/>
      <c r="U389" s="150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8">
        <f t="shared" ref="A390" si="528">$A386+1</f>
        <v>97</v>
      </c>
      <c r="B390" s="172" t="str">
        <f>IFERROR(INDEX(TBL_LNG_IMPORTERS_CONNECTIONS[Name],$A390),"")</f>
        <v/>
      </c>
      <c r="C390" s="87" t="str">
        <f t="shared" ref="C390:D390" si="529">IF($B390&lt;&gt;"",C386,"")</f>
        <v/>
      </c>
      <c r="D390" s="87" t="str">
        <f t="shared" si="529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8">
        <f t="shared" ref="A391:A393" si="530">$A390</f>
        <v>97</v>
      </c>
      <c r="B391" s="173"/>
      <c r="C391" s="87" t="str">
        <f t="shared" ref="C391:D391" si="531">IF($B390&lt;&gt;"",C387,"")</f>
        <v/>
      </c>
      <c r="D391" s="87" t="str">
        <f t="shared" si="531"/>
        <v/>
      </c>
      <c r="E391" s="150"/>
      <c r="F391" s="150"/>
      <c r="G391" s="150"/>
      <c r="H391" s="150"/>
      <c r="I391" s="150"/>
      <c r="J391" s="150"/>
      <c r="K391" s="150"/>
      <c r="L391" s="150"/>
      <c r="M391" s="150"/>
      <c r="N391" s="150"/>
      <c r="O391" s="150"/>
      <c r="P391" s="150"/>
      <c r="Q391" s="150"/>
      <c r="R391" s="150"/>
      <c r="S391" s="150"/>
      <c r="T391" s="150"/>
      <c r="U391" s="150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8">
        <f t="shared" si="530"/>
        <v>97</v>
      </c>
      <c r="B392" s="173"/>
      <c r="C392" s="87" t="str">
        <f t="shared" ref="C392:D392" si="532">IF($B390&lt;&gt;"",C388,"")</f>
        <v/>
      </c>
      <c r="D392" s="87" t="str">
        <f t="shared" si="532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8">
        <f t="shared" si="530"/>
        <v>97</v>
      </c>
      <c r="B393" s="174"/>
      <c r="C393" s="87" t="str">
        <f t="shared" ref="C393:D393" si="533">IF($B390&lt;&gt;"",C389,"")</f>
        <v/>
      </c>
      <c r="D393" s="87" t="str">
        <f t="shared" si="533"/>
        <v/>
      </c>
      <c r="E393" s="150"/>
      <c r="F393" s="150"/>
      <c r="G393" s="150"/>
      <c r="H393" s="150"/>
      <c r="I393" s="150"/>
      <c r="J393" s="150"/>
      <c r="K393" s="150"/>
      <c r="L393" s="150"/>
      <c r="M393" s="150"/>
      <c r="N393" s="150"/>
      <c r="O393" s="150"/>
      <c r="P393" s="150"/>
      <c r="Q393" s="150"/>
      <c r="R393" s="150"/>
      <c r="S393" s="150"/>
      <c r="T393" s="150"/>
      <c r="U393" s="150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8">
        <f t="shared" ref="A394" si="534">$A390+1</f>
        <v>98</v>
      </c>
      <c r="B394" s="172" t="str">
        <f>IFERROR(INDEX(TBL_LNG_IMPORTERS_CONNECTIONS[Name],$A394),"")</f>
        <v/>
      </c>
      <c r="C394" s="87" t="str">
        <f t="shared" ref="C394:D394" si="535">IF($B394&lt;&gt;"",C390,"")</f>
        <v/>
      </c>
      <c r="D394" s="87" t="str">
        <f t="shared" si="535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8">
        <f t="shared" ref="A395:A397" si="536">$A394</f>
        <v>98</v>
      </c>
      <c r="B395" s="173"/>
      <c r="C395" s="87" t="str">
        <f t="shared" ref="C395:D395" si="537">IF($B394&lt;&gt;"",C391,"")</f>
        <v/>
      </c>
      <c r="D395" s="87" t="str">
        <f t="shared" si="537"/>
        <v/>
      </c>
      <c r="E395" s="150"/>
      <c r="F395" s="150"/>
      <c r="G395" s="150"/>
      <c r="H395" s="150"/>
      <c r="I395" s="150"/>
      <c r="J395" s="150"/>
      <c r="K395" s="150"/>
      <c r="L395" s="150"/>
      <c r="M395" s="150"/>
      <c r="N395" s="150"/>
      <c r="O395" s="150"/>
      <c r="P395" s="150"/>
      <c r="Q395" s="150"/>
      <c r="R395" s="150"/>
      <c r="S395" s="150"/>
      <c r="T395" s="150"/>
      <c r="U395" s="150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8">
        <f t="shared" si="536"/>
        <v>98</v>
      </c>
      <c r="B396" s="173"/>
      <c r="C396" s="87" t="str">
        <f t="shared" ref="C396:D396" si="538">IF($B394&lt;&gt;"",C392,"")</f>
        <v/>
      </c>
      <c r="D396" s="87" t="str">
        <f t="shared" si="538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8">
        <f t="shared" si="536"/>
        <v>98</v>
      </c>
      <c r="B397" s="174"/>
      <c r="C397" s="87" t="str">
        <f t="shared" ref="C397:D397" si="539">IF($B394&lt;&gt;"",C393,"")</f>
        <v/>
      </c>
      <c r="D397" s="87" t="str">
        <f t="shared" si="539"/>
        <v/>
      </c>
      <c r="E397" s="150"/>
      <c r="F397" s="150"/>
      <c r="G397" s="150"/>
      <c r="H397" s="150"/>
      <c r="I397" s="150"/>
      <c r="J397" s="150"/>
      <c r="K397" s="150"/>
      <c r="L397" s="150"/>
      <c r="M397" s="150"/>
      <c r="N397" s="150"/>
      <c r="O397" s="150"/>
      <c r="P397" s="150"/>
      <c r="Q397" s="150"/>
      <c r="R397" s="150"/>
      <c r="S397" s="150"/>
      <c r="T397" s="150"/>
      <c r="U397" s="150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8">
        <f t="shared" ref="A398" si="540">$A394+1</f>
        <v>99</v>
      </c>
      <c r="B398" s="172" t="str">
        <f>IFERROR(INDEX(TBL_LNG_IMPORTERS_CONNECTIONS[Name],$A398),"")</f>
        <v/>
      </c>
      <c r="C398" s="87" t="str">
        <f t="shared" ref="C398:D398" si="541">IF($B398&lt;&gt;"",C394,"")</f>
        <v/>
      </c>
      <c r="D398" s="87" t="str">
        <f t="shared" si="541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8">
        <f t="shared" ref="A399:A417" si="542">$A398</f>
        <v>99</v>
      </c>
      <c r="B399" s="173"/>
      <c r="C399" s="87" t="str">
        <f t="shared" ref="C399:D399" si="543">IF($B398&lt;&gt;"",C395,"")</f>
        <v/>
      </c>
      <c r="D399" s="87" t="str">
        <f t="shared" si="543"/>
        <v/>
      </c>
      <c r="E399" s="150"/>
      <c r="F399" s="150"/>
      <c r="G399" s="150"/>
      <c r="H399" s="150"/>
      <c r="I399" s="150"/>
      <c r="J399" s="150"/>
      <c r="K399" s="150"/>
      <c r="L399" s="150"/>
      <c r="M399" s="150"/>
      <c r="N399" s="150"/>
      <c r="O399" s="150"/>
      <c r="P399" s="150"/>
      <c r="Q399" s="150"/>
      <c r="R399" s="150"/>
      <c r="S399" s="150"/>
      <c r="T399" s="150"/>
      <c r="U399" s="150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8">
        <f t="shared" si="542"/>
        <v>99</v>
      </c>
      <c r="B400" s="173"/>
      <c r="C400" s="87" t="str">
        <f t="shared" ref="C400:D400" si="544">IF($B398&lt;&gt;"",C396,"")</f>
        <v/>
      </c>
      <c r="D400" s="87" t="str">
        <f t="shared" si="544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8">
        <f t="shared" si="542"/>
        <v>99</v>
      </c>
      <c r="B401" s="174"/>
      <c r="C401" s="87" t="str">
        <f t="shared" ref="C401:D401" si="545">IF($B398&lt;&gt;"",C397,"")</f>
        <v/>
      </c>
      <c r="D401" s="87" t="str">
        <f t="shared" si="545"/>
        <v/>
      </c>
      <c r="E401" s="150"/>
      <c r="F401" s="150"/>
      <c r="G401" s="150"/>
      <c r="H401" s="150"/>
      <c r="I401" s="150"/>
      <c r="J401" s="150"/>
      <c r="K401" s="150"/>
      <c r="L401" s="150"/>
      <c r="M401" s="150"/>
      <c r="N401" s="150"/>
      <c r="O401" s="150"/>
      <c r="P401" s="150"/>
      <c r="Q401" s="150"/>
      <c r="R401" s="150"/>
      <c r="S401" s="150"/>
      <c r="T401" s="150"/>
      <c r="U401" s="150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8">
        <f t="shared" ref="A402" si="546">$A398+1</f>
        <v>100</v>
      </c>
      <c r="B402" s="172" t="str">
        <f>IFERROR(INDEX(TBL_LNG_IMPORTERS_CONNECTIONS[Name],$A402),"")</f>
        <v/>
      </c>
      <c r="C402" s="87" t="str">
        <f t="shared" ref="C402:D402" si="547">IF($B402&lt;&gt;"",C398,"")</f>
        <v/>
      </c>
      <c r="D402" s="87" t="str">
        <f t="shared" si="547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8">
        <f t="shared" si="542"/>
        <v>100</v>
      </c>
      <c r="B403" s="173"/>
      <c r="C403" s="87" t="str">
        <f t="shared" ref="C403:D403" si="548">IF($B402&lt;&gt;"",C399,"")</f>
        <v/>
      </c>
      <c r="D403" s="87" t="str">
        <f t="shared" si="548"/>
        <v/>
      </c>
      <c r="E403" s="150"/>
      <c r="F403" s="150"/>
      <c r="G403" s="150"/>
      <c r="H403" s="150"/>
      <c r="I403" s="150"/>
      <c r="J403" s="150"/>
      <c r="K403" s="150"/>
      <c r="L403" s="150"/>
      <c r="M403" s="150"/>
      <c r="N403" s="150"/>
      <c r="O403" s="150"/>
      <c r="P403" s="150"/>
      <c r="Q403" s="150"/>
      <c r="R403" s="150"/>
      <c r="S403" s="150"/>
      <c r="T403" s="150"/>
      <c r="U403" s="150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8">
        <f t="shared" si="542"/>
        <v>100</v>
      </c>
      <c r="B404" s="173"/>
      <c r="C404" s="87" t="str">
        <f t="shared" ref="C404:D404" si="549">IF($B402&lt;&gt;"",C400,"")</f>
        <v/>
      </c>
      <c r="D404" s="87" t="str">
        <f t="shared" si="549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8">
        <f t="shared" si="542"/>
        <v>100</v>
      </c>
      <c r="B405" s="174"/>
      <c r="C405" s="87" t="str">
        <f t="shared" ref="C405:D405" si="550">IF($B402&lt;&gt;"",C401,"")</f>
        <v/>
      </c>
      <c r="D405" s="87" t="str">
        <f t="shared" si="550"/>
        <v/>
      </c>
      <c r="E405" s="150"/>
      <c r="F405" s="150"/>
      <c r="G405" s="150"/>
      <c r="H405" s="150"/>
      <c r="I405" s="150"/>
      <c r="J405" s="150"/>
      <c r="K405" s="150"/>
      <c r="L405" s="150"/>
      <c r="M405" s="150"/>
      <c r="N405" s="150"/>
      <c r="O405" s="150"/>
      <c r="P405" s="150"/>
      <c r="Q405" s="150"/>
      <c r="R405" s="150"/>
      <c r="S405" s="150"/>
      <c r="T405" s="150"/>
      <c r="U405" s="150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8">
        <f t="shared" ref="A406" si="551">$A402+1</f>
        <v>101</v>
      </c>
      <c r="B406" s="172" t="str">
        <f>IFERROR(INDEX(TBL_LNG_IMPORTERS_CONNECTIONS[Name],$A406),"")</f>
        <v/>
      </c>
      <c r="C406" s="87" t="str">
        <f t="shared" ref="C406:D406" si="552">IF($B406&lt;&gt;"",C402,"")</f>
        <v/>
      </c>
      <c r="D406" s="87" t="str">
        <f t="shared" si="552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8">
        <f t="shared" si="542"/>
        <v>101</v>
      </c>
      <c r="B407" s="173"/>
      <c r="C407" s="87" t="str">
        <f t="shared" ref="C407:D407" si="553">IF($B406&lt;&gt;"",C403,"")</f>
        <v/>
      </c>
      <c r="D407" s="87" t="str">
        <f t="shared" si="553"/>
        <v/>
      </c>
      <c r="E407" s="150"/>
      <c r="F407" s="150"/>
      <c r="G407" s="150"/>
      <c r="H407" s="150"/>
      <c r="I407" s="150"/>
      <c r="J407" s="150"/>
      <c r="K407" s="150"/>
      <c r="L407" s="150"/>
      <c r="M407" s="150"/>
      <c r="N407" s="150"/>
      <c r="O407" s="150"/>
      <c r="P407" s="150"/>
      <c r="Q407" s="150"/>
      <c r="R407" s="150"/>
      <c r="S407" s="150"/>
      <c r="T407" s="150"/>
      <c r="U407" s="150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8">
        <f t="shared" si="542"/>
        <v>101</v>
      </c>
      <c r="B408" s="173"/>
      <c r="C408" s="87" t="str">
        <f t="shared" ref="C408:D408" si="554">IF($B406&lt;&gt;"",C404,"")</f>
        <v/>
      </c>
      <c r="D408" s="87" t="str">
        <f t="shared" si="554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8">
        <f t="shared" si="542"/>
        <v>101</v>
      </c>
      <c r="B409" s="174"/>
      <c r="C409" s="87" t="str">
        <f t="shared" ref="C409:D409" si="555">IF($B406&lt;&gt;"",C405,"")</f>
        <v/>
      </c>
      <c r="D409" s="87" t="str">
        <f t="shared" si="555"/>
        <v/>
      </c>
      <c r="E409" s="150"/>
      <c r="F409" s="150"/>
      <c r="G409" s="150"/>
      <c r="H409" s="150"/>
      <c r="I409" s="150"/>
      <c r="J409" s="150"/>
      <c r="K409" s="150"/>
      <c r="L409" s="150"/>
      <c r="M409" s="150"/>
      <c r="N409" s="150"/>
      <c r="O409" s="150"/>
      <c r="P409" s="150"/>
      <c r="Q409" s="150"/>
      <c r="R409" s="150"/>
      <c r="S409" s="150"/>
      <c r="T409" s="150"/>
      <c r="U409" s="150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8">
        <f t="shared" ref="A410" si="556">$A406+1</f>
        <v>102</v>
      </c>
      <c r="B410" s="172" t="str">
        <f>IFERROR(INDEX(TBL_LNG_IMPORTERS_CONNECTIONS[Name],$A410),"")</f>
        <v/>
      </c>
      <c r="C410" s="87" t="str">
        <f t="shared" ref="C410:D410" si="557">IF($B410&lt;&gt;"",C406,"")</f>
        <v/>
      </c>
      <c r="D410" s="87" t="str">
        <f t="shared" si="557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8">
        <f t="shared" si="542"/>
        <v>102</v>
      </c>
      <c r="B411" s="173"/>
      <c r="C411" s="87" t="str">
        <f t="shared" ref="C411:D411" si="558">IF($B410&lt;&gt;"",C407,"")</f>
        <v/>
      </c>
      <c r="D411" s="87" t="str">
        <f t="shared" si="558"/>
        <v/>
      </c>
      <c r="E411" s="150"/>
      <c r="F411" s="150"/>
      <c r="G411" s="150"/>
      <c r="H411" s="150"/>
      <c r="I411" s="150"/>
      <c r="J411" s="150"/>
      <c r="K411" s="150"/>
      <c r="L411" s="150"/>
      <c r="M411" s="150"/>
      <c r="N411" s="150"/>
      <c r="O411" s="150"/>
      <c r="P411" s="150"/>
      <c r="Q411" s="150"/>
      <c r="R411" s="150"/>
      <c r="S411" s="150"/>
      <c r="T411" s="150"/>
      <c r="U411" s="150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8">
        <f t="shared" si="542"/>
        <v>102</v>
      </c>
      <c r="B412" s="173"/>
      <c r="C412" s="87" t="str">
        <f t="shared" ref="C412:D412" si="559">IF($B410&lt;&gt;"",C408,"")</f>
        <v/>
      </c>
      <c r="D412" s="87" t="str">
        <f t="shared" si="559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8">
        <f t="shared" si="542"/>
        <v>102</v>
      </c>
      <c r="B413" s="174"/>
      <c r="C413" s="87" t="str">
        <f t="shared" ref="C413:D413" si="560">IF($B410&lt;&gt;"",C409,"")</f>
        <v/>
      </c>
      <c r="D413" s="87" t="str">
        <f t="shared" si="560"/>
        <v/>
      </c>
      <c r="E413" s="150"/>
      <c r="F413" s="150"/>
      <c r="G413" s="150"/>
      <c r="H413" s="150"/>
      <c r="I413" s="150"/>
      <c r="J413" s="150"/>
      <c r="K413" s="150"/>
      <c r="L413" s="150"/>
      <c r="M413" s="150"/>
      <c r="N413" s="150"/>
      <c r="O413" s="150"/>
      <c r="P413" s="150"/>
      <c r="Q413" s="150"/>
      <c r="R413" s="150"/>
      <c r="S413" s="150"/>
      <c r="T413" s="150"/>
      <c r="U413" s="150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8">
        <f t="shared" ref="A414" si="561">$A410+1</f>
        <v>103</v>
      </c>
      <c r="B414" s="172" t="str">
        <f>IFERROR(INDEX(TBL_LNG_IMPORTERS_CONNECTIONS[Name],$A414),"")</f>
        <v/>
      </c>
      <c r="C414" s="87" t="str">
        <f t="shared" ref="C414:D414" si="562">IF($B414&lt;&gt;"",C410,"")</f>
        <v/>
      </c>
      <c r="D414" s="87" t="str">
        <f t="shared" si="562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8">
        <f t="shared" si="542"/>
        <v>103</v>
      </c>
      <c r="B415" s="173"/>
      <c r="C415" s="87" t="str">
        <f t="shared" ref="C415:D415" si="563">IF($B414&lt;&gt;"",C411,"")</f>
        <v/>
      </c>
      <c r="D415" s="87" t="str">
        <f t="shared" si="563"/>
        <v/>
      </c>
      <c r="E415" s="150"/>
      <c r="F415" s="150"/>
      <c r="G415" s="150"/>
      <c r="H415" s="150"/>
      <c r="I415" s="150"/>
      <c r="J415" s="150"/>
      <c r="K415" s="150"/>
      <c r="L415" s="150"/>
      <c r="M415" s="150"/>
      <c r="N415" s="150"/>
      <c r="O415" s="150"/>
      <c r="P415" s="150"/>
      <c r="Q415" s="150"/>
      <c r="R415" s="150"/>
      <c r="S415" s="150"/>
      <c r="T415" s="150"/>
      <c r="U415" s="150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8">
        <f t="shared" si="542"/>
        <v>103</v>
      </c>
      <c r="B416" s="173"/>
      <c r="C416" s="87" t="str">
        <f t="shared" ref="C416:D416" si="564">IF($B414&lt;&gt;"",C412,"")</f>
        <v/>
      </c>
      <c r="D416" s="87" t="str">
        <f t="shared" si="564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8">
        <f t="shared" si="542"/>
        <v>103</v>
      </c>
      <c r="B417" s="174"/>
      <c r="C417" s="87" t="str">
        <f t="shared" ref="C417:D417" si="565">IF($B414&lt;&gt;"",C413,"")</f>
        <v/>
      </c>
      <c r="D417" s="87" t="str">
        <f t="shared" si="565"/>
        <v/>
      </c>
      <c r="E417" s="150"/>
      <c r="F417" s="150"/>
      <c r="G417" s="150"/>
      <c r="H417" s="150"/>
      <c r="I417" s="150"/>
      <c r="J417" s="150"/>
      <c r="K417" s="150"/>
      <c r="L417" s="150"/>
      <c r="M417" s="150"/>
      <c r="N417" s="150"/>
      <c r="O417" s="150"/>
      <c r="P417" s="150"/>
      <c r="Q417" s="150"/>
      <c r="R417" s="150"/>
      <c r="S417" s="150"/>
      <c r="T417" s="150"/>
      <c r="U417" s="150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8">
        <f t="shared" ref="A418" si="566">$A414+1</f>
        <v>104</v>
      </c>
      <c r="B418" s="172" t="str">
        <f>IFERROR(INDEX(TBL_LNG_IMPORTERS_CONNECTIONS[Name],$A418),"")</f>
        <v/>
      </c>
      <c r="C418" s="87" t="str">
        <f t="shared" ref="C418:D418" si="567">IF($B418&lt;&gt;"",C414,"")</f>
        <v/>
      </c>
      <c r="D418" s="87" t="str">
        <f t="shared" si="567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8">
        <f t="shared" ref="A419:A421" si="568">$A418</f>
        <v>104</v>
      </c>
      <c r="B419" s="173"/>
      <c r="C419" s="87" t="str">
        <f t="shared" ref="C419:D419" si="569">IF($B418&lt;&gt;"",C415,"")</f>
        <v/>
      </c>
      <c r="D419" s="87" t="str">
        <f t="shared" si="569"/>
        <v/>
      </c>
      <c r="E419" s="150"/>
      <c r="F419" s="150"/>
      <c r="G419" s="150"/>
      <c r="H419" s="150"/>
      <c r="I419" s="150"/>
      <c r="J419" s="150"/>
      <c r="K419" s="150"/>
      <c r="L419" s="150"/>
      <c r="M419" s="150"/>
      <c r="N419" s="150"/>
      <c r="O419" s="150"/>
      <c r="P419" s="150"/>
      <c r="Q419" s="150"/>
      <c r="R419" s="150"/>
      <c r="S419" s="150"/>
      <c r="T419" s="150"/>
      <c r="U419" s="150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8">
        <f t="shared" si="568"/>
        <v>104</v>
      </c>
      <c r="B420" s="173"/>
      <c r="C420" s="87" t="str">
        <f t="shared" ref="C420:D420" si="570">IF($B418&lt;&gt;"",C416,"")</f>
        <v/>
      </c>
      <c r="D420" s="87" t="str">
        <f t="shared" si="570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8">
        <f t="shared" si="568"/>
        <v>104</v>
      </c>
      <c r="B421" s="174"/>
      <c r="C421" s="87" t="str">
        <f t="shared" ref="C421:D421" si="571">IF($B418&lt;&gt;"",C417,"")</f>
        <v/>
      </c>
      <c r="D421" s="87" t="str">
        <f t="shared" si="571"/>
        <v/>
      </c>
      <c r="E421" s="150"/>
      <c r="F421" s="150"/>
      <c r="G421" s="150"/>
      <c r="H421" s="150"/>
      <c r="I421" s="150"/>
      <c r="J421" s="150"/>
      <c r="K421" s="150"/>
      <c r="L421" s="150"/>
      <c r="M421" s="150"/>
      <c r="N421" s="150"/>
      <c r="O421" s="150"/>
      <c r="P421" s="150"/>
      <c r="Q421" s="150"/>
      <c r="R421" s="150"/>
      <c r="S421" s="150"/>
      <c r="T421" s="150"/>
      <c r="U421" s="150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8">
        <f t="shared" ref="A422" si="572">$A418+1</f>
        <v>105</v>
      </c>
      <c r="B422" s="172" t="str">
        <f>IFERROR(INDEX(TBL_LNG_IMPORTERS_CONNECTIONS[Name],$A422),"")</f>
        <v/>
      </c>
      <c r="C422" s="87" t="str">
        <f t="shared" ref="C422:D422" si="573">IF($B422&lt;&gt;"",C418,"")</f>
        <v/>
      </c>
      <c r="D422" s="87" t="str">
        <f t="shared" si="573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8">
        <f t="shared" ref="A423:A425" si="574">$A422</f>
        <v>105</v>
      </c>
      <c r="B423" s="173"/>
      <c r="C423" s="87" t="str">
        <f t="shared" ref="C423:D423" si="575">IF($B422&lt;&gt;"",C419,"")</f>
        <v/>
      </c>
      <c r="D423" s="87" t="str">
        <f t="shared" si="575"/>
        <v/>
      </c>
      <c r="E423" s="150"/>
      <c r="F423" s="150"/>
      <c r="G423" s="150"/>
      <c r="H423" s="150"/>
      <c r="I423" s="150"/>
      <c r="J423" s="150"/>
      <c r="K423" s="150"/>
      <c r="L423" s="150"/>
      <c r="M423" s="150"/>
      <c r="N423" s="150"/>
      <c r="O423" s="150"/>
      <c r="P423" s="150"/>
      <c r="Q423" s="150"/>
      <c r="R423" s="150"/>
      <c r="S423" s="150"/>
      <c r="T423" s="150"/>
      <c r="U423" s="150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8">
        <f t="shared" si="574"/>
        <v>105</v>
      </c>
      <c r="B424" s="173"/>
      <c r="C424" s="87" t="str">
        <f t="shared" ref="C424:D424" si="576">IF($B422&lt;&gt;"",C420,"")</f>
        <v/>
      </c>
      <c r="D424" s="87" t="str">
        <f t="shared" si="576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8">
        <f t="shared" si="574"/>
        <v>105</v>
      </c>
      <c r="B425" s="174"/>
      <c r="C425" s="87" t="str">
        <f t="shared" ref="C425:D425" si="577">IF($B422&lt;&gt;"",C421,"")</f>
        <v/>
      </c>
      <c r="D425" s="87" t="str">
        <f t="shared" si="577"/>
        <v/>
      </c>
      <c r="E425" s="150"/>
      <c r="F425" s="150"/>
      <c r="G425" s="150"/>
      <c r="H425" s="150"/>
      <c r="I425" s="150"/>
      <c r="J425" s="150"/>
      <c r="K425" s="150"/>
      <c r="L425" s="150"/>
      <c r="M425" s="150"/>
      <c r="N425" s="150"/>
      <c r="O425" s="150"/>
      <c r="P425" s="150"/>
      <c r="Q425" s="150"/>
      <c r="R425" s="150"/>
      <c r="S425" s="150"/>
      <c r="T425" s="150"/>
      <c r="U425" s="150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8">
        <f t="shared" ref="A426" si="578">$A422+1</f>
        <v>106</v>
      </c>
      <c r="B426" s="172" t="str">
        <f>IFERROR(INDEX(TBL_LNG_IMPORTERS_CONNECTIONS[Name],$A426),"")</f>
        <v/>
      </c>
      <c r="C426" s="87" t="str">
        <f t="shared" ref="C426:D426" si="579">IF($B426&lt;&gt;"",C422,"")</f>
        <v/>
      </c>
      <c r="D426" s="87" t="str">
        <f t="shared" si="579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8">
        <f t="shared" ref="A427:A429" si="580">$A426</f>
        <v>106</v>
      </c>
      <c r="B427" s="173"/>
      <c r="C427" s="87" t="str">
        <f t="shared" ref="C427:D427" si="581">IF($B426&lt;&gt;"",C423,"")</f>
        <v/>
      </c>
      <c r="D427" s="87" t="str">
        <f t="shared" si="581"/>
        <v/>
      </c>
      <c r="E427" s="150"/>
      <c r="F427" s="150"/>
      <c r="G427" s="150"/>
      <c r="H427" s="150"/>
      <c r="I427" s="150"/>
      <c r="J427" s="150"/>
      <c r="K427" s="150"/>
      <c r="L427" s="150"/>
      <c r="M427" s="150"/>
      <c r="N427" s="150"/>
      <c r="O427" s="150"/>
      <c r="P427" s="150"/>
      <c r="Q427" s="150"/>
      <c r="R427" s="150"/>
      <c r="S427" s="150"/>
      <c r="T427" s="150"/>
      <c r="U427" s="150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8">
        <f t="shared" si="580"/>
        <v>106</v>
      </c>
      <c r="B428" s="173"/>
      <c r="C428" s="87" t="str">
        <f t="shared" ref="C428:D428" si="582">IF($B426&lt;&gt;"",C424,"")</f>
        <v/>
      </c>
      <c r="D428" s="87" t="str">
        <f t="shared" si="58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8">
        <f t="shared" si="580"/>
        <v>106</v>
      </c>
      <c r="B429" s="174"/>
      <c r="C429" s="87" t="str">
        <f t="shared" ref="C429:D429" si="583">IF($B426&lt;&gt;"",C425,"")</f>
        <v/>
      </c>
      <c r="D429" s="87" t="str">
        <f t="shared" si="583"/>
        <v/>
      </c>
      <c r="E429" s="150"/>
      <c r="F429" s="150"/>
      <c r="G429" s="150"/>
      <c r="H429" s="150"/>
      <c r="I429" s="150"/>
      <c r="J429" s="150"/>
      <c r="K429" s="150"/>
      <c r="L429" s="150"/>
      <c r="M429" s="150"/>
      <c r="N429" s="150"/>
      <c r="O429" s="150"/>
      <c r="P429" s="150"/>
      <c r="Q429" s="150"/>
      <c r="R429" s="150"/>
      <c r="S429" s="150"/>
      <c r="T429" s="150"/>
      <c r="U429" s="150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8">
        <f t="shared" ref="A430" si="584">$A426+1</f>
        <v>107</v>
      </c>
      <c r="B430" s="172" t="str">
        <f>IFERROR(INDEX(TBL_LNG_IMPORTERS_CONNECTIONS[Name],$A430),"")</f>
        <v/>
      </c>
      <c r="C430" s="87" t="str">
        <f t="shared" ref="C430:D430" si="585">IF($B430&lt;&gt;"",C426,"")</f>
        <v/>
      </c>
      <c r="D430" s="87" t="str">
        <f t="shared" si="58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8">
        <f t="shared" ref="A431:A433" si="586">$A430</f>
        <v>107</v>
      </c>
      <c r="B431" s="173"/>
      <c r="C431" s="87" t="str">
        <f t="shared" ref="C431:D431" si="587">IF($B430&lt;&gt;"",C427,"")</f>
        <v/>
      </c>
      <c r="D431" s="87" t="str">
        <f t="shared" si="587"/>
        <v/>
      </c>
      <c r="E431" s="150"/>
      <c r="F431" s="150"/>
      <c r="G431" s="150"/>
      <c r="H431" s="150"/>
      <c r="I431" s="150"/>
      <c r="J431" s="150"/>
      <c r="K431" s="150"/>
      <c r="L431" s="150"/>
      <c r="M431" s="150"/>
      <c r="N431" s="150"/>
      <c r="O431" s="150"/>
      <c r="P431" s="150"/>
      <c r="Q431" s="150"/>
      <c r="R431" s="150"/>
      <c r="S431" s="150"/>
      <c r="T431" s="150"/>
      <c r="U431" s="150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8">
        <f t="shared" si="586"/>
        <v>107</v>
      </c>
      <c r="B432" s="173"/>
      <c r="C432" s="87" t="str">
        <f t="shared" ref="C432:D432" si="588">IF($B430&lt;&gt;"",C428,"")</f>
        <v/>
      </c>
      <c r="D432" s="87" t="str">
        <f t="shared" si="588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8">
        <f t="shared" si="586"/>
        <v>107</v>
      </c>
      <c r="B433" s="174"/>
      <c r="C433" s="87" t="str">
        <f t="shared" ref="C433:D433" si="589">IF($B430&lt;&gt;"",C429,"")</f>
        <v/>
      </c>
      <c r="D433" s="87" t="str">
        <f t="shared" si="589"/>
        <v/>
      </c>
      <c r="E433" s="150"/>
      <c r="F433" s="150"/>
      <c r="G433" s="150"/>
      <c r="H433" s="150"/>
      <c r="I433" s="150"/>
      <c r="J433" s="150"/>
      <c r="K433" s="150"/>
      <c r="L433" s="150"/>
      <c r="M433" s="150"/>
      <c r="N433" s="150"/>
      <c r="O433" s="150"/>
      <c r="P433" s="150"/>
      <c r="Q433" s="150"/>
      <c r="R433" s="150"/>
      <c r="S433" s="150"/>
      <c r="T433" s="150"/>
      <c r="U433" s="150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8">
        <f t="shared" ref="A434" si="590">$A430+1</f>
        <v>108</v>
      </c>
      <c r="B434" s="172" t="str">
        <f>IFERROR(INDEX(TBL_LNG_IMPORTERS_CONNECTIONS[Name],$A434),"")</f>
        <v/>
      </c>
      <c r="C434" s="87" t="str">
        <f t="shared" ref="C434:D434" si="591">IF($B434&lt;&gt;"",C430,"")</f>
        <v/>
      </c>
      <c r="D434" s="87" t="str">
        <f t="shared" si="591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8">
        <f t="shared" ref="A435:A437" si="592">$A434</f>
        <v>108</v>
      </c>
      <c r="B435" s="173"/>
      <c r="C435" s="87" t="str">
        <f t="shared" ref="C435:D435" si="593">IF($B434&lt;&gt;"",C431,"")</f>
        <v/>
      </c>
      <c r="D435" s="87" t="str">
        <f t="shared" si="593"/>
        <v/>
      </c>
      <c r="E435" s="150"/>
      <c r="F435" s="150"/>
      <c r="G435" s="150"/>
      <c r="H435" s="150"/>
      <c r="I435" s="150"/>
      <c r="J435" s="150"/>
      <c r="K435" s="150"/>
      <c r="L435" s="150"/>
      <c r="M435" s="150"/>
      <c r="N435" s="150"/>
      <c r="O435" s="150"/>
      <c r="P435" s="150"/>
      <c r="Q435" s="150"/>
      <c r="R435" s="150"/>
      <c r="S435" s="150"/>
      <c r="T435" s="150"/>
      <c r="U435" s="150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8">
        <f t="shared" si="592"/>
        <v>108</v>
      </c>
      <c r="B436" s="173"/>
      <c r="C436" s="87" t="str">
        <f t="shared" ref="C436:D436" si="594">IF($B434&lt;&gt;"",C432,"")</f>
        <v/>
      </c>
      <c r="D436" s="87" t="str">
        <f t="shared" si="594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8">
        <f t="shared" si="592"/>
        <v>108</v>
      </c>
      <c r="B437" s="174"/>
      <c r="C437" s="87" t="str">
        <f t="shared" ref="C437:D437" si="595">IF($B434&lt;&gt;"",C433,"")</f>
        <v/>
      </c>
      <c r="D437" s="87" t="str">
        <f t="shared" si="595"/>
        <v/>
      </c>
      <c r="E437" s="150"/>
      <c r="F437" s="150"/>
      <c r="G437" s="150"/>
      <c r="H437" s="150"/>
      <c r="I437" s="150"/>
      <c r="J437" s="150"/>
      <c r="K437" s="150"/>
      <c r="L437" s="150"/>
      <c r="M437" s="150"/>
      <c r="N437" s="150"/>
      <c r="O437" s="150"/>
      <c r="P437" s="150"/>
      <c r="Q437" s="150"/>
      <c r="R437" s="150"/>
      <c r="S437" s="150"/>
      <c r="T437" s="150"/>
      <c r="U437" s="150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8">
        <f t="shared" ref="A438" si="596">$A434+1</f>
        <v>109</v>
      </c>
      <c r="B438" s="172" t="str">
        <f>IFERROR(INDEX(TBL_LNG_IMPORTERS_CONNECTIONS[Name],$A438),"")</f>
        <v/>
      </c>
      <c r="C438" s="87" t="str">
        <f t="shared" ref="C438:D438" si="597">IF($B438&lt;&gt;"",C434,"")</f>
        <v/>
      </c>
      <c r="D438" s="87" t="str">
        <f t="shared" si="597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8">
        <f t="shared" ref="A439:A445" si="598">$A438</f>
        <v>109</v>
      </c>
      <c r="B439" s="173"/>
      <c r="C439" s="87" t="str">
        <f t="shared" ref="C439:D439" si="599">IF($B438&lt;&gt;"",C435,"")</f>
        <v/>
      </c>
      <c r="D439" s="87" t="str">
        <f t="shared" si="599"/>
        <v/>
      </c>
      <c r="E439" s="150"/>
      <c r="F439" s="150"/>
      <c r="G439" s="150"/>
      <c r="H439" s="150"/>
      <c r="I439" s="150"/>
      <c r="J439" s="150"/>
      <c r="K439" s="150"/>
      <c r="L439" s="150"/>
      <c r="M439" s="150"/>
      <c r="N439" s="150"/>
      <c r="O439" s="150"/>
      <c r="P439" s="150"/>
      <c r="Q439" s="150"/>
      <c r="R439" s="150"/>
      <c r="S439" s="150"/>
      <c r="T439" s="150"/>
      <c r="U439" s="150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8">
        <f t="shared" si="598"/>
        <v>109</v>
      </c>
      <c r="B440" s="173"/>
      <c r="C440" s="87" t="str">
        <f t="shared" ref="C440:D440" si="600">IF($B438&lt;&gt;"",C436,"")</f>
        <v/>
      </c>
      <c r="D440" s="87" t="str">
        <f t="shared" si="600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8">
        <f t="shared" si="598"/>
        <v>109</v>
      </c>
      <c r="B441" s="174"/>
      <c r="C441" s="87" t="str">
        <f t="shared" ref="C441:D441" si="601">IF($B438&lt;&gt;"",C437,"")</f>
        <v/>
      </c>
      <c r="D441" s="87" t="str">
        <f t="shared" si="601"/>
        <v/>
      </c>
      <c r="E441" s="150"/>
      <c r="F441" s="150"/>
      <c r="G441" s="150"/>
      <c r="H441" s="150"/>
      <c r="I441" s="150"/>
      <c r="J441" s="150"/>
      <c r="K441" s="150"/>
      <c r="L441" s="150"/>
      <c r="M441" s="150"/>
      <c r="N441" s="150"/>
      <c r="O441" s="150"/>
      <c r="P441" s="150"/>
      <c r="Q441" s="150"/>
      <c r="R441" s="150"/>
      <c r="S441" s="150"/>
      <c r="T441" s="150"/>
      <c r="U441" s="150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8">
        <f t="shared" ref="A442" si="602">$A438+1</f>
        <v>110</v>
      </c>
      <c r="B442" s="172" t="str">
        <f>IFERROR(INDEX(TBL_LNG_IMPORTERS_CONNECTIONS[Name],$A442),"")</f>
        <v/>
      </c>
      <c r="C442" s="87" t="str">
        <f t="shared" ref="C442:D442" si="603">IF($B442&lt;&gt;"",C438,"")</f>
        <v/>
      </c>
      <c r="D442" s="87" t="str">
        <f t="shared" si="603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8">
        <f t="shared" si="598"/>
        <v>110</v>
      </c>
      <c r="B443" s="173"/>
      <c r="C443" s="87" t="str">
        <f t="shared" ref="C443:D443" si="604">IF($B442&lt;&gt;"",C439,"")</f>
        <v/>
      </c>
      <c r="D443" s="87" t="str">
        <f t="shared" si="604"/>
        <v/>
      </c>
      <c r="E443" s="150"/>
      <c r="F443" s="150"/>
      <c r="G443" s="150"/>
      <c r="H443" s="150"/>
      <c r="I443" s="150"/>
      <c r="J443" s="150"/>
      <c r="K443" s="150"/>
      <c r="L443" s="150"/>
      <c r="M443" s="150"/>
      <c r="N443" s="150"/>
      <c r="O443" s="150"/>
      <c r="P443" s="150"/>
      <c r="Q443" s="150"/>
      <c r="R443" s="150"/>
      <c r="S443" s="150"/>
      <c r="T443" s="150"/>
      <c r="U443" s="150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8">
        <f t="shared" si="598"/>
        <v>110</v>
      </c>
      <c r="B444" s="173"/>
      <c r="C444" s="87" t="str">
        <f t="shared" ref="C444:D444" si="605">IF($B442&lt;&gt;"",C440,"")</f>
        <v/>
      </c>
      <c r="D444" s="87" t="str">
        <f t="shared" si="605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8">
        <f t="shared" si="598"/>
        <v>110</v>
      </c>
      <c r="B445" s="174"/>
      <c r="C445" s="87" t="str">
        <f t="shared" ref="C445:D445" si="606">IF($B442&lt;&gt;"",C441,"")</f>
        <v/>
      </c>
      <c r="D445" s="87" t="str">
        <f t="shared" si="606"/>
        <v/>
      </c>
      <c r="E445" s="150"/>
      <c r="F445" s="150"/>
      <c r="G445" s="150"/>
      <c r="H445" s="150"/>
      <c r="I445" s="150"/>
      <c r="J445" s="150"/>
      <c r="K445" s="150"/>
      <c r="L445" s="150"/>
      <c r="M445" s="150"/>
      <c r="N445" s="150"/>
      <c r="O445" s="150"/>
      <c r="P445" s="150"/>
      <c r="Q445" s="150"/>
      <c r="R445" s="150"/>
      <c r="S445" s="150"/>
      <c r="T445" s="150"/>
      <c r="U445" s="150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2" priority="2" operator="equal">
      <formula>#REF!</formula>
    </cfRule>
  </conditionalFormatting>
  <conditionalFormatting sqref="D8:D9">
    <cfRule type="cellIs" dxfId="111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workbookViewId="0">
      <selection activeCell="C57" sqref="C57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199</v>
      </c>
      <c r="G5" s="2" t="s">
        <v>198</v>
      </c>
      <c r="H5" s="2" t="s">
        <v>263</v>
      </c>
      <c r="I5" t="s">
        <v>119</v>
      </c>
      <c r="J5" t="s">
        <v>118</v>
      </c>
      <c r="K5" s="2" t="s">
        <v>3</v>
      </c>
      <c r="L5" s="2" t="s">
        <v>53</v>
      </c>
    </row>
    <row r="6" spans="1:12" x14ac:dyDescent="0.25">
      <c r="A6" s="136" t="s">
        <v>173</v>
      </c>
      <c r="B6" s="4">
        <f>INDEX(TBL_REGIONS_INDEX[Index],MATCH(TBL_TRANSIT[[#This Row],[Origin]],TBL_REGIONS_INDEX[Region],0))</f>
        <v>12</v>
      </c>
      <c r="C6" s="140" t="s">
        <v>172</v>
      </c>
      <c r="D6" s="4">
        <f>INDEX(TBL_REGIONS_INDEX[Index],MATCH(TBL_TRANSIT[[#This Row],[Destination]],TBL_REGIONS_INDEX[Region],0))</f>
        <v>11</v>
      </c>
      <c r="E6" s="141" t="s">
        <v>302</v>
      </c>
      <c r="F6" s="137">
        <v>47.526474999999998</v>
      </c>
      <c r="G6" s="137">
        <v>11.570478</v>
      </c>
      <c r="H6" s="108">
        <v>90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42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6" t="s">
        <v>170</v>
      </c>
      <c r="B7" s="135">
        <f>INDEX(TBL_REGIONS_INDEX[Index],MATCH(TBL_TRANSIT[[#This Row],[Origin]],TBL_REGIONS_INDEX[Region],0))</f>
        <v>9</v>
      </c>
      <c r="C7" s="140" t="s">
        <v>172</v>
      </c>
      <c r="D7" s="135">
        <f>INDEX(TBL_REGIONS_INDEX[Index],MATCH(TBL_TRANSIT[[#This Row],[Destination]],TBL_REGIONS_INDEX[Region],0))</f>
        <v>11</v>
      </c>
      <c r="E7" s="141" t="s">
        <v>303</v>
      </c>
      <c r="F7" s="137">
        <v>46.967134000000001</v>
      </c>
      <c r="G7" s="137">
        <v>11.482530000000001</v>
      </c>
      <c r="H7" s="139">
        <v>270</v>
      </c>
      <c r="I7" s="135" t="str">
        <f>TEXT(TBL_TRANSIT[[#This Row],[Origin Index]],"000")&amp;TEXT(TBL_TRANSIT[[#This Row],[Destination Index]],"000")</f>
        <v>009011</v>
      </c>
      <c r="J7" s="135">
        <f>COUNTIF($I$6:$I60,$I7)</f>
        <v>1</v>
      </c>
      <c r="K7" s="142"/>
      <c r="L7" s="138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6" t="s">
        <v>180</v>
      </c>
      <c r="B8" s="135">
        <f>INDEX(TBL_REGIONS_INDEX[Index],MATCH(TBL_TRANSIT[[#This Row],[Origin]],TBL_REGIONS_INDEX[Region],0))</f>
        <v>19</v>
      </c>
      <c r="C8" s="140" t="s">
        <v>172</v>
      </c>
      <c r="D8" s="135">
        <f>INDEX(TBL_REGIONS_INDEX[Index],MATCH(TBL_TRANSIT[[#This Row],[Destination]],TBL_REGIONS_INDEX[Region],0))</f>
        <v>11</v>
      </c>
      <c r="E8" s="141" t="s">
        <v>304</v>
      </c>
      <c r="F8" s="137">
        <v>48.145930999999997</v>
      </c>
      <c r="G8" s="137">
        <v>17.001266999999999</v>
      </c>
      <c r="H8" s="139">
        <v>30</v>
      </c>
      <c r="I8" s="135" t="str">
        <f>TEXT(TBL_TRANSIT[[#This Row],[Origin Index]],"000")&amp;TEXT(TBL_TRANSIT[[#This Row],[Destination Index]],"000")</f>
        <v>019011</v>
      </c>
      <c r="J8" s="135">
        <f>COUNTIF($I$6:$I61,$I8)</f>
        <v>1</v>
      </c>
      <c r="K8" s="142"/>
      <c r="L8" s="138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6" t="s">
        <v>166</v>
      </c>
      <c r="B9" s="135">
        <f>INDEX(TBL_REGIONS_INDEX[Index],MATCH(TBL_TRANSIT[[#This Row],[Origin]],TBL_REGIONS_INDEX[Region],0))</f>
        <v>5</v>
      </c>
      <c r="C9" s="140" t="s">
        <v>163</v>
      </c>
      <c r="D9" s="135">
        <f>INDEX(TBL_REGIONS_INDEX[Index],MATCH(TBL_TRANSIT[[#This Row],[Destination]],TBL_REGIONS_INDEX[Region],0))</f>
        <v>2</v>
      </c>
      <c r="E9" s="141" t="s">
        <v>305</v>
      </c>
      <c r="F9" s="137">
        <v>50.436515999999997</v>
      </c>
      <c r="G9" s="137">
        <v>3.5674410000000001</v>
      </c>
      <c r="H9" s="139">
        <v>315</v>
      </c>
      <c r="I9" s="135" t="str">
        <f>TEXT(TBL_TRANSIT[[#This Row],[Origin Index]],"000")&amp;TEXT(TBL_TRANSIT[[#This Row],[Destination Index]],"000")</f>
        <v>005002</v>
      </c>
      <c r="J9" s="135">
        <f>COUNTIF($I$6:$I62,$I9)</f>
        <v>1</v>
      </c>
      <c r="K9" s="142"/>
      <c r="L9" s="138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6" t="s">
        <v>173</v>
      </c>
      <c r="B10" s="135">
        <f>INDEX(TBL_REGIONS_INDEX[Index],MATCH(TBL_TRANSIT[[#This Row],[Origin]],TBL_REGIONS_INDEX[Region],0))</f>
        <v>12</v>
      </c>
      <c r="C10" s="140" t="s">
        <v>163</v>
      </c>
      <c r="D10" s="135">
        <f>INDEX(TBL_REGIONS_INDEX[Index],MATCH(TBL_TRANSIT[[#This Row],[Destination]],TBL_REGIONS_INDEX[Region],0))</f>
        <v>2</v>
      </c>
      <c r="E10" s="141" t="s">
        <v>306</v>
      </c>
      <c r="F10" s="137">
        <v>50.743408000000002</v>
      </c>
      <c r="G10" s="137">
        <v>6.2058809999999998</v>
      </c>
      <c r="H10" s="139">
        <v>0</v>
      </c>
      <c r="I10" s="135" t="str">
        <f>TEXT(TBL_TRANSIT[[#This Row],[Origin Index]],"000")&amp;TEXT(TBL_TRANSIT[[#This Row],[Destination Index]],"000")</f>
        <v>012002</v>
      </c>
      <c r="J10" s="135">
        <f>COUNTIF($I$6:$I63,$I10)</f>
        <v>1</v>
      </c>
      <c r="K10" s="142"/>
      <c r="L10" s="138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6" t="s">
        <v>165</v>
      </c>
      <c r="B11" s="135">
        <f>INDEX(TBL_REGIONS_INDEX[Index],MATCH(TBL_TRANSIT[[#This Row],[Origin]],TBL_REGIONS_INDEX[Region],0))</f>
        <v>4</v>
      </c>
      <c r="C11" s="140" t="s">
        <v>163</v>
      </c>
      <c r="D11" s="135">
        <f>INDEX(TBL_REGIONS_INDEX[Index],MATCH(TBL_TRANSIT[[#This Row],[Destination]],TBL_REGIONS_INDEX[Region],0))</f>
        <v>2</v>
      </c>
      <c r="E11" s="141" t="s">
        <v>307</v>
      </c>
      <c r="F11" s="137">
        <v>51.323746999999997</v>
      </c>
      <c r="G11" s="137">
        <v>4.9306349999999997</v>
      </c>
      <c r="H11" s="139">
        <v>90</v>
      </c>
      <c r="I11" s="135" t="str">
        <f>TEXT(TBL_TRANSIT[[#This Row],[Origin Index]],"000")&amp;TEXT(TBL_TRANSIT[[#This Row],[Destination Index]],"000")</f>
        <v>004002</v>
      </c>
      <c r="J11" s="135">
        <f>COUNTIF($I$6:$I64,$I11)</f>
        <v>1</v>
      </c>
      <c r="K11" s="142"/>
      <c r="L11" s="138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6" t="s">
        <v>193</v>
      </c>
      <c r="B12" s="135">
        <f>INDEX(TBL_REGIONS_INDEX[Index],MATCH(TBL_TRANSIT[[#This Row],[Origin]],TBL_REGIONS_INDEX[Region],0))</f>
        <v>33</v>
      </c>
      <c r="C12" s="140" t="s">
        <v>163</v>
      </c>
      <c r="D12" s="135">
        <f>INDEX(TBL_REGIONS_INDEX[Index],MATCH(TBL_TRANSIT[[#This Row],[Destination]],TBL_REGIONS_INDEX[Region],0))</f>
        <v>2</v>
      </c>
      <c r="E12" s="141" t="s">
        <v>308</v>
      </c>
      <c r="F12" s="137">
        <v>51.296275999999999</v>
      </c>
      <c r="G12" s="137">
        <v>2.2921939999999998</v>
      </c>
      <c r="H12" s="139">
        <v>135</v>
      </c>
      <c r="I12" s="135" t="str">
        <f>TEXT(TBL_TRANSIT[[#This Row],[Origin Index]],"000")&amp;TEXT(TBL_TRANSIT[[#This Row],[Destination Index]],"000")</f>
        <v>033002</v>
      </c>
      <c r="J12" s="135">
        <f>COUNTIF($I$6:$I65,$I12)</f>
        <v>1</v>
      </c>
      <c r="K12" s="142"/>
      <c r="L12" s="138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6" t="s">
        <v>173</v>
      </c>
      <c r="B13" s="135">
        <f>INDEX(TBL_REGIONS_INDEX[Index],MATCH(TBL_TRANSIT[[#This Row],[Origin]],TBL_REGIONS_INDEX[Region],0))</f>
        <v>12</v>
      </c>
      <c r="C13" s="140" t="s">
        <v>164</v>
      </c>
      <c r="D13" s="135">
        <f>INDEX(TBL_REGIONS_INDEX[Index],MATCH(TBL_TRANSIT[[#This Row],[Destination]],TBL_REGIONS_INDEX[Region],0))</f>
        <v>3</v>
      </c>
      <c r="E13" s="141" t="s">
        <v>309</v>
      </c>
      <c r="F13" s="137">
        <v>49.733356000000001</v>
      </c>
      <c r="G13" s="137">
        <v>6.5060820000000001</v>
      </c>
      <c r="H13" s="139">
        <v>0</v>
      </c>
      <c r="I13" s="135" t="str">
        <f>TEXT(TBL_TRANSIT[[#This Row],[Origin Index]],"000")&amp;TEXT(TBL_TRANSIT[[#This Row],[Destination Index]],"000")</f>
        <v>012003</v>
      </c>
      <c r="J13" s="135">
        <f>COUNTIF($I$6:$I66,$I13)</f>
        <v>1</v>
      </c>
      <c r="K13" s="142"/>
      <c r="L13" s="138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6" t="s">
        <v>173</v>
      </c>
      <c r="B14" s="135">
        <f>INDEX(TBL_REGIONS_INDEX[Index],MATCH(TBL_TRANSIT[[#This Row],[Origin]],TBL_REGIONS_INDEX[Region],0))</f>
        <v>12</v>
      </c>
      <c r="C14" s="140" t="s">
        <v>179</v>
      </c>
      <c r="D14" s="135">
        <f>INDEX(TBL_REGIONS_INDEX[Index],MATCH(TBL_TRANSIT[[#This Row],[Destination]],TBL_REGIONS_INDEX[Region],0))</f>
        <v>18</v>
      </c>
      <c r="E14" s="141" t="s">
        <v>310</v>
      </c>
      <c r="F14" s="137">
        <v>50.520412</v>
      </c>
      <c r="G14" s="137">
        <v>13.52829</v>
      </c>
      <c r="H14" s="139">
        <v>135</v>
      </c>
      <c r="I14" s="135" t="str">
        <f>TEXT(TBL_TRANSIT[[#This Row],[Origin Index]],"000")&amp;TEXT(TBL_TRANSIT[[#This Row],[Destination Index]],"000")</f>
        <v>012018</v>
      </c>
      <c r="J14" s="135">
        <f>COUNTIF($I$6:$I67,$I14)</f>
        <v>2</v>
      </c>
      <c r="K14" s="142" t="s">
        <v>353</v>
      </c>
      <c r="L14" s="138" t="str">
        <f>"Transit_"&amp;TEXT(TBL_TRANSIT[[#This Row],[Origin Index]],"000")&amp;"_"&amp;TEXT(TBL_TRANSIT[[#This Row],[Destination Index]],"000")&amp;"_"&amp;TEXT(TBL_TRANSIT[[#This Row],[Connection Index]],"000")</f>
        <v>Transit_012_018_002</v>
      </c>
    </row>
    <row r="15" spans="1:12" x14ac:dyDescent="0.25">
      <c r="A15" s="146" t="s">
        <v>180</v>
      </c>
      <c r="B15" s="135">
        <f>INDEX(TBL_REGIONS_INDEX[Index],MATCH(TBL_TRANSIT[[#This Row],[Origin]],TBL_REGIONS_INDEX[Region],0))</f>
        <v>19</v>
      </c>
      <c r="C15" s="140" t="s">
        <v>179</v>
      </c>
      <c r="D15" s="135">
        <f>INDEX(TBL_REGIONS_INDEX[Index],MATCH(TBL_TRANSIT[[#This Row],[Destination]],TBL_REGIONS_INDEX[Region],0))</f>
        <v>18</v>
      </c>
      <c r="E15" s="141" t="s">
        <v>311</v>
      </c>
      <c r="F15" s="137">
        <v>48.998240000000003</v>
      </c>
      <c r="G15" s="137">
        <v>18.099181000000002</v>
      </c>
      <c r="H15" s="139">
        <v>30</v>
      </c>
      <c r="I15" s="135" t="str">
        <f>TEXT(TBL_TRANSIT[[#This Row],[Origin Index]],"000")&amp;TEXT(TBL_TRANSIT[[#This Row],[Destination Index]],"000")</f>
        <v>019018</v>
      </c>
      <c r="J15" s="135">
        <f>COUNTIF($I$6:$I68,$I15)</f>
        <v>1</v>
      </c>
      <c r="K15" s="142"/>
      <c r="L15" s="138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6" t="s">
        <v>173</v>
      </c>
      <c r="B16" s="135">
        <f>INDEX(TBL_REGIONS_INDEX[Index],MATCH(TBL_TRANSIT[[#This Row],[Origin]],TBL_REGIONS_INDEX[Region],0))</f>
        <v>12</v>
      </c>
      <c r="C16" s="140" t="s">
        <v>177</v>
      </c>
      <c r="D16" s="135">
        <f>INDEX(TBL_REGIONS_INDEX[Index],MATCH(TBL_TRANSIT[[#This Row],[Destination]],TBL_REGIONS_INDEX[Region],0))</f>
        <v>16</v>
      </c>
      <c r="E16" s="141" t="s">
        <v>312</v>
      </c>
      <c r="F16" s="137">
        <v>54.857640000000004</v>
      </c>
      <c r="G16" s="137">
        <v>9.2188379999999999</v>
      </c>
      <c r="H16" s="139">
        <v>270</v>
      </c>
      <c r="I16" s="135" t="str">
        <f>TEXT(TBL_TRANSIT[[#This Row],[Origin Index]],"000")&amp;TEXT(TBL_TRANSIT[[#This Row],[Destination Index]],"000")</f>
        <v>012016</v>
      </c>
      <c r="J16" s="135">
        <f>COUNTIF($I$6:$I69,$I16)</f>
        <v>1</v>
      </c>
      <c r="K16" s="142"/>
      <c r="L16" s="138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6" t="s">
        <v>176</v>
      </c>
      <c r="B17" s="135">
        <f>INDEX(TBL_REGIONS_INDEX[Index],MATCH(TBL_TRANSIT[[#This Row],[Origin]],TBL_REGIONS_INDEX[Region],0))</f>
        <v>15</v>
      </c>
      <c r="C17" s="140" t="s">
        <v>184</v>
      </c>
      <c r="D17" s="135">
        <f>INDEX(TBL_REGIONS_INDEX[Index],MATCH(TBL_TRANSIT[[#This Row],[Destination]],TBL_REGIONS_INDEX[Region],0))</f>
        <v>23</v>
      </c>
      <c r="E17" s="141" t="s">
        <v>313</v>
      </c>
      <c r="F17" s="137">
        <v>59.828254000000001</v>
      </c>
      <c r="G17" s="137">
        <v>25.269349999999999</v>
      </c>
      <c r="H17" s="139">
        <v>90</v>
      </c>
      <c r="I17" s="135" t="str">
        <f>TEXT(TBL_TRANSIT[[#This Row],[Origin Index]],"000")&amp;TEXT(TBL_TRANSIT[[#This Row],[Destination Index]],"000")</f>
        <v>015023</v>
      </c>
      <c r="J17" s="135">
        <f>COUNTIF($I$6:$I70,$I17)</f>
        <v>1</v>
      </c>
      <c r="K17" s="142"/>
      <c r="L17" s="138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6" t="s">
        <v>184</v>
      </c>
      <c r="B18" s="135">
        <f>INDEX(TBL_REGIONS_INDEX[Index],MATCH(TBL_TRANSIT[[#This Row],[Origin]],TBL_REGIONS_INDEX[Region],0))</f>
        <v>23</v>
      </c>
      <c r="C18" s="140" t="s">
        <v>176</v>
      </c>
      <c r="D18" s="135">
        <f>INDEX(TBL_REGIONS_INDEX[Index],MATCH(TBL_TRANSIT[[#This Row],[Destination]],TBL_REGIONS_INDEX[Region],0))</f>
        <v>15</v>
      </c>
      <c r="E18" s="141" t="s">
        <v>314</v>
      </c>
      <c r="F18" s="137">
        <v>59.828254000000001</v>
      </c>
      <c r="G18" s="137">
        <v>25.269349999999999</v>
      </c>
      <c r="H18" s="139">
        <v>270</v>
      </c>
      <c r="I18" s="135" t="str">
        <f>TEXT(TBL_TRANSIT[[#This Row],[Origin Index]],"000")&amp;TEXT(TBL_TRANSIT[[#This Row],[Destination Index]],"000")</f>
        <v>023015</v>
      </c>
      <c r="J18" s="135">
        <f>COUNTIF($I$6:$I71,$I18)</f>
        <v>1</v>
      </c>
      <c r="K18" s="142"/>
      <c r="L18" s="138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6" t="s">
        <v>163</v>
      </c>
      <c r="B19" s="135">
        <f>INDEX(TBL_REGIONS_INDEX[Index],MATCH(TBL_TRANSIT[[#This Row],[Origin]],TBL_REGIONS_INDEX[Region],0))</f>
        <v>2</v>
      </c>
      <c r="C19" s="140" t="s">
        <v>166</v>
      </c>
      <c r="D19" s="135">
        <f>INDEX(TBL_REGIONS_INDEX[Index],MATCH(TBL_TRANSIT[[#This Row],[Destination]],TBL_REGIONS_INDEX[Region],0))</f>
        <v>5</v>
      </c>
      <c r="E19" s="141" t="s">
        <v>315</v>
      </c>
      <c r="F19" s="137">
        <v>50.436515999999997</v>
      </c>
      <c r="G19" s="137">
        <v>3.5674410000000001</v>
      </c>
      <c r="H19" s="139">
        <v>45</v>
      </c>
      <c r="I19" s="135" t="str">
        <f>TEXT(TBL_TRANSIT[[#This Row],[Origin Index]],"000")&amp;TEXT(TBL_TRANSIT[[#This Row],[Destination Index]],"000")</f>
        <v>002005</v>
      </c>
      <c r="J19" s="135">
        <f>COUNTIF($I$6:$I72,$I19)</f>
        <v>1</v>
      </c>
      <c r="K19" s="142"/>
      <c r="L19" s="138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6" t="s">
        <v>173</v>
      </c>
      <c r="B20" s="135">
        <f>INDEX(TBL_REGIONS_INDEX[Index],MATCH(TBL_TRANSIT[[#This Row],[Origin]],TBL_REGIONS_INDEX[Region],0))</f>
        <v>12</v>
      </c>
      <c r="C20" s="140" t="s">
        <v>166</v>
      </c>
      <c r="D20" s="135">
        <f>INDEX(TBL_REGIONS_INDEX[Index],MATCH(TBL_TRANSIT[[#This Row],[Destination]],TBL_REGIONS_INDEX[Region],0))</f>
        <v>5</v>
      </c>
      <c r="E20" s="141" t="s">
        <v>316</v>
      </c>
      <c r="F20" s="137">
        <v>49.102645000000003</v>
      </c>
      <c r="G20" s="137">
        <v>7.1387460000000003</v>
      </c>
      <c r="H20" s="139">
        <v>45</v>
      </c>
      <c r="I20" s="135" t="str">
        <f>TEXT(TBL_TRANSIT[[#This Row],[Origin Index]],"000")&amp;TEXT(TBL_TRANSIT[[#This Row],[Destination Index]],"000")</f>
        <v>012005</v>
      </c>
      <c r="J20" s="135">
        <f>COUNTIF($I$6:$I73,$I20)</f>
        <v>1</v>
      </c>
      <c r="K20" s="142"/>
      <c r="L20" s="138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6" t="s">
        <v>168</v>
      </c>
      <c r="B21" s="135">
        <f>INDEX(TBL_REGIONS_INDEX[Index],MATCH(TBL_TRANSIT[[#This Row],[Origin]],TBL_REGIONS_INDEX[Region],0))</f>
        <v>7</v>
      </c>
      <c r="C21" s="140" t="s">
        <v>166</v>
      </c>
      <c r="D21" s="135">
        <f>INDEX(TBL_REGIONS_INDEX[Index],MATCH(TBL_TRANSIT[[#This Row],[Destination]],TBL_REGIONS_INDEX[Region],0))</f>
        <v>5</v>
      </c>
      <c r="E21" s="141" t="s">
        <v>317</v>
      </c>
      <c r="F21" s="137">
        <v>42.658202000000003</v>
      </c>
      <c r="G21" s="137">
        <v>0.102905</v>
      </c>
      <c r="H21" s="139">
        <v>285</v>
      </c>
      <c r="I21" s="135" t="str">
        <f>TEXT(TBL_TRANSIT[[#This Row],[Origin Index]],"000")&amp;TEXT(TBL_TRANSIT[[#This Row],[Destination Index]],"000")</f>
        <v>007005</v>
      </c>
      <c r="J21" s="135">
        <f>COUNTIF($I$6:$I74,$I21)</f>
        <v>1</v>
      </c>
      <c r="K21" s="142"/>
      <c r="L21" s="138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6" t="s">
        <v>171</v>
      </c>
      <c r="B22" s="135">
        <f>INDEX(TBL_REGIONS_INDEX[Index],MATCH(TBL_TRANSIT[[#This Row],[Origin]],TBL_REGIONS_INDEX[Region],0))</f>
        <v>10</v>
      </c>
      <c r="C22" s="140" t="s">
        <v>166</v>
      </c>
      <c r="D22" s="135">
        <f>INDEX(TBL_REGIONS_INDEX[Index],MATCH(TBL_TRANSIT[[#This Row],[Destination]],TBL_REGIONS_INDEX[Region],0))</f>
        <v>5</v>
      </c>
      <c r="E22" s="141" t="s">
        <v>318</v>
      </c>
      <c r="F22" s="137">
        <v>46.354511000000002</v>
      </c>
      <c r="G22" s="137">
        <v>6.0490940000000002</v>
      </c>
      <c r="H22" s="139">
        <v>0</v>
      </c>
      <c r="I22" s="135" t="str">
        <f>TEXT(TBL_TRANSIT[[#This Row],[Origin Index]],"000")&amp;TEXT(TBL_TRANSIT[[#This Row],[Destination Index]],"000")</f>
        <v>010005</v>
      </c>
      <c r="J22" s="135">
        <f>COUNTIF($I$6:$I75,$I22)</f>
        <v>1</v>
      </c>
      <c r="K22" s="142"/>
      <c r="L22" s="138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6" t="s">
        <v>172</v>
      </c>
      <c r="B23" s="135">
        <f>INDEX(TBL_REGIONS_INDEX[Index],MATCH(TBL_TRANSIT[[#This Row],[Origin]],TBL_REGIONS_INDEX[Region],0))</f>
        <v>11</v>
      </c>
      <c r="C23" s="140" t="s">
        <v>173</v>
      </c>
      <c r="D23" s="135">
        <f>INDEX(TBL_REGIONS_INDEX[Index],MATCH(TBL_TRANSIT[[#This Row],[Destination]],TBL_REGIONS_INDEX[Region],0))</f>
        <v>12</v>
      </c>
      <c r="E23" s="141" t="s">
        <v>319</v>
      </c>
      <c r="F23" s="137">
        <v>47.526474999999998</v>
      </c>
      <c r="G23" s="137">
        <v>11.570478</v>
      </c>
      <c r="H23" s="139">
        <v>270</v>
      </c>
      <c r="I23" s="135" t="str">
        <f>TEXT(TBL_TRANSIT[[#This Row],[Origin Index]],"000")&amp;TEXT(TBL_TRANSIT[[#This Row],[Destination Index]],"000")</f>
        <v>011012</v>
      </c>
      <c r="J23" s="135">
        <f>COUNTIF($I$6:$I76,$I23)</f>
        <v>1</v>
      </c>
      <c r="K23" s="142"/>
      <c r="L23" s="138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6" t="s">
        <v>163</v>
      </c>
      <c r="B24" s="135">
        <f>INDEX(TBL_REGIONS_INDEX[Index],MATCH(TBL_TRANSIT[[#This Row],[Origin]],TBL_REGIONS_INDEX[Region],0))</f>
        <v>2</v>
      </c>
      <c r="C24" s="140" t="s">
        <v>173</v>
      </c>
      <c r="D24" s="135">
        <f>INDEX(TBL_REGIONS_INDEX[Index],MATCH(TBL_TRANSIT[[#This Row],[Destination]],TBL_REGIONS_INDEX[Region],0))</f>
        <v>12</v>
      </c>
      <c r="E24" s="141" t="s">
        <v>320</v>
      </c>
      <c r="F24" s="137">
        <v>50.743408000000002</v>
      </c>
      <c r="G24" s="137">
        <v>6.2058809999999998</v>
      </c>
      <c r="H24" s="139">
        <v>180</v>
      </c>
      <c r="I24" s="135" t="str">
        <f>TEXT(TBL_TRANSIT[[#This Row],[Origin Index]],"000")&amp;TEXT(TBL_TRANSIT[[#This Row],[Destination Index]],"000")</f>
        <v>002012</v>
      </c>
      <c r="J24" s="135">
        <f>COUNTIF($I$6:$I77,$I24)</f>
        <v>1</v>
      </c>
      <c r="K24" s="142"/>
      <c r="L24" s="138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6" t="s">
        <v>179</v>
      </c>
      <c r="B25" s="135">
        <f>INDEX(TBL_REGIONS_INDEX[Index],MATCH(TBL_TRANSIT[[#This Row],[Origin]],TBL_REGIONS_INDEX[Region],0))</f>
        <v>18</v>
      </c>
      <c r="C25" s="140" t="s">
        <v>173</v>
      </c>
      <c r="D25" s="135">
        <f>INDEX(TBL_REGIONS_INDEX[Index],MATCH(TBL_TRANSIT[[#This Row],[Destination]],TBL_REGIONS_INDEX[Region],0))</f>
        <v>12</v>
      </c>
      <c r="E25" s="141" t="s">
        <v>321</v>
      </c>
      <c r="F25" s="137">
        <v>50.520412</v>
      </c>
      <c r="G25" s="137">
        <v>13.52829</v>
      </c>
      <c r="H25" s="139">
        <v>225</v>
      </c>
      <c r="I25" s="135" t="str">
        <f>TEXT(TBL_TRANSIT[[#This Row],[Origin Index]],"000")&amp;TEXT(TBL_TRANSIT[[#This Row],[Destination Index]],"000")</f>
        <v>018012</v>
      </c>
      <c r="J25" s="135">
        <f>COUNTIF($I$6:$I78,$I25)</f>
        <v>1</v>
      </c>
      <c r="K25" s="142"/>
      <c r="L25" s="138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6" t="s">
        <v>177</v>
      </c>
      <c r="B26" s="135">
        <f>INDEX(TBL_REGIONS_INDEX[Index],MATCH(TBL_TRANSIT[[#This Row],[Origin]],TBL_REGIONS_INDEX[Region],0))</f>
        <v>16</v>
      </c>
      <c r="C26" s="140" t="s">
        <v>173</v>
      </c>
      <c r="D26" s="135">
        <f>INDEX(TBL_REGIONS_INDEX[Index],MATCH(TBL_TRANSIT[[#This Row],[Destination]],TBL_REGIONS_INDEX[Region],0))</f>
        <v>12</v>
      </c>
      <c r="E26" s="141" t="s">
        <v>322</v>
      </c>
      <c r="F26" s="137">
        <v>54.857640000000004</v>
      </c>
      <c r="G26" s="137">
        <v>9.2188379999999999</v>
      </c>
      <c r="H26" s="139">
        <v>90</v>
      </c>
      <c r="I26" s="135" t="str">
        <f>TEXT(TBL_TRANSIT[[#This Row],[Origin Index]],"000")&amp;TEXT(TBL_TRANSIT[[#This Row],[Destination Index]],"000")</f>
        <v>016012</v>
      </c>
      <c r="J26" s="135">
        <f>COUNTIF($I$6:$I79,$I26)</f>
        <v>1</v>
      </c>
      <c r="K26" s="142" t="s">
        <v>354</v>
      </c>
      <c r="L26" s="138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6" t="s">
        <v>165</v>
      </c>
      <c r="B27" s="135">
        <f>INDEX(TBL_REGIONS_INDEX[Index],MATCH(TBL_TRANSIT[[#This Row],[Origin]],TBL_REGIONS_INDEX[Region],0))</f>
        <v>4</v>
      </c>
      <c r="C27" s="140" t="s">
        <v>173</v>
      </c>
      <c r="D27" s="135">
        <f>INDEX(TBL_REGIONS_INDEX[Index],MATCH(TBL_TRANSIT[[#This Row],[Destination]],TBL_REGIONS_INDEX[Region],0))</f>
        <v>12</v>
      </c>
      <c r="E27" s="141" t="s">
        <v>323</v>
      </c>
      <c r="F27" s="137">
        <v>52.569673000000002</v>
      </c>
      <c r="G27" s="137">
        <v>7.1044700000000001</v>
      </c>
      <c r="H27" s="139">
        <v>0</v>
      </c>
      <c r="I27" s="135" t="str">
        <f>TEXT(TBL_TRANSIT[[#This Row],[Origin Index]],"000")&amp;TEXT(TBL_TRANSIT[[#This Row],[Destination Index]],"000")</f>
        <v>004012</v>
      </c>
      <c r="J27" s="135">
        <f>COUNTIF($I$6:$I80,$I27)</f>
        <v>1</v>
      </c>
      <c r="K27" s="142" t="s">
        <v>354</v>
      </c>
      <c r="L27" s="138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6" t="s">
        <v>171</v>
      </c>
      <c r="B28" s="135">
        <f>INDEX(TBL_REGIONS_INDEX[Index],MATCH(TBL_TRANSIT[[#This Row],[Origin]],TBL_REGIONS_INDEX[Region],0))</f>
        <v>10</v>
      </c>
      <c r="C28" s="140" t="s">
        <v>173</v>
      </c>
      <c r="D28" s="135">
        <f>INDEX(TBL_REGIONS_INDEX[Index],MATCH(TBL_TRANSIT[[#This Row],[Destination]],TBL_REGIONS_INDEX[Region],0))</f>
        <v>12</v>
      </c>
      <c r="E28" s="141" t="s">
        <v>324</v>
      </c>
      <c r="F28" s="137">
        <v>47.643186</v>
      </c>
      <c r="G28" s="137">
        <v>8.6878790000000006</v>
      </c>
      <c r="H28" s="139">
        <v>270</v>
      </c>
      <c r="I28" s="135" t="str">
        <f>TEXT(TBL_TRANSIT[[#This Row],[Origin Index]],"000")&amp;TEXT(TBL_TRANSIT[[#This Row],[Destination Index]],"000")</f>
        <v>010012</v>
      </c>
      <c r="J28" s="135">
        <f>COUNTIF($I$6:$I81,$I28)</f>
        <v>1</v>
      </c>
      <c r="K28" s="142" t="s">
        <v>354</v>
      </c>
      <c r="L28" s="138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6" t="s">
        <v>172</v>
      </c>
      <c r="B29" s="135">
        <f>INDEX(TBL_REGIONS_INDEX[Index],MATCH(TBL_TRANSIT[[#This Row],[Origin]],TBL_REGIONS_INDEX[Region],0))</f>
        <v>11</v>
      </c>
      <c r="C29" s="140" t="s">
        <v>185</v>
      </c>
      <c r="D29" s="135">
        <f>INDEX(TBL_REGIONS_INDEX[Index],MATCH(TBL_TRANSIT[[#This Row],[Destination]],TBL_REGIONS_INDEX[Region],0))</f>
        <v>25</v>
      </c>
      <c r="E29" s="141" t="s">
        <v>325</v>
      </c>
      <c r="F29" s="137">
        <v>47.197178000000001</v>
      </c>
      <c r="G29" s="137">
        <v>16.507905999999998</v>
      </c>
      <c r="H29" s="139">
        <v>10</v>
      </c>
      <c r="I29" s="135" t="str">
        <f>TEXT(TBL_TRANSIT[[#This Row],[Origin Index]],"000")&amp;TEXT(TBL_TRANSIT[[#This Row],[Destination Index]],"000")</f>
        <v>011025</v>
      </c>
      <c r="J29" s="135">
        <f>COUNTIF($I$6:$I82,$I29)</f>
        <v>1</v>
      </c>
      <c r="K29" s="142" t="s">
        <v>355</v>
      </c>
      <c r="L29" s="138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6" t="s">
        <v>180</v>
      </c>
      <c r="B30" s="135">
        <f>INDEX(TBL_REGIONS_INDEX[Index],MATCH(TBL_TRANSIT[[#This Row],[Origin]],TBL_REGIONS_INDEX[Region],0))</f>
        <v>19</v>
      </c>
      <c r="C30" s="140" t="s">
        <v>185</v>
      </c>
      <c r="D30" s="135">
        <f>INDEX(TBL_REGIONS_INDEX[Index],MATCH(TBL_TRANSIT[[#This Row],[Destination]],TBL_REGIONS_INDEX[Region],0))</f>
        <v>25</v>
      </c>
      <c r="E30" s="141" t="s">
        <v>326</v>
      </c>
      <c r="F30" s="137">
        <v>48.213692999999999</v>
      </c>
      <c r="G30" s="137">
        <v>19.680868</v>
      </c>
      <c r="H30" s="139">
        <v>90</v>
      </c>
      <c r="I30" s="135" t="str">
        <f>TEXT(TBL_TRANSIT[[#This Row],[Origin Index]],"000")&amp;TEXT(TBL_TRANSIT[[#This Row],[Destination Index]],"000")</f>
        <v>019025</v>
      </c>
      <c r="J30" s="135">
        <f>COUNTIF($I$6:$I83,$I30)</f>
        <v>1</v>
      </c>
      <c r="K30" s="142"/>
      <c r="L30" s="138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6" t="s">
        <v>172</v>
      </c>
      <c r="B31" s="135">
        <f>INDEX(TBL_REGIONS_INDEX[Index],MATCH(TBL_TRANSIT[[#This Row],[Origin]],TBL_REGIONS_INDEX[Region],0))</f>
        <v>11</v>
      </c>
      <c r="C31" s="140" t="s">
        <v>170</v>
      </c>
      <c r="D31" s="135">
        <f>INDEX(TBL_REGIONS_INDEX[Index],MATCH(TBL_TRANSIT[[#This Row],[Destination]],TBL_REGIONS_INDEX[Region],0))</f>
        <v>9</v>
      </c>
      <c r="E31" s="141" t="s">
        <v>327</v>
      </c>
      <c r="F31" s="137">
        <v>46.967134000000001</v>
      </c>
      <c r="G31" s="137">
        <v>11.482530000000001</v>
      </c>
      <c r="H31" s="139">
        <v>90</v>
      </c>
      <c r="I31" s="135" t="str">
        <f>TEXT(TBL_TRANSIT[[#This Row],[Origin Index]],"000")&amp;TEXT(TBL_TRANSIT[[#This Row],[Destination Index]],"000")</f>
        <v>011009</v>
      </c>
      <c r="J31" s="135">
        <f>COUNTIF($I$6:$I84,$I31)</f>
        <v>1</v>
      </c>
      <c r="K31" s="142"/>
      <c r="L31" s="138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6" t="s">
        <v>186</v>
      </c>
      <c r="B32" s="135">
        <f>INDEX(TBL_REGIONS_INDEX[Index],MATCH(TBL_TRANSIT[[#This Row],[Origin]],TBL_REGIONS_INDEX[Region],0))</f>
        <v>26</v>
      </c>
      <c r="C32" s="140" t="s">
        <v>170</v>
      </c>
      <c r="D32" s="135">
        <f>INDEX(TBL_REGIONS_INDEX[Index],MATCH(TBL_TRANSIT[[#This Row],[Destination]],TBL_REGIONS_INDEX[Region],0))</f>
        <v>9</v>
      </c>
      <c r="E32" s="141" t="s">
        <v>328</v>
      </c>
      <c r="F32" s="137">
        <v>46.122748999999999</v>
      </c>
      <c r="G32" s="137">
        <v>13.656428999999999</v>
      </c>
      <c r="H32" s="139">
        <v>0</v>
      </c>
      <c r="I32" s="135" t="str">
        <f>TEXT(TBL_TRANSIT[[#This Row],[Origin Index]],"000")&amp;TEXT(TBL_TRANSIT[[#This Row],[Destination Index]],"000")</f>
        <v>026009</v>
      </c>
      <c r="J32" s="135">
        <f>COUNTIF($I$6:$I85,$I32)</f>
        <v>1</v>
      </c>
      <c r="K32" s="142"/>
      <c r="L32" s="138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6" t="s">
        <v>171</v>
      </c>
      <c r="B33" s="135">
        <f>INDEX(TBL_REGIONS_INDEX[Index],MATCH(TBL_TRANSIT[[#This Row],[Origin]],TBL_REGIONS_INDEX[Region],0))</f>
        <v>10</v>
      </c>
      <c r="C33" s="140" t="s">
        <v>170</v>
      </c>
      <c r="D33" s="135">
        <f>INDEX(TBL_REGIONS_INDEX[Index],MATCH(TBL_TRANSIT[[#This Row],[Destination]],TBL_REGIONS_INDEX[Region],0))</f>
        <v>9</v>
      </c>
      <c r="E33" s="141" t="s">
        <v>329</v>
      </c>
      <c r="F33" s="137">
        <v>46.198844000000001</v>
      </c>
      <c r="G33" s="137">
        <v>9.1710809999999992</v>
      </c>
      <c r="H33" s="139">
        <v>135</v>
      </c>
      <c r="I33" s="135" t="str">
        <f>TEXT(TBL_TRANSIT[[#This Row],[Origin Index]],"000")&amp;TEXT(TBL_TRANSIT[[#This Row],[Destination Index]],"000")</f>
        <v>010009</v>
      </c>
      <c r="J33" s="135">
        <f>COUNTIF($I$6:$I86,$I33)</f>
        <v>1</v>
      </c>
      <c r="K33" s="142"/>
      <c r="L33" s="138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6" t="s">
        <v>178</v>
      </c>
      <c r="B34" s="135">
        <f>INDEX(TBL_REGIONS_INDEX[Index],MATCH(TBL_TRANSIT[[#This Row],[Origin]],TBL_REGIONS_INDEX[Region],0))</f>
        <v>17</v>
      </c>
      <c r="C34" s="140" t="s">
        <v>182</v>
      </c>
      <c r="D34" s="135">
        <f>INDEX(TBL_REGIONS_INDEX[Index],MATCH(TBL_TRANSIT[[#This Row],[Destination]],TBL_REGIONS_INDEX[Region],0))</f>
        <v>21</v>
      </c>
      <c r="E34" s="141" t="s">
        <v>330</v>
      </c>
      <c r="F34" s="137">
        <v>54.281261999999998</v>
      </c>
      <c r="G34" s="137">
        <v>23.349684</v>
      </c>
      <c r="H34" s="139">
        <v>315</v>
      </c>
      <c r="I34" s="135" t="str">
        <f>TEXT(TBL_TRANSIT[[#This Row],[Origin Index]],"000")&amp;TEXT(TBL_TRANSIT[[#This Row],[Destination Index]],"000")</f>
        <v>017021</v>
      </c>
      <c r="J34" s="135">
        <f>COUNTIF($I$6:$I87,$I34)</f>
        <v>1</v>
      </c>
      <c r="K34" s="142" t="s">
        <v>354</v>
      </c>
      <c r="L34" s="138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6" t="s">
        <v>163</v>
      </c>
      <c r="B35" s="135">
        <f>INDEX(TBL_REGIONS_INDEX[Index],MATCH(TBL_TRANSIT[[#This Row],[Origin]],TBL_REGIONS_INDEX[Region],0))</f>
        <v>2</v>
      </c>
      <c r="C35" s="140" t="s">
        <v>165</v>
      </c>
      <c r="D35" s="135">
        <f>INDEX(TBL_REGIONS_INDEX[Index],MATCH(TBL_TRANSIT[[#This Row],[Destination]],TBL_REGIONS_INDEX[Region],0))</f>
        <v>4</v>
      </c>
      <c r="E35" s="141" t="s">
        <v>331</v>
      </c>
      <c r="F35" s="137">
        <v>51.323746999999997</v>
      </c>
      <c r="G35" s="137">
        <v>4.9306349999999997</v>
      </c>
      <c r="H35" s="139">
        <v>270</v>
      </c>
      <c r="I35" s="135" t="str">
        <f>TEXT(TBL_TRANSIT[[#This Row],[Origin Index]],"000")&amp;TEXT(TBL_TRANSIT[[#This Row],[Destination Index]],"000")</f>
        <v>002004</v>
      </c>
      <c r="J35" s="135">
        <f>COUNTIF($I$6:$I88,$I35)</f>
        <v>1</v>
      </c>
      <c r="K35" s="142"/>
      <c r="L35" s="138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6" t="s">
        <v>173</v>
      </c>
      <c r="B36" s="135">
        <f>INDEX(TBL_REGIONS_INDEX[Index],MATCH(TBL_TRANSIT[[#This Row],[Origin]],TBL_REGIONS_INDEX[Region],0))</f>
        <v>12</v>
      </c>
      <c r="C36" s="140" t="s">
        <v>165</v>
      </c>
      <c r="D36" s="135">
        <f>INDEX(TBL_REGIONS_INDEX[Index],MATCH(TBL_TRANSIT[[#This Row],[Destination]],TBL_REGIONS_INDEX[Region],0))</f>
        <v>4</v>
      </c>
      <c r="E36" s="141" t="s">
        <v>332</v>
      </c>
      <c r="F36" s="137">
        <v>52.569673000000002</v>
      </c>
      <c r="G36" s="137">
        <v>7.1044700000000001</v>
      </c>
      <c r="H36" s="139">
        <v>180</v>
      </c>
      <c r="I36" s="135" t="str">
        <f>TEXT(TBL_TRANSIT[[#This Row],[Origin Index]],"000")&amp;TEXT(TBL_TRANSIT[[#This Row],[Destination Index]],"000")</f>
        <v>012004</v>
      </c>
      <c r="J36" s="135">
        <f>COUNTIF($I$6:$I89,$I36)</f>
        <v>1</v>
      </c>
      <c r="K36" s="142"/>
      <c r="L36" s="138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6" t="s">
        <v>179</v>
      </c>
      <c r="B37" s="135">
        <f>INDEX(TBL_REGIONS_INDEX[Index],MATCH(TBL_TRANSIT[[#This Row],[Origin]],TBL_REGIONS_INDEX[Region],0))</f>
        <v>18</v>
      </c>
      <c r="C37" s="140" t="s">
        <v>178</v>
      </c>
      <c r="D37" s="135">
        <f>INDEX(TBL_REGIONS_INDEX[Index],MATCH(TBL_TRANSIT[[#This Row],[Destination]],TBL_REGIONS_INDEX[Region],0))</f>
        <v>17</v>
      </c>
      <c r="E37" s="141" t="s">
        <v>333</v>
      </c>
      <c r="F37" s="137">
        <v>50.558815000000003</v>
      </c>
      <c r="G37" s="137">
        <v>16.316898999999999</v>
      </c>
      <c r="H37" s="139">
        <v>315</v>
      </c>
      <c r="I37" s="135" t="str">
        <f>TEXT(TBL_TRANSIT[[#This Row],[Origin Index]],"000")&amp;TEXT(TBL_TRANSIT[[#This Row],[Destination Index]],"000")</f>
        <v>018017</v>
      </c>
      <c r="J37" s="135">
        <f>COUNTIF($I$6:$I90,$I37)</f>
        <v>1</v>
      </c>
      <c r="K37" s="142"/>
      <c r="L37" s="138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6" t="s">
        <v>173</v>
      </c>
      <c r="B38" s="135">
        <f>INDEX(TBL_REGIONS_INDEX[Index],MATCH(TBL_TRANSIT[[#This Row],[Origin]],TBL_REGIONS_INDEX[Region],0))</f>
        <v>12</v>
      </c>
      <c r="C38" s="140" t="s">
        <v>178</v>
      </c>
      <c r="D38" s="135">
        <f>INDEX(TBL_REGIONS_INDEX[Index],MATCH(TBL_TRANSIT[[#This Row],[Destination]],TBL_REGIONS_INDEX[Region],0))</f>
        <v>17</v>
      </c>
      <c r="E38" s="141" t="s">
        <v>334</v>
      </c>
      <c r="F38" s="137">
        <v>53.202742000000001</v>
      </c>
      <c r="G38" s="137">
        <v>14.449337999999999</v>
      </c>
      <c r="H38" s="139">
        <v>180</v>
      </c>
      <c r="I38" s="135" t="str">
        <f>TEXT(TBL_TRANSIT[[#This Row],[Origin Index]],"000")&amp;TEXT(TBL_TRANSIT[[#This Row],[Destination Index]],"000")</f>
        <v>012017</v>
      </c>
      <c r="J38" s="135">
        <f>COUNTIF($I$6:$I91,$I38)</f>
        <v>1</v>
      </c>
      <c r="K38" s="142"/>
      <c r="L38" s="138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6" t="s">
        <v>182</v>
      </c>
      <c r="B39" s="135">
        <f>INDEX(TBL_REGIONS_INDEX[Index],MATCH(TBL_TRANSIT[[#This Row],[Origin]],TBL_REGIONS_INDEX[Region],0))</f>
        <v>21</v>
      </c>
      <c r="C39" s="140" t="s">
        <v>178</v>
      </c>
      <c r="D39" s="135">
        <f>INDEX(TBL_REGIONS_INDEX[Index],MATCH(TBL_TRANSIT[[#This Row],[Destination]],TBL_REGIONS_INDEX[Region],0))</f>
        <v>17</v>
      </c>
      <c r="E39" s="141" t="s">
        <v>335</v>
      </c>
      <c r="F39" s="137">
        <v>54.281261999999998</v>
      </c>
      <c r="G39" s="137">
        <v>23.349684</v>
      </c>
      <c r="H39" s="139">
        <v>45</v>
      </c>
      <c r="I39" s="135" t="str">
        <f>TEXT(TBL_TRANSIT[[#This Row],[Origin Index]],"000")&amp;TEXT(TBL_TRANSIT[[#This Row],[Destination Index]],"000")</f>
        <v>021017</v>
      </c>
      <c r="J39" s="135">
        <f>COUNTIF($I$6:$I92,$I39)</f>
        <v>1</v>
      </c>
      <c r="K39" s="142" t="s">
        <v>354</v>
      </c>
      <c r="L39" s="138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6" t="s">
        <v>180</v>
      </c>
      <c r="B40" s="135">
        <f>INDEX(TBL_REGIONS_INDEX[Index],MATCH(TBL_TRANSIT[[#This Row],[Origin]],TBL_REGIONS_INDEX[Region],0))</f>
        <v>19</v>
      </c>
      <c r="C40" s="140" t="s">
        <v>178</v>
      </c>
      <c r="D40" s="135">
        <f>INDEX(TBL_REGIONS_INDEX[Index],MATCH(TBL_TRANSIT[[#This Row],[Destination]],TBL_REGIONS_INDEX[Region],0))</f>
        <v>17</v>
      </c>
      <c r="E40" s="141" t="s">
        <v>336</v>
      </c>
      <c r="F40" s="137">
        <v>49.40025</v>
      </c>
      <c r="G40" s="137">
        <v>20.451789999999999</v>
      </c>
      <c r="H40" s="139">
        <v>270</v>
      </c>
      <c r="I40" s="135" t="str">
        <f>TEXT(TBL_TRANSIT[[#This Row],[Origin Index]],"000")&amp;TEXT(TBL_TRANSIT[[#This Row],[Destination Index]],"000")</f>
        <v>019017</v>
      </c>
      <c r="J40" s="135">
        <f>COUNTIF($I$6:$I93,$I40)</f>
        <v>1</v>
      </c>
      <c r="K40" s="142" t="s">
        <v>354</v>
      </c>
      <c r="L40" s="138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6" t="s">
        <v>172</v>
      </c>
      <c r="B41" s="135">
        <f>INDEX(TBL_REGIONS_INDEX[Index],MATCH(TBL_TRANSIT[[#This Row],[Origin]],TBL_REGIONS_INDEX[Region],0))</f>
        <v>11</v>
      </c>
      <c r="C41" s="140" t="s">
        <v>180</v>
      </c>
      <c r="D41" s="135">
        <f>INDEX(TBL_REGIONS_INDEX[Index],MATCH(TBL_TRANSIT[[#This Row],[Destination]],TBL_REGIONS_INDEX[Region],0))</f>
        <v>19</v>
      </c>
      <c r="E41" s="141" t="s">
        <v>337</v>
      </c>
      <c r="F41" s="137">
        <v>48.145930999999997</v>
      </c>
      <c r="G41" s="137">
        <v>17.001266999999999</v>
      </c>
      <c r="H41" s="139">
        <v>330</v>
      </c>
      <c r="I41" s="135" t="str">
        <f>TEXT(TBL_TRANSIT[[#This Row],[Origin Index]],"000")&amp;TEXT(TBL_TRANSIT[[#This Row],[Destination Index]],"000")</f>
        <v>011019</v>
      </c>
      <c r="J41" s="135">
        <f>COUNTIF($I$6:$I94,$I41)</f>
        <v>1</v>
      </c>
      <c r="K41" s="142"/>
      <c r="L41" s="138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6" t="s">
        <v>179</v>
      </c>
      <c r="B42" s="135">
        <f>INDEX(TBL_REGIONS_INDEX[Index],MATCH(TBL_TRANSIT[[#This Row],[Origin]],TBL_REGIONS_INDEX[Region],0))</f>
        <v>18</v>
      </c>
      <c r="C42" s="140" t="s">
        <v>180</v>
      </c>
      <c r="D42" s="135">
        <f>INDEX(TBL_REGIONS_INDEX[Index],MATCH(TBL_TRANSIT[[#This Row],[Destination]],TBL_REGIONS_INDEX[Region],0))</f>
        <v>19</v>
      </c>
      <c r="E42" s="141" t="s">
        <v>338</v>
      </c>
      <c r="F42" s="137">
        <v>48.998240000000003</v>
      </c>
      <c r="G42" s="137">
        <v>18.099181000000002</v>
      </c>
      <c r="H42" s="139">
        <v>330</v>
      </c>
      <c r="I42" s="135" t="str">
        <f>TEXT(TBL_TRANSIT[[#This Row],[Origin Index]],"000")&amp;TEXT(TBL_TRANSIT[[#This Row],[Destination Index]],"000")</f>
        <v>018019</v>
      </c>
      <c r="J42" s="135">
        <f>COUNTIF($I$6:$I95,$I42)</f>
        <v>1</v>
      </c>
      <c r="K42" s="142"/>
      <c r="L42" s="138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6" t="s">
        <v>185</v>
      </c>
      <c r="B43" s="135">
        <f>INDEX(TBL_REGIONS_INDEX[Index],MATCH(TBL_TRANSIT[[#This Row],[Origin]],TBL_REGIONS_INDEX[Region],0))</f>
        <v>25</v>
      </c>
      <c r="C43" s="140" t="s">
        <v>180</v>
      </c>
      <c r="D43" s="135">
        <f>INDEX(TBL_REGIONS_INDEX[Index],MATCH(TBL_TRANSIT[[#This Row],[Destination]],TBL_REGIONS_INDEX[Region],0))</f>
        <v>19</v>
      </c>
      <c r="E43" s="141" t="s">
        <v>339</v>
      </c>
      <c r="F43" s="137">
        <v>48.213692999999999</v>
      </c>
      <c r="G43" s="137">
        <v>19.680868</v>
      </c>
      <c r="H43" s="139">
        <v>270</v>
      </c>
      <c r="I43" s="135" t="str">
        <f>TEXT(TBL_TRANSIT[[#This Row],[Origin Index]],"000")&amp;TEXT(TBL_TRANSIT[[#This Row],[Destination Index]],"000")</f>
        <v>025019</v>
      </c>
      <c r="J43" s="135">
        <f>COUNTIF($I$6:$I96,$I43)</f>
        <v>1</v>
      </c>
      <c r="K43" s="142"/>
      <c r="L43" s="138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6" t="s">
        <v>178</v>
      </c>
      <c r="B44" s="135">
        <f>INDEX(TBL_REGIONS_INDEX[Index],MATCH(TBL_TRANSIT[[#This Row],[Origin]],TBL_REGIONS_INDEX[Region],0))</f>
        <v>17</v>
      </c>
      <c r="C44" s="140" t="s">
        <v>180</v>
      </c>
      <c r="D44" s="135">
        <f>INDEX(TBL_REGIONS_INDEX[Index],MATCH(TBL_TRANSIT[[#This Row],[Destination]],TBL_REGIONS_INDEX[Region],0))</f>
        <v>19</v>
      </c>
      <c r="E44" s="141" t="s">
        <v>340</v>
      </c>
      <c r="F44" s="137">
        <v>49.40025</v>
      </c>
      <c r="G44" s="137">
        <v>20.451789999999999</v>
      </c>
      <c r="H44" s="139">
        <v>90</v>
      </c>
      <c r="I44" s="135" t="str">
        <f>TEXT(TBL_TRANSIT[[#This Row],[Origin Index]],"000")&amp;TEXT(TBL_TRANSIT[[#This Row],[Destination Index]],"000")</f>
        <v>017019</v>
      </c>
      <c r="J44" s="135">
        <f>COUNTIF($I$6:$I97,$I44)</f>
        <v>1</v>
      </c>
      <c r="K44" s="142" t="s">
        <v>354</v>
      </c>
      <c r="L44" s="138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6" t="s">
        <v>172</v>
      </c>
      <c r="B45" s="135">
        <f>INDEX(TBL_REGIONS_INDEX[Index],MATCH(TBL_TRANSIT[[#This Row],[Origin]],TBL_REGIONS_INDEX[Region],0))</f>
        <v>11</v>
      </c>
      <c r="C45" s="140" t="s">
        <v>186</v>
      </c>
      <c r="D45" s="135">
        <f>INDEX(TBL_REGIONS_INDEX[Index],MATCH(TBL_TRANSIT[[#This Row],[Destination]],TBL_REGIONS_INDEX[Region],0))</f>
        <v>26</v>
      </c>
      <c r="E45" s="141" t="s">
        <v>341</v>
      </c>
      <c r="F45" s="137">
        <v>46.532414000000003</v>
      </c>
      <c r="G45" s="137">
        <v>14.889078</v>
      </c>
      <c r="H45" s="139">
        <v>105</v>
      </c>
      <c r="I45" s="135" t="str">
        <f>TEXT(TBL_TRANSIT[[#This Row],[Origin Index]],"000")&amp;TEXT(TBL_TRANSIT[[#This Row],[Destination Index]],"000")</f>
        <v>011026</v>
      </c>
      <c r="J45" s="135">
        <f>COUNTIF($I$6:$I98,$I45)</f>
        <v>1</v>
      </c>
      <c r="K45" s="142"/>
      <c r="L45" s="138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6" t="s">
        <v>187</v>
      </c>
      <c r="B46" s="135">
        <f>INDEX(TBL_REGIONS_INDEX[Index],MATCH(TBL_TRANSIT[[#This Row],[Origin]],TBL_REGIONS_INDEX[Region],0))</f>
        <v>27</v>
      </c>
      <c r="C46" s="140" t="s">
        <v>186</v>
      </c>
      <c r="D46" s="135">
        <f>INDEX(TBL_REGIONS_INDEX[Index],MATCH(TBL_TRANSIT[[#This Row],[Destination]],TBL_REGIONS_INDEX[Region],0))</f>
        <v>26</v>
      </c>
      <c r="E46" s="141" t="s">
        <v>342</v>
      </c>
      <c r="F46" s="137">
        <v>45.448571000000001</v>
      </c>
      <c r="G46" s="137">
        <v>15.108948</v>
      </c>
      <c r="H46" s="139">
        <v>315</v>
      </c>
      <c r="I46" s="135" t="str">
        <f>TEXT(TBL_TRANSIT[[#This Row],[Origin Index]],"000")&amp;TEXT(TBL_TRANSIT[[#This Row],[Destination Index]],"000")</f>
        <v>027026</v>
      </c>
      <c r="J46" s="135">
        <f>COUNTIF($I$6:$I99,$I46)</f>
        <v>1</v>
      </c>
      <c r="K46" s="142"/>
      <c r="L46" s="138" t="str">
        <f>"Transit_"&amp;TEXT(TBL_TRANSIT[[#This Row],[Origin Index]],"000")&amp;"_"&amp;TEXT(TBL_TRANSIT[[#This Row],[Destination Index]],"000")&amp;"_"&amp;TEXT(TBL_TRANSIT[[#This Row],[Connection Index]],"000")</f>
        <v>Transit_027_026_001</v>
      </c>
    </row>
    <row r="47" spans="1:12" x14ac:dyDescent="0.25">
      <c r="A47" s="136" t="s">
        <v>170</v>
      </c>
      <c r="B47" s="135">
        <f>INDEX(TBL_REGIONS_INDEX[Index],MATCH(TBL_TRANSIT[[#This Row],[Origin]],TBL_REGIONS_INDEX[Region],0))</f>
        <v>9</v>
      </c>
      <c r="C47" s="140" t="s">
        <v>186</v>
      </c>
      <c r="D47" s="135">
        <f>INDEX(TBL_REGIONS_INDEX[Index],MATCH(TBL_TRANSIT[[#This Row],[Destination]],TBL_REGIONS_INDEX[Region],0))</f>
        <v>26</v>
      </c>
      <c r="E47" s="141" t="s">
        <v>343</v>
      </c>
      <c r="F47" s="137">
        <v>46.122748999999999</v>
      </c>
      <c r="G47" s="137">
        <v>13.656428999999999</v>
      </c>
      <c r="H47" s="139">
        <v>180</v>
      </c>
      <c r="I47" s="135" t="str">
        <f>TEXT(TBL_TRANSIT[[#This Row],[Origin Index]],"000")&amp;TEXT(TBL_TRANSIT[[#This Row],[Destination Index]],"000")</f>
        <v>009026</v>
      </c>
      <c r="J47" s="135">
        <f>COUNTIF($I$6:$I100,$I47)</f>
        <v>1</v>
      </c>
      <c r="K47" s="142"/>
      <c r="L47" s="138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8" spans="1:12" x14ac:dyDescent="0.25">
      <c r="A48" s="136" t="s">
        <v>166</v>
      </c>
      <c r="B48" s="135">
        <f>INDEX(TBL_REGIONS_INDEX[Index],MATCH(TBL_TRANSIT[[#This Row],[Origin]],TBL_REGIONS_INDEX[Region],0))</f>
        <v>5</v>
      </c>
      <c r="C48" s="140" t="s">
        <v>168</v>
      </c>
      <c r="D48" s="135">
        <f>INDEX(TBL_REGIONS_INDEX[Index],MATCH(TBL_TRANSIT[[#This Row],[Destination]],TBL_REGIONS_INDEX[Region],0))</f>
        <v>7</v>
      </c>
      <c r="E48" s="141" t="s">
        <v>344</v>
      </c>
      <c r="F48" s="137">
        <v>42.658202000000003</v>
      </c>
      <c r="G48" s="137">
        <v>0.102905</v>
      </c>
      <c r="H48" s="139">
        <v>75</v>
      </c>
      <c r="I48" s="135" t="str">
        <f>TEXT(TBL_TRANSIT[[#This Row],[Origin Index]],"000")&amp;TEXT(TBL_TRANSIT[[#This Row],[Destination Index]],"000")</f>
        <v>005007</v>
      </c>
      <c r="J48" s="135">
        <f>COUNTIF($I$6:$I101,$I48)</f>
        <v>1</v>
      </c>
      <c r="K48" s="142"/>
      <c r="L48" s="138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9" spans="1:12" x14ac:dyDescent="0.25">
      <c r="A49" s="136" t="s">
        <v>166</v>
      </c>
      <c r="B49" s="135">
        <f>INDEX(TBL_REGIONS_INDEX[Index],MATCH(TBL_TRANSIT[[#This Row],[Origin]],TBL_REGIONS_INDEX[Region],0))</f>
        <v>5</v>
      </c>
      <c r="C49" s="140" t="s">
        <v>171</v>
      </c>
      <c r="D49" s="135">
        <f>INDEX(TBL_REGIONS_INDEX[Index],MATCH(TBL_TRANSIT[[#This Row],[Destination]],TBL_REGIONS_INDEX[Region],0))</f>
        <v>10</v>
      </c>
      <c r="E49" s="141" t="s">
        <v>345</v>
      </c>
      <c r="F49" s="137">
        <v>46.354511000000002</v>
      </c>
      <c r="G49" s="137">
        <v>6.0490940000000002</v>
      </c>
      <c r="H49" s="139">
        <v>180</v>
      </c>
      <c r="I49" s="135" t="str">
        <f>TEXT(TBL_TRANSIT[[#This Row],[Origin Index]],"000")&amp;TEXT(TBL_TRANSIT[[#This Row],[Destination Index]],"000")</f>
        <v>005010</v>
      </c>
      <c r="J49" s="135">
        <f>COUNTIF($I$6:$I102,$I49)</f>
        <v>1</v>
      </c>
      <c r="K49" s="142"/>
      <c r="L49" s="138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50" spans="1:12" x14ac:dyDescent="0.25">
      <c r="A50" s="136" t="s">
        <v>173</v>
      </c>
      <c r="B50" s="135">
        <f>INDEX(TBL_REGIONS_INDEX[Index],MATCH(TBL_TRANSIT[[#This Row],[Origin]],TBL_REGIONS_INDEX[Region],0))</f>
        <v>12</v>
      </c>
      <c r="C50" s="140" t="s">
        <v>171</v>
      </c>
      <c r="D50" s="135">
        <f>INDEX(TBL_REGIONS_INDEX[Index],MATCH(TBL_TRANSIT[[#This Row],[Destination]],TBL_REGIONS_INDEX[Region],0))</f>
        <v>10</v>
      </c>
      <c r="E50" s="141" t="s">
        <v>346</v>
      </c>
      <c r="F50" s="137">
        <v>47.643186</v>
      </c>
      <c r="G50" s="137">
        <v>8.6878790000000006</v>
      </c>
      <c r="H50" s="139">
        <v>90</v>
      </c>
      <c r="I50" s="135" t="str">
        <f>TEXT(TBL_TRANSIT[[#This Row],[Origin Index]],"000")&amp;TEXT(TBL_TRANSIT[[#This Row],[Destination Index]],"000")</f>
        <v>012010</v>
      </c>
      <c r="J50" s="135">
        <f>COUNTIF($I$6:$I103,$I50)</f>
        <v>1</v>
      </c>
      <c r="K50" s="142"/>
      <c r="L50" s="138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1" spans="1:12" x14ac:dyDescent="0.25">
      <c r="A51" s="136" t="s">
        <v>170</v>
      </c>
      <c r="B51" s="135">
        <f>INDEX(TBL_REGIONS_INDEX[Index],MATCH(TBL_TRANSIT[[#This Row],[Origin]],TBL_REGIONS_INDEX[Region],0))</f>
        <v>9</v>
      </c>
      <c r="C51" s="140" t="s">
        <v>171</v>
      </c>
      <c r="D51" s="135">
        <f>INDEX(TBL_REGIONS_INDEX[Index],MATCH(TBL_TRANSIT[[#This Row],[Destination]],TBL_REGIONS_INDEX[Region],0))</f>
        <v>10</v>
      </c>
      <c r="E51" s="141" t="s">
        <v>347</v>
      </c>
      <c r="F51" s="137">
        <v>46.198844000000001</v>
      </c>
      <c r="G51" s="137">
        <v>9.1710809999999992</v>
      </c>
      <c r="H51" s="139">
        <v>225</v>
      </c>
      <c r="I51" s="135" t="str">
        <f>TEXT(TBL_TRANSIT[[#This Row],[Origin Index]],"000")&amp;TEXT(TBL_TRANSIT[[#This Row],[Destination Index]],"000")</f>
        <v>009010</v>
      </c>
      <c r="J51" s="135">
        <f>COUNTIF($I$6:$I104,$I51)</f>
        <v>1</v>
      </c>
      <c r="K51" s="142"/>
      <c r="L51" s="138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2" spans="1:12" x14ac:dyDescent="0.25">
      <c r="A52" s="136" t="s">
        <v>163</v>
      </c>
      <c r="B52" s="135">
        <f>INDEX(TBL_REGIONS_INDEX[Index],MATCH(TBL_TRANSIT[[#This Row],[Origin]],TBL_REGIONS_INDEX[Region],0))</f>
        <v>2</v>
      </c>
      <c r="C52" s="140" t="s">
        <v>193</v>
      </c>
      <c r="D52" s="135">
        <f>INDEX(TBL_REGIONS_INDEX[Index],MATCH(TBL_TRANSIT[[#This Row],[Destination]],TBL_REGIONS_INDEX[Region],0))</f>
        <v>33</v>
      </c>
      <c r="E52" s="141" t="s">
        <v>348</v>
      </c>
      <c r="F52" s="137">
        <v>51.296275999999999</v>
      </c>
      <c r="G52" s="137">
        <v>2.2921939999999998</v>
      </c>
      <c r="H52" s="139">
        <v>225</v>
      </c>
      <c r="I52" s="135" t="str">
        <f>TEXT(TBL_TRANSIT[[#This Row],[Origin Index]],"000")&amp;TEXT(TBL_TRANSIT[[#This Row],[Destination Index]],"000")</f>
        <v>002033</v>
      </c>
      <c r="J52" s="135">
        <f>COUNTIF($I$6:$I105,$I52)</f>
        <v>1</v>
      </c>
      <c r="K52" s="142"/>
      <c r="L52" s="138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3" spans="1:12" x14ac:dyDescent="0.25">
      <c r="A53" s="136" t="s">
        <v>165</v>
      </c>
      <c r="B53" s="135">
        <f>INDEX(TBL_REGIONS_INDEX[Index],MATCH(TBL_TRANSIT[[#This Row],[Origin]],TBL_REGIONS_INDEX[Region],0))</f>
        <v>4</v>
      </c>
      <c r="C53" s="140" t="s">
        <v>193</v>
      </c>
      <c r="D53" s="135">
        <f>INDEX(TBL_REGIONS_INDEX[Index],MATCH(TBL_TRANSIT[[#This Row],[Destination]],TBL_REGIONS_INDEX[Region],0))</f>
        <v>33</v>
      </c>
      <c r="E53" s="141" t="s">
        <v>349</v>
      </c>
      <c r="F53" s="137">
        <v>52.244619999999998</v>
      </c>
      <c r="G53" s="137">
        <v>3.1064120000000002</v>
      </c>
      <c r="H53" s="139">
        <v>330</v>
      </c>
      <c r="I53" s="135" t="str">
        <f>TEXT(TBL_TRANSIT[[#This Row],[Origin Index]],"000")&amp;TEXT(TBL_TRANSIT[[#This Row],[Destination Index]],"000")</f>
        <v>004033</v>
      </c>
      <c r="J53" s="135">
        <f>COUNTIF($I$6:$I106,$I53)</f>
        <v>1</v>
      </c>
      <c r="K53" s="142"/>
      <c r="L53" s="138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4" spans="1:12" x14ac:dyDescent="0.25">
      <c r="A54" s="136" t="s">
        <v>173</v>
      </c>
      <c r="B54" s="135">
        <f>INDEX(TBL_REGIONS_INDEX[Index],MATCH(TBL_TRANSIT[[#This Row],[Origin]],TBL_REGIONS_INDEX[Region],0))</f>
        <v>12</v>
      </c>
      <c r="C54" s="140" t="s">
        <v>179</v>
      </c>
      <c r="D54" s="135">
        <f>INDEX(TBL_REGIONS_INDEX[Index],MATCH(TBL_TRANSIT[[#This Row],[Destination]],TBL_REGIONS_INDEX[Region],0))</f>
        <v>18</v>
      </c>
      <c r="E54" s="141" t="s">
        <v>350</v>
      </c>
      <c r="F54" s="137">
        <v>50.520412</v>
      </c>
      <c r="G54" s="137">
        <v>13.52829</v>
      </c>
      <c r="H54" s="139">
        <v>135</v>
      </c>
      <c r="I54" s="135" t="str">
        <f>TEXT(TBL_TRANSIT[[#This Row],[Origin Index]],"000")&amp;TEXT(TBL_TRANSIT[[#This Row],[Destination Index]],"000")</f>
        <v>012018</v>
      </c>
      <c r="J54" s="135">
        <f>COUNTIF($I$6:$I107,$I54)</f>
        <v>2</v>
      </c>
      <c r="K54" s="142" t="s">
        <v>356</v>
      </c>
      <c r="L54" s="138" t="str">
        <f>"Transit_"&amp;TEXT(TBL_TRANSIT[[#This Row],[Origin Index]],"000")&amp;"_"&amp;TEXT(TBL_TRANSIT[[#This Row],[Destination Index]],"000")&amp;"_"&amp;TEXT(TBL_TRANSIT[[#This Row],[Connection Index]],"000")</f>
        <v>Transit_012_018_002</v>
      </c>
    </row>
    <row r="55" spans="1:12" x14ac:dyDescent="0.25">
      <c r="A55" s="136" t="s">
        <v>195</v>
      </c>
      <c r="B55" s="135">
        <f>INDEX(TBL_REGIONS_INDEX[Index],MATCH(TBL_TRANSIT[[#This Row],[Origin]],TBL_REGIONS_INDEX[Region],0))</f>
        <v>36</v>
      </c>
      <c r="C55" s="140" t="s">
        <v>185</v>
      </c>
      <c r="D55" s="135">
        <f>INDEX(TBL_REGIONS_INDEX[Index],MATCH(TBL_TRANSIT[[#This Row],[Destination]],TBL_REGIONS_INDEX[Region],0))</f>
        <v>25</v>
      </c>
      <c r="E55" s="141" t="s">
        <v>351</v>
      </c>
      <c r="F55" s="137">
        <v>48.199964000000001</v>
      </c>
      <c r="G55" s="137">
        <v>22.553822</v>
      </c>
      <c r="H55" s="139">
        <v>45</v>
      </c>
      <c r="I55" s="135" t="str">
        <f>TEXT(TBL_TRANSIT[[#This Row],[Origin Index]],"000")&amp;TEXT(TBL_TRANSIT[[#This Row],[Destination Index]],"000")</f>
        <v>036025</v>
      </c>
      <c r="J55" s="135">
        <f>COUNTIF($I$6:$I108,$I55)</f>
        <v>1</v>
      </c>
      <c r="K55" s="142"/>
      <c r="L55" s="138" t="str">
        <f>"Transit_"&amp;TEXT(TBL_TRANSIT[[#This Row],[Origin Index]],"000")&amp;"_"&amp;TEXT(TBL_TRANSIT[[#This Row],[Destination Index]],"000")&amp;"_"&amp;TEXT(TBL_TRANSIT[[#This Row],[Connection Index]],"000")</f>
        <v>Transit_036_025_001</v>
      </c>
    </row>
    <row r="56" spans="1:12" x14ac:dyDescent="0.25">
      <c r="A56" s="136" t="s">
        <v>195</v>
      </c>
      <c r="B56" s="135">
        <f>INDEX(TBL_REGIONS_INDEX[Index],MATCH(TBL_TRANSIT[[#This Row],[Origin]],TBL_REGIONS_INDEX[Region],0))</f>
        <v>36</v>
      </c>
      <c r="C56" s="140" t="s">
        <v>178</v>
      </c>
      <c r="D56" s="135">
        <f>INDEX(TBL_REGIONS_INDEX[Index],MATCH(TBL_TRANSIT[[#This Row],[Destination]],TBL_REGIONS_INDEX[Region],0))</f>
        <v>17</v>
      </c>
      <c r="E56" s="141" t="s">
        <v>280</v>
      </c>
      <c r="F56" s="137">
        <v>50.110011</v>
      </c>
      <c r="G56" s="137">
        <v>23.375301</v>
      </c>
      <c r="H56" s="139">
        <v>340</v>
      </c>
      <c r="I56" s="135" t="str">
        <f>TEXT(TBL_TRANSIT[[#This Row],[Origin Index]],"000")&amp;TEXT(TBL_TRANSIT[[#This Row],[Destination Index]],"000")</f>
        <v>036017</v>
      </c>
      <c r="J56" s="135">
        <f>COUNTIF($I$6:$I109,$I56)</f>
        <v>1</v>
      </c>
      <c r="K56" s="142"/>
      <c r="L56" s="138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7" spans="1:12" x14ac:dyDescent="0.25">
      <c r="A57" s="136" t="s">
        <v>195</v>
      </c>
      <c r="B57" s="135">
        <f>INDEX(TBL_REGIONS_INDEX[Index],MATCH(TBL_TRANSIT[[#This Row],[Origin]],TBL_REGIONS_INDEX[Region],0))</f>
        <v>36</v>
      </c>
      <c r="C57" s="140" t="s">
        <v>188</v>
      </c>
      <c r="D57" s="135">
        <f>INDEX(TBL_REGIONS_INDEX[Index],MATCH(TBL_TRANSIT[[#This Row],[Destination]],TBL_REGIONS_INDEX[Region],0))</f>
        <v>28</v>
      </c>
      <c r="E57" s="141" t="s">
        <v>282</v>
      </c>
      <c r="F57" s="137">
        <v>47.875829000000003</v>
      </c>
      <c r="G57" s="137">
        <v>24.826443000000001</v>
      </c>
      <c r="H57" s="139">
        <v>90</v>
      </c>
      <c r="I57" s="135" t="str">
        <f>TEXT(TBL_TRANSIT[[#This Row],[Origin Index]],"000")&amp;TEXT(TBL_TRANSIT[[#This Row],[Destination Index]],"000")</f>
        <v>036028</v>
      </c>
      <c r="J57" s="135">
        <f>COUNTIF($I$6:$I110,$I57)</f>
        <v>2</v>
      </c>
      <c r="K57" s="142"/>
      <c r="L57" s="138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8" spans="1:12" x14ac:dyDescent="0.25">
      <c r="A58" s="136" t="s">
        <v>195</v>
      </c>
      <c r="B58" s="135">
        <f>INDEX(TBL_REGIONS_INDEX[Index],MATCH(TBL_TRANSIT[[#This Row],[Origin]],TBL_REGIONS_INDEX[Region],0))</f>
        <v>36</v>
      </c>
      <c r="C58" s="140" t="s">
        <v>180</v>
      </c>
      <c r="D58" s="135">
        <f>INDEX(TBL_REGIONS_INDEX[Index],MATCH(TBL_TRANSIT[[#This Row],[Destination]],TBL_REGIONS_INDEX[Region],0))</f>
        <v>19</v>
      </c>
      <c r="E58" s="141" t="s">
        <v>283</v>
      </c>
      <c r="F58" s="137">
        <v>48.738078000000002</v>
      </c>
      <c r="G58" s="137">
        <v>22.341912000000001</v>
      </c>
      <c r="H58" s="139">
        <v>90</v>
      </c>
      <c r="I58" s="135" t="str">
        <f>TEXT(TBL_TRANSIT[[#This Row],[Origin Index]],"000")&amp;TEXT(TBL_TRANSIT[[#This Row],[Destination Index]],"000")</f>
        <v>036019</v>
      </c>
      <c r="J58" s="135">
        <f>COUNTIF($I$6:$I111,$I58)</f>
        <v>1</v>
      </c>
      <c r="K58" s="142"/>
      <c r="L58" s="138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9" spans="1:12" x14ac:dyDescent="0.25">
      <c r="A59" s="136" t="s">
        <v>178</v>
      </c>
      <c r="B59" s="135">
        <f>INDEX(TBL_REGIONS_INDEX[Index],MATCH(TBL_TRANSIT[[#This Row],[Origin]],TBL_REGIONS_INDEX[Region],0))</f>
        <v>17</v>
      </c>
      <c r="C59" s="140" t="s">
        <v>173</v>
      </c>
      <c r="D59" s="135">
        <f>INDEX(TBL_REGIONS_INDEX[Index],MATCH(TBL_TRANSIT[[#This Row],[Destination]],TBL_REGIONS_INDEX[Region],0))</f>
        <v>12</v>
      </c>
      <c r="E59" s="141" t="s">
        <v>352</v>
      </c>
      <c r="F59" s="137">
        <v>53.202742000000001</v>
      </c>
      <c r="G59" s="137">
        <v>14.449337999999999</v>
      </c>
      <c r="H59" s="139">
        <v>180</v>
      </c>
      <c r="I59" s="135" t="str">
        <f>TEXT(TBL_TRANSIT[[#This Row],[Origin Index]],"000")&amp;TEXT(TBL_TRANSIT[[#This Row],[Destination Index]],"000")</f>
        <v>017012</v>
      </c>
      <c r="J59" s="135">
        <f>COUNTIF($I$6:$I112,$I59)</f>
        <v>1</v>
      </c>
      <c r="K59" s="142" t="s">
        <v>357</v>
      </c>
      <c r="L59" s="138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60" spans="1:12" x14ac:dyDescent="0.25">
      <c r="A60" s="136" t="s">
        <v>195</v>
      </c>
      <c r="B60" s="135">
        <f>INDEX(TBL_REGIONS_INDEX[Index],MATCH(TBL_TRANSIT[[#This Row],[Origin]],TBL_REGIONS_INDEX[Region],0))</f>
        <v>36</v>
      </c>
      <c r="C60" s="140" t="s">
        <v>188</v>
      </c>
      <c r="D60" s="135">
        <f>INDEX(TBL_REGIONS_INDEX[Index],MATCH(TBL_TRANSIT[[#This Row],[Destination]],TBL_REGIONS_INDEX[Region],0))</f>
        <v>28</v>
      </c>
      <c r="E60" s="141" t="s">
        <v>358</v>
      </c>
      <c r="F60" s="137">
        <v>47.875829000000003</v>
      </c>
      <c r="G60" s="137">
        <v>24.826443000000001</v>
      </c>
      <c r="H60" s="139">
        <v>90</v>
      </c>
      <c r="I60" s="135" t="str">
        <f>TEXT(TBL_TRANSIT[[#This Row],[Origin Index]],"000")&amp;TEXT(TBL_TRANSIT[[#This Row],[Destination Index]],"000")</f>
        <v>036028</v>
      </c>
      <c r="J60" s="135">
        <f>COUNTIF($I$6:$I113,$I60)</f>
        <v>2</v>
      </c>
      <c r="K60" s="142"/>
      <c r="L60" s="138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71" workbookViewId="0">
      <selection activeCell="B86" sqref="B86:B89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83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8">
        <v>1</v>
      </c>
      <c r="B6" s="172" t="str">
        <f>IFERROR(INDEX(TBL_TRANSIT[Name],$A6),"")</f>
        <v>AU_GER_Pipe</v>
      </c>
      <c r="C6" s="83" t="s">
        <v>41</v>
      </c>
      <c r="D6" s="84" t="s">
        <v>154</v>
      </c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x14ac:dyDescent="0.25">
      <c r="A7" s="88">
        <f>$A6</f>
        <v>1</v>
      </c>
      <c r="B7" s="173"/>
      <c r="C7" s="85" t="s">
        <v>42</v>
      </c>
      <c r="D7" s="86" t="s">
        <v>154</v>
      </c>
      <c r="E7" s="151">
        <v>382.7</v>
      </c>
      <c r="F7" s="151">
        <f>E7</f>
        <v>382.7</v>
      </c>
      <c r="G7" s="151">
        <v>382.7</v>
      </c>
      <c r="H7" s="151">
        <v>382.7</v>
      </c>
      <c r="I7" s="151">
        <v>382.7</v>
      </c>
      <c r="J7" s="151">
        <v>382.7</v>
      </c>
      <c r="K7" s="151">
        <v>382.7</v>
      </c>
      <c r="L7" s="151">
        <v>382.7</v>
      </c>
      <c r="M7" s="151">
        <v>382.7</v>
      </c>
      <c r="N7" s="151">
        <v>382.7</v>
      </c>
      <c r="O7" s="151">
        <v>382.7</v>
      </c>
      <c r="P7" s="151">
        <v>382.7</v>
      </c>
      <c r="Q7" s="151">
        <v>382.7</v>
      </c>
      <c r="R7" s="151">
        <v>382.7</v>
      </c>
      <c r="S7" s="151">
        <v>382.7</v>
      </c>
      <c r="T7" s="151">
        <v>382.7</v>
      </c>
      <c r="U7" s="151">
        <v>382.7</v>
      </c>
      <c r="V7" s="25"/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8">
        <f>$A7</f>
        <v>1</v>
      </c>
      <c r="B8" s="173"/>
      <c r="C8" s="83" t="s">
        <v>43</v>
      </c>
      <c r="D8" s="84" t="s">
        <v>44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49"/>
      <c r="Q8" s="149"/>
      <c r="R8" s="149"/>
      <c r="S8" s="149"/>
      <c r="T8" s="149"/>
      <c r="U8" s="149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8">
        <f>$A8</f>
        <v>1</v>
      </c>
      <c r="B9" s="174"/>
      <c r="C9" s="85" t="s">
        <v>45</v>
      </c>
      <c r="D9" s="86" t="s">
        <v>46</v>
      </c>
      <c r="E9" s="151">
        <v>0.54452054794520544</v>
      </c>
      <c r="F9" s="151">
        <v>0.54452054794520544</v>
      </c>
      <c r="G9" s="151">
        <v>0.54452054794520544</v>
      </c>
      <c r="H9" s="151">
        <v>0.54452054794520544</v>
      </c>
      <c r="I9" s="151">
        <v>0.54452054794520544</v>
      </c>
      <c r="J9" s="151">
        <v>0.54452054794520544</v>
      </c>
      <c r="K9" s="151">
        <v>0.54452054794520544</v>
      </c>
      <c r="L9" s="151">
        <v>0.54452054794520544</v>
      </c>
      <c r="M9" s="151">
        <v>0.54452054794520544</v>
      </c>
      <c r="N9" s="151">
        <v>0.54452054794520544</v>
      </c>
      <c r="O9" s="151">
        <v>0.54452054794520544</v>
      </c>
      <c r="P9" s="151">
        <v>0.54452054794520544</v>
      </c>
      <c r="Q9" s="151">
        <v>0.54452054794520544</v>
      </c>
      <c r="R9" s="151">
        <v>0.54452054794520544</v>
      </c>
      <c r="S9" s="151">
        <v>0.54452054794520544</v>
      </c>
      <c r="T9" s="151">
        <v>0.54452054794520544</v>
      </c>
      <c r="U9" s="151">
        <v>0.54452054794520544</v>
      </c>
      <c r="V9" s="25" t="s">
        <v>382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8">
        <f>$A6+1</f>
        <v>2</v>
      </c>
      <c r="B10" s="172" t="str">
        <f>IFERROR(INDEX(TBL_TRANSIT[Name],$A10),"")</f>
        <v>AU_IT_Pipe</v>
      </c>
      <c r="C10" s="87" t="str">
        <f>IF($B10&lt;&gt;"",C6,"")</f>
        <v>Capacity - Min</v>
      </c>
      <c r="D10" s="87" t="str">
        <f>IF($B10&lt;&gt;"",D6,"")</f>
        <v>GWh/day</v>
      </c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149"/>
      <c r="S10" s="149"/>
      <c r="T10" s="149"/>
      <c r="U10" s="149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x14ac:dyDescent="0.25">
      <c r="A11" s="88">
        <f>$A10</f>
        <v>2</v>
      </c>
      <c r="B11" s="173"/>
      <c r="C11" s="87" t="str">
        <f>IF($B10&lt;&gt;"",C7,"")</f>
        <v>Capacity - Max</v>
      </c>
      <c r="D11" s="87" t="str">
        <f>IF($B10&lt;&gt;"",D7,"")</f>
        <v>GWh/day</v>
      </c>
      <c r="E11" s="151">
        <v>193.3</v>
      </c>
      <c r="F11" s="151">
        <f>E11</f>
        <v>193.3</v>
      </c>
      <c r="G11" s="151">
        <v>193.3</v>
      </c>
      <c r="H11" s="151">
        <v>193.3</v>
      </c>
      <c r="I11" s="151">
        <v>193.3</v>
      </c>
      <c r="J11" s="151">
        <v>193.3</v>
      </c>
      <c r="K11" s="151">
        <v>193.3</v>
      </c>
      <c r="L11" s="151">
        <v>193.3</v>
      </c>
      <c r="M11" s="151">
        <v>193.3</v>
      </c>
      <c r="N11" s="151">
        <v>193.3</v>
      </c>
      <c r="O11" s="151">
        <v>193.3</v>
      </c>
      <c r="P11" s="151">
        <v>193.3</v>
      </c>
      <c r="Q11" s="151">
        <v>193.3</v>
      </c>
      <c r="R11" s="151">
        <v>193.3</v>
      </c>
      <c r="S11" s="151">
        <v>193.3</v>
      </c>
      <c r="T11" s="151">
        <v>193.3</v>
      </c>
      <c r="U11" s="151">
        <v>193.3</v>
      </c>
      <c r="V11" s="25"/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8">
        <f>$A11</f>
        <v>2</v>
      </c>
      <c r="B12" s="173"/>
      <c r="C12" s="87" t="str">
        <f>IF($B10&lt;&gt;"",C8,"")</f>
        <v>Tariff - fixed</v>
      </c>
      <c r="D12" s="87" t="str">
        <f>IF($B10&lt;&gt;"",D8,"")</f>
        <v>EUR/month</v>
      </c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8">
        <f>$A12</f>
        <v>2</v>
      </c>
      <c r="B13" s="174"/>
      <c r="C13" s="87" t="str">
        <f>IF($B10&lt;&gt;"",C9,"")</f>
        <v>Tariff - variable</v>
      </c>
      <c r="D13" s="87" t="str">
        <f>IF($B10&lt;&gt;"",D9,"")</f>
        <v>EUR/MWh</v>
      </c>
      <c r="E13" s="151">
        <v>0.48470319634703191</v>
      </c>
      <c r="F13" s="151">
        <v>0.48470319634703191</v>
      </c>
      <c r="G13" s="151">
        <v>0.48470319634703191</v>
      </c>
      <c r="H13" s="151">
        <v>0.48470319634703191</v>
      </c>
      <c r="I13" s="151">
        <v>0.48470319634703191</v>
      </c>
      <c r="J13" s="151">
        <v>0.48470319634703191</v>
      </c>
      <c r="K13" s="151">
        <v>0.48470319634703191</v>
      </c>
      <c r="L13" s="151">
        <v>0.48470319634703191</v>
      </c>
      <c r="M13" s="151">
        <v>0.48470319634703191</v>
      </c>
      <c r="N13" s="151">
        <v>0.48470319634703191</v>
      </c>
      <c r="O13" s="151">
        <v>0.48470319634703191</v>
      </c>
      <c r="P13" s="151">
        <v>0.48470319634703191</v>
      </c>
      <c r="Q13" s="151">
        <v>0.48470319634703191</v>
      </c>
      <c r="R13" s="151">
        <v>0.48470319634703191</v>
      </c>
      <c r="S13" s="151">
        <v>0.48470319634703191</v>
      </c>
      <c r="T13" s="151">
        <v>0.48470319634703191</v>
      </c>
      <c r="U13" s="151">
        <v>0.48470319634703191</v>
      </c>
      <c r="V13" s="25" t="s">
        <v>382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8">
        <f t="shared" ref="A14" si="0">$A10+1</f>
        <v>3</v>
      </c>
      <c r="B14" s="172" t="str">
        <f>IFERROR(INDEX(TBL_TRANSIT[Name],$A14),"")</f>
        <v>AU_SK_Pipe</v>
      </c>
      <c r="C14" s="87" t="str">
        <f t="shared" ref="C14:D14" si="1">IF($B14&lt;&gt;"",C10,"")</f>
        <v>Capacity - Min</v>
      </c>
      <c r="D14" s="87" t="str">
        <f t="shared" si="1"/>
        <v>GWh/day</v>
      </c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x14ac:dyDescent="0.25">
      <c r="A15" s="88">
        <f t="shared" ref="A15:A17" si="2">$A14</f>
        <v>3</v>
      </c>
      <c r="B15" s="173"/>
      <c r="C15" s="87" t="str">
        <f t="shared" ref="C15:D15" si="3">IF($B14&lt;&gt;"",C11,"")</f>
        <v>Capacity - Max</v>
      </c>
      <c r="D15" s="87" t="str">
        <f t="shared" si="3"/>
        <v>GWh/day</v>
      </c>
      <c r="E15" s="151">
        <v>1570.4</v>
      </c>
      <c r="F15" s="151">
        <f>E15</f>
        <v>1570.4</v>
      </c>
      <c r="G15" s="151">
        <v>1570.4</v>
      </c>
      <c r="H15" s="151">
        <v>1570.4</v>
      </c>
      <c r="I15" s="151">
        <v>1570.4</v>
      </c>
      <c r="J15" s="151">
        <v>1570.4</v>
      </c>
      <c r="K15" s="151">
        <v>1570.4</v>
      </c>
      <c r="L15" s="151">
        <v>1570.4</v>
      </c>
      <c r="M15" s="151">
        <v>1570.4</v>
      </c>
      <c r="N15" s="151">
        <v>1570.4</v>
      </c>
      <c r="O15" s="151">
        <v>1570.4</v>
      </c>
      <c r="P15" s="151">
        <v>1570.4</v>
      </c>
      <c r="Q15" s="151">
        <v>1570.4</v>
      </c>
      <c r="R15" s="151">
        <v>1570.4</v>
      </c>
      <c r="S15" s="151">
        <v>1570.4</v>
      </c>
      <c r="T15" s="151">
        <v>1570.4</v>
      </c>
      <c r="U15" s="151">
        <v>1570.4</v>
      </c>
      <c r="V15" s="25"/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8">
        <f t="shared" si="2"/>
        <v>3</v>
      </c>
      <c r="B16" s="173"/>
      <c r="C16" s="87" t="str">
        <f t="shared" ref="C16:D16" si="4">IF($B14&lt;&gt;"",C12,"")</f>
        <v>Tariff - fixed</v>
      </c>
      <c r="D16" s="87" t="str">
        <f t="shared" si="4"/>
        <v>EUR/month</v>
      </c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8">
        <f t="shared" si="2"/>
        <v>3</v>
      </c>
      <c r="B17" s="174"/>
      <c r="C17" s="87" t="str">
        <f t="shared" ref="C17:D17" si="5">IF($B14&lt;&gt;"",C13,"")</f>
        <v>Tariff - variable</v>
      </c>
      <c r="D17" s="87" t="str">
        <f t="shared" si="5"/>
        <v>EUR/MWh</v>
      </c>
      <c r="E17" s="151">
        <v>0.38615525114155247</v>
      </c>
      <c r="F17" s="151">
        <v>0.38615525114155247</v>
      </c>
      <c r="G17" s="151">
        <v>0.38615525114155247</v>
      </c>
      <c r="H17" s="151">
        <v>0.38615525114155247</v>
      </c>
      <c r="I17" s="151">
        <v>0.38615525114155247</v>
      </c>
      <c r="J17" s="151">
        <v>0.38615525114155247</v>
      </c>
      <c r="K17" s="151">
        <v>0.38615525114155247</v>
      </c>
      <c r="L17" s="151">
        <v>0.38615525114155247</v>
      </c>
      <c r="M17" s="151">
        <v>0.38615525114155247</v>
      </c>
      <c r="N17" s="151">
        <v>0.38615525114155247</v>
      </c>
      <c r="O17" s="151">
        <v>0.38615525114155247</v>
      </c>
      <c r="P17" s="151">
        <v>0.38615525114155247</v>
      </c>
      <c r="Q17" s="151">
        <v>0.38615525114155247</v>
      </c>
      <c r="R17" s="151">
        <v>0.38615525114155247</v>
      </c>
      <c r="S17" s="151">
        <v>0.38615525114155247</v>
      </c>
      <c r="T17" s="151">
        <v>0.38615525114155247</v>
      </c>
      <c r="U17" s="151">
        <v>0.38615525114155247</v>
      </c>
      <c r="V17" s="25" t="s">
        <v>382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8">
        <f t="shared" ref="A18" si="6">$A14+1</f>
        <v>4</v>
      </c>
      <c r="B18" s="172" t="str">
        <f>IFERROR(INDEX(TBL_TRANSIT[Name],$A18),"")</f>
        <v>BE_FR_Pipe</v>
      </c>
      <c r="C18" s="87" t="str">
        <f t="shared" ref="C18:D18" si="7">IF($B18&lt;&gt;"",C14,"")</f>
        <v>Capacity - Min</v>
      </c>
      <c r="D18" s="87" t="str">
        <f t="shared" si="7"/>
        <v>GWh/day</v>
      </c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x14ac:dyDescent="0.25">
      <c r="A19" s="88">
        <f t="shared" ref="A19:A21" si="8">$A18</f>
        <v>4</v>
      </c>
      <c r="B19" s="173"/>
      <c r="C19" s="87" t="str">
        <f t="shared" ref="C19:D19" si="9">IF($B18&lt;&gt;"",C15,"")</f>
        <v>Capacity - Max</v>
      </c>
      <c r="D19" s="87" t="str">
        <f t="shared" si="9"/>
        <v>GWh/day</v>
      </c>
      <c r="E19" s="151">
        <v>270</v>
      </c>
      <c r="F19" s="151">
        <f>E19</f>
        <v>270</v>
      </c>
      <c r="G19" s="151">
        <v>270</v>
      </c>
      <c r="H19" s="151">
        <v>270</v>
      </c>
      <c r="I19" s="151">
        <v>270</v>
      </c>
      <c r="J19" s="151">
        <v>270</v>
      </c>
      <c r="K19" s="151">
        <v>270</v>
      </c>
      <c r="L19" s="151">
        <v>270</v>
      </c>
      <c r="M19" s="151">
        <v>270</v>
      </c>
      <c r="N19" s="151">
        <v>270</v>
      </c>
      <c r="O19" s="151">
        <v>270</v>
      </c>
      <c r="P19" s="151">
        <v>270</v>
      </c>
      <c r="Q19" s="151">
        <v>270</v>
      </c>
      <c r="R19" s="151">
        <v>270</v>
      </c>
      <c r="S19" s="151">
        <v>270</v>
      </c>
      <c r="T19" s="151">
        <v>270</v>
      </c>
      <c r="U19" s="151">
        <v>270</v>
      </c>
      <c r="V19" s="25"/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8">
        <f t="shared" si="8"/>
        <v>4</v>
      </c>
      <c r="B20" s="173"/>
      <c r="C20" s="87" t="str">
        <f t="shared" ref="C20:D20" si="10">IF($B18&lt;&gt;"",C16,"")</f>
        <v>Tariff - fixed</v>
      </c>
      <c r="D20" s="87" t="str">
        <f t="shared" si="10"/>
        <v>EUR/month</v>
      </c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8">
        <f t="shared" si="8"/>
        <v>4</v>
      </c>
      <c r="B21" s="174"/>
      <c r="C21" s="87" t="str">
        <f t="shared" ref="C21:D21" si="11">IF($B18&lt;&gt;"",C17,"")</f>
        <v>Tariff - variable</v>
      </c>
      <c r="D21" s="87" t="str">
        <f t="shared" si="11"/>
        <v>EUR/MWh</v>
      </c>
      <c r="E21" s="151">
        <v>0.20273972602739726</v>
      </c>
      <c r="F21" s="151">
        <v>0.20273972602739726</v>
      </c>
      <c r="G21" s="151">
        <v>0.20273972602739726</v>
      </c>
      <c r="H21" s="151">
        <v>0.20273972602739726</v>
      </c>
      <c r="I21" s="151">
        <v>0.20273972602739726</v>
      </c>
      <c r="J21" s="151">
        <v>0.20273972602739726</v>
      </c>
      <c r="K21" s="151">
        <v>0.20273972602739726</v>
      </c>
      <c r="L21" s="151">
        <v>0.20273972602739726</v>
      </c>
      <c r="M21" s="151">
        <v>0.20273972602739726</v>
      </c>
      <c r="N21" s="151">
        <v>0.20273972602739726</v>
      </c>
      <c r="O21" s="151">
        <v>0.20273972602739726</v>
      </c>
      <c r="P21" s="151">
        <v>0.20273972602739726</v>
      </c>
      <c r="Q21" s="151">
        <v>0.20273972602739726</v>
      </c>
      <c r="R21" s="151">
        <v>0.20273972602739726</v>
      </c>
      <c r="S21" s="151">
        <v>0.20273972602739726</v>
      </c>
      <c r="T21" s="151">
        <v>0.20273972602739726</v>
      </c>
      <c r="U21" s="151">
        <v>0.20273972602739726</v>
      </c>
      <c r="V21" s="25" t="s">
        <v>382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8">
        <f t="shared" ref="A22" si="12">$A18+1</f>
        <v>5</v>
      </c>
      <c r="B22" s="172" t="str">
        <f>IFERROR(INDEX(TBL_TRANSIT[Name],$A22),"")</f>
        <v>BE_GER_Pipe</v>
      </c>
      <c r="C22" s="87" t="str">
        <f t="shared" ref="C22:D22" si="13">IF($B22&lt;&gt;"",C18,"")</f>
        <v>Capacity - Min</v>
      </c>
      <c r="D22" s="87" t="str">
        <f t="shared" si="13"/>
        <v>GWh/day</v>
      </c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x14ac:dyDescent="0.25">
      <c r="A23" s="88">
        <f t="shared" ref="A23:A25" si="14">$A22</f>
        <v>5</v>
      </c>
      <c r="B23" s="173"/>
      <c r="C23" s="87" t="str">
        <f t="shared" ref="C23:D23" si="15">IF($B22&lt;&gt;"",C19,"")</f>
        <v>Capacity - Max</v>
      </c>
      <c r="D23" s="87" t="str">
        <f t="shared" si="15"/>
        <v>GWh/day</v>
      </c>
      <c r="E23" s="151">
        <v>400.5</v>
      </c>
      <c r="F23" s="151">
        <f>E23</f>
        <v>400.5</v>
      </c>
      <c r="G23" s="151">
        <v>400.5</v>
      </c>
      <c r="H23" s="151">
        <v>400.5</v>
      </c>
      <c r="I23" s="151">
        <v>400.5</v>
      </c>
      <c r="J23" s="151">
        <v>400.5</v>
      </c>
      <c r="K23" s="151">
        <v>400.5</v>
      </c>
      <c r="L23" s="151">
        <v>400.5</v>
      </c>
      <c r="M23" s="151">
        <v>400.5</v>
      </c>
      <c r="N23" s="151">
        <v>400.5</v>
      </c>
      <c r="O23" s="151">
        <v>400.5</v>
      </c>
      <c r="P23" s="151">
        <v>400.5</v>
      </c>
      <c r="Q23" s="151">
        <v>400.5</v>
      </c>
      <c r="R23" s="151">
        <v>400.5</v>
      </c>
      <c r="S23" s="151">
        <v>400.5</v>
      </c>
      <c r="T23" s="151">
        <v>400.5</v>
      </c>
      <c r="U23" s="151">
        <v>400.5</v>
      </c>
      <c r="V23" s="25"/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8">
        <f t="shared" si="14"/>
        <v>5</v>
      </c>
      <c r="B24" s="173"/>
      <c r="C24" s="87" t="str">
        <f t="shared" ref="C24:D24" si="16">IF($B22&lt;&gt;"",C20,"")</f>
        <v>Tariff - fixed</v>
      </c>
      <c r="D24" s="87" t="str">
        <f t="shared" si="16"/>
        <v>EUR/month</v>
      </c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8">
        <f t="shared" si="14"/>
        <v>5</v>
      </c>
      <c r="B25" s="174"/>
      <c r="C25" s="87" t="str">
        <f t="shared" ref="C25:D25" si="17">IF($B22&lt;&gt;"",C21,"")</f>
        <v>Tariff - variable</v>
      </c>
      <c r="D25" s="87" t="str">
        <f t="shared" si="17"/>
        <v>EUR/MWh</v>
      </c>
      <c r="E25" s="151">
        <v>0.52237442922374422</v>
      </c>
      <c r="F25" s="151">
        <v>0.52237442922374422</v>
      </c>
      <c r="G25" s="151">
        <v>0.52237442922374422</v>
      </c>
      <c r="H25" s="151">
        <v>0.52237442922374422</v>
      </c>
      <c r="I25" s="151">
        <v>0.52237442922374422</v>
      </c>
      <c r="J25" s="151">
        <v>0.52237442922374422</v>
      </c>
      <c r="K25" s="151">
        <v>0.52237442922374422</v>
      </c>
      <c r="L25" s="151">
        <v>0.52237442922374422</v>
      </c>
      <c r="M25" s="151">
        <v>0.52237442922374422</v>
      </c>
      <c r="N25" s="151">
        <v>0.52237442922374422</v>
      </c>
      <c r="O25" s="151">
        <v>0.52237442922374422</v>
      </c>
      <c r="P25" s="151">
        <v>0.52237442922374422</v>
      </c>
      <c r="Q25" s="151">
        <v>0.52237442922374422</v>
      </c>
      <c r="R25" s="151">
        <v>0.52237442922374422</v>
      </c>
      <c r="S25" s="151">
        <v>0.52237442922374422</v>
      </c>
      <c r="T25" s="151">
        <v>0.52237442922374422</v>
      </c>
      <c r="U25" s="151">
        <v>0.52237442922374422</v>
      </c>
      <c r="V25" s="25" t="s">
        <v>382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8">
        <f t="shared" ref="A26" si="18">$A22+1</f>
        <v>6</v>
      </c>
      <c r="B26" s="172" t="str">
        <f>IFERROR(INDEX(TBL_TRANSIT[Name],$A26),"")</f>
        <v>BE_NE_Pipe</v>
      </c>
      <c r="C26" s="87" t="str">
        <f t="shared" ref="C26:D26" si="19">IF($B26&lt;&gt;"",C22,"")</f>
        <v>Capacity - Min</v>
      </c>
      <c r="D26" s="87" t="str">
        <f t="shared" si="19"/>
        <v>GWh/day</v>
      </c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x14ac:dyDescent="0.25">
      <c r="A27" s="88">
        <f t="shared" ref="A27:A29" si="20">$A26</f>
        <v>6</v>
      </c>
      <c r="B27" s="173"/>
      <c r="C27" s="87" t="str">
        <f t="shared" ref="C27:D27" si="21">IF($B26&lt;&gt;"",C23,"")</f>
        <v>Capacity - Max</v>
      </c>
      <c r="D27" s="87" t="str">
        <f t="shared" si="21"/>
        <v>GWh/day</v>
      </c>
      <c r="E27" s="151">
        <v>1436.83</v>
      </c>
      <c r="F27" s="151">
        <f>E27</f>
        <v>1436.83</v>
      </c>
      <c r="G27" s="151">
        <v>1436.83</v>
      </c>
      <c r="H27" s="151">
        <v>1436.83</v>
      </c>
      <c r="I27" s="151">
        <v>1436.83</v>
      </c>
      <c r="J27" s="151">
        <v>1436.83</v>
      </c>
      <c r="K27" s="151">
        <v>1436.83</v>
      </c>
      <c r="L27" s="151">
        <v>1436.83</v>
      </c>
      <c r="M27" s="151">
        <v>1436.83</v>
      </c>
      <c r="N27" s="151">
        <v>1436.83</v>
      </c>
      <c r="O27" s="151">
        <v>1436.83</v>
      </c>
      <c r="P27" s="151">
        <v>1436.83</v>
      </c>
      <c r="Q27" s="151">
        <v>1436.83</v>
      </c>
      <c r="R27" s="151">
        <v>1436.83</v>
      </c>
      <c r="S27" s="151">
        <v>1436.83</v>
      </c>
      <c r="T27" s="151">
        <v>1436.83</v>
      </c>
      <c r="U27" s="151">
        <v>1436.83</v>
      </c>
      <c r="V27" s="25"/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8">
        <f t="shared" si="20"/>
        <v>6</v>
      </c>
      <c r="B28" s="173"/>
      <c r="C28" s="87" t="str">
        <f t="shared" ref="C28:D28" si="22">IF($B26&lt;&gt;"",C24,"")</f>
        <v>Tariff - fixed</v>
      </c>
      <c r="D28" s="87" t="str">
        <f t="shared" si="22"/>
        <v>EUR/month</v>
      </c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8">
        <f t="shared" si="20"/>
        <v>6</v>
      </c>
      <c r="B29" s="174"/>
      <c r="C29" s="87" t="str">
        <f t="shared" ref="C29:D29" si="23">IF($B26&lt;&gt;"",C25,"")</f>
        <v>Tariff - variable</v>
      </c>
      <c r="D29" s="87" t="str">
        <f t="shared" si="23"/>
        <v>EUR/MWh</v>
      </c>
      <c r="E29" s="151">
        <v>0.37853881278538815</v>
      </c>
      <c r="F29" s="151">
        <v>0.37853881278538815</v>
      </c>
      <c r="G29" s="151">
        <v>0.37853881278538815</v>
      </c>
      <c r="H29" s="151">
        <v>0.37853881278538815</v>
      </c>
      <c r="I29" s="151">
        <v>0.37853881278538815</v>
      </c>
      <c r="J29" s="151">
        <v>0.37853881278538815</v>
      </c>
      <c r="K29" s="151">
        <v>0.37853881278538815</v>
      </c>
      <c r="L29" s="151">
        <v>0.37853881278538815</v>
      </c>
      <c r="M29" s="151">
        <v>0.37853881278538815</v>
      </c>
      <c r="N29" s="151">
        <v>0.37853881278538815</v>
      </c>
      <c r="O29" s="151">
        <v>0.37853881278538815</v>
      </c>
      <c r="P29" s="151">
        <v>0.37853881278538815</v>
      </c>
      <c r="Q29" s="151">
        <v>0.37853881278538815</v>
      </c>
      <c r="R29" s="151">
        <v>0.37853881278538815</v>
      </c>
      <c r="S29" s="151">
        <v>0.37853881278538815</v>
      </c>
      <c r="T29" s="151">
        <v>0.37853881278538815</v>
      </c>
      <c r="U29" s="151">
        <v>0.37853881278538815</v>
      </c>
      <c r="V29" s="25" t="s">
        <v>382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8">
        <f t="shared" ref="A30" si="24">$A26+1</f>
        <v>7</v>
      </c>
      <c r="B30" s="172" t="str">
        <f>IFERROR(INDEX(TBL_TRANSIT[Name],$A30),"")</f>
        <v>BE_UK_Pipe</v>
      </c>
      <c r="C30" s="87" t="str">
        <f t="shared" ref="C30:D30" si="25">IF($B30&lt;&gt;"",C26,"")</f>
        <v>Capacity - Min</v>
      </c>
      <c r="D30" s="87" t="str">
        <f t="shared" si="25"/>
        <v>GWh/day</v>
      </c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x14ac:dyDescent="0.25">
      <c r="A31" s="88">
        <f t="shared" ref="A31:A33" si="26">$A30</f>
        <v>7</v>
      </c>
      <c r="B31" s="173"/>
      <c r="C31" s="87" t="str">
        <f t="shared" ref="C31:D31" si="27">IF($B30&lt;&gt;"",C27,"")</f>
        <v>Capacity - Max</v>
      </c>
      <c r="D31" s="87" t="str">
        <f t="shared" si="27"/>
        <v>GWh/day</v>
      </c>
      <c r="E31" s="151">
        <v>651.70000000000005</v>
      </c>
      <c r="F31" s="151">
        <f>E31</f>
        <v>651.70000000000005</v>
      </c>
      <c r="G31" s="151">
        <v>651.70000000000005</v>
      </c>
      <c r="H31" s="151">
        <v>651.70000000000005</v>
      </c>
      <c r="I31" s="151">
        <v>651.70000000000005</v>
      </c>
      <c r="J31" s="151">
        <v>651.70000000000005</v>
      </c>
      <c r="K31" s="151">
        <v>651.70000000000005</v>
      </c>
      <c r="L31" s="151">
        <v>651.70000000000005</v>
      </c>
      <c r="M31" s="151">
        <v>651.70000000000005</v>
      </c>
      <c r="N31" s="151">
        <v>651.70000000000005</v>
      </c>
      <c r="O31" s="151">
        <v>651.70000000000005</v>
      </c>
      <c r="P31" s="151">
        <v>651.70000000000005</v>
      </c>
      <c r="Q31" s="151">
        <v>651.70000000000005</v>
      </c>
      <c r="R31" s="151">
        <v>651.70000000000005</v>
      </c>
      <c r="S31" s="151">
        <v>651.70000000000005</v>
      </c>
      <c r="T31" s="151">
        <v>651.70000000000005</v>
      </c>
      <c r="U31" s="151">
        <v>651.70000000000005</v>
      </c>
      <c r="V31" s="25"/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8">
        <f t="shared" si="26"/>
        <v>7</v>
      </c>
      <c r="B32" s="173"/>
      <c r="C32" s="87" t="str">
        <f t="shared" ref="C32:D32" si="28">IF($B30&lt;&gt;"",C28,"")</f>
        <v>Tariff - fixed</v>
      </c>
      <c r="D32" s="87" t="str">
        <f t="shared" si="28"/>
        <v>EUR/month</v>
      </c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8">
        <f t="shared" si="26"/>
        <v>7</v>
      </c>
      <c r="B33" s="174"/>
      <c r="C33" s="87" t="str">
        <f t="shared" ref="C33:D33" si="29">IF($B30&lt;&gt;"",C29,"")</f>
        <v>Tariff - variable</v>
      </c>
      <c r="D33" s="87" t="str">
        <f t="shared" si="29"/>
        <v>EUR/MWh</v>
      </c>
      <c r="E33" s="151">
        <v>8.9255050228310512E-2</v>
      </c>
      <c r="F33" s="151">
        <v>8.9255050228310512E-2</v>
      </c>
      <c r="G33" s="151">
        <v>8.9255050228310512E-2</v>
      </c>
      <c r="H33" s="151">
        <v>8.9255050228310512E-2</v>
      </c>
      <c r="I33" s="151">
        <v>8.9255050228310512E-2</v>
      </c>
      <c r="J33" s="151">
        <v>8.9255050228310512E-2</v>
      </c>
      <c r="K33" s="151">
        <v>8.9255050228310512E-2</v>
      </c>
      <c r="L33" s="151">
        <v>8.9255050228310512E-2</v>
      </c>
      <c r="M33" s="151">
        <v>8.9255050228310512E-2</v>
      </c>
      <c r="N33" s="151">
        <v>8.9255050228310512E-2</v>
      </c>
      <c r="O33" s="151">
        <v>8.9255050228310512E-2</v>
      </c>
      <c r="P33" s="151">
        <v>8.9255050228310512E-2</v>
      </c>
      <c r="Q33" s="151">
        <v>8.9255050228310512E-2</v>
      </c>
      <c r="R33" s="151">
        <v>8.9255050228310512E-2</v>
      </c>
      <c r="S33" s="151">
        <v>8.9255050228310512E-2</v>
      </c>
      <c r="T33" s="151">
        <v>8.9255050228310512E-2</v>
      </c>
      <c r="U33" s="151">
        <v>8.9255050228310512E-2</v>
      </c>
      <c r="V33" s="25" t="s">
        <v>382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8">
        <f t="shared" ref="A34" si="30">$A30+1</f>
        <v>8</v>
      </c>
      <c r="B34" s="172" t="str">
        <f>IFERROR(INDEX(TBL_TRANSIT[Name],$A34),"")</f>
        <v>Lux_GER_Pipe</v>
      </c>
      <c r="C34" s="87" t="str">
        <f t="shared" ref="C34:D34" si="31">IF($B34&lt;&gt;"",C30,"")</f>
        <v>Capacity - Min</v>
      </c>
      <c r="D34" s="87" t="str">
        <f t="shared" si="31"/>
        <v>GWh/day</v>
      </c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x14ac:dyDescent="0.25">
      <c r="A35" s="88">
        <f t="shared" ref="A35:A37" si="32">$A34</f>
        <v>8</v>
      </c>
      <c r="B35" s="173"/>
      <c r="C35" s="87" t="str">
        <f t="shared" ref="C35:D35" si="33">IF($B34&lt;&gt;"",C31,"")</f>
        <v>Capacity - Max</v>
      </c>
      <c r="D35" s="87" t="str">
        <f t="shared" si="33"/>
        <v>GWh/day</v>
      </c>
      <c r="E35" s="151">
        <v>38.4</v>
      </c>
      <c r="F35" s="151">
        <f>E35</f>
        <v>38.4</v>
      </c>
      <c r="G35" s="151">
        <v>38.4</v>
      </c>
      <c r="H35" s="151">
        <v>38.4</v>
      </c>
      <c r="I35" s="151">
        <v>38.4</v>
      </c>
      <c r="J35" s="151">
        <v>38.4</v>
      </c>
      <c r="K35" s="151">
        <v>38.4</v>
      </c>
      <c r="L35" s="151">
        <v>38.4</v>
      </c>
      <c r="M35" s="151">
        <v>38.4</v>
      </c>
      <c r="N35" s="151">
        <v>38.4</v>
      </c>
      <c r="O35" s="151">
        <v>38.4</v>
      </c>
      <c r="P35" s="151">
        <v>38.4</v>
      </c>
      <c r="Q35" s="151">
        <v>38.4</v>
      </c>
      <c r="R35" s="151">
        <v>38.4</v>
      </c>
      <c r="S35" s="151">
        <v>38.4</v>
      </c>
      <c r="T35" s="151">
        <v>38.4</v>
      </c>
      <c r="U35" s="151">
        <v>38.4</v>
      </c>
      <c r="V35" s="25"/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8">
        <f t="shared" si="32"/>
        <v>8</v>
      </c>
      <c r="B36" s="173"/>
      <c r="C36" s="87" t="str">
        <f t="shared" ref="C36:D36" si="34">IF($B34&lt;&gt;"",C32,"")</f>
        <v>Tariff - fixed</v>
      </c>
      <c r="D36" s="87" t="str">
        <f t="shared" si="34"/>
        <v>EUR/month</v>
      </c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8">
        <f t="shared" si="32"/>
        <v>8</v>
      </c>
      <c r="B37" s="174"/>
      <c r="C37" s="87" t="str">
        <f t="shared" ref="C37:D37" si="35">IF($B34&lt;&gt;"",C33,"")</f>
        <v>Tariff - variable</v>
      </c>
      <c r="D37" s="87" t="str">
        <f t="shared" si="35"/>
        <v>EUR/MWh</v>
      </c>
      <c r="E37" s="151">
        <v>0.43378995433789952</v>
      </c>
      <c r="F37" s="151">
        <v>0.43378995433789952</v>
      </c>
      <c r="G37" s="151">
        <v>0.43378995433789952</v>
      </c>
      <c r="H37" s="151">
        <v>0.43378995433789952</v>
      </c>
      <c r="I37" s="151">
        <v>0.43378995433789952</v>
      </c>
      <c r="J37" s="151">
        <v>0.43378995433789952</v>
      </c>
      <c r="K37" s="151">
        <v>0.43378995433789952</v>
      </c>
      <c r="L37" s="151">
        <v>0.43378995433789952</v>
      </c>
      <c r="M37" s="151">
        <v>0.43378995433789952</v>
      </c>
      <c r="N37" s="151">
        <v>0.43378995433789952</v>
      </c>
      <c r="O37" s="151">
        <v>0.43378995433789952</v>
      </c>
      <c r="P37" s="151">
        <v>0.43378995433789952</v>
      </c>
      <c r="Q37" s="151">
        <v>0.43378995433789952</v>
      </c>
      <c r="R37" s="151">
        <v>0.43378995433789952</v>
      </c>
      <c r="S37" s="151">
        <v>0.43378995433789952</v>
      </c>
      <c r="T37" s="151">
        <v>0.43378995433789952</v>
      </c>
      <c r="U37" s="151">
        <v>0.43378995433789952</v>
      </c>
      <c r="V37" s="25" t="s">
        <v>382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8">
        <f t="shared" ref="A38" si="36">$A34+1</f>
        <v>9</v>
      </c>
      <c r="B38" s="172" t="str">
        <f>IFERROR(INDEX(TBL_TRANSIT[Name],$A38),"")</f>
        <v>CZ_GER_Pipe</v>
      </c>
      <c r="C38" s="87" t="str">
        <f t="shared" ref="C38:D38" si="37">IF($B38&lt;&gt;"",C34,"")</f>
        <v>Capacity - Min</v>
      </c>
      <c r="D38" s="87" t="str">
        <f t="shared" si="37"/>
        <v>GWh/day</v>
      </c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24"/>
      <c r="W38" s="29" t="str">
        <f>INDEX(TBL_TRANSIT[TransitID],$A38)</f>
        <v>Transit_012_018_002</v>
      </c>
      <c r="X38" s="29" t="str">
        <f>"TransitCapMin_"&amp;RIGHT($W38,11)</f>
        <v>TransitCapMin_012_018_002</v>
      </c>
    </row>
    <row r="39" spans="1:24" x14ac:dyDescent="0.25">
      <c r="A39" s="88">
        <f t="shared" ref="A39:A101" si="38">$A38</f>
        <v>9</v>
      </c>
      <c r="B39" s="173"/>
      <c r="C39" s="87" t="str">
        <f t="shared" ref="C39:D39" si="39">IF($B38&lt;&gt;"",C35,"")</f>
        <v>Capacity - Max</v>
      </c>
      <c r="D39" s="87" t="str">
        <f t="shared" si="39"/>
        <v>GWh/day</v>
      </c>
      <c r="E39" s="151">
        <v>1574.17</v>
      </c>
      <c r="F39" s="151">
        <f>E39</f>
        <v>1574.17</v>
      </c>
      <c r="G39" s="151">
        <v>1574.17</v>
      </c>
      <c r="H39" s="151">
        <v>1574.17</v>
      </c>
      <c r="I39" s="151">
        <v>1574.17</v>
      </c>
      <c r="J39" s="151">
        <v>1574.17</v>
      </c>
      <c r="K39" s="151">
        <v>1574.17</v>
      </c>
      <c r="L39" s="151">
        <v>1574.17</v>
      </c>
      <c r="M39" s="151">
        <v>1574.17</v>
      </c>
      <c r="N39" s="151">
        <v>1574.17</v>
      </c>
      <c r="O39" s="151">
        <v>1574.17</v>
      </c>
      <c r="P39" s="151">
        <v>1574.17</v>
      </c>
      <c r="Q39" s="151">
        <v>1574.17</v>
      </c>
      <c r="R39" s="151">
        <v>1574.17</v>
      </c>
      <c r="S39" s="151">
        <v>1574.17</v>
      </c>
      <c r="T39" s="151">
        <v>1574.17</v>
      </c>
      <c r="U39" s="151">
        <v>1574.17</v>
      </c>
      <c r="V39" s="25"/>
      <c r="W39" s="29" t="str">
        <f>INDEX(TBL_TRANSIT[TransitID],$A39)</f>
        <v>Transit_012_018_002</v>
      </c>
      <c r="X39" s="29" t="str">
        <f>"TransitCapMax_"&amp;RIGHT($W39,11)</f>
        <v>TransitCapMax_012_018_002</v>
      </c>
    </row>
    <row r="40" spans="1:24" x14ac:dyDescent="0.25">
      <c r="A40" s="88">
        <f t="shared" si="38"/>
        <v>9</v>
      </c>
      <c r="B40" s="173"/>
      <c r="C40" s="87" t="str">
        <f t="shared" ref="C40:D40" si="40">IF($B38&lt;&gt;"",C36,"")</f>
        <v>Tariff - fixed</v>
      </c>
      <c r="D40" s="87" t="str">
        <f t="shared" si="40"/>
        <v>EUR/month</v>
      </c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24"/>
      <c r="W40" s="29" t="str">
        <f>INDEX(TBL_TRANSIT[TransitID],$A40)</f>
        <v>Transit_012_018_002</v>
      </c>
      <c r="X40" s="29" t="str">
        <f>"TransitTariffFixed_"&amp;RIGHT($W40,11)</f>
        <v>TransitTariffFixed_012_018_002</v>
      </c>
    </row>
    <row r="41" spans="1:24" x14ac:dyDescent="0.25">
      <c r="A41" s="88">
        <f t="shared" si="38"/>
        <v>9</v>
      </c>
      <c r="B41" s="174"/>
      <c r="C41" s="87" t="str">
        <f t="shared" ref="C41:D41" si="41">IF($B38&lt;&gt;"",C37,"")</f>
        <v>Tariff - variable</v>
      </c>
      <c r="D41" s="87" t="str">
        <f t="shared" si="41"/>
        <v>EUR/MWh</v>
      </c>
      <c r="E41" s="151">
        <v>0.43768536872146119</v>
      </c>
      <c r="F41" s="151">
        <v>0.43768536872146119</v>
      </c>
      <c r="G41" s="151">
        <v>0.43768536872146119</v>
      </c>
      <c r="H41" s="151">
        <v>0.43768536872146119</v>
      </c>
      <c r="I41" s="151">
        <v>0.43768536872146119</v>
      </c>
      <c r="J41" s="151">
        <v>0.43768536872146119</v>
      </c>
      <c r="K41" s="151">
        <v>0.43768536872146119</v>
      </c>
      <c r="L41" s="151">
        <v>0.43768536872146119</v>
      </c>
      <c r="M41" s="151">
        <v>0.43768536872146119</v>
      </c>
      <c r="N41" s="151">
        <v>0.43768536872146119</v>
      </c>
      <c r="O41" s="151">
        <v>0.43768536872146119</v>
      </c>
      <c r="P41" s="151">
        <v>0.43768536872146119</v>
      </c>
      <c r="Q41" s="151">
        <v>0.43768536872146119</v>
      </c>
      <c r="R41" s="151">
        <v>0.43768536872146119</v>
      </c>
      <c r="S41" s="151">
        <v>0.43768536872146119</v>
      </c>
      <c r="T41" s="151">
        <v>0.43768536872146119</v>
      </c>
      <c r="U41" s="151">
        <v>0.43768536872146119</v>
      </c>
      <c r="V41" s="25" t="s">
        <v>382</v>
      </c>
      <c r="W41" s="29" t="str">
        <f>INDEX(TBL_TRANSIT[TransitID],$A41)</f>
        <v>Transit_012_018_002</v>
      </c>
      <c r="X41" s="29" t="str">
        <f>"TransitTariffVar_"&amp;RIGHT($W41,11)</f>
        <v>TransitTariffVar_012_018_002</v>
      </c>
    </row>
    <row r="42" spans="1:24" x14ac:dyDescent="0.25">
      <c r="A42" s="88">
        <f t="shared" ref="A42" si="42">$A38+1</f>
        <v>10</v>
      </c>
      <c r="B42" s="172" t="str">
        <f>IFERROR(INDEX(TBL_TRANSIT[Name],$A42),"")</f>
        <v>CZ_SK_Pipe</v>
      </c>
      <c r="C42" s="87" t="str">
        <f t="shared" ref="C42:D42" si="43">IF($B42&lt;&gt;"",C38,"")</f>
        <v>Capacity - Min</v>
      </c>
      <c r="D42" s="87" t="str">
        <f t="shared" si="43"/>
        <v>GWh/day</v>
      </c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x14ac:dyDescent="0.25">
      <c r="A43" s="88">
        <f t="shared" si="38"/>
        <v>10</v>
      </c>
      <c r="B43" s="173"/>
      <c r="C43" s="87" t="str">
        <f t="shared" ref="C43:D43" si="44">IF($B42&lt;&gt;"",C39,"")</f>
        <v>Capacity - Max</v>
      </c>
      <c r="D43" s="87" t="str">
        <f t="shared" si="44"/>
        <v>GWh/day</v>
      </c>
      <c r="E43" s="151">
        <v>400.4</v>
      </c>
      <c r="F43" s="151">
        <f>E43</f>
        <v>400.4</v>
      </c>
      <c r="G43" s="151">
        <v>400.4</v>
      </c>
      <c r="H43" s="151">
        <v>400.4</v>
      </c>
      <c r="I43" s="151">
        <v>400.4</v>
      </c>
      <c r="J43" s="151">
        <v>400.4</v>
      </c>
      <c r="K43" s="151">
        <v>400.4</v>
      </c>
      <c r="L43" s="151">
        <v>400.4</v>
      </c>
      <c r="M43" s="151">
        <v>400.4</v>
      </c>
      <c r="N43" s="151">
        <v>400.4</v>
      </c>
      <c r="O43" s="151">
        <v>400.4</v>
      </c>
      <c r="P43" s="151">
        <v>400.4</v>
      </c>
      <c r="Q43" s="151">
        <v>400.4</v>
      </c>
      <c r="R43" s="151">
        <v>400.4</v>
      </c>
      <c r="S43" s="151">
        <v>400.4</v>
      </c>
      <c r="T43" s="151">
        <v>400.4</v>
      </c>
      <c r="U43" s="151">
        <v>400.4</v>
      </c>
      <c r="V43" s="25"/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8">
        <f t="shared" si="38"/>
        <v>10</v>
      </c>
      <c r="B44" s="173"/>
      <c r="C44" s="87" t="str">
        <f t="shared" ref="C44:D44" si="45">IF($B42&lt;&gt;"",C40,"")</f>
        <v>Tariff - fixed</v>
      </c>
      <c r="D44" s="87" t="str">
        <f t="shared" si="45"/>
        <v>EUR/month</v>
      </c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8">
        <f t="shared" si="38"/>
        <v>10</v>
      </c>
      <c r="B45" s="174"/>
      <c r="C45" s="87" t="str">
        <f t="shared" ref="C45:D45" si="46">IF($B42&lt;&gt;"",C41,"")</f>
        <v>Tariff - variable</v>
      </c>
      <c r="D45" s="87" t="str">
        <f t="shared" si="46"/>
        <v>EUR/MWh</v>
      </c>
      <c r="E45" s="151">
        <v>0.2444258047945205</v>
      </c>
      <c r="F45" s="151">
        <v>0.2444258047945205</v>
      </c>
      <c r="G45" s="151">
        <v>0.2444258047945205</v>
      </c>
      <c r="H45" s="151">
        <v>0.2444258047945205</v>
      </c>
      <c r="I45" s="151">
        <v>0.2444258047945205</v>
      </c>
      <c r="J45" s="151">
        <v>0.2444258047945205</v>
      </c>
      <c r="K45" s="151">
        <v>0.2444258047945205</v>
      </c>
      <c r="L45" s="151">
        <v>0.2444258047945205</v>
      </c>
      <c r="M45" s="151">
        <v>0.2444258047945205</v>
      </c>
      <c r="N45" s="151">
        <v>0.2444258047945205</v>
      </c>
      <c r="O45" s="151">
        <v>0.2444258047945205</v>
      </c>
      <c r="P45" s="151">
        <v>0.2444258047945205</v>
      </c>
      <c r="Q45" s="151">
        <v>0.2444258047945205</v>
      </c>
      <c r="R45" s="151">
        <v>0.2444258047945205</v>
      </c>
      <c r="S45" s="151">
        <v>0.2444258047945205</v>
      </c>
      <c r="T45" s="151">
        <v>0.2444258047945205</v>
      </c>
      <c r="U45" s="151">
        <v>0.2444258047945205</v>
      </c>
      <c r="V45" s="25" t="s">
        <v>382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8">
        <f t="shared" ref="A46" si="47">$A42+1</f>
        <v>11</v>
      </c>
      <c r="B46" s="172" t="str">
        <f>IFERROR(INDEX(TBL_TRANSIT[Name],$A46),"")</f>
        <v>DÄ_GER_Pipe</v>
      </c>
      <c r="C46" s="87" t="str">
        <f t="shared" ref="C46:D46" si="48">IF($B46&lt;&gt;"",C42,"")</f>
        <v>Capacity - Min</v>
      </c>
      <c r="D46" s="87" t="str">
        <f t="shared" si="48"/>
        <v>GWh/day</v>
      </c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x14ac:dyDescent="0.25">
      <c r="A47" s="88">
        <f t="shared" si="38"/>
        <v>11</v>
      </c>
      <c r="B47" s="173"/>
      <c r="C47" s="87" t="str">
        <f t="shared" ref="C47:D47" si="49">IF($B46&lt;&gt;"",C43,"")</f>
        <v>Capacity - Max</v>
      </c>
      <c r="D47" s="87" t="str">
        <f t="shared" si="49"/>
        <v>GWh/day</v>
      </c>
      <c r="E47" s="151">
        <v>123.7</v>
      </c>
      <c r="F47" s="151">
        <f>E47</f>
        <v>123.7</v>
      </c>
      <c r="G47" s="151">
        <v>123.7</v>
      </c>
      <c r="H47" s="151">
        <v>123.7</v>
      </c>
      <c r="I47" s="151">
        <v>123.7</v>
      </c>
      <c r="J47" s="151">
        <v>123.7</v>
      </c>
      <c r="K47" s="151">
        <v>123.7</v>
      </c>
      <c r="L47" s="151">
        <v>123.7</v>
      </c>
      <c r="M47" s="151">
        <v>123.7</v>
      </c>
      <c r="N47" s="151">
        <v>123.7</v>
      </c>
      <c r="O47" s="151">
        <v>123.7</v>
      </c>
      <c r="P47" s="151">
        <v>123.7</v>
      </c>
      <c r="Q47" s="151">
        <v>123.7</v>
      </c>
      <c r="R47" s="151">
        <v>123.7</v>
      </c>
      <c r="S47" s="151">
        <v>123.7</v>
      </c>
      <c r="T47" s="151">
        <v>123.7</v>
      </c>
      <c r="U47" s="151">
        <v>123.7</v>
      </c>
      <c r="V47" s="25"/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8">
        <f t="shared" si="38"/>
        <v>11</v>
      </c>
      <c r="B48" s="173"/>
      <c r="C48" s="87" t="str">
        <f t="shared" ref="C48:D48" si="50">IF($B46&lt;&gt;"",C44,"")</f>
        <v>Tariff - fixed</v>
      </c>
      <c r="D48" s="87" t="str">
        <f t="shared" si="50"/>
        <v>EUR/month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8">
        <f t="shared" si="38"/>
        <v>11</v>
      </c>
      <c r="B49" s="174"/>
      <c r="C49" s="87" t="str">
        <f t="shared" ref="C49:D49" si="51">IF($B46&lt;&gt;"",C45,"")</f>
        <v>Tariff - variable</v>
      </c>
      <c r="D49" s="87" t="str">
        <f t="shared" si="51"/>
        <v>EUR/MWh</v>
      </c>
      <c r="E49" s="151">
        <v>0.73845890410958892</v>
      </c>
      <c r="F49" s="151">
        <v>0.73845890410958892</v>
      </c>
      <c r="G49" s="151">
        <v>0.73845890410958892</v>
      </c>
      <c r="H49" s="151">
        <v>0.73845890410958892</v>
      </c>
      <c r="I49" s="151">
        <v>0.73845890410958892</v>
      </c>
      <c r="J49" s="151">
        <v>0.73845890410958892</v>
      </c>
      <c r="K49" s="151">
        <v>0.73845890410958892</v>
      </c>
      <c r="L49" s="151">
        <v>0.73845890410958892</v>
      </c>
      <c r="M49" s="151">
        <v>0.73845890410958892</v>
      </c>
      <c r="N49" s="151">
        <v>0.73845890410958892</v>
      </c>
      <c r="O49" s="151">
        <v>0.73845890410958892</v>
      </c>
      <c r="P49" s="151">
        <v>0.73845890410958892</v>
      </c>
      <c r="Q49" s="151">
        <v>0.73845890410958892</v>
      </c>
      <c r="R49" s="151">
        <v>0.73845890410958892</v>
      </c>
      <c r="S49" s="151">
        <v>0.73845890410958892</v>
      </c>
      <c r="T49" s="151">
        <v>0.73845890410958892</v>
      </c>
      <c r="U49" s="151">
        <v>0.73845890410958892</v>
      </c>
      <c r="V49" s="25" t="s">
        <v>382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8">
        <f t="shared" ref="A50" si="52">$A46+1</f>
        <v>12</v>
      </c>
      <c r="B50" s="172" t="str">
        <f>IFERROR(INDEX(TBL_TRANSIT[Name],$A50),"")</f>
        <v>Est_Fin_Pipe</v>
      </c>
      <c r="C50" s="87" t="str">
        <f t="shared" ref="C50:D50" si="53">IF($B50&lt;&gt;"",C46,"")</f>
        <v>Capacity - Min</v>
      </c>
      <c r="D50" s="87" t="str">
        <f t="shared" si="53"/>
        <v>GWh/day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x14ac:dyDescent="0.25">
      <c r="A51" s="88">
        <f t="shared" si="38"/>
        <v>12</v>
      </c>
      <c r="B51" s="173"/>
      <c r="C51" s="87" t="str">
        <f t="shared" ref="C51:D51" si="54">IF($B50&lt;&gt;"",C47,"")</f>
        <v>Capacity - Max</v>
      </c>
      <c r="D51" s="87" t="str">
        <f t="shared" si="54"/>
        <v>GWh/day</v>
      </c>
      <c r="E51" s="151">
        <v>80</v>
      </c>
      <c r="F51" s="151">
        <f>E51</f>
        <v>80</v>
      </c>
      <c r="G51" s="151">
        <v>80</v>
      </c>
      <c r="H51" s="151">
        <v>80</v>
      </c>
      <c r="I51" s="151">
        <v>80</v>
      </c>
      <c r="J51" s="151">
        <v>80</v>
      </c>
      <c r="K51" s="151">
        <v>80</v>
      </c>
      <c r="L51" s="151">
        <v>80</v>
      </c>
      <c r="M51" s="151">
        <v>80</v>
      </c>
      <c r="N51" s="151">
        <v>80</v>
      </c>
      <c r="O51" s="151">
        <v>80</v>
      </c>
      <c r="P51" s="151">
        <v>80</v>
      </c>
      <c r="Q51" s="151">
        <v>80</v>
      </c>
      <c r="R51" s="151">
        <v>80</v>
      </c>
      <c r="S51" s="151">
        <v>80</v>
      </c>
      <c r="T51" s="151">
        <v>80</v>
      </c>
      <c r="U51" s="151">
        <v>80</v>
      </c>
      <c r="V51" s="25"/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8">
        <f t="shared" si="38"/>
        <v>12</v>
      </c>
      <c r="B52" s="173"/>
      <c r="C52" s="87" t="str">
        <f t="shared" ref="C52:D52" si="55">IF($B50&lt;&gt;"",C48,"")</f>
        <v>Tariff - fixed</v>
      </c>
      <c r="D52" s="87" t="str">
        <f t="shared" si="55"/>
        <v>EUR/month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8">
        <f t="shared" si="38"/>
        <v>12</v>
      </c>
      <c r="B53" s="174"/>
      <c r="C53" s="87" t="str">
        <f t="shared" ref="C53:D53" si="56">IF($B50&lt;&gt;"",C49,"")</f>
        <v>Tariff - variable</v>
      </c>
      <c r="D53" s="87" t="str">
        <f t="shared" si="56"/>
        <v>EUR/MWh</v>
      </c>
      <c r="E53" s="151">
        <v>4.9875856164383553E-3</v>
      </c>
      <c r="F53" s="151">
        <v>4.9875856164383553E-3</v>
      </c>
      <c r="G53" s="151">
        <v>4.9875856164383553E-3</v>
      </c>
      <c r="H53" s="151">
        <v>4.9875856164383553E-3</v>
      </c>
      <c r="I53" s="151">
        <v>4.9875856164383553E-3</v>
      </c>
      <c r="J53" s="151">
        <v>4.9875856164383553E-3</v>
      </c>
      <c r="K53" s="151">
        <v>4.9875856164383553E-3</v>
      </c>
      <c r="L53" s="151">
        <v>4.9875856164383553E-3</v>
      </c>
      <c r="M53" s="151">
        <v>4.9875856164383553E-3</v>
      </c>
      <c r="N53" s="151">
        <v>4.9875856164383553E-3</v>
      </c>
      <c r="O53" s="151">
        <v>4.9875856164383553E-3</v>
      </c>
      <c r="P53" s="151">
        <v>4.9875856164383553E-3</v>
      </c>
      <c r="Q53" s="151">
        <v>4.9875856164383553E-3</v>
      </c>
      <c r="R53" s="151">
        <v>4.9875856164383553E-3</v>
      </c>
      <c r="S53" s="151">
        <v>4.9875856164383553E-3</v>
      </c>
      <c r="T53" s="151">
        <v>4.9875856164383553E-3</v>
      </c>
      <c r="U53" s="151">
        <v>4.9875856164383553E-3</v>
      </c>
      <c r="V53" s="25" t="s">
        <v>382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8">
        <f t="shared" ref="A54" si="57">$A50+1</f>
        <v>13</v>
      </c>
      <c r="B54" s="172" t="str">
        <f>IFERROR(INDEX(TBL_TRANSIT[Name],$A54),"")</f>
        <v>Fin_Est_Pipe</v>
      </c>
      <c r="C54" s="87" t="str">
        <f t="shared" ref="C54:D54" si="58">IF($B54&lt;&gt;"",C50,"")</f>
        <v>Capacity - Min</v>
      </c>
      <c r="D54" s="87" t="str">
        <f t="shared" si="58"/>
        <v>GWh/day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x14ac:dyDescent="0.25">
      <c r="A55" s="88">
        <f t="shared" si="38"/>
        <v>13</v>
      </c>
      <c r="B55" s="173"/>
      <c r="C55" s="87" t="str">
        <f t="shared" ref="C55:D55" si="59">IF($B54&lt;&gt;"",C51,"")</f>
        <v>Capacity - Max</v>
      </c>
      <c r="D55" s="87" t="str">
        <f t="shared" si="59"/>
        <v>GWh/day</v>
      </c>
      <c r="E55" s="151">
        <v>80</v>
      </c>
      <c r="F55" s="151">
        <f>E55</f>
        <v>80</v>
      </c>
      <c r="G55" s="151">
        <v>80</v>
      </c>
      <c r="H55" s="151">
        <v>80</v>
      </c>
      <c r="I55" s="151">
        <v>80</v>
      </c>
      <c r="J55" s="151">
        <v>80</v>
      </c>
      <c r="K55" s="151">
        <v>80</v>
      </c>
      <c r="L55" s="151">
        <v>80</v>
      </c>
      <c r="M55" s="151">
        <v>80</v>
      </c>
      <c r="N55" s="151">
        <v>80</v>
      </c>
      <c r="O55" s="151">
        <v>80</v>
      </c>
      <c r="P55" s="151">
        <v>80</v>
      </c>
      <c r="Q55" s="151">
        <v>80</v>
      </c>
      <c r="R55" s="151">
        <v>80</v>
      </c>
      <c r="S55" s="151">
        <v>80</v>
      </c>
      <c r="T55" s="151">
        <v>80</v>
      </c>
      <c r="U55" s="151">
        <v>80</v>
      </c>
      <c r="V55" s="25"/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8">
        <f t="shared" si="38"/>
        <v>13</v>
      </c>
      <c r="B56" s="173"/>
      <c r="C56" s="87" t="str">
        <f t="shared" ref="C56:D56" si="60">IF($B54&lt;&gt;"",C52,"")</f>
        <v>Tariff - fixed</v>
      </c>
      <c r="D56" s="87" t="str">
        <f t="shared" si="60"/>
        <v>EUR/month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8">
        <f t="shared" si="38"/>
        <v>13</v>
      </c>
      <c r="B57" s="174"/>
      <c r="C57" s="87" t="str">
        <f t="shared" ref="C57:D57" si="61">IF($B54&lt;&gt;"",C53,"")</f>
        <v>Tariff - variable</v>
      </c>
      <c r="D57" s="87" t="str">
        <f t="shared" si="61"/>
        <v>EUR/MWh</v>
      </c>
      <c r="E57" s="151">
        <v>6.8017503805175032E-4</v>
      </c>
      <c r="F57" s="151">
        <v>6.8017503805175032E-4</v>
      </c>
      <c r="G57" s="151">
        <v>6.8017503805175032E-4</v>
      </c>
      <c r="H57" s="151">
        <v>6.8017503805175032E-4</v>
      </c>
      <c r="I57" s="151">
        <v>6.8017503805175032E-4</v>
      </c>
      <c r="J57" s="151">
        <v>6.8017503805175032E-4</v>
      </c>
      <c r="K57" s="151">
        <v>6.8017503805175032E-4</v>
      </c>
      <c r="L57" s="151">
        <v>6.8017503805175032E-4</v>
      </c>
      <c r="M57" s="151">
        <v>6.8017503805175032E-4</v>
      </c>
      <c r="N57" s="151">
        <v>6.8017503805175032E-4</v>
      </c>
      <c r="O57" s="151">
        <v>6.8017503805175032E-4</v>
      </c>
      <c r="P57" s="151">
        <v>6.8017503805175032E-4</v>
      </c>
      <c r="Q57" s="151">
        <v>6.8017503805175032E-4</v>
      </c>
      <c r="R57" s="151">
        <v>6.8017503805175032E-4</v>
      </c>
      <c r="S57" s="151">
        <v>6.8017503805175032E-4</v>
      </c>
      <c r="T57" s="151">
        <v>6.8017503805175032E-4</v>
      </c>
      <c r="U57" s="151">
        <v>6.8017503805175032E-4</v>
      </c>
      <c r="V57" s="25" t="s">
        <v>382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8">
        <f t="shared" ref="A58" si="62">$A54+1</f>
        <v>14</v>
      </c>
      <c r="B58" s="172" t="str">
        <f>IFERROR(INDEX(TBL_TRANSIT[Name],$A58),"")</f>
        <v>FR_BE_Pipe</v>
      </c>
      <c r="C58" s="87" t="str">
        <f t="shared" ref="C58:D58" si="63">IF($B58&lt;&gt;"",C54,"")</f>
        <v>Capacity - Min</v>
      </c>
      <c r="D58" s="87" t="str">
        <f t="shared" si="63"/>
        <v>GWh/day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x14ac:dyDescent="0.25">
      <c r="A59" s="88">
        <f t="shared" si="38"/>
        <v>14</v>
      </c>
      <c r="B59" s="173"/>
      <c r="C59" s="87" t="str">
        <f t="shared" ref="C59:D59" si="64">IF($B58&lt;&gt;"",C55,"")</f>
        <v>Capacity - Max</v>
      </c>
      <c r="D59" s="87" t="str">
        <f t="shared" si="64"/>
        <v>GWh/day</v>
      </c>
      <c r="E59" s="151">
        <v>850</v>
      </c>
      <c r="F59" s="151">
        <f>E59</f>
        <v>850</v>
      </c>
      <c r="G59" s="151">
        <v>850</v>
      </c>
      <c r="H59" s="151">
        <v>850</v>
      </c>
      <c r="I59" s="151">
        <v>850</v>
      </c>
      <c r="J59" s="151">
        <v>850</v>
      </c>
      <c r="K59" s="151">
        <v>850</v>
      </c>
      <c r="L59" s="151">
        <v>850</v>
      </c>
      <c r="M59" s="151">
        <v>850</v>
      </c>
      <c r="N59" s="151">
        <v>850</v>
      </c>
      <c r="O59" s="151">
        <v>850</v>
      </c>
      <c r="P59" s="151">
        <v>850</v>
      </c>
      <c r="Q59" s="151">
        <v>850</v>
      </c>
      <c r="R59" s="151">
        <v>850</v>
      </c>
      <c r="S59" s="151">
        <v>850</v>
      </c>
      <c r="T59" s="151">
        <v>850</v>
      </c>
      <c r="U59" s="151">
        <v>850</v>
      </c>
      <c r="V59" s="25"/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8">
        <f t="shared" si="38"/>
        <v>14</v>
      </c>
      <c r="B60" s="173"/>
      <c r="C60" s="87" t="str">
        <f t="shared" ref="C60:D60" si="65">IF($B58&lt;&gt;"",C56,"")</f>
        <v>Tariff - fixed</v>
      </c>
      <c r="D60" s="87" t="str">
        <f t="shared" si="65"/>
        <v>EUR/month</v>
      </c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8">
        <f t="shared" si="38"/>
        <v>14</v>
      </c>
      <c r="B61" s="174"/>
      <c r="C61" s="87" t="str">
        <f t="shared" ref="C61:D61" si="66">IF($B58&lt;&gt;"",C57,"")</f>
        <v>Tariff - variable</v>
      </c>
      <c r="D61" s="87" t="str">
        <f t="shared" si="66"/>
        <v>EUR/MWh</v>
      </c>
      <c r="E61" s="151">
        <v>0.44486301369863018</v>
      </c>
      <c r="F61" s="151">
        <v>0.44486301369863018</v>
      </c>
      <c r="G61" s="151">
        <v>0.44486301369863018</v>
      </c>
      <c r="H61" s="151">
        <v>0.44486301369863018</v>
      </c>
      <c r="I61" s="151">
        <v>0.44486301369863018</v>
      </c>
      <c r="J61" s="151">
        <v>0.44486301369863018</v>
      </c>
      <c r="K61" s="151">
        <v>0.44486301369863018</v>
      </c>
      <c r="L61" s="151">
        <v>0.44486301369863018</v>
      </c>
      <c r="M61" s="151">
        <v>0.44486301369863018</v>
      </c>
      <c r="N61" s="151">
        <v>0.44486301369863018</v>
      </c>
      <c r="O61" s="151">
        <v>0.44486301369863018</v>
      </c>
      <c r="P61" s="151">
        <v>0.44486301369863018</v>
      </c>
      <c r="Q61" s="151">
        <v>0.44486301369863018</v>
      </c>
      <c r="R61" s="151">
        <v>0.44486301369863018</v>
      </c>
      <c r="S61" s="151">
        <v>0.44486301369863018</v>
      </c>
      <c r="T61" s="151">
        <v>0.44486301369863018</v>
      </c>
      <c r="U61" s="151">
        <v>0.44486301369863018</v>
      </c>
      <c r="V61" s="25" t="s">
        <v>382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8">
        <f t="shared" ref="A62" si="67">$A58+1</f>
        <v>15</v>
      </c>
      <c r="B62" s="172" t="str">
        <f>IFERROR(INDEX(TBL_TRANSIT[Name],$A62),"")</f>
        <v>FR_GER_Pipe</v>
      </c>
      <c r="C62" s="87" t="str">
        <f t="shared" ref="C62:D62" si="68">IF($B62&lt;&gt;"",C58,"")</f>
        <v>Capacity - Min</v>
      </c>
      <c r="D62" s="87" t="str">
        <f t="shared" si="68"/>
        <v>GWh/day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x14ac:dyDescent="0.25">
      <c r="A63" s="88">
        <f t="shared" si="38"/>
        <v>15</v>
      </c>
      <c r="B63" s="173"/>
      <c r="C63" s="87" t="str">
        <f t="shared" ref="C63:D63" si="69">IF($B62&lt;&gt;"",C59,"")</f>
        <v>Capacity - Max</v>
      </c>
      <c r="D63" s="87" t="str">
        <f t="shared" si="69"/>
        <v>GWh/day</v>
      </c>
      <c r="E63" s="151">
        <v>620</v>
      </c>
      <c r="F63" s="151">
        <f>E63</f>
        <v>620</v>
      </c>
      <c r="G63" s="151">
        <v>620</v>
      </c>
      <c r="H63" s="151">
        <v>620</v>
      </c>
      <c r="I63" s="151">
        <v>620</v>
      </c>
      <c r="J63" s="151">
        <v>620</v>
      </c>
      <c r="K63" s="151">
        <v>620</v>
      </c>
      <c r="L63" s="151">
        <v>620</v>
      </c>
      <c r="M63" s="151">
        <v>620</v>
      </c>
      <c r="N63" s="151">
        <v>620</v>
      </c>
      <c r="O63" s="151">
        <v>620</v>
      </c>
      <c r="P63" s="151">
        <v>620</v>
      </c>
      <c r="Q63" s="151">
        <v>620</v>
      </c>
      <c r="R63" s="151">
        <v>620</v>
      </c>
      <c r="S63" s="151">
        <v>620</v>
      </c>
      <c r="T63" s="151">
        <v>620</v>
      </c>
      <c r="U63" s="151">
        <v>620</v>
      </c>
      <c r="V63" s="25"/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8">
        <f t="shared" si="38"/>
        <v>15</v>
      </c>
      <c r="B64" s="173"/>
      <c r="C64" s="87" t="str">
        <f t="shared" ref="C64:D64" si="70">IF($B62&lt;&gt;"",C60,"")</f>
        <v>Tariff - fixed</v>
      </c>
      <c r="D64" s="87" t="str">
        <f t="shared" si="70"/>
        <v>EUR/month</v>
      </c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8">
        <f t="shared" si="38"/>
        <v>15</v>
      </c>
      <c r="B65" s="174"/>
      <c r="C65" s="87" t="str">
        <f t="shared" ref="C65:D65" si="71">IF($B62&lt;&gt;"",C61,"")</f>
        <v>Tariff - variable</v>
      </c>
      <c r="D65" s="87" t="str">
        <f t="shared" si="71"/>
        <v>EUR/MWh</v>
      </c>
      <c r="E65" s="151">
        <v>0.71815068493150691</v>
      </c>
      <c r="F65" s="151">
        <v>0.71815068493150691</v>
      </c>
      <c r="G65" s="151">
        <v>0.71815068493150691</v>
      </c>
      <c r="H65" s="151">
        <v>0.71815068493150691</v>
      </c>
      <c r="I65" s="151">
        <v>0.71815068493150691</v>
      </c>
      <c r="J65" s="151">
        <v>0.71815068493150691</v>
      </c>
      <c r="K65" s="151">
        <v>0.71815068493150691</v>
      </c>
      <c r="L65" s="151">
        <v>0.71815068493150691</v>
      </c>
      <c r="M65" s="151">
        <v>0.71815068493150691</v>
      </c>
      <c r="N65" s="151">
        <v>0.71815068493150691</v>
      </c>
      <c r="O65" s="151">
        <v>0.71815068493150691</v>
      </c>
      <c r="P65" s="151">
        <v>0.71815068493150691</v>
      </c>
      <c r="Q65" s="151">
        <v>0.71815068493150691</v>
      </c>
      <c r="R65" s="151">
        <v>0.71815068493150691</v>
      </c>
      <c r="S65" s="151">
        <v>0.71815068493150691</v>
      </c>
      <c r="T65" s="151">
        <v>0.71815068493150691</v>
      </c>
      <c r="U65" s="151">
        <v>0.71815068493150691</v>
      </c>
      <c r="V65" s="25" t="s">
        <v>382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8">
        <f t="shared" ref="A66" si="72">$A62+1</f>
        <v>16</v>
      </c>
      <c r="B66" s="172" t="str">
        <f>IFERROR(INDEX(TBL_TRANSIT[Name],$A66),"")</f>
        <v>FR_ES_Pipe</v>
      </c>
      <c r="C66" s="87" t="str">
        <f t="shared" ref="C66:D66" si="73">IF($B66&lt;&gt;"",C62,"")</f>
        <v>Capacity - Min</v>
      </c>
      <c r="D66" s="87" t="str">
        <f t="shared" si="73"/>
        <v>GWh/day</v>
      </c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x14ac:dyDescent="0.25">
      <c r="A67" s="88">
        <f t="shared" si="38"/>
        <v>16</v>
      </c>
      <c r="B67" s="173"/>
      <c r="C67" s="87" t="str">
        <f t="shared" ref="C67:D67" si="74">IF($B66&lt;&gt;"",C63,"")</f>
        <v>Capacity - Max</v>
      </c>
      <c r="D67" s="87" t="str">
        <f t="shared" si="74"/>
        <v>GWh/day</v>
      </c>
      <c r="E67" s="151">
        <v>224.4</v>
      </c>
      <c r="F67" s="151">
        <f>E67</f>
        <v>224.4</v>
      </c>
      <c r="G67" s="151">
        <v>224.4</v>
      </c>
      <c r="H67" s="151">
        <v>224.4</v>
      </c>
      <c r="I67" s="151">
        <v>224.4</v>
      </c>
      <c r="J67" s="151">
        <v>224.4</v>
      </c>
      <c r="K67" s="151">
        <v>224.4</v>
      </c>
      <c r="L67" s="151">
        <v>224.4</v>
      </c>
      <c r="M67" s="151">
        <v>224.4</v>
      </c>
      <c r="N67" s="151">
        <v>224.4</v>
      </c>
      <c r="O67" s="151">
        <v>224.4</v>
      </c>
      <c r="P67" s="151">
        <v>224.4</v>
      </c>
      <c r="Q67" s="151">
        <v>224.4</v>
      </c>
      <c r="R67" s="151">
        <v>224.4</v>
      </c>
      <c r="S67" s="151">
        <v>224.4</v>
      </c>
      <c r="T67" s="151">
        <v>224.4</v>
      </c>
      <c r="U67" s="151">
        <v>224.4</v>
      </c>
      <c r="V67" s="25"/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8">
        <f t="shared" si="38"/>
        <v>16</v>
      </c>
      <c r="B68" s="173"/>
      <c r="C68" s="87" t="str">
        <f t="shared" ref="C68:D68" si="75">IF($B66&lt;&gt;"",C64,"")</f>
        <v>Tariff - fixed</v>
      </c>
      <c r="D68" s="87" t="str">
        <f t="shared" si="75"/>
        <v>EUR/month</v>
      </c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8">
        <f t="shared" si="38"/>
        <v>16</v>
      </c>
      <c r="B69" s="174"/>
      <c r="C69" s="87" t="str">
        <f t="shared" ref="C69:D69" si="76">IF($B66&lt;&gt;"",C65,"")</f>
        <v>Tariff - variable</v>
      </c>
      <c r="D69" s="87" t="str">
        <f t="shared" si="76"/>
        <v>EUR/MWh</v>
      </c>
      <c r="E69" s="151">
        <v>0.28436073059360734</v>
      </c>
      <c r="F69" s="151">
        <v>0.28436073059360734</v>
      </c>
      <c r="G69" s="151">
        <v>0.28436073059360734</v>
      </c>
      <c r="H69" s="151">
        <v>0.28436073059360734</v>
      </c>
      <c r="I69" s="151">
        <v>0.28436073059360734</v>
      </c>
      <c r="J69" s="151">
        <v>0.28436073059360734</v>
      </c>
      <c r="K69" s="151">
        <v>0.28436073059360734</v>
      </c>
      <c r="L69" s="151">
        <v>0.28436073059360734</v>
      </c>
      <c r="M69" s="151">
        <v>0.28436073059360734</v>
      </c>
      <c r="N69" s="151">
        <v>0.28436073059360734</v>
      </c>
      <c r="O69" s="151">
        <v>0.28436073059360734</v>
      </c>
      <c r="P69" s="151">
        <v>0.28436073059360734</v>
      </c>
      <c r="Q69" s="151">
        <v>0.28436073059360734</v>
      </c>
      <c r="R69" s="151">
        <v>0.28436073059360734</v>
      </c>
      <c r="S69" s="151">
        <v>0.28436073059360734</v>
      </c>
      <c r="T69" s="151">
        <v>0.28436073059360734</v>
      </c>
      <c r="U69" s="151">
        <v>0.28436073059360734</v>
      </c>
      <c r="V69" s="25" t="s">
        <v>382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8">
        <f t="shared" ref="A70" si="77">$A66+1</f>
        <v>17</v>
      </c>
      <c r="B70" s="172" t="str">
        <f>IFERROR(INDEX(TBL_TRANSIT[Name],$A70),"")</f>
        <v>FR_CH_Pipe</v>
      </c>
      <c r="C70" s="87" t="str">
        <f t="shared" ref="C70:D70" si="78">IF($B70&lt;&gt;"",C66,"")</f>
        <v>Capacity - Min</v>
      </c>
      <c r="D70" s="87" t="str">
        <f t="shared" si="78"/>
        <v>GWh/day</v>
      </c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x14ac:dyDescent="0.25">
      <c r="A71" s="88">
        <f t="shared" si="38"/>
        <v>17</v>
      </c>
      <c r="B71" s="173"/>
      <c r="C71" s="87" t="str">
        <f t="shared" ref="C71:D71" si="79">IF($B70&lt;&gt;"",C67,"")</f>
        <v>Capacity - Max</v>
      </c>
      <c r="D71" s="87" t="str">
        <f t="shared" si="79"/>
        <v>GWh/day</v>
      </c>
      <c r="E71" s="151">
        <v>100</v>
      </c>
      <c r="F71" s="151">
        <f>E71</f>
        <v>100</v>
      </c>
      <c r="G71" s="151">
        <v>100</v>
      </c>
      <c r="H71" s="151">
        <v>100</v>
      </c>
      <c r="I71" s="151">
        <v>100</v>
      </c>
      <c r="J71" s="151">
        <v>100</v>
      </c>
      <c r="K71" s="151">
        <v>100</v>
      </c>
      <c r="L71" s="151">
        <v>100</v>
      </c>
      <c r="M71" s="151">
        <v>100</v>
      </c>
      <c r="N71" s="151">
        <v>100</v>
      </c>
      <c r="O71" s="151">
        <v>100</v>
      </c>
      <c r="P71" s="151">
        <v>100</v>
      </c>
      <c r="Q71" s="151">
        <v>100</v>
      </c>
      <c r="R71" s="151">
        <v>100</v>
      </c>
      <c r="S71" s="151">
        <v>100</v>
      </c>
      <c r="T71" s="151">
        <v>100</v>
      </c>
      <c r="U71" s="151">
        <v>100</v>
      </c>
      <c r="V71" s="25"/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8">
        <f t="shared" si="38"/>
        <v>17</v>
      </c>
      <c r="B72" s="173"/>
      <c r="C72" s="87" t="str">
        <f t="shared" ref="C72:D72" si="80">IF($B70&lt;&gt;"",C68,"")</f>
        <v>Tariff - fixed</v>
      </c>
      <c r="D72" s="87" t="str">
        <f t="shared" si="80"/>
        <v>EUR/month</v>
      </c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8">
        <f t="shared" si="38"/>
        <v>17</v>
      </c>
      <c r="B73" s="174"/>
      <c r="C73" s="87" t="str">
        <f t="shared" ref="C73:D73" si="81">IF($B70&lt;&gt;"",C69,"")</f>
        <v>Tariff - variable</v>
      </c>
      <c r="D73" s="87" t="str">
        <f t="shared" si="81"/>
        <v>EUR/MWh</v>
      </c>
      <c r="E73" s="151">
        <v>0.28436073059360734</v>
      </c>
      <c r="F73" s="151">
        <v>0.28436073059360734</v>
      </c>
      <c r="G73" s="151">
        <v>0.28436073059360734</v>
      </c>
      <c r="H73" s="151">
        <v>0.28436073059360734</v>
      </c>
      <c r="I73" s="151">
        <v>0.28436073059360734</v>
      </c>
      <c r="J73" s="151">
        <v>0.28436073059360734</v>
      </c>
      <c r="K73" s="151">
        <v>0.28436073059360734</v>
      </c>
      <c r="L73" s="151">
        <v>0.28436073059360734</v>
      </c>
      <c r="M73" s="151">
        <v>0.28436073059360734</v>
      </c>
      <c r="N73" s="151">
        <v>0.28436073059360734</v>
      </c>
      <c r="O73" s="151">
        <v>0.28436073059360734</v>
      </c>
      <c r="P73" s="151">
        <v>0.28436073059360734</v>
      </c>
      <c r="Q73" s="151">
        <v>0.28436073059360734</v>
      </c>
      <c r="R73" s="151">
        <v>0.28436073059360734</v>
      </c>
      <c r="S73" s="151">
        <v>0.28436073059360734</v>
      </c>
      <c r="T73" s="151">
        <v>0.28436073059360734</v>
      </c>
      <c r="U73" s="151">
        <v>0.28436073059360734</v>
      </c>
      <c r="V73" s="25" t="s">
        <v>382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8">
        <f t="shared" ref="A74" si="82">$A70+1</f>
        <v>18</v>
      </c>
      <c r="B74" s="172" t="str">
        <f>IFERROR(INDEX(TBL_TRANSIT[Name],$A74),"")</f>
        <v>GER_AU_pipe</v>
      </c>
      <c r="C74" s="87" t="str">
        <f t="shared" ref="C74:D74" si="83">IF($B74&lt;&gt;"",C70,"")</f>
        <v>Capacity - Min</v>
      </c>
      <c r="D74" s="87" t="str">
        <f t="shared" si="83"/>
        <v>GWh/day</v>
      </c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x14ac:dyDescent="0.25">
      <c r="A75" s="88">
        <f t="shared" si="38"/>
        <v>18</v>
      </c>
      <c r="B75" s="173"/>
      <c r="C75" s="87" t="str">
        <f t="shared" ref="C75:D75" si="84">IF($B74&lt;&gt;"",C71,"")</f>
        <v>Capacity - Max</v>
      </c>
      <c r="D75" s="87" t="str">
        <f t="shared" si="84"/>
        <v>GWh/day</v>
      </c>
      <c r="E75" s="151">
        <v>547.70000000000005</v>
      </c>
      <c r="F75" s="151">
        <f>E75</f>
        <v>547.70000000000005</v>
      </c>
      <c r="G75" s="151">
        <v>547.70000000000005</v>
      </c>
      <c r="H75" s="151">
        <v>547.70000000000005</v>
      </c>
      <c r="I75" s="151">
        <v>547.70000000000005</v>
      </c>
      <c r="J75" s="151">
        <v>547.70000000000005</v>
      </c>
      <c r="K75" s="151">
        <v>547.70000000000005</v>
      </c>
      <c r="L75" s="151">
        <v>547.70000000000005</v>
      </c>
      <c r="M75" s="151">
        <v>547.70000000000005</v>
      </c>
      <c r="N75" s="151">
        <v>547.70000000000005</v>
      </c>
      <c r="O75" s="151">
        <v>547.70000000000005</v>
      </c>
      <c r="P75" s="151">
        <v>547.70000000000005</v>
      </c>
      <c r="Q75" s="151">
        <v>547.70000000000005</v>
      </c>
      <c r="R75" s="151">
        <v>547.70000000000005</v>
      </c>
      <c r="S75" s="151">
        <v>547.70000000000005</v>
      </c>
      <c r="T75" s="151">
        <v>547.70000000000005</v>
      </c>
      <c r="U75" s="151">
        <v>547.70000000000005</v>
      </c>
      <c r="V75" s="25"/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8">
        <f t="shared" si="38"/>
        <v>18</v>
      </c>
      <c r="B76" s="173"/>
      <c r="C76" s="87" t="str">
        <f t="shared" ref="C76:D76" si="85">IF($B74&lt;&gt;"",C72,"")</f>
        <v>Tariff - fixed</v>
      </c>
      <c r="D76" s="87" t="str">
        <f t="shared" si="85"/>
        <v>EUR/month</v>
      </c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8">
        <f t="shared" si="38"/>
        <v>18</v>
      </c>
      <c r="B77" s="174"/>
      <c r="C77" s="87" t="str">
        <f t="shared" ref="C77:D77" si="86">IF($B74&lt;&gt;"",C73,"")</f>
        <v>Tariff - variable</v>
      </c>
      <c r="D77" s="87" t="str">
        <f t="shared" si="86"/>
        <v>EUR/MWh</v>
      </c>
      <c r="E77" s="151">
        <v>0.80593607305936066</v>
      </c>
      <c r="F77" s="151">
        <v>0.80593607305936066</v>
      </c>
      <c r="G77" s="151">
        <v>0.80593607305936066</v>
      </c>
      <c r="H77" s="151">
        <v>0.80593607305936066</v>
      </c>
      <c r="I77" s="151">
        <v>0.80593607305936066</v>
      </c>
      <c r="J77" s="151">
        <v>0.80593607305936066</v>
      </c>
      <c r="K77" s="151">
        <v>0.80593607305936066</v>
      </c>
      <c r="L77" s="151">
        <v>0.80593607305936066</v>
      </c>
      <c r="M77" s="151">
        <v>0.80593607305936066</v>
      </c>
      <c r="N77" s="151">
        <v>0.80593607305936066</v>
      </c>
      <c r="O77" s="151">
        <v>0.80593607305936066</v>
      </c>
      <c r="P77" s="151">
        <v>0.80593607305936066</v>
      </c>
      <c r="Q77" s="151">
        <v>0.80593607305936066</v>
      </c>
      <c r="R77" s="151">
        <v>0.80593607305936066</v>
      </c>
      <c r="S77" s="151">
        <v>0.80593607305936066</v>
      </c>
      <c r="T77" s="151">
        <v>0.80593607305936066</v>
      </c>
      <c r="U77" s="151">
        <v>0.80593607305936066</v>
      </c>
      <c r="V77" s="25" t="s">
        <v>382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8">
        <f t="shared" ref="A78" si="87">$A74+1</f>
        <v>19</v>
      </c>
      <c r="B78" s="172" t="str">
        <f>IFERROR(INDEX(TBL_TRANSIT[Name],$A78),"")</f>
        <v>GER_BE_Pipe</v>
      </c>
      <c r="C78" s="87" t="str">
        <f t="shared" ref="C78:D78" si="88">IF($B78&lt;&gt;"",C74,"")</f>
        <v>Capacity - Min</v>
      </c>
      <c r="D78" s="87" t="str">
        <f t="shared" si="88"/>
        <v>GWh/day</v>
      </c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x14ac:dyDescent="0.25">
      <c r="A79" s="88">
        <f t="shared" si="38"/>
        <v>19</v>
      </c>
      <c r="B79" s="173"/>
      <c r="C79" s="87" t="str">
        <f t="shared" ref="C79:D79" si="89">IF($B78&lt;&gt;"",C75,"")</f>
        <v>Capacity - Max</v>
      </c>
      <c r="D79" s="87" t="str">
        <f t="shared" si="89"/>
        <v>GWh/day</v>
      </c>
      <c r="E79" s="151">
        <v>289.5</v>
      </c>
      <c r="F79" s="151">
        <v>289.5</v>
      </c>
      <c r="G79" s="151">
        <v>289.5</v>
      </c>
      <c r="H79" s="151">
        <v>289.5</v>
      </c>
      <c r="I79" s="151">
        <v>289.5</v>
      </c>
      <c r="J79" s="151">
        <v>289.5</v>
      </c>
      <c r="K79" s="151">
        <v>289.5</v>
      </c>
      <c r="L79" s="151">
        <v>289.5</v>
      </c>
      <c r="M79" s="151">
        <v>289.5</v>
      </c>
      <c r="N79" s="151">
        <v>289.5</v>
      </c>
      <c r="O79" s="151">
        <v>289.5</v>
      </c>
      <c r="P79" s="151">
        <v>289.5</v>
      </c>
      <c r="Q79" s="151">
        <v>289.5</v>
      </c>
      <c r="R79" s="151">
        <v>289.5</v>
      </c>
      <c r="S79" s="151">
        <v>289.5</v>
      </c>
      <c r="T79" s="151">
        <v>289.5</v>
      </c>
      <c r="U79" s="151">
        <v>289.5</v>
      </c>
      <c r="V79" s="25"/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8">
        <f t="shared" si="38"/>
        <v>19</v>
      </c>
      <c r="B80" s="173"/>
      <c r="C80" s="87" t="str">
        <f t="shared" ref="C80:D80" si="90">IF($B78&lt;&gt;"",C76,"")</f>
        <v>Tariff - fixed</v>
      </c>
      <c r="D80" s="87" t="str">
        <f t="shared" si="90"/>
        <v>EUR/month</v>
      </c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8">
        <f t="shared" si="38"/>
        <v>19</v>
      </c>
      <c r="B81" s="174"/>
      <c r="C81" s="87" t="str">
        <f t="shared" ref="C81:D81" si="91">IF($B78&lt;&gt;"",C77,"")</f>
        <v>Tariff - variable</v>
      </c>
      <c r="D81" s="87" t="str">
        <f t="shared" si="91"/>
        <v>EUR/MWh</v>
      </c>
      <c r="E81" s="151">
        <v>0.60171232876712322</v>
      </c>
      <c r="F81" s="151">
        <v>0.60171232876712322</v>
      </c>
      <c r="G81" s="151">
        <v>0.60171232876712322</v>
      </c>
      <c r="H81" s="151">
        <v>0.60171232876712322</v>
      </c>
      <c r="I81" s="151">
        <v>0.60171232876712322</v>
      </c>
      <c r="J81" s="151">
        <v>0.60171232876712322</v>
      </c>
      <c r="K81" s="151">
        <v>0.60171232876712322</v>
      </c>
      <c r="L81" s="151">
        <v>0.60171232876712322</v>
      </c>
      <c r="M81" s="151">
        <v>0.60171232876712322</v>
      </c>
      <c r="N81" s="151">
        <v>0.60171232876712322</v>
      </c>
      <c r="O81" s="151">
        <v>0.60171232876712322</v>
      </c>
      <c r="P81" s="151">
        <v>0.60171232876712322</v>
      </c>
      <c r="Q81" s="151">
        <v>0.60171232876712322</v>
      </c>
      <c r="R81" s="151">
        <v>0.60171232876712322</v>
      </c>
      <c r="S81" s="151">
        <v>0.60171232876712322</v>
      </c>
      <c r="T81" s="151">
        <v>0.60171232876712322</v>
      </c>
      <c r="U81" s="151">
        <v>0.60171232876712322</v>
      </c>
      <c r="V81" s="25" t="s">
        <v>382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8">
        <f t="shared" ref="A82" si="92">$A78+1</f>
        <v>20</v>
      </c>
      <c r="B82" s="172" t="str">
        <f>IFERROR(INDEX(TBL_TRANSIT[Name],$A82),"")</f>
        <v>GER_CZ_Pipe</v>
      </c>
      <c r="C82" s="87" t="str">
        <f t="shared" ref="C82:D82" si="93">IF($B82&lt;&gt;"",C78,"")</f>
        <v>Capacity - Min</v>
      </c>
      <c r="D82" s="87" t="str">
        <f t="shared" si="93"/>
        <v>GWh/day</v>
      </c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x14ac:dyDescent="0.25">
      <c r="A83" s="88">
        <f t="shared" si="38"/>
        <v>20</v>
      </c>
      <c r="B83" s="173"/>
      <c r="C83" s="87" t="str">
        <f t="shared" ref="C83:D83" si="94">IF($B82&lt;&gt;"",C79,"")</f>
        <v>Capacity - Max</v>
      </c>
      <c r="D83" s="87" t="str">
        <f t="shared" si="94"/>
        <v>GWh/day</v>
      </c>
      <c r="E83" s="151">
        <v>1242.02</v>
      </c>
      <c r="F83" s="151">
        <v>1242.02</v>
      </c>
      <c r="G83" s="151">
        <v>1242.02</v>
      </c>
      <c r="H83" s="151">
        <v>1242.02</v>
      </c>
      <c r="I83" s="151">
        <v>1242.02</v>
      </c>
      <c r="J83" s="151">
        <v>1242.02</v>
      </c>
      <c r="K83" s="151">
        <v>1242.02</v>
      </c>
      <c r="L83" s="151">
        <v>1242.02</v>
      </c>
      <c r="M83" s="151">
        <v>1242.02</v>
      </c>
      <c r="N83" s="151">
        <v>1242.02</v>
      </c>
      <c r="O83" s="151">
        <v>1242.02</v>
      </c>
      <c r="P83" s="151">
        <v>1242.02</v>
      </c>
      <c r="Q83" s="151">
        <v>1242.02</v>
      </c>
      <c r="R83" s="151">
        <v>1242.02</v>
      </c>
      <c r="S83" s="151">
        <v>1242.02</v>
      </c>
      <c r="T83" s="151">
        <v>1242.02</v>
      </c>
      <c r="U83" s="151">
        <v>1242.02</v>
      </c>
      <c r="V83" s="25"/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8">
        <f t="shared" si="38"/>
        <v>20</v>
      </c>
      <c r="B84" s="173"/>
      <c r="C84" s="87" t="str">
        <f t="shared" ref="C84:D84" si="95">IF($B82&lt;&gt;"",C80,"")</f>
        <v>Tariff - fixed</v>
      </c>
      <c r="D84" s="87" t="str">
        <f t="shared" si="95"/>
        <v>EUR/month</v>
      </c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8">
        <f t="shared" si="38"/>
        <v>20</v>
      </c>
      <c r="B85" s="174"/>
      <c r="C85" s="87" t="str">
        <f t="shared" ref="C85:D85" si="96">IF($B82&lt;&gt;"",C81,"")</f>
        <v>Tariff - variable</v>
      </c>
      <c r="D85" s="87" t="str">
        <f t="shared" si="96"/>
        <v>EUR/MWh</v>
      </c>
      <c r="E85" s="151">
        <v>0.44597001940639269</v>
      </c>
      <c r="F85" s="151">
        <v>0.44597001940639269</v>
      </c>
      <c r="G85" s="151">
        <v>0.44597001940639269</v>
      </c>
      <c r="H85" s="151">
        <v>0.44597001940639269</v>
      </c>
      <c r="I85" s="151">
        <v>0.44597001940639269</v>
      </c>
      <c r="J85" s="151">
        <v>0.44597001940639269</v>
      </c>
      <c r="K85" s="151">
        <v>0.44597001940639269</v>
      </c>
      <c r="L85" s="151">
        <v>0.44597001940639269</v>
      </c>
      <c r="M85" s="151">
        <v>0.44597001940639269</v>
      </c>
      <c r="N85" s="151">
        <v>0.44597001940639269</v>
      </c>
      <c r="O85" s="151">
        <v>0.44597001940639269</v>
      </c>
      <c r="P85" s="151">
        <v>0.44597001940639269</v>
      </c>
      <c r="Q85" s="151">
        <v>0.44597001940639269</v>
      </c>
      <c r="R85" s="151">
        <v>0.44597001940639269</v>
      </c>
      <c r="S85" s="151">
        <v>0.44597001940639269</v>
      </c>
      <c r="T85" s="151">
        <v>0.44597001940639269</v>
      </c>
      <c r="U85" s="151">
        <v>0.44597001940639269</v>
      </c>
      <c r="V85" s="25" t="s">
        <v>382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8">
        <f t="shared" ref="A86" si="97">$A82+1</f>
        <v>21</v>
      </c>
      <c r="B86" s="172" t="str">
        <f>IFERROR(INDEX(TBL_TRANSIT[Name],$A86),"")</f>
        <v>GER_DÄ_Pipe</v>
      </c>
      <c r="C86" s="87" t="str">
        <f t="shared" ref="C86:D86" si="98">IF($B86&lt;&gt;"",C82,"")</f>
        <v>Capacity - Min</v>
      </c>
      <c r="D86" s="87" t="str">
        <f t="shared" si="98"/>
        <v>GWh/day</v>
      </c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x14ac:dyDescent="0.25">
      <c r="A87" s="88">
        <f t="shared" si="38"/>
        <v>21</v>
      </c>
      <c r="B87" s="173"/>
      <c r="C87" s="87" t="str">
        <f t="shared" ref="C87:D87" si="99">IF($B86&lt;&gt;"",C83,"")</f>
        <v>Capacity - Max</v>
      </c>
      <c r="D87" s="87" t="str">
        <f t="shared" si="99"/>
        <v>GWh/day</v>
      </c>
      <c r="E87" s="155">
        <v>10</v>
      </c>
      <c r="F87" s="155">
        <v>10</v>
      </c>
      <c r="G87" s="155">
        <v>10</v>
      </c>
      <c r="H87" s="155">
        <v>10</v>
      </c>
      <c r="I87" s="155">
        <v>10</v>
      </c>
      <c r="J87" s="155">
        <v>10</v>
      </c>
      <c r="K87" s="155">
        <v>10</v>
      </c>
      <c r="L87" s="155">
        <v>10</v>
      </c>
      <c r="M87" s="155">
        <v>10</v>
      </c>
      <c r="N87" s="155">
        <v>10</v>
      </c>
      <c r="O87" s="155">
        <v>10</v>
      </c>
      <c r="P87" s="155">
        <v>10</v>
      </c>
      <c r="Q87" s="155">
        <v>10</v>
      </c>
      <c r="R87" s="155">
        <v>10</v>
      </c>
      <c r="S87" s="155">
        <v>10</v>
      </c>
      <c r="T87" s="155">
        <v>10</v>
      </c>
      <c r="U87" s="155">
        <v>10</v>
      </c>
      <c r="V87" s="25"/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8">
        <f t="shared" si="38"/>
        <v>21</v>
      </c>
      <c r="B88" s="173"/>
      <c r="C88" s="87" t="str">
        <f t="shared" ref="C88:D88" si="100">IF($B86&lt;&gt;"",C84,"")</f>
        <v>Tariff - fixed</v>
      </c>
      <c r="D88" s="87" t="str">
        <f t="shared" si="100"/>
        <v>EUR/month</v>
      </c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8">
        <f t="shared" si="38"/>
        <v>21</v>
      </c>
      <c r="B89" s="174"/>
      <c r="C89" s="87" t="str">
        <f t="shared" ref="C89:D89" si="101">IF($B86&lt;&gt;"",C85,"")</f>
        <v>Tariff - variable</v>
      </c>
      <c r="D89" s="87" t="str">
        <f t="shared" si="101"/>
        <v>EUR/MWh</v>
      </c>
      <c r="E89" s="151">
        <v>0.73845890410958892</v>
      </c>
      <c r="F89" s="151">
        <v>0.73845890410958892</v>
      </c>
      <c r="G89" s="151">
        <v>0.73845890410958892</v>
      </c>
      <c r="H89" s="151">
        <v>0.73845890410958892</v>
      </c>
      <c r="I89" s="151">
        <v>0.73845890410958892</v>
      </c>
      <c r="J89" s="151">
        <v>0.73845890410958892</v>
      </c>
      <c r="K89" s="151">
        <v>0.73845890410958892</v>
      </c>
      <c r="L89" s="151">
        <v>0.73845890410958892</v>
      </c>
      <c r="M89" s="151">
        <v>0.73845890410958892</v>
      </c>
      <c r="N89" s="151">
        <v>0.73845890410958892</v>
      </c>
      <c r="O89" s="151">
        <v>0.73845890410958892</v>
      </c>
      <c r="P89" s="151">
        <v>0.73845890410958892</v>
      </c>
      <c r="Q89" s="151">
        <v>0.73845890410958892</v>
      </c>
      <c r="R89" s="151">
        <v>0.73845890410958892</v>
      </c>
      <c r="S89" s="151">
        <v>0.73845890410958892</v>
      </c>
      <c r="T89" s="151">
        <v>0.73845890410958892</v>
      </c>
      <c r="U89" s="151">
        <v>0.73845890410958892</v>
      </c>
      <c r="V89" s="25" t="s">
        <v>382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8">
        <f t="shared" ref="A90" si="102">$A86+1</f>
        <v>22</v>
      </c>
      <c r="B90" s="172" t="str">
        <f>IFERROR(INDEX(TBL_TRANSIT[Name],$A90),"")</f>
        <v>GER_NE_Pipe</v>
      </c>
      <c r="C90" s="87" t="str">
        <f t="shared" ref="C90:D90" si="103">IF($B90&lt;&gt;"",C86,"")</f>
        <v>Capacity - Min</v>
      </c>
      <c r="D90" s="87" t="str">
        <f t="shared" si="103"/>
        <v>GWh/day</v>
      </c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x14ac:dyDescent="0.25">
      <c r="A91" s="88">
        <f t="shared" si="38"/>
        <v>22</v>
      </c>
      <c r="B91" s="173"/>
      <c r="C91" s="87" t="str">
        <f t="shared" ref="C91:D91" si="104">IF($B90&lt;&gt;"",C87,"")</f>
        <v>Capacity - Max</v>
      </c>
      <c r="D91" s="87" t="str">
        <f t="shared" si="104"/>
        <v>GWh/day</v>
      </c>
      <c r="E91" s="151">
        <v>1115.5999999999999</v>
      </c>
      <c r="F91" s="151">
        <v>1115.5999999999999</v>
      </c>
      <c r="G91" s="151">
        <v>1115.5999999999999</v>
      </c>
      <c r="H91" s="151">
        <v>1115.5999999999999</v>
      </c>
      <c r="I91" s="151">
        <v>1115.5999999999999</v>
      </c>
      <c r="J91" s="151">
        <v>1115.5999999999999</v>
      </c>
      <c r="K91" s="151">
        <v>1115.5999999999999</v>
      </c>
      <c r="L91" s="151">
        <v>1115.5999999999999</v>
      </c>
      <c r="M91" s="151">
        <v>1115.5999999999999</v>
      </c>
      <c r="N91" s="151">
        <v>1115.5999999999999</v>
      </c>
      <c r="O91" s="151">
        <v>1115.5999999999999</v>
      </c>
      <c r="P91" s="151">
        <v>1115.5999999999999</v>
      </c>
      <c r="Q91" s="151">
        <v>1115.5999999999999</v>
      </c>
      <c r="R91" s="151">
        <v>1115.5999999999999</v>
      </c>
      <c r="S91" s="151">
        <v>1115.5999999999999</v>
      </c>
      <c r="T91" s="151">
        <v>1115.5999999999999</v>
      </c>
      <c r="U91" s="151">
        <v>1115.5999999999999</v>
      </c>
      <c r="V91" s="25"/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8">
        <f t="shared" si="38"/>
        <v>22</v>
      </c>
      <c r="B92" s="173"/>
      <c r="C92" s="87" t="str">
        <f t="shared" ref="C92:D92" si="105">IF($B90&lt;&gt;"",C88,"")</f>
        <v>Tariff - fixed</v>
      </c>
      <c r="D92" s="87" t="str">
        <f t="shared" si="105"/>
        <v>EUR/month</v>
      </c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8">
        <f t="shared" si="38"/>
        <v>22</v>
      </c>
      <c r="B93" s="174"/>
      <c r="C93" s="87" t="str">
        <f t="shared" ref="C93:D93" si="106">IF($B90&lt;&gt;"",C89,"")</f>
        <v>Tariff - variable</v>
      </c>
      <c r="D93" s="87" t="str">
        <f t="shared" si="106"/>
        <v>EUR/MWh</v>
      </c>
      <c r="E93" s="151">
        <v>0.72374429223744297</v>
      </c>
      <c r="F93" s="151">
        <v>0.72374429223744297</v>
      </c>
      <c r="G93" s="151">
        <v>0.72374429223744297</v>
      </c>
      <c r="H93" s="151">
        <v>0.72374429223744297</v>
      </c>
      <c r="I93" s="151">
        <v>0.72374429223744297</v>
      </c>
      <c r="J93" s="151">
        <v>0.72374429223744297</v>
      </c>
      <c r="K93" s="151">
        <v>0.72374429223744297</v>
      </c>
      <c r="L93" s="151">
        <v>0.72374429223744297</v>
      </c>
      <c r="M93" s="151">
        <v>0.72374429223744297</v>
      </c>
      <c r="N93" s="151">
        <v>0.72374429223744297</v>
      </c>
      <c r="O93" s="151">
        <v>0.72374429223744297</v>
      </c>
      <c r="P93" s="151">
        <v>0.72374429223744297</v>
      </c>
      <c r="Q93" s="151">
        <v>0.72374429223744297</v>
      </c>
      <c r="R93" s="151">
        <v>0.72374429223744297</v>
      </c>
      <c r="S93" s="151">
        <v>0.72374429223744297</v>
      </c>
      <c r="T93" s="151">
        <v>0.72374429223744297</v>
      </c>
      <c r="U93" s="151">
        <v>0.72374429223744297</v>
      </c>
      <c r="V93" s="25" t="s">
        <v>382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8">
        <f t="shared" ref="A94" si="107">$A90+1</f>
        <v>23</v>
      </c>
      <c r="B94" s="172" t="str">
        <f>IFERROR(INDEX(TBL_TRANSIT[Name],$A94),"")</f>
        <v>GER_CH_Pipe</v>
      </c>
      <c r="C94" s="87" t="str">
        <f t="shared" ref="C94:D94" si="108">IF($B94&lt;&gt;"",C90,"")</f>
        <v>Capacity - Min</v>
      </c>
      <c r="D94" s="87" t="str">
        <f t="shared" si="108"/>
        <v>GWh/day</v>
      </c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x14ac:dyDescent="0.25">
      <c r="A95" s="88">
        <f t="shared" si="38"/>
        <v>23</v>
      </c>
      <c r="B95" s="173"/>
      <c r="C95" s="87" t="str">
        <f t="shared" ref="C95:D95" si="109">IF($B94&lt;&gt;"",C91,"")</f>
        <v>Capacity - Max</v>
      </c>
      <c r="D95" s="87" t="str">
        <f t="shared" si="109"/>
        <v>GWh/day</v>
      </c>
      <c r="E95" s="151">
        <v>231.77</v>
      </c>
      <c r="F95" s="151">
        <v>231.77</v>
      </c>
      <c r="G95" s="151">
        <v>231.77</v>
      </c>
      <c r="H95" s="151">
        <v>231.77</v>
      </c>
      <c r="I95" s="151">
        <v>231.77</v>
      </c>
      <c r="J95" s="151">
        <v>231.77</v>
      </c>
      <c r="K95" s="151">
        <v>231.77</v>
      </c>
      <c r="L95" s="151">
        <v>231.77</v>
      </c>
      <c r="M95" s="151">
        <v>231.77</v>
      </c>
      <c r="N95" s="151">
        <v>231.77</v>
      </c>
      <c r="O95" s="151">
        <v>231.77</v>
      </c>
      <c r="P95" s="151">
        <v>231.77</v>
      </c>
      <c r="Q95" s="151">
        <v>231.77</v>
      </c>
      <c r="R95" s="151">
        <v>231.77</v>
      </c>
      <c r="S95" s="151">
        <v>231.77</v>
      </c>
      <c r="T95" s="151">
        <v>231.77</v>
      </c>
      <c r="U95" s="151">
        <v>231.77</v>
      </c>
      <c r="V95" s="25"/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8">
        <f t="shared" si="38"/>
        <v>23</v>
      </c>
      <c r="B96" s="173"/>
      <c r="C96" s="87" t="str">
        <f t="shared" ref="C96:D96" si="110">IF($B94&lt;&gt;"",C92,"")</f>
        <v>Tariff - fixed</v>
      </c>
      <c r="D96" s="87" t="str">
        <f t="shared" si="110"/>
        <v>EUR/month</v>
      </c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8">
        <f t="shared" si="38"/>
        <v>23</v>
      </c>
      <c r="B97" s="174"/>
      <c r="C97" s="87" t="str">
        <f t="shared" ref="C97:D97" si="111">IF($B94&lt;&gt;"",C93,"")</f>
        <v>Tariff - variable</v>
      </c>
      <c r="D97" s="87" t="str">
        <f t="shared" si="111"/>
        <v>EUR/MWh</v>
      </c>
      <c r="E97" s="151">
        <v>0.43378995433789952</v>
      </c>
      <c r="F97" s="151">
        <v>0.43378995433789952</v>
      </c>
      <c r="G97" s="151">
        <v>0.43378995433789952</v>
      </c>
      <c r="H97" s="151">
        <v>0.43378995433789952</v>
      </c>
      <c r="I97" s="151">
        <v>0.43378995433789952</v>
      </c>
      <c r="J97" s="151">
        <v>0.43378995433789952</v>
      </c>
      <c r="K97" s="151">
        <v>0.43378995433789952</v>
      </c>
      <c r="L97" s="151">
        <v>0.43378995433789952</v>
      </c>
      <c r="M97" s="151">
        <v>0.43378995433789952</v>
      </c>
      <c r="N97" s="151">
        <v>0.43378995433789952</v>
      </c>
      <c r="O97" s="151">
        <v>0.43378995433789952</v>
      </c>
      <c r="P97" s="151">
        <v>0.43378995433789952</v>
      </c>
      <c r="Q97" s="151">
        <v>0.43378995433789952</v>
      </c>
      <c r="R97" s="151">
        <v>0.43378995433789952</v>
      </c>
      <c r="S97" s="151">
        <v>0.43378995433789952</v>
      </c>
      <c r="T97" s="151">
        <v>0.43378995433789952</v>
      </c>
      <c r="U97" s="151">
        <v>0.43378995433789952</v>
      </c>
      <c r="V97" s="25" t="s">
        <v>382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8">
        <f t="shared" ref="A98" si="112">$A94+1</f>
        <v>24</v>
      </c>
      <c r="B98" s="172" t="str">
        <f>IFERROR(INDEX(TBL_TRANSIT[Name],$A98),"")</f>
        <v>HUN_AU_Pipe</v>
      </c>
      <c r="C98" s="87" t="str">
        <f t="shared" ref="C98:D98" si="113">IF($B98&lt;&gt;"",C94,"")</f>
        <v>Capacity - Min</v>
      </c>
      <c r="D98" s="87" t="str">
        <f t="shared" si="113"/>
        <v>GWh/day</v>
      </c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x14ac:dyDescent="0.25">
      <c r="A99" s="88">
        <f t="shared" si="38"/>
        <v>24</v>
      </c>
      <c r="B99" s="173"/>
      <c r="C99" s="87" t="str">
        <f t="shared" ref="C99:D99" si="114">IF($B98&lt;&gt;"",C95,"")</f>
        <v>Capacity - Max</v>
      </c>
      <c r="D99" s="87" t="str">
        <f t="shared" si="114"/>
        <v>GWh/day</v>
      </c>
      <c r="E99" s="151">
        <v>153.1</v>
      </c>
      <c r="F99" s="151">
        <v>153.1</v>
      </c>
      <c r="G99" s="151">
        <v>153.1</v>
      </c>
      <c r="H99" s="151">
        <v>153.1</v>
      </c>
      <c r="I99" s="151">
        <v>153.1</v>
      </c>
      <c r="J99" s="151">
        <v>153.1</v>
      </c>
      <c r="K99" s="151">
        <v>153.1</v>
      </c>
      <c r="L99" s="151">
        <v>153.1</v>
      </c>
      <c r="M99" s="151">
        <v>153.1</v>
      </c>
      <c r="N99" s="151">
        <v>153.1</v>
      </c>
      <c r="O99" s="151">
        <v>153.1</v>
      </c>
      <c r="P99" s="151">
        <v>153.1</v>
      </c>
      <c r="Q99" s="151">
        <v>153.1</v>
      </c>
      <c r="R99" s="151">
        <v>153.1</v>
      </c>
      <c r="S99" s="151">
        <v>153.1</v>
      </c>
      <c r="T99" s="151">
        <v>153.1</v>
      </c>
      <c r="U99" s="151">
        <v>153.1</v>
      </c>
      <c r="V99" s="25"/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8">
        <f t="shared" si="38"/>
        <v>24</v>
      </c>
      <c r="B100" s="173"/>
      <c r="C100" s="87" t="str">
        <f t="shared" ref="C100:D100" si="115">IF($B98&lt;&gt;"",C96,"")</f>
        <v>Tariff - fixed</v>
      </c>
      <c r="D100" s="87" t="str">
        <f t="shared" si="115"/>
        <v>EUR/month</v>
      </c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8">
        <f t="shared" si="38"/>
        <v>24</v>
      </c>
      <c r="B101" s="174"/>
      <c r="C101" s="87" t="str">
        <f t="shared" ref="C101:D101" si="116">IF($B98&lt;&gt;"",C97,"")</f>
        <v>Tariff - variable</v>
      </c>
      <c r="D101" s="87" t="str">
        <f t="shared" si="116"/>
        <v>EUR/MWh</v>
      </c>
      <c r="E101" s="151">
        <v>0.43093652968036533</v>
      </c>
      <c r="F101" s="151">
        <v>0.43093652968036533</v>
      </c>
      <c r="G101" s="151">
        <v>0.43093652968036533</v>
      </c>
      <c r="H101" s="151">
        <v>0.43093652968036533</v>
      </c>
      <c r="I101" s="151">
        <v>0.43093652968036533</v>
      </c>
      <c r="J101" s="151">
        <v>0.43093652968036533</v>
      </c>
      <c r="K101" s="151">
        <v>0.43093652968036533</v>
      </c>
      <c r="L101" s="151">
        <v>0.43093652968036533</v>
      </c>
      <c r="M101" s="151">
        <v>0.43093652968036533</v>
      </c>
      <c r="N101" s="151">
        <v>0.43093652968036533</v>
      </c>
      <c r="O101" s="151">
        <v>0.43093652968036533</v>
      </c>
      <c r="P101" s="151">
        <v>0.43093652968036533</v>
      </c>
      <c r="Q101" s="151">
        <v>0.43093652968036533</v>
      </c>
      <c r="R101" s="151">
        <v>0.43093652968036533</v>
      </c>
      <c r="S101" s="151">
        <v>0.43093652968036533</v>
      </c>
      <c r="T101" s="151">
        <v>0.43093652968036533</v>
      </c>
      <c r="U101" s="151">
        <v>0.43093652968036533</v>
      </c>
      <c r="V101" s="25" t="s">
        <v>382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8">
        <f t="shared" ref="A102" si="117">$A98+1</f>
        <v>25</v>
      </c>
      <c r="B102" s="172" t="str">
        <f>IFERROR(INDEX(TBL_TRANSIT[Name],$A102),"")</f>
        <v>HUN_SK_Pipe</v>
      </c>
      <c r="C102" s="87" t="str">
        <f t="shared" ref="C102:D102" si="118">IF($B102&lt;&gt;"",C98,"")</f>
        <v>Capacity - Min</v>
      </c>
      <c r="D102" s="87" t="str">
        <f t="shared" si="118"/>
        <v>GWh/day</v>
      </c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x14ac:dyDescent="0.25">
      <c r="A103" s="88">
        <f t="shared" ref="A103:A141" si="119">$A102</f>
        <v>25</v>
      </c>
      <c r="B103" s="173"/>
      <c r="C103" s="87" t="str">
        <f t="shared" ref="C103:D103" si="120">IF($B102&lt;&gt;"",C99,"")</f>
        <v>Capacity - Max</v>
      </c>
      <c r="D103" s="87" t="str">
        <f t="shared" si="120"/>
        <v>GWh/day</v>
      </c>
      <c r="E103" s="151">
        <v>126.97</v>
      </c>
      <c r="F103" s="151">
        <v>126.97</v>
      </c>
      <c r="G103" s="151">
        <v>126.97</v>
      </c>
      <c r="H103" s="151">
        <v>126.97</v>
      </c>
      <c r="I103" s="151">
        <v>126.97</v>
      </c>
      <c r="J103" s="151">
        <v>126.97</v>
      </c>
      <c r="K103" s="151">
        <v>126.97</v>
      </c>
      <c r="L103" s="151">
        <v>126.97</v>
      </c>
      <c r="M103" s="151">
        <v>126.97</v>
      </c>
      <c r="N103" s="151">
        <v>126.97</v>
      </c>
      <c r="O103" s="151">
        <v>126.97</v>
      </c>
      <c r="P103" s="151">
        <v>126.97</v>
      </c>
      <c r="Q103" s="151">
        <v>126.97</v>
      </c>
      <c r="R103" s="151">
        <v>126.97</v>
      </c>
      <c r="S103" s="151">
        <v>126.97</v>
      </c>
      <c r="T103" s="151">
        <v>126.97</v>
      </c>
      <c r="U103" s="151">
        <v>126.97</v>
      </c>
      <c r="V103" s="25"/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8">
        <f t="shared" si="119"/>
        <v>25</v>
      </c>
      <c r="B104" s="173"/>
      <c r="C104" s="87" t="str">
        <f t="shared" ref="C104:D104" si="121">IF($B102&lt;&gt;"",C100,"")</f>
        <v>Tariff - fixed</v>
      </c>
      <c r="D104" s="87" t="str">
        <f t="shared" si="121"/>
        <v>EUR/month</v>
      </c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8">
        <f t="shared" si="119"/>
        <v>25</v>
      </c>
      <c r="B105" s="174"/>
      <c r="C105" s="87" t="str">
        <f t="shared" ref="C105:D105" si="122">IF($B102&lt;&gt;"",C101,"")</f>
        <v>Tariff - variable</v>
      </c>
      <c r="D105" s="87" t="str">
        <f t="shared" si="122"/>
        <v>EUR/MWh</v>
      </c>
      <c r="E105" s="151">
        <v>0.56595022831050235</v>
      </c>
      <c r="F105" s="151">
        <v>0.56595022831050235</v>
      </c>
      <c r="G105" s="151">
        <v>0.56595022831050235</v>
      </c>
      <c r="H105" s="151">
        <v>0.56595022831050235</v>
      </c>
      <c r="I105" s="151">
        <v>0.56595022831050235</v>
      </c>
      <c r="J105" s="151">
        <v>0.56595022831050235</v>
      </c>
      <c r="K105" s="151">
        <v>0.56595022831050235</v>
      </c>
      <c r="L105" s="151">
        <v>0.56595022831050235</v>
      </c>
      <c r="M105" s="151">
        <v>0.56595022831050235</v>
      </c>
      <c r="N105" s="151">
        <v>0.56595022831050235</v>
      </c>
      <c r="O105" s="151">
        <v>0.56595022831050235</v>
      </c>
      <c r="P105" s="151">
        <v>0.56595022831050235</v>
      </c>
      <c r="Q105" s="151">
        <v>0.56595022831050235</v>
      </c>
      <c r="R105" s="151">
        <v>0.56595022831050235</v>
      </c>
      <c r="S105" s="151">
        <v>0.56595022831050235</v>
      </c>
      <c r="T105" s="151">
        <v>0.56595022831050235</v>
      </c>
      <c r="U105" s="151">
        <v>0.56595022831050235</v>
      </c>
      <c r="V105" s="25" t="s">
        <v>382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8">
        <f t="shared" ref="A106" si="123">$A102+1</f>
        <v>26</v>
      </c>
      <c r="B106" s="172" t="str">
        <f>IFERROR(INDEX(TBL_TRANSIT[Name],$A106),"")</f>
        <v>IT_AU_Pipe</v>
      </c>
      <c r="C106" s="87" t="str">
        <f t="shared" ref="C106:D106" si="124">IF($B106&lt;&gt;"",C102,"")</f>
        <v>Capacity - Min</v>
      </c>
      <c r="D106" s="87" t="str">
        <f t="shared" si="124"/>
        <v>GWh/day</v>
      </c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x14ac:dyDescent="0.25">
      <c r="A107" s="88">
        <f t="shared" si="119"/>
        <v>26</v>
      </c>
      <c r="B107" s="173"/>
      <c r="C107" s="87" t="str">
        <f t="shared" ref="C107:D107" si="125">IF($B106&lt;&gt;"",C103,"")</f>
        <v>Capacity - Max</v>
      </c>
      <c r="D107" s="87" t="str">
        <f t="shared" si="125"/>
        <v>GWh/day</v>
      </c>
      <c r="E107" s="151">
        <v>1148.8</v>
      </c>
      <c r="F107" s="151">
        <v>1148.8</v>
      </c>
      <c r="G107" s="151">
        <v>1148.8</v>
      </c>
      <c r="H107" s="151">
        <v>1148.8</v>
      </c>
      <c r="I107" s="151">
        <v>1148.8</v>
      </c>
      <c r="J107" s="151">
        <v>1148.8</v>
      </c>
      <c r="K107" s="151">
        <v>1148.8</v>
      </c>
      <c r="L107" s="151">
        <v>1148.8</v>
      </c>
      <c r="M107" s="151">
        <v>1148.8</v>
      </c>
      <c r="N107" s="151">
        <v>1148.8</v>
      </c>
      <c r="O107" s="151">
        <v>1148.8</v>
      </c>
      <c r="P107" s="151">
        <v>1148.8</v>
      </c>
      <c r="Q107" s="151">
        <v>1148.8</v>
      </c>
      <c r="R107" s="151">
        <v>1148.8</v>
      </c>
      <c r="S107" s="151">
        <v>1148.8</v>
      </c>
      <c r="T107" s="151">
        <v>1148.8</v>
      </c>
      <c r="U107" s="151">
        <v>1148.8</v>
      </c>
      <c r="V107" s="25"/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8">
        <f t="shared" si="119"/>
        <v>26</v>
      </c>
      <c r="B108" s="173"/>
      <c r="C108" s="87" t="str">
        <f t="shared" ref="C108:D108" si="126">IF($B106&lt;&gt;"",C104,"")</f>
        <v>Tariff - fixed</v>
      </c>
      <c r="D108" s="87" t="str">
        <f t="shared" si="126"/>
        <v>EUR/month</v>
      </c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8">
        <f t="shared" si="119"/>
        <v>26</v>
      </c>
      <c r="B109" s="174"/>
      <c r="C109" s="87" t="str">
        <f t="shared" ref="C109:D109" si="127">IF($B106&lt;&gt;"",C105,"")</f>
        <v>Tariff - variable</v>
      </c>
      <c r="D109" s="87" t="str">
        <f t="shared" si="127"/>
        <v>EUR/MWh</v>
      </c>
      <c r="E109" s="151">
        <v>0.57550656392694066</v>
      </c>
      <c r="F109" s="151">
        <v>0.57550656392694066</v>
      </c>
      <c r="G109" s="151">
        <v>0.57550656392694066</v>
      </c>
      <c r="H109" s="151">
        <v>0.57550656392694066</v>
      </c>
      <c r="I109" s="151">
        <v>0.57550656392694066</v>
      </c>
      <c r="J109" s="151">
        <v>0.57550656392694066</v>
      </c>
      <c r="K109" s="151">
        <v>0.57550656392694066</v>
      </c>
      <c r="L109" s="151">
        <v>0.57550656392694066</v>
      </c>
      <c r="M109" s="151">
        <v>0.57550656392694066</v>
      </c>
      <c r="N109" s="151">
        <v>0.57550656392694066</v>
      </c>
      <c r="O109" s="151">
        <v>0.57550656392694066</v>
      </c>
      <c r="P109" s="151">
        <v>0.57550656392694066</v>
      </c>
      <c r="Q109" s="151">
        <v>0.57550656392694066</v>
      </c>
      <c r="R109" s="151">
        <v>0.57550656392694066</v>
      </c>
      <c r="S109" s="151">
        <v>0.57550656392694066</v>
      </c>
      <c r="T109" s="151">
        <v>0.57550656392694066</v>
      </c>
      <c r="U109" s="151">
        <v>0.57550656392694066</v>
      </c>
      <c r="V109" s="25" t="s">
        <v>382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8">
        <f t="shared" ref="A110" si="128">$A106+1</f>
        <v>27</v>
      </c>
      <c r="B110" s="172" t="str">
        <f>IFERROR(INDEX(TBL_TRANSIT[Name],$A110),"")</f>
        <v>IT_SN_Pipe</v>
      </c>
      <c r="C110" s="87" t="str">
        <f t="shared" ref="C110:D110" si="129">IF($B110&lt;&gt;"",C106,"")</f>
        <v>Capacity - Min</v>
      </c>
      <c r="D110" s="87" t="str">
        <f t="shared" si="129"/>
        <v>GWh/day</v>
      </c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x14ac:dyDescent="0.25">
      <c r="A111" s="88">
        <f t="shared" si="119"/>
        <v>27</v>
      </c>
      <c r="B111" s="173"/>
      <c r="C111" s="87" t="str">
        <f t="shared" ref="C111:D111" si="130">IF($B110&lt;&gt;"",C107,"")</f>
        <v>Capacity - Max</v>
      </c>
      <c r="D111" s="87" t="str">
        <f t="shared" si="130"/>
        <v>GWh/day</v>
      </c>
      <c r="E111" s="151">
        <v>21.4</v>
      </c>
      <c r="F111" s="151">
        <v>21.4</v>
      </c>
      <c r="G111" s="151">
        <v>21.4</v>
      </c>
      <c r="H111" s="151">
        <v>21.4</v>
      </c>
      <c r="I111" s="151">
        <v>21.4</v>
      </c>
      <c r="J111" s="151">
        <v>21.4</v>
      </c>
      <c r="K111" s="151">
        <v>21.4</v>
      </c>
      <c r="L111" s="151">
        <v>21.4</v>
      </c>
      <c r="M111" s="151">
        <v>21.4</v>
      </c>
      <c r="N111" s="151">
        <v>21.4</v>
      </c>
      <c r="O111" s="151">
        <v>21.4</v>
      </c>
      <c r="P111" s="151">
        <v>21.4</v>
      </c>
      <c r="Q111" s="151">
        <v>21.4</v>
      </c>
      <c r="R111" s="151">
        <v>21.4</v>
      </c>
      <c r="S111" s="151">
        <v>21.4</v>
      </c>
      <c r="T111" s="151">
        <v>21.4</v>
      </c>
      <c r="U111" s="151">
        <v>21.4</v>
      </c>
      <c r="V111" s="25"/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8">
        <f t="shared" si="119"/>
        <v>27</v>
      </c>
      <c r="B112" s="173"/>
      <c r="C112" s="87" t="str">
        <f t="shared" ref="C112:D112" si="131">IF($B110&lt;&gt;"",C108,"")</f>
        <v>Tariff - fixed</v>
      </c>
      <c r="D112" s="87" t="str">
        <f t="shared" si="131"/>
        <v>EUR/month</v>
      </c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8">
        <f t="shared" si="119"/>
        <v>27</v>
      </c>
      <c r="B113" s="174"/>
      <c r="C113" s="87" t="str">
        <f t="shared" ref="C113:D113" si="132">IF($B110&lt;&gt;"",C109,"")</f>
        <v>Tariff - variable</v>
      </c>
      <c r="D113" s="87" t="str">
        <f t="shared" si="132"/>
        <v>EUR/MWh</v>
      </c>
      <c r="E113" s="151">
        <v>7.4179509132420093E-2</v>
      </c>
      <c r="F113" s="151">
        <v>7.4179509132420093E-2</v>
      </c>
      <c r="G113" s="151">
        <v>7.4179509132420093E-2</v>
      </c>
      <c r="H113" s="151">
        <v>7.4179509132420093E-2</v>
      </c>
      <c r="I113" s="151">
        <v>7.4179509132420093E-2</v>
      </c>
      <c r="J113" s="151">
        <v>7.4179509132420093E-2</v>
      </c>
      <c r="K113" s="151">
        <v>7.4179509132420093E-2</v>
      </c>
      <c r="L113" s="151">
        <v>7.4179509132420093E-2</v>
      </c>
      <c r="M113" s="151">
        <v>7.4179509132420093E-2</v>
      </c>
      <c r="N113" s="151">
        <v>7.4179509132420093E-2</v>
      </c>
      <c r="O113" s="151">
        <v>7.4179509132420093E-2</v>
      </c>
      <c r="P113" s="151">
        <v>7.4179509132420093E-2</v>
      </c>
      <c r="Q113" s="151">
        <v>7.4179509132420093E-2</v>
      </c>
      <c r="R113" s="151">
        <v>7.4179509132420093E-2</v>
      </c>
      <c r="S113" s="151">
        <v>7.4179509132420093E-2</v>
      </c>
      <c r="T113" s="151">
        <v>7.4179509132420093E-2</v>
      </c>
      <c r="U113" s="151">
        <v>7.4179509132420093E-2</v>
      </c>
      <c r="V113" s="25" t="s">
        <v>382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8">
        <f t="shared" ref="A114" si="133">$A110+1</f>
        <v>28</v>
      </c>
      <c r="B114" s="172" t="str">
        <f>IFERROR(INDEX(TBL_TRANSIT[Name],$A114),"")</f>
        <v>IT_CH_Pipe</v>
      </c>
      <c r="C114" s="87" t="str">
        <f t="shared" ref="C114:D114" si="134">IF($B114&lt;&gt;"",C110,"")</f>
        <v>Capacity - Min</v>
      </c>
      <c r="D114" s="87" t="str">
        <f t="shared" si="134"/>
        <v>GWh/day</v>
      </c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x14ac:dyDescent="0.25">
      <c r="A115" s="88">
        <f t="shared" si="119"/>
        <v>28</v>
      </c>
      <c r="B115" s="173"/>
      <c r="C115" s="87" t="str">
        <f t="shared" ref="C115:D115" si="135">IF($B114&lt;&gt;"",C111,"")</f>
        <v>Capacity - Max</v>
      </c>
      <c r="D115" s="87" t="str">
        <f t="shared" si="135"/>
        <v>GWh/day</v>
      </c>
      <c r="E115" s="151">
        <v>635.4</v>
      </c>
      <c r="F115" s="151">
        <v>635.4</v>
      </c>
      <c r="G115" s="151">
        <v>635.4</v>
      </c>
      <c r="H115" s="151">
        <v>635.4</v>
      </c>
      <c r="I115" s="151">
        <v>635.4</v>
      </c>
      <c r="J115" s="151">
        <v>635.4</v>
      </c>
      <c r="K115" s="151">
        <v>635.4</v>
      </c>
      <c r="L115" s="151">
        <v>635.4</v>
      </c>
      <c r="M115" s="151">
        <v>635.4</v>
      </c>
      <c r="N115" s="151">
        <v>635.4</v>
      </c>
      <c r="O115" s="151">
        <v>635.4</v>
      </c>
      <c r="P115" s="151">
        <v>635.4</v>
      </c>
      <c r="Q115" s="151">
        <v>635.4</v>
      </c>
      <c r="R115" s="151">
        <v>635.4</v>
      </c>
      <c r="S115" s="151">
        <v>635.4</v>
      </c>
      <c r="T115" s="151">
        <v>635.4</v>
      </c>
      <c r="U115" s="151">
        <v>635.4</v>
      </c>
      <c r="V115" s="25"/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8">
        <f t="shared" si="119"/>
        <v>28</v>
      </c>
      <c r="B116" s="173"/>
      <c r="C116" s="87" t="str">
        <f t="shared" ref="C116:D116" si="136">IF($B114&lt;&gt;"",C112,"")</f>
        <v>Tariff - fixed</v>
      </c>
      <c r="D116" s="87" t="str">
        <f t="shared" si="136"/>
        <v>EUR/month</v>
      </c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8">
        <f t="shared" si="119"/>
        <v>28</v>
      </c>
      <c r="B117" s="174"/>
      <c r="C117" s="87" t="str">
        <f t="shared" ref="C117:D117" si="137">IF($B114&lt;&gt;"",C113,"")</f>
        <v>Tariff - variable</v>
      </c>
      <c r="D117" s="87" t="str">
        <f t="shared" si="137"/>
        <v>EUR/MWh</v>
      </c>
      <c r="E117" s="151">
        <v>7.8244863013698623E-2</v>
      </c>
      <c r="F117" s="151">
        <v>7.8244863013698623E-2</v>
      </c>
      <c r="G117" s="151">
        <v>7.8244863013698623E-2</v>
      </c>
      <c r="H117" s="151">
        <v>7.8244863013698623E-2</v>
      </c>
      <c r="I117" s="151">
        <v>7.8244863013698623E-2</v>
      </c>
      <c r="J117" s="151">
        <v>7.8244863013698623E-2</v>
      </c>
      <c r="K117" s="151">
        <v>7.8244863013698623E-2</v>
      </c>
      <c r="L117" s="151">
        <v>7.8244863013698623E-2</v>
      </c>
      <c r="M117" s="151">
        <v>7.8244863013698623E-2</v>
      </c>
      <c r="N117" s="151">
        <v>7.8244863013698623E-2</v>
      </c>
      <c r="O117" s="151">
        <v>7.8244863013698623E-2</v>
      </c>
      <c r="P117" s="151">
        <v>7.8244863013698623E-2</v>
      </c>
      <c r="Q117" s="151">
        <v>7.8244863013698623E-2</v>
      </c>
      <c r="R117" s="151">
        <v>7.8244863013698623E-2</v>
      </c>
      <c r="S117" s="151">
        <v>7.8244863013698623E-2</v>
      </c>
      <c r="T117" s="151">
        <v>7.8244863013698623E-2</v>
      </c>
      <c r="U117" s="151">
        <v>7.8244863013698623E-2</v>
      </c>
      <c r="V117" s="25" t="s">
        <v>382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8">
        <f t="shared" ref="A118" si="138">$A114+1</f>
        <v>29</v>
      </c>
      <c r="B118" s="172" t="str">
        <f>IFERROR(INDEX(TBL_TRANSIT[Name],$A118),"")</f>
        <v>LI_PO_Pipe</v>
      </c>
      <c r="C118" s="87" t="str">
        <f t="shared" ref="C118:D118" si="139">IF($B118&lt;&gt;"",C114,"")</f>
        <v>Capacity - Min</v>
      </c>
      <c r="D118" s="87" t="str">
        <f t="shared" si="139"/>
        <v>GWh/day</v>
      </c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x14ac:dyDescent="0.25">
      <c r="A119" s="88">
        <f t="shared" si="119"/>
        <v>29</v>
      </c>
      <c r="B119" s="173"/>
      <c r="C119" s="87" t="str">
        <f t="shared" ref="C119:D119" si="140">IF($B118&lt;&gt;"",C115,"")</f>
        <v>Capacity - Max</v>
      </c>
      <c r="D119" s="87" t="str">
        <f t="shared" si="140"/>
        <v>GWh/day</v>
      </c>
      <c r="E119" s="151">
        <v>73.900000000000006</v>
      </c>
      <c r="F119" s="151">
        <v>73.900000000000006</v>
      </c>
      <c r="G119" s="151">
        <v>73.900000000000006</v>
      </c>
      <c r="H119" s="151">
        <v>73.900000000000006</v>
      </c>
      <c r="I119" s="151">
        <v>73.900000000000006</v>
      </c>
      <c r="J119" s="151">
        <v>73.900000000000006</v>
      </c>
      <c r="K119" s="151">
        <v>73.900000000000006</v>
      </c>
      <c r="L119" s="151">
        <v>73.900000000000006</v>
      </c>
      <c r="M119" s="151">
        <v>73.900000000000006</v>
      </c>
      <c r="N119" s="151">
        <v>73.900000000000006</v>
      </c>
      <c r="O119" s="151">
        <v>73.900000000000006</v>
      </c>
      <c r="P119" s="151">
        <v>73.900000000000006</v>
      </c>
      <c r="Q119" s="151">
        <v>73.900000000000006</v>
      </c>
      <c r="R119" s="151">
        <v>73.900000000000006</v>
      </c>
      <c r="S119" s="151">
        <v>73.900000000000006</v>
      </c>
      <c r="T119" s="151">
        <v>73.900000000000006</v>
      </c>
      <c r="U119" s="151">
        <v>73.900000000000006</v>
      </c>
      <c r="V119" s="25"/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8">
        <f t="shared" si="119"/>
        <v>29</v>
      </c>
      <c r="B120" s="173"/>
      <c r="C120" s="87" t="str">
        <f t="shared" ref="C120:D120" si="141">IF($B118&lt;&gt;"",C116,"")</f>
        <v>Tariff - fixed</v>
      </c>
      <c r="D120" s="87" t="str">
        <f t="shared" si="141"/>
        <v>EUR/month</v>
      </c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8">
        <f t="shared" si="119"/>
        <v>29</v>
      </c>
      <c r="B121" s="174"/>
      <c r="C121" s="87" t="str">
        <f t="shared" ref="C121:D121" si="142">IF($B118&lt;&gt;"",C117,"")</f>
        <v>Tariff - variable</v>
      </c>
      <c r="D121" s="87" t="str">
        <f t="shared" si="142"/>
        <v>EUR/MWh</v>
      </c>
      <c r="E121" s="151">
        <v>0.79903068493150686</v>
      </c>
      <c r="F121" s="151">
        <v>0.79903068493150686</v>
      </c>
      <c r="G121" s="151">
        <v>0.79903068493150686</v>
      </c>
      <c r="H121" s="151">
        <v>0.79903068493150686</v>
      </c>
      <c r="I121" s="151">
        <v>0.79903068493150686</v>
      </c>
      <c r="J121" s="151">
        <v>0.79903068493150686</v>
      </c>
      <c r="K121" s="151">
        <v>0.79903068493150686</v>
      </c>
      <c r="L121" s="151">
        <v>0.79903068493150686</v>
      </c>
      <c r="M121" s="151">
        <v>0.79903068493150686</v>
      </c>
      <c r="N121" s="151">
        <v>0.79903068493150686</v>
      </c>
      <c r="O121" s="151">
        <v>0.79903068493150686</v>
      </c>
      <c r="P121" s="151">
        <v>0.79903068493150686</v>
      </c>
      <c r="Q121" s="151">
        <v>0.79903068493150686</v>
      </c>
      <c r="R121" s="151">
        <v>0.79903068493150686</v>
      </c>
      <c r="S121" s="151">
        <v>0.79903068493150686</v>
      </c>
      <c r="T121" s="151">
        <v>0.79903068493150686</v>
      </c>
      <c r="U121" s="151">
        <v>0.79903068493150686</v>
      </c>
      <c r="V121" s="25" t="s">
        <v>382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8">
        <f t="shared" ref="A122" si="143">$A118+1</f>
        <v>30</v>
      </c>
      <c r="B122" s="172" t="str">
        <f>IFERROR(INDEX(TBL_TRANSIT[Name],$A122),"")</f>
        <v>NE_BE_Pipe</v>
      </c>
      <c r="C122" s="87" t="str">
        <f t="shared" ref="C122:D122" si="144">IF($B122&lt;&gt;"",C118,"")</f>
        <v>Capacity - Min</v>
      </c>
      <c r="D122" s="87" t="str">
        <f t="shared" si="144"/>
        <v>GWh/day</v>
      </c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x14ac:dyDescent="0.25">
      <c r="A123" s="88">
        <f t="shared" si="119"/>
        <v>30</v>
      </c>
      <c r="B123" s="173"/>
      <c r="C123" s="87" t="str">
        <f t="shared" ref="C123:D123" si="145">IF($B122&lt;&gt;"",C119,"")</f>
        <v>Capacity - Max</v>
      </c>
      <c r="D123" s="87" t="str">
        <f t="shared" si="145"/>
        <v>GWh/day</v>
      </c>
      <c r="E123" s="151">
        <v>271</v>
      </c>
      <c r="F123" s="151">
        <v>271</v>
      </c>
      <c r="G123" s="151">
        <v>271</v>
      </c>
      <c r="H123" s="151">
        <v>271</v>
      </c>
      <c r="I123" s="151">
        <v>271</v>
      </c>
      <c r="J123" s="151">
        <v>271</v>
      </c>
      <c r="K123" s="151">
        <v>271</v>
      </c>
      <c r="L123" s="151">
        <v>271</v>
      </c>
      <c r="M123" s="151">
        <v>271</v>
      </c>
      <c r="N123" s="151">
        <v>271</v>
      </c>
      <c r="O123" s="151">
        <v>271</v>
      </c>
      <c r="P123" s="151">
        <v>271</v>
      </c>
      <c r="Q123" s="151">
        <v>271</v>
      </c>
      <c r="R123" s="151">
        <v>271</v>
      </c>
      <c r="S123" s="151">
        <v>271</v>
      </c>
      <c r="T123" s="151">
        <v>271</v>
      </c>
      <c r="U123" s="151">
        <v>271</v>
      </c>
      <c r="V123" s="25"/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8">
        <f t="shared" si="119"/>
        <v>30</v>
      </c>
      <c r="B124" s="173"/>
      <c r="C124" s="87" t="str">
        <f t="shared" ref="C124:D124" si="146">IF($B122&lt;&gt;"",C120,"")</f>
        <v>Tariff - fixed</v>
      </c>
      <c r="D124" s="87" t="str">
        <f t="shared" si="146"/>
        <v>EUR/month</v>
      </c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8">
        <f t="shared" si="119"/>
        <v>30</v>
      </c>
      <c r="B125" s="174"/>
      <c r="C125" s="87" t="str">
        <f t="shared" ref="C125:D125" si="147">IF($B122&lt;&gt;"",C121,"")</f>
        <v>Tariff - variable</v>
      </c>
      <c r="D125" s="87" t="str">
        <f t="shared" si="147"/>
        <v>EUR/MWh</v>
      </c>
      <c r="E125" s="151">
        <v>0.35639269406392693</v>
      </c>
      <c r="F125" s="151">
        <v>0.35639269406392693</v>
      </c>
      <c r="G125" s="151">
        <v>0.35639269406392693</v>
      </c>
      <c r="H125" s="151">
        <v>0.35639269406392693</v>
      </c>
      <c r="I125" s="151">
        <v>0.35639269406392693</v>
      </c>
      <c r="J125" s="151">
        <v>0.35639269406392693</v>
      </c>
      <c r="K125" s="151">
        <v>0.35639269406392693</v>
      </c>
      <c r="L125" s="151">
        <v>0.35639269406392693</v>
      </c>
      <c r="M125" s="151">
        <v>0.35639269406392693</v>
      </c>
      <c r="N125" s="151">
        <v>0.35639269406392693</v>
      </c>
      <c r="O125" s="151">
        <v>0.35639269406392693</v>
      </c>
      <c r="P125" s="151">
        <v>0.35639269406392693</v>
      </c>
      <c r="Q125" s="151">
        <v>0.35639269406392693</v>
      </c>
      <c r="R125" s="151">
        <v>0.35639269406392693</v>
      </c>
      <c r="S125" s="151">
        <v>0.35639269406392693</v>
      </c>
      <c r="T125" s="151">
        <v>0.35639269406392693</v>
      </c>
      <c r="U125" s="151">
        <v>0.35639269406392693</v>
      </c>
      <c r="V125" s="25" t="s">
        <v>382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8">
        <f t="shared" ref="A126" si="148">$A122+1</f>
        <v>31</v>
      </c>
      <c r="B126" s="172" t="str">
        <f>IFERROR(INDEX(TBL_TRANSIT[Name],$A126),"")</f>
        <v>NE_GER_Pipe</v>
      </c>
      <c r="C126" s="87" t="str">
        <f t="shared" ref="C126:D126" si="149">IF($B126&lt;&gt;"",C122,"")</f>
        <v>Capacity - Min</v>
      </c>
      <c r="D126" s="87" t="str">
        <f t="shared" si="149"/>
        <v>GWh/day</v>
      </c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x14ac:dyDescent="0.25">
      <c r="A127" s="88">
        <f t="shared" si="119"/>
        <v>31</v>
      </c>
      <c r="B127" s="173"/>
      <c r="C127" s="87" t="str">
        <f t="shared" ref="C127:D127" si="150">IF($B126&lt;&gt;"",C123,"")</f>
        <v>Capacity - Max</v>
      </c>
      <c r="D127" s="87" t="str">
        <f t="shared" si="150"/>
        <v>GWh/day</v>
      </c>
      <c r="E127" s="151">
        <v>503.2</v>
      </c>
      <c r="F127" s="151">
        <v>503.2</v>
      </c>
      <c r="G127" s="151">
        <v>503.2</v>
      </c>
      <c r="H127" s="151">
        <v>503.2</v>
      </c>
      <c r="I127" s="151">
        <v>503.2</v>
      </c>
      <c r="J127" s="151">
        <v>503.2</v>
      </c>
      <c r="K127" s="151">
        <v>503.2</v>
      </c>
      <c r="L127" s="151">
        <v>503.2</v>
      </c>
      <c r="M127" s="151">
        <v>503.2</v>
      </c>
      <c r="N127" s="151">
        <v>503.2</v>
      </c>
      <c r="O127" s="151">
        <v>503.2</v>
      </c>
      <c r="P127" s="151">
        <v>503.2</v>
      </c>
      <c r="Q127" s="151">
        <v>503.2</v>
      </c>
      <c r="R127" s="151">
        <v>503.2</v>
      </c>
      <c r="S127" s="151">
        <v>503.2</v>
      </c>
      <c r="T127" s="151">
        <v>503.2</v>
      </c>
      <c r="U127" s="151">
        <v>503.2</v>
      </c>
      <c r="V127" s="25"/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8">
        <f t="shared" si="119"/>
        <v>31</v>
      </c>
      <c r="B128" s="173"/>
      <c r="C128" s="87" t="str">
        <f t="shared" ref="C128:D128" si="151">IF($B126&lt;&gt;"",C124,"")</f>
        <v>Tariff - fixed</v>
      </c>
      <c r="D128" s="87" t="str">
        <f t="shared" si="151"/>
        <v>EUR/month</v>
      </c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8">
        <f t="shared" si="119"/>
        <v>31</v>
      </c>
      <c r="B129" s="174"/>
      <c r="C129" s="87" t="str">
        <f t="shared" ref="C129:D129" si="152">IF($B126&lt;&gt;"",C125,"")</f>
        <v>Tariff - variable</v>
      </c>
      <c r="D129" s="87" t="str">
        <f t="shared" si="152"/>
        <v>EUR/MWh</v>
      </c>
      <c r="E129" s="151">
        <v>0.68207762557077622</v>
      </c>
      <c r="F129" s="151">
        <v>0.68207762557077622</v>
      </c>
      <c r="G129" s="151">
        <v>0.68207762557077622</v>
      </c>
      <c r="H129" s="151">
        <v>0.68207762557077622</v>
      </c>
      <c r="I129" s="151">
        <v>0.68207762557077622</v>
      </c>
      <c r="J129" s="151">
        <v>0.68207762557077622</v>
      </c>
      <c r="K129" s="151">
        <v>0.68207762557077622</v>
      </c>
      <c r="L129" s="151">
        <v>0.68207762557077622</v>
      </c>
      <c r="M129" s="151">
        <v>0.68207762557077622</v>
      </c>
      <c r="N129" s="151">
        <v>0.68207762557077622</v>
      </c>
      <c r="O129" s="151">
        <v>0.68207762557077622</v>
      </c>
      <c r="P129" s="151">
        <v>0.68207762557077622</v>
      </c>
      <c r="Q129" s="151">
        <v>0.68207762557077622</v>
      </c>
      <c r="R129" s="151">
        <v>0.68207762557077622</v>
      </c>
      <c r="S129" s="151">
        <v>0.68207762557077622</v>
      </c>
      <c r="T129" s="151">
        <v>0.68207762557077622</v>
      </c>
      <c r="U129" s="151">
        <v>0.68207762557077622</v>
      </c>
      <c r="V129" s="25" t="s">
        <v>382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8">
        <f t="shared" ref="A130" si="153">$A126+1</f>
        <v>32</v>
      </c>
      <c r="B130" s="172" t="str">
        <f>IFERROR(INDEX(TBL_TRANSIT[Name],$A130),"")</f>
        <v>PL_CZ_Pipe</v>
      </c>
      <c r="C130" s="87" t="str">
        <f t="shared" ref="C130:D130" si="154">IF($B130&lt;&gt;"",C126,"")</f>
        <v>Capacity - Min</v>
      </c>
      <c r="D130" s="87" t="str">
        <f t="shared" si="154"/>
        <v>GWh/day</v>
      </c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x14ac:dyDescent="0.25">
      <c r="A131" s="88">
        <f t="shared" si="119"/>
        <v>32</v>
      </c>
      <c r="B131" s="173"/>
      <c r="C131" s="87" t="str">
        <f t="shared" ref="C131:D131" si="155">IF($B130&lt;&gt;"",C127,"")</f>
        <v>Capacity - Max</v>
      </c>
      <c r="D131" s="87" t="str">
        <f t="shared" si="155"/>
        <v>GWh/day</v>
      </c>
      <c r="E131" s="151">
        <v>28</v>
      </c>
      <c r="F131" s="151">
        <v>28</v>
      </c>
      <c r="G131" s="151">
        <v>28</v>
      </c>
      <c r="H131" s="151">
        <v>28</v>
      </c>
      <c r="I131" s="151">
        <v>28</v>
      </c>
      <c r="J131" s="151">
        <v>28</v>
      </c>
      <c r="K131" s="151">
        <v>28</v>
      </c>
      <c r="L131" s="151">
        <v>28</v>
      </c>
      <c r="M131" s="151">
        <v>28</v>
      </c>
      <c r="N131" s="151">
        <v>28</v>
      </c>
      <c r="O131" s="151">
        <v>28</v>
      </c>
      <c r="P131" s="151">
        <v>28</v>
      </c>
      <c r="Q131" s="151">
        <v>28</v>
      </c>
      <c r="R131" s="151">
        <v>28</v>
      </c>
      <c r="S131" s="151">
        <v>28</v>
      </c>
      <c r="T131" s="151">
        <v>28</v>
      </c>
      <c r="U131" s="151">
        <v>28</v>
      </c>
      <c r="V131" s="25"/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8">
        <f t="shared" si="119"/>
        <v>32</v>
      </c>
      <c r="B132" s="173"/>
      <c r="C132" s="87" t="str">
        <f t="shared" ref="C132:D132" si="156">IF($B130&lt;&gt;"",C128,"")</f>
        <v>Tariff - fixed</v>
      </c>
      <c r="D132" s="87" t="str">
        <f t="shared" si="156"/>
        <v>EUR/month</v>
      </c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8">
        <f t="shared" si="119"/>
        <v>32</v>
      </c>
      <c r="B133" s="174"/>
      <c r="C133" s="87" t="str">
        <f t="shared" ref="C133:D133" si="157">IF($B130&lt;&gt;"",C129,"")</f>
        <v>Tariff - variable</v>
      </c>
      <c r="D133" s="87" t="str">
        <f t="shared" si="157"/>
        <v>EUR/MWh</v>
      </c>
      <c r="E133" s="151">
        <v>0.74214006506849317</v>
      </c>
      <c r="F133" s="151">
        <v>0.74214006506849317</v>
      </c>
      <c r="G133" s="151">
        <v>0.74214006506849317</v>
      </c>
      <c r="H133" s="151">
        <v>0.74214006506849317</v>
      </c>
      <c r="I133" s="151">
        <v>0.74214006506849317</v>
      </c>
      <c r="J133" s="151">
        <v>0.74214006506849317</v>
      </c>
      <c r="K133" s="151">
        <v>0.74214006506849317</v>
      </c>
      <c r="L133" s="151">
        <v>0.74214006506849317</v>
      </c>
      <c r="M133" s="151">
        <v>0.74214006506849317</v>
      </c>
      <c r="N133" s="151">
        <v>0.74214006506849317</v>
      </c>
      <c r="O133" s="151">
        <v>0.74214006506849317</v>
      </c>
      <c r="P133" s="151">
        <v>0.74214006506849317</v>
      </c>
      <c r="Q133" s="151">
        <v>0.74214006506849317</v>
      </c>
      <c r="R133" s="151">
        <v>0.74214006506849317</v>
      </c>
      <c r="S133" s="151">
        <v>0.74214006506849317</v>
      </c>
      <c r="T133" s="151">
        <v>0.74214006506849317</v>
      </c>
      <c r="U133" s="151">
        <v>0.74214006506849317</v>
      </c>
      <c r="V133" s="25" t="s">
        <v>382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8">
        <f t="shared" ref="A134" si="158">$A130+1</f>
        <v>33</v>
      </c>
      <c r="B134" s="172" t="str">
        <f>IFERROR(INDEX(TBL_TRANSIT[Name],$A134),"")</f>
        <v>PL_GER_Pipe</v>
      </c>
      <c r="C134" s="87" t="str">
        <f t="shared" ref="C134:D134" si="159">IF($B134&lt;&gt;"",C130,"")</f>
        <v>Capacity - Min</v>
      </c>
      <c r="D134" s="87" t="str">
        <f t="shared" si="159"/>
        <v>GWh/day</v>
      </c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x14ac:dyDescent="0.25">
      <c r="A135" s="88">
        <f t="shared" si="119"/>
        <v>33</v>
      </c>
      <c r="B135" s="173"/>
      <c r="C135" s="87" t="str">
        <f t="shared" ref="C135:D135" si="160">IF($B134&lt;&gt;"",C131,"")</f>
        <v>Capacity - Max</v>
      </c>
      <c r="D135" s="87" t="str">
        <f t="shared" si="160"/>
        <v>GWh/day</v>
      </c>
      <c r="E135" s="151">
        <v>48.7</v>
      </c>
      <c r="F135" s="151">
        <v>48.7</v>
      </c>
      <c r="G135" s="151">
        <v>48.7</v>
      </c>
      <c r="H135" s="151">
        <v>48.7</v>
      </c>
      <c r="I135" s="151">
        <v>48.7</v>
      </c>
      <c r="J135" s="151">
        <v>48.7</v>
      </c>
      <c r="K135" s="151">
        <v>48.7</v>
      </c>
      <c r="L135" s="151">
        <v>48.7</v>
      </c>
      <c r="M135" s="151">
        <v>48.7</v>
      </c>
      <c r="N135" s="151">
        <v>48.7</v>
      </c>
      <c r="O135" s="151">
        <v>48.7</v>
      </c>
      <c r="P135" s="151">
        <v>48.7</v>
      </c>
      <c r="Q135" s="151">
        <v>48.7</v>
      </c>
      <c r="R135" s="151">
        <v>48.7</v>
      </c>
      <c r="S135" s="151">
        <v>48.7</v>
      </c>
      <c r="T135" s="151">
        <v>48.7</v>
      </c>
      <c r="U135" s="151">
        <v>48.7</v>
      </c>
      <c r="V135" s="25"/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8">
        <f t="shared" si="119"/>
        <v>33</v>
      </c>
      <c r="B136" s="173"/>
      <c r="C136" s="87" t="str">
        <f t="shared" ref="C136:D136" si="161">IF($B134&lt;&gt;"",C132,"")</f>
        <v>Tariff - fixed</v>
      </c>
      <c r="D136" s="87" t="str">
        <f t="shared" si="161"/>
        <v>EUR/month</v>
      </c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8">
        <f t="shared" si="119"/>
        <v>33</v>
      </c>
      <c r="B137" s="174"/>
      <c r="C137" s="87" t="str">
        <f t="shared" ref="C137:D137" si="162">IF($B134&lt;&gt;"",C133,"")</f>
        <v>Tariff - variable</v>
      </c>
      <c r="D137" s="87" t="str">
        <f t="shared" si="162"/>
        <v>EUR/MWh</v>
      </c>
      <c r="E137" s="151">
        <v>1.1637499543378997</v>
      </c>
      <c r="F137" s="151">
        <v>1.1637499543378997</v>
      </c>
      <c r="G137" s="151">
        <v>1.1637499543378997</v>
      </c>
      <c r="H137" s="151">
        <v>1.1637499543378997</v>
      </c>
      <c r="I137" s="151">
        <v>1.1637499543378997</v>
      </c>
      <c r="J137" s="151">
        <v>1.1637499543378997</v>
      </c>
      <c r="K137" s="151">
        <v>1.1637499543378997</v>
      </c>
      <c r="L137" s="151">
        <v>1.1637499543378997</v>
      </c>
      <c r="M137" s="151">
        <v>1.1637499543378997</v>
      </c>
      <c r="N137" s="151">
        <v>1.1637499543378997</v>
      </c>
      <c r="O137" s="151">
        <v>1.1637499543378997</v>
      </c>
      <c r="P137" s="151">
        <v>1.1637499543378997</v>
      </c>
      <c r="Q137" s="151">
        <v>1.1637499543378997</v>
      </c>
      <c r="R137" s="151">
        <v>1.1637499543378997</v>
      </c>
      <c r="S137" s="151">
        <v>1.1637499543378997</v>
      </c>
      <c r="T137" s="151">
        <v>1.1637499543378997</v>
      </c>
      <c r="U137" s="151">
        <v>1.1637499543378997</v>
      </c>
      <c r="V137" s="25" t="s">
        <v>382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8">
        <f t="shared" ref="A138" si="163">$A134+1</f>
        <v>34</v>
      </c>
      <c r="B138" s="172" t="str">
        <f>IFERROR(INDEX(TBL_TRANSIT[Name],$A138),"")</f>
        <v>PL_Lit_Pipe</v>
      </c>
      <c r="C138" s="87" t="str">
        <f t="shared" ref="C138:D138" si="164">IF($B138&lt;&gt;"",C134,"")</f>
        <v>Capacity - Min</v>
      </c>
      <c r="D138" s="87" t="str">
        <f t="shared" si="164"/>
        <v>GWh/day</v>
      </c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x14ac:dyDescent="0.25">
      <c r="A139" s="88">
        <f t="shared" si="119"/>
        <v>34</v>
      </c>
      <c r="B139" s="173"/>
      <c r="C139" s="87" t="str">
        <f t="shared" ref="C139:D139" si="165">IF($B138&lt;&gt;"",C135,"")</f>
        <v>Capacity - Max</v>
      </c>
      <c r="D139" s="87" t="str">
        <f t="shared" si="165"/>
        <v>GWh/day</v>
      </c>
      <c r="E139" s="151">
        <v>58.3</v>
      </c>
      <c r="F139" s="151">
        <v>58.3</v>
      </c>
      <c r="G139" s="151">
        <v>58.3</v>
      </c>
      <c r="H139" s="151">
        <v>58.3</v>
      </c>
      <c r="I139" s="151">
        <v>58.3</v>
      </c>
      <c r="J139" s="151">
        <v>58.3</v>
      </c>
      <c r="K139" s="151">
        <v>58.3</v>
      </c>
      <c r="L139" s="151">
        <v>58.3</v>
      </c>
      <c r="M139" s="151">
        <v>58.3</v>
      </c>
      <c r="N139" s="151">
        <v>58.3</v>
      </c>
      <c r="O139" s="151">
        <v>58.3</v>
      </c>
      <c r="P139" s="151">
        <v>58.3</v>
      </c>
      <c r="Q139" s="151">
        <v>58.3</v>
      </c>
      <c r="R139" s="151">
        <v>58.3</v>
      </c>
      <c r="S139" s="151">
        <v>58.3</v>
      </c>
      <c r="T139" s="151">
        <v>58.3</v>
      </c>
      <c r="U139" s="151">
        <v>58.3</v>
      </c>
      <c r="V139" s="25"/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8">
        <f t="shared" si="119"/>
        <v>34</v>
      </c>
      <c r="B140" s="173"/>
      <c r="C140" s="87" t="str">
        <f t="shared" ref="C140:D140" si="166">IF($B138&lt;&gt;"",C136,"")</f>
        <v>Tariff - fixed</v>
      </c>
      <c r="D140" s="87" t="str">
        <f t="shared" si="166"/>
        <v>EUR/month</v>
      </c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8">
        <f t="shared" si="119"/>
        <v>34</v>
      </c>
      <c r="B141" s="174"/>
      <c r="C141" s="87" t="str">
        <f t="shared" ref="C141:D141" si="167">IF($B138&lt;&gt;"",C137,"")</f>
        <v>Tariff - variable</v>
      </c>
      <c r="D141" s="87" t="str">
        <f t="shared" si="167"/>
        <v>EUR/MWh</v>
      </c>
      <c r="E141" s="151">
        <v>1.1397956164383563</v>
      </c>
      <c r="F141" s="151">
        <v>1.1397956164383563</v>
      </c>
      <c r="G141" s="151">
        <v>1.1397956164383563</v>
      </c>
      <c r="H141" s="151">
        <v>1.1397956164383563</v>
      </c>
      <c r="I141" s="151">
        <v>1.1397956164383563</v>
      </c>
      <c r="J141" s="151">
        <v>1.1397956164383563</v>
      </c>
      <c r="K141" s="151">
        <v>1.1397956164383563</v>
      </c>
      <c r="L141" s="151">
        <v>1.1397956164383563</v>
      </c>
      <c r="M141" s="151">
        <v>1.1397956164383563</v>
      </c>
      <c r="N141" s="151">
        <v>1.1397956164383563</v>
      </c>
      <c r="O141" s="151">
        <v>1.1397956164383563</v>
      </c>
      <c r="P141" s="151">
        <v>1.1397956164383563</v>
      </c>
      <c r="Q141" s="151">
        <v>1.1397956164383563</v>
      </c>
      <c r="R141" s="151">
        <v>1.1397956164383563</v>
      </c>
      <c r="S141" s="151">
        <v>1.1397956164383563</v>
      </c>
      <c r="T141" s="151">
        <v>1.1397956164383563</v>
      </c>
      <c r="U141" s="151">
        <v>1.1397956164383563</v>
      </c>
      <c r="V141" s="25" t="s">
        <v>382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8">
        <f t="shared" ref="A142" si="168">$A138+1</f>
        <v>35</v>
      </c>
      <c r="B142" s="172" t="str">
        <f>IFERROR(INDEX(TBL_TRANSIT[Name],$A142),"")</f>
        <v>PL_SK_Pipe</v>
      </c>
      <c r="C142" s="87" t="str">
        <f t="shared" ref="C142:D142" si="169">IF($B142&lt;&gt;"",C138,"")</f>
        <v>Capacity - Min</v>
      </c>
      <c r="D142" s="87" t="str">
        <f t="shared" si="169"/>
        <v>GWh/day</v>
      </c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x14ac:dyDescent="0.25">
      <c r="A143" s="88">
        <f t="shared" ref="A143:A197" si="170">$A142</f>
        <v>35</v>
      </c>
      <c r="B143" s="173"/>
      <c r="C143" s="87" t="str">
        <f t="shared" ref="C143:D143" si="171">IF($B142&lt;&gt;"",C139,"")</f>
        <v>Capacity - Max</v>
      </c>
      <c r="D143" s="87" t="str">
        <f t="shared" si="171"/>
        <v>GWh/day</v>
      </c>
      <c r="E143" s="151">
        <v>174.5</v>
      </c>
      <c r="F143" s="151">
        <v>174.5</v>
      </c>
      <c r="G143" s="151">
        <v>174.5</v>
      </c>
      <c r="H143" s="151">
        <v>174.5</v>
      </c>
      <c r="I143" s="151">
        <v>174.5</v>
      </c>
      <c r="J143" s="151">
        <v>174.5</v>
      </c>
      <c r="K143" s="151">
        <v>174.5</v>
      </c>
      <c r="L143" s="151">
        <v>174.5</v>
      </c>
      <c r="M143" s="151">
        <v>174.5</v>
      </c>
      <c r="N143" s="151">
        <v>174.5</v>
      </c>
      <c r="O143" s="151">
        <v>174.5</v>
      </c>
      <c r="P143" s="151">
        <v>174.5</v>
      </c>
      <c r="Q143" s="151">
        <v>174.5</v>
      </c>
      <c r="R143" s="151">
        <v>174.5</v>
      </c>
      <c r="S143" s="151">
        <v>174.5</v>
      </c>
      <c r="T143" s="151">
        <v>174.5</v>
      </c>
      <c r="U143" s="151">
        <v>174.5</v>
      </c>
      <c r="V143" s="25"/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8">
        <f t="shared" si="170"/>
        <v>35</v>
      </c>
      <c r="B144" s="173"/>
      <c r="C144" s="87" t="str">
        <f t="shared" ref="C144:D144" si="172">IF($B142&lt;&gt;"",C140,"")</f>
        <v>Tariff - fixed</v>
      </c>
      <c r="D144" s="87" t="str">
        <f t="shared" si="172"/>
        <v>EUR/month</v>
      </c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8">
        <f t="shared" si="170"/>
        <v>35</v>
      </c>
      <c r="B145" s="174"/>
      <c r="C145" s="87" t="str">
        <f t="shared" ref="C145:D145" si="173">IF($B142&lt;&gt;"",C141,"")</f>
        <v>Tariff - variable</v>
      </c>
      <c r="D145" s="87" t="str">
        <f t="shared" si="173"/>
        <v>EUR/MWh</v>
      </c>
      <c r="E145" s="151">
        <v>0.97212438356164388</v>
      </c>
      <c r="F145" s="151">
        <v>0.97212438356164388</v>
      </c>
      <c r="G145" s="151">
        <v>0.97212438356164388</v>
      </c>
      <c r="H145" s="151">
        <v>0.97212438356164388</v>
      </c>
      <c r="I145" s="151">
        <v>0.97212438356164388</v>
      </c>
      <c r="J145" s="151">
        <v>0.97212438356164388</v>
      </c>
      <c r="K145" s="151">
        <v>0.97212438356164388</v>
      </c>
      <c r="L145" s="151">
        <v>0.97212438356164388</v>
      </c>
      <c r="M145" s="151">
        <v>0.97212438356164388</v>
      </c>
      <c r="N145" s="151">
        <v>0.97212438356164388</v>
      </c>
      <c r="O145" s="151">
        <v>0.97212438356164388</v>
      </c>
      <c r="P145" s="151">
        <v>0.97212438356164388</v>
      </c>
      <c r="Q145" s="151">
        <v>0.97212438356164388</v>
      </c>
      <c r="R145" s="151">
        <v>0.97212438356164388</v>
      </c>
      <c r="S145" s="151">
        <v>0.97212438356164388</v>
      </c>
      <c r="T145" s="151">
        <v>0.97212438356164388</v>
      </c>
      <c r="U145" s="151">
        <v>0.97212438356164388</v>
      </c>
      <c r="V145" s="25" t="s">
        <v>382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8">
        <f t="shared" ref="A146" si="174">$A142+1</f>
        <v>36</v>
      </c>
      <c r="B146" s="172" t="str">
        <f>IFERROR(INDEX(TBL_TRANSIT[Name],$A146),"")</f>
        <v>SK_AU_Pipe</v>
      </c>
      <c r="C146" s="87" t="str">
        <f t="shared" ref="C146:D146" si="175">IF($B146&lt;&gt;"",C142,"")</f>
        <v>Capacity - Min</v>
      </c>
      <c r="D146" s="87" t="str">
        <f t="shared" si="175"/>
        <v>GWh/day</v>
      </c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x14ac:dyDescent="0.25">
      <c r="A147" s="88">
        <f t="shared" si="170"/>
        <v>36</v>
      </c>
      <c r="B147" s="173"/>
      <c r="C147" s="87" t="str">
        <f t="shared" ref="C147:D147" si="176">IF($B146&lt;&gt;"",C143,"")</f>
        <v>Capacity - Max</v>
      </c>
      <c r="D147" s="87" t="str">
        <f t="shared" si="176"/>
        <v>GWh/day</v>
      </c>
      <c r="E147" s="151">
        <v>246.5</v>
      </c>
      <c r="F147" s="151">
        <v>246.5</v>
      </c>
      <c r="G147" s="151">
        <v>246.5</v>
      </c>
      <c r="H147" s="151">
        <v>246.5</v>
      </c>
      <c r="I147" s="151">
        <v>246.5</v>
      </c>
      <c r="J147" s="151">
        <v>246.5</v>
      </c>
      <c r="K147" s="151">
        <v>246.5</v>
      </c>
      <c r="L147" s="151">
        <v>246.5</v>
      </c>
      <c r="M147" s="151">
        <v>246.5</v>
      </c>
      <c r="N147" s="151">
        <v>246.5</v>
      </c>
      <c r="O147" s="151">
        <v>246.5</v>
      </c>
      <c r="P147" s="151">
        <v>246.5</v>
      </c>
      <c r="Q147" s="151">
        <v>246.5</v>
      </c>
      <c r="R147" s="151">
        <v>246.5</v>
      </c>
      <c r="S147" s="151">
        <v>246.5</v>
      </c>
      <c r="T147" s="151">
        <v>246.5</v>
      </c>
      <c r="U147" s="151">
        <v>246.5</v>
      </c>
      <c r="V147" s="25"/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8">
        <f t="shared" si="170"/>
        <v>36</v>
      </c>
      <c r="B148" s="173"/>
      <c r="C148" s="87" t="str">
        <f t="shared" ref="C148:D148" si="177">IF($B146&lt;&gt;"",C144,"")</f>
        <v>Tariff - fixed</v>
      </c>
      <c r="D148" s="87" t="str">
        <f t="shared" si="177"/>
        <v>EUR/month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8">
        <f t="shared" si="170"/>
        <v>36</v>
      </c>
      <c r="B149" s="174"/>
      <c r="C149" s="87" t="str">
        <f t="shared" ref="C149:D149" si="178">IF($B146&lt;&gt;"",C145,"")</f>
        <v>Tariff - variable</v>
      </c>
      <c r="D149" s="87" t="str">
        <f t="shared" si="178"/>
        <v>EUR/MWh</v>
      </c>
      <c r="E149" s="151">
        <v>0.2962739726027398</v>
      </c>
      <c r="F149" s="151">
        <v>0.2962739726027398</v>
      </c>
      <c r="G149" s="151">
        <v>0.2962739726027398</v>
      </c>
      <c r="H149" s="151">
        <v>0.2962739726027398</v>
      </c>
      <c r="I149" s="151">
        <v>0.2962739726027398</v>
      </c>
      <c r="J149" s="151">
        <v>0.2962739726027398</v>
      </c>
      <c r="K149" s="151">
        <v>0.2962739726027398</v>
      </c>
      <c r="L149" s="151">
        <v>0.2962739726027398</v>
      </c>
      <c r="M149" s="151">
        <v>0.2962739726027398</v>
      </c>
      <c r="N149" s="151">
        <v>0.2962739726027398</v>
      </c>
      <c r="O149" s="151">
        <v>0.2962739726027398</v>
      </c>
      <c r="P149" s="151">
        <v>0.2962739726027398</v>
      </c>
      <c r="Q149" s="151">
        <v>0.2962739726027398</v>
      </c>
      <c r="R149" s="151">
        <v>0.2962739726027398</v>
      </c>
      <c r="S149" s="151">
        <v>0.2962739726027398</v>
      </c>
      <c r="T149" s="151">
        <v>0.2962739726027398</v>
      </c>
      <c r="U149" s="151">
        <v>0.2962739726027398</v>
      </c>
      <c r="V149" s="25" t="s">
        <v>382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8">
        <f t="shared" ref="A150" si="179">$A146+1</f>
        <v>37</v>
      </c>
      <c r="B150" s="172" t="str">
        <f>IFERROR(INDEX(TBL_TRANSIT[Name],$A150),"")</f>
        <v>SK_CZ_Pipe</v>
      </c>
      <c r="C150" s="87" t="str">
        <f t="shared" ref="C150:D150" si="180">IF($B150&lt;&gt;"",C146,"")</f>
        <v>Capacity - Min</v>
      </c>
      <c r="D150" s="87" t="str">
        <f t="shared" si="180"/>
        <v>GWh/day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x14ac:dyDescent="0.25">
      <c r="A151" s="88">
        <f t="shared" si="170"/>
        <v>37</v>
      </c>
      <c r="B151" s="173"/>
      <c r="C151" s="87" t="str">
        <f t="shared" ref="C151:D151" si="181">IF($B150&lt;&gt;"",C147,"")</f>
        <v>Capacity - Max</v>
      </c>
      <c r="D151" s="87" t="str">
        <f t="shared" si="181"/>
        <v>GWh/day</v>
      </c>
      <c r="E151" s="151">
        <v>1246.7</v>
      </c>
      <c r="F151" s="151">
        <v>1246.7</v>
      </c>
      <c r="G151" s="151">
        <v>1246.7</v>
      </c>
      <c r="H151" s="151">
        <v>1246.7</v>
      </c>
      <c r="I151" s="151">
        <v>1246.7</v>
      </c>
      <c r="J151" s="151">
        <v>1246.7</v>
      </c>
      <c r="K151" s="151">
        <v>1246.7</v>
      </c>
      <c r="L151" s="151">
        <v>1246.7</v>
      </c>
      <c r="M151" s="151">
        <v>1246.7</v>
      </c>
      <c r="N151" s="151">
        <v>1246.7</v>
      </c>
      <c r="O151" s="151">
        <v>1246.7</v>
      </c>
      <c r="P151" s="151">
        <v>1246.7</v>
      </c>
      <c r="Q151" s="151">
        <v>1246.7</v>
      </c>
      <c r="R151" s="151">
        <v>1246.7</v>
      </c>
      <c r="S151" s="151">
        <v>1246.7</v>
      </c>
      <c r="T151" s="151">
        <v>1246.7</v>
      </c>
      <c r="U151" s="151">
        <v>1246.7</v>
      </c>
      <c r="V151" s="25"/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8">
        <f t="shared" si="170"/>
        <v>37</v>
      </c>
      <c r="B152" s="173"/>
      <c r="C152" s="87" t="str">
        <f t="shared" ref="C152:D152" si="182">IF($B150&lt;&gt;"",C148,"")</f>
        <v>Tariff - fixed</v>
      </c>
      <c r="D152" s="87" t="str">
        <f t="shared" si="182"/>
        <v>EUR/month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8">
        <f t="shared" si="170"/>
        <v>37</v>
      </c>
      <c r="B153" s="174"/>
      <c r="C153" s="87" t="str">
        <f t="shared" ref="C153:D153" si="183">IF($B150&lt;&gt;"",C149,"")</f>
        <v>Tariff - variable</v>
      </c>
      <c r="D153" s="87" t="str">
        <f t="shared" si="183"/>
        <v>EUR/MWh</v>
      </c>
      <c r="E153" s="151">
        <v>0.16804307876712329</v>
      </c>
      <c r="F153" s="151">
        <v>0.16804307876712329</v>
      </c>
      <c r="G153" s="151">
        <v>0.16804307876712329</v>
      </c>
      <c r="H153" s="151">
        <v>0.16804307876712329</v>
      </c>
      <c r="I153" s="151">
        <v>0.16804307876712329</v>
      </c>
      <c r="J153" s="151">
        <v>0.16804307876712329</v>
      </c>
      <c r="K153" s="151">
        <v>0.16804307876712329</v>
      </c>
      <c r="L153" s="151">
        <v>0.16804307876712329</v>
      </c>
      <c r="M153" s="151">
        <v>0.16804307876712329</v>
      </c>
      <c r="N153" s="151">
        <v>0.16804307876712329</v>
      </c>
      <c r="O153" s="151">
        <v>0.16804307876712329</v>
      </c>
      <c r="P153" s="151">
        <v>0.16804307876712329</v>
      </c>
      <c r="Q153" s="151">
        <v>0.16804307876712329</v>
      </c>
      <c r="R153" s="151">
        <v>0.16804307876712329</v>
      </c>
      <c r="S153" s="151">
        <v>0.16804307876712329</v>
      </c>
      <c r="T153" s="151">
        <v>0.16804307876712329</v>
      </c>
      <c r="U153" s="151">
        <v>0.16804307876712329</v>
      </c>
      <c r="V153" s="25" t="s">
        <v>382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8">
        <f t="shared" ref="A154" si="184">$A150+1</f>
        <v>38</v>
      </c>
      <c r="B154" s="172" t="str">
        <f>IFERROR(INDEX(TBL_TRANSIT[Name],$A154),"")</f>
        <v>SK_HUN_Pipe</v>
      </c>
      <c r="C154" s="87" t="str">
        <f t="shared" ref="C154:D154" si="185">IF($B154&lt;&gt;"",C150,"")</f>
        <v>Capacity - Min</v>
      </c>
      <c r="D154" s="87" t="str">
        <f t="shared" si="185"/>
        <v>GWh/day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x14ac:dyDescent="0.25">
      <c r="A155" s="88">
        <f t="shared" si="170"/>
        <v>38</v>
      </c>
      <c r="B155" s="173"/>
      <c r="C155" s="87" t="str">
        <f t="shared" ref="C155:D155" si="186">IF($B154&lt;&gt;"",C151,"")</f>
        <v>Capacity - Max</v>
      </c>
      <c r="D155" s="87" t="str">
        <f t="shared" si="186"/>
        <v>GWh/day</v>
      </c>
      <c r="E155" s="151">
        <v>50.8</v>
      </c>
      <c r="F155" s="151">
        <v>50.8</v>
      </c>
      <c r="G155" s="151">
        <v>50.8</v>
      </c>
      <c r="H155" s="151">
        <v>50.8</v>
      </c>
      <c r="I155" s="151">
        <v>50.8</v>
      </c>
      <c r="J155" s="151">
        <v>50.8</v>
      </c>
      <c r="K155" s="151">
        <v>50.8</v>
      </c>
      <c r="L155" s="151">
        <v>50.8</v>
      </c>
      <c r="M155" s="151">
        <v>50.8</v>
      </c>
      <c r="N155" s="151">
        <v>50.8</v>
      </c>
      <c r="O155" s="151">
        <v>50.8</v>
      </c>
      <c r="P155" s="151">
        <v>50.8</v>
      </c>
      <c r="Q155" s="151">
        <v>50.8</v>
      </c>
      <c r="R155" s="151">
        <v>50.8</v>
      </c>
      <c r="S155" s="151">
        <v>50.8</v>
      </c>
      <c r="T155" s="151">
        <v>50.8</v>
      </c>
      <c r="U155" s="151">
        <v>50.8</v>
      </c>
      <c r="V155" s="25"/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8">
        <f t="shared" si="170"/>
        <v>38</v>
      </c>
      <c r="B156" s="173"/>
      <c r="C156" s="87" t="str">
        <f t="shared" ref="C156:D156" si="187">IF($B154&lt;&gt;"",C152,"")</f>
        <v>Tariff - fixed</v>
      </c>
      <c r="D156" s="87" t="str">
        <f t="shared" si="187"/>
        <v>EUR/month</v>
      </c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8">
        <f t="shared" si="170"/>
        <v>38</v>
      </c>
      <c r="B157" s="174"/>
      <c r="C157" s="87" t="str">
        <f t="shared" ref="C157:D157" si="188">IF($B154&lt;&gt;"",C153,"")</f>
        <v>Tariff - variable</v>
      </c>
      <c r="D157" s="87" t="str">
        <f t="shared" si="188"/>
        <v>EUR/MWh</v>
      </c>
      <c r="E157" s="151">
        <v>0.44439817351598176</v>
      </c>
      <c r="F157" s="151">
        <v>0.44439817351598176</v>
      </c>
      <c r="G157" s="151">
        <v>0.44439817351598176</v>
      </c>
      <c r="H157" s="151">
        <v>0.44439817351598176</v>
      </c>
      <c r="I157" s="151">
        <v>0.44439817351598176</v>
      </c>
      <c r="J157" s="151">
        <v>0.44439817351598176</v>
      </c>
      <c r="K157" s="151">
        <v>0.44439817351598176</v>
      </c>
      <c r="L157" s="151">
        <v>0.44439817351598176</v>
      </c>
      <c r="M157" s="151">
        <v>0.44439817351598176</v>
      </c>
      <c r="N157" s="151">
        <v>0.44439817351598176</v>
      </c>
      <c r="O157" s="151">
        <v>0.44439817351598176</v>
      </c>
      <c r="P157" s="151">
        <v>0.44439817351598176</v>
      </c>
      <c r="Q157" s="151">
        <v>0.44439817351598176</v>
      </c>
      <c r="R157" s="151">
        <v>0.44439817351598176</v>
      </c>
      <c r="S157" s="151">
        <v>0.44439817351598176</v>
      </c>
      <c r="T157" s="151">
        <v>0.44439817351598176</v>
      </c>
      <c r="U157" s="151">
        <v>0.44439817351598176</v>
      </c>
      <c r="V157" s="25" t="s">
        <v>382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8">
        <f t="shared" ref="A158" si="189">$A154+1</f>
        <v>39</v>
      </c>
      <c r="B158" s="172" t="str">
        <f>IFERROR(INDEX(TBL_TRANSIT[Name],$A158),"")</f>
        <v>SK_PL_Pipe</v>
      </c>
      <c r="C158" s="87" t="str">
        <f t="shared" ref="C158:D158" si="190">IF($B158&lt;&gt;"",C154,"")</f>
        <v>Capacity - Min</v>
      </c>
      <c r="D158" s="87" t="str">
        <f t="shared" si="190"/>
        <v>GWh/day</v>
      </c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x14ac:dyDescent="0.25">
      <c r="A159" s="88">
        <f t="shared" si="170"/>
        <v>39</v>
      </c>
      <c r="B159" s="173"/>
      <c r="C159" s="87" t="str">
        <f t="shared" ref="C159:D159" si="191">IF($B158&lt;&gt;"",C155,"")</f>
        <v>Capacity - Max</v>
      </c>
      <c r="D159" s="87" t="str">
        <f t="shared" si="191"/>
        <v>GWh/day</v>
      </c>
      <c r="E159" s="151">
        <v>143.9</v>
      </c>
      <c r="F159" s="151">
        <v>143.9</v>
      </c>
      <c r="G159" s="151">
        <v>143.9</v>
      </c>
      <c r="H159" s="151">
        <v>143.9</v>
      </c>
      <c r="I159" s="151">
        <v>143.9</v>
      </c>
      <c r="J159" s="151">
        <v>143.9</v>
      </c>
      <c r="K159" s="151">
        <v>143.9</v>
      </c>
      <c r="L159" s="151">
        <v>143.9</v>
      </c>
      <c r="M159" s="151">
        <v>143.9</v>
      </c>
      <c r="N159" s="151">
        <v>143.9</v>
      </c>
      <c r="O159" s="151">
        <v>143.9</v>
      </c>
      <c r="P159" s="151">
        <v>143.9</v>
      </c>
      <c r="Q159" s="151">
        <v>143.9</v>
      </c>
      <c r="R159" s="151">
        <v>143.9</v>
      </c>
      <c r="S159" s="151">
        <v>143.9</v>
      </c>
      <c r="T159" s="151">
        <v>143.9</v>
      </c>
      <c r="U159" s="151">
        <v>143.9</v>
      </c>
      <c r="V159" s="25"/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8">
        <f t="shared" si="170"/>
        <v>39</v>
      </c>
      <c r="B160" s="173"/>
      <c r="C160" s="87" t="str">
        <f t="shared" ref="C160:D160" si="192">IF($B158&lt;&gt;"",C156,"")</f>
        <v>Tariff - fixed</v>
      </c>
      <c r="D160" s="87" t="str">
        <f t="shared" si="192"/>
        <v>EUR/month</v>
      </c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8">
        <f t="shared" si="170"/>
        <v>39</v>
      </c>
      <c r="B161" s="174"/>
      <c r="C161" s="87" t="str">
        <f t="shared" ref="C161:D161" si="193">IF($B158&lt;&gt;"",C157,"")</f>
        <v>Tariff - variable</v>
      </c>
      <c r="D161" s="87" t="str">
        <f t="shared" si="193"/>
        <v>EUR/MWh</v>
      </c>
      <c r="E161" s="151">
        <v>0.56374301369863011</v>
      </c>
      <c r="F161" s="151">
        <v>0.56374301369863011</v>
      </c>
      <c r="G161" s="151">
        <v>0.56374301369863011</v>
      </c>
      <c r="H161" s="151">
        <v>0.56374301369863011</v>
      </c>
      <c r="I161" s="151">
        <v>0.56374301369863011</v>
      </c>
      <c r="J161" s="151">
        <v>0.56374301369863011</v>
      </c>
      <c r="K161" s="151">
        <v>0.56374301369863011</v>
      </c>
      <c r="L161" s="151">
        <v>0.56374301369863011</v>
      </c>
      <c r="M161" s="151">
        <v>0.56374301369863011</v>
      </c>
      <c r="N161" s="151">
        <v>0.56374301369863011</v>
      </c>
      <c r="O161" s="151">
        <v>0.56374301369863011</v>
      </c>
      <c r="P161" s="151">
        <v>0.56374301369863011</v>
      </c>
      <c r="Q161" s="151">
        <v>0.56374301369863011</v>
      </c>
      <c r="R161" s="151">
        <v>0.56374301369863011</v>
      </c>
      <c r="S161" s="151">
        <v>0.56374301369863011</v>
      </c>
      <c r="T161" s="151">
        <v>0.56374301369863011</v>
      </c>
      <c r="U161" s="151">
        <v>0.56374301369863011</v>
      </c>
      <c r="V161" s="25" t="s">
        <v>382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8">
        <f t="shared" ref="A162" si="194">$A158+1</f>
        <v>40</v>
      </c>
      <c r="B162" s="172" t="str">
        <f>IFERROR(INDEX(TBL_TRANSIT[Name],$A162),"")</f>
        <v>SN_AU_Pipe</v>
      </c>
      <c r="C162" s="87" t="str">
        <f t="shared" ref="C162:D162" si="195">IF($B162&lt;&gt;"",C158,"")</f>
        <v>Capacity - Min</v>
      </c>
      <c r="D162" s="87" t="str">
        <f t="shared" si="195"/>
        <v>GWh/day</v>
      </c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x14ac:dyDescent="0.25">
      <c r="A163" s="88">
        <f t="shared" si="170"/>
        <v>40</v>
      </c>
      <c r="B163" s="173"/>
      <c r="C163" s="87" t="str">
        <f t="shared" ref="C163:D163" si="196">IF($B162&lt;&gt;"",C159,"")</f>
        <v>Capacity - Max</v>
      </c>
      <c r="D163" s="87" t="str">
        <f t="shared" si="196"/>
        <v>GWh/day</v>
      </c>
      <c r="E163" s="151">
        <v>112.5</v>
      </c>
      <c r="F163" s="151">
        <v>112.5</v>
      </c>
      <c r="G163" s="151">
        <v>112.5</v>
      </c>
      <c r="H163" s="151">
        <v>112.5</v>
      </c>
      <c r="I163" s="151">
        <v>112.5</v>
      </c>
      <c r="J163" s="151">
        <v>112.5</v>
      </c>
      <c r="K163" s="151">
        <v>112.5</v>
      </c>
      <c r="L163" s="151">
        <v>112.5</v>
      </c>
      <c r="M163" s="151">
        <v>112.5</v>
      </c>
      <c r="N163" s="151">
        <v>112.5</v>
      </c>
      <c r="O163" s="151">
        <v>112.5</v>
      </c>
      <c r="P163" s="151">
        <v>112.5</v>
      </c>
      <c r="Q163" s="151">
        <v>112.5</v>
      </c>
      <c r="R163" s="151">
        <v>112.5</v>
      </c>
      <c r="S163" s="151">
        <v>112.5</v>
      </c>
      <c r="T163" s="151">
        <v>112.5</v>
      </c>
      <c r="U163" s="151">
        <v>112.5</v>
      </c>
      <c r="V163" s="25"/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8">
        <f t="shared" si="170"/>
        <v>40</v>
      </c>
      <c r="B164" s="173"/>
      <c r="C164" s="87" t="str">
        <f t="shared" ref="C164:D164" si="197">IF($B162&lt;&gt;"",C160,"")</f>
        <v>Tariff - fixed</v>
      </c>
      <c r="D164" s="87" t="str">
        <f t="shared" si="197"/>
        <v>EUR/month</v>
      </c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8">
        <f t="shared" si="170"/>
        <v>40</v>
      </c>
      <c r="B165" s="174"/>
      <c r="C165" s="87" t="str">
        <f t="shared" ref="C165:D165" si="198">IF($B162&lt;&gt;"",C161,"")</f>
        <v>Tariff - variable</v>
      </c>
      <c r="D165" s="87" t="str">
        <f t="shared" si="198"/>
        <v>EUR/MWh</v>
      </c>
      <c r="E165" s="151">
        <v>0.21689497716894976</v>
      </c>
      <c r="F165" s="151">
        <v>0.21689497716894976</v>
      </c>
      <c r="G165" s="151">
        <v>0.21689497716894976</v>
      </c>
      <c r="H165" s="151">
        <v>0.21689497716894976</v>
      </c>
      <c r="I165" s="151">
        <v>0.21689497716894976</v>
      </c>
      <c r="J165" s="151">
        <v>0.21689497716894976</v>
      </c>
      <c r="K165" s="151">
        <v>0.21689497716894976</v>
      </c>
      <c r="L165" s="151">
        <v>0.21689497716894976</v>
      </c>
      <c r="M165" s="151">
        <v>0.21689497716894976</v>
      </c>
      <c r="N165" s="151">
        <v>0.21689497716894976</v>
      </c>
      <c r="O165" s="151">
        <v>0.21689497716894976</v>
      </c>
      <c r="P165" s="151">
        <v>0.21689497716894976</v>
      </c>
      <c r="Q165" s="151">
        <v>0.21689497716894976</v>
      </c>
      <c r="R165" s="151">
        <v>0.21689497716894976</v>
      </c>
      <c r="S165" s="151">
        <v>0.21689497716894976</v>
      </c>
      <c r="T165" s="151">
        <v>0.21689497716894976</v>
      </c>
      <c r="U165" s="151">
        <v>0.21689497716894976</v>
      </c>
      <c r="V165" s="25" t="s">
        <v>382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8">
        <f t="shared" ref="A166" si="199">$A162+1</f>
        <v>41</v>
      </c>
      <c r="B166" s="172" t="str">
        <f>IFERROR(INDEX(TBL_TRANSIT[Name],$A166),"")</f>
        <v>SN_CR_Pipe</v>
      </c>
      <c r="C166" s="87" t="str">
        <f t="shared" ref="C166:D166" si="200">IF($B166&lt;&gt;"",C162,"")</f>
        <v>Capacity - Min</v>
      </c>
      <c r="D166" s="87" t="str">
        <f t="shared" si="200"/>
        <v>GWh/day</v>
      </c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24"/>
      <c r="W166" s="29" t="str">
        <f>INDEX(TBL_TRANSIT[TransitID],$A166)</f>
        <v>Transit_027_026_001</v>
      </c>
      <c r="X166" s="29" t="str">
        <f>"TransitCapMin_"&amp;RIGHT($W166,11)</f>
        <v>TransitCapMin_027_026_001</v>
      </c>
    </row>
    <row r="167" spans="1:24" x14ac:dyDescent="0.25">
      <c r="A167" s="88">
        <f t="shared" si="170"/>
        <v>41</v>
      </c>
      <c r="B167" s="173"/>
      <c r="C167" s="87" t="str">
        <f t="shared" ref="C167:D167" si="201">IF($B166&lt;&gt;"",C163,"")</f>
        <v>Capacity - Max</v>
      </c>
      <c r="D167" s="87" t="str">
        <f t="shared" si="201"/>
        <v>GWh/day</v>
      </c>
      <c r="E167" s="155">
        <v>0</v>
      </c>
      <c r="F167" s="155">
        <v>0</v>
      </c>
      <c r="G167" s="155">
        <v>0</v>
      </c>
      <c r="H167" s="155">
        <v>0</v>
      </c>
      <c r="I167" s="155">
        <v>0</v>
      </c>
      <c r="J167" s="155">
        <v>0</v>
      </c>
      <c r="K167" s="155">
        <v>0</v>
      </c>
      <c r="L167" s="155">
        <v>0</v>
      </c>
      <c r="M167" s="155">
        <v>0</v>
      </c>
      <c r="N167" s="155">
        <v>0</v>
      </c>
      <c r="O167" s="155">
        <v>0</v>
      </c>
      <c r="P167" s="155">
        <v>0</v>
      </c>
      <c r="Q167" s="155">
        <v>0</v>
      </c>
      <c r="R167" s="155">
        <v>0</v>
      </c>
      <c r="S167" s="155">
        <v>0</v>
      </c>
      <c r="T167" s="155">
        <v>0</v>
      </c>
      <c r="U167" s="155">
        <v>0</v>
      </c>
      <c r="V167" s="25"/>
      <c r="W167" s="29" t="str">
        <f>INDEX(TBL_TRANSIT[TransitID],$A167)</f>
        <v>Transit_027_026_001</v>
      </c>
      <c r="X167" s="29" t="str">
        <f>"TransitCapMax_"&amp;RIGHT($W167,11)</f>
        <v>TransitCapMax_027_026_001</v>
      </c>
    </row>
    <row r="168" spans="1:24" x14ac:dyDescent="0.25">
      <c r="A168" s="88">
        <f t="shared" si="170"/>
        <v>41</v>
      </c>
      <c r="B168" s="173"/>
      <c r="C168" s="87" t="str">
        <f t="shared" ref="C168:D168" si="202">IF($B166&lt;&gt;"",C164,"")</f>
        <v>Tariff - fixed</v>
      </c>
      <c r="D168" s="87" t="str">
        <f t="shared" si="202"/>
        <v>EUR/month</v>
      </c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24"/>
      <c r="W168" s="29" t="str">
        <f>INDEX(TBL_TRANSIT[TransitID],$A168)</f>
        <v>Transit_027_026_001</v>
      </c>
      <c r="X168" s="29" t="str">
        <f>"TransitTariffFixed_"&amp;RIGHT($W168,11)</f>
        <v>TransitTariffFixed_027_026_001</v>
      </c>
    </row>
    <row r="169" spans="1:24" x14ac:dyDescent="0.25">
      <c r="A169" s="88">
        <f t="shared" si="170"/>
        <v>41</v>
      </c>
      <c r="B169" s="174"/>
      <c r="C169" s="87" t="str">
        <f t="shared" ref="C169:D169" si="203">IF($B166&lt;&gt;"",C165,"")</f>
        <v>Tariff - variable</v>
      </c>
      <c r="D169" s="87" t="str">
        <f t="shared" si="203"/>
        <v>EUR/MWh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25" t="s">
        <v>382</v>
      </c>
      <c r="W169" s="29" t="str">
        <f>INDEX(TBL_TRANSIT[TransitID],$A169)</f>
        <v>Transit_027_026_001</v>
      </c>
      <c r="X169" s="29" t="str">
        <f>"TransitTariffVar_"&amp;RIGHT($W169,11)</f>
        <v>TransitTariffVar_027_026_001</v>
      </c>
    </row>
    <row r="170" spans="1:24" x14ac:dyDescent="0.25">
      <c r="A170" s="88">
        <f t="shared" ref="A170" si="204">$A166+1</f>
        <v>42</v>
      </c>
      <c r="B170" s="172" t="str">
        <f>IFERROR(INDEX(TBL_TRANSIT[Name],$A170),"")</f>
        <v>SN_IT_Pipe</v>
      </c>
      <c r="C170" s="87" t="str">
        <f t="shared" ref="C170:D170" si="205">IF($B170&lt;&gt;"",C166,"")</f>
        <v>Capacity - Min</v>
      </c>
      <c r="D170" s="87" t="str">
        <f t="shared" si="205"/>
        <v>GWh/day</v>
      </c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24"/>
      <c r="W170" s="29" t="str">
        <f>INDEX(TBL_TRANSIT[TransitID],$A170)</f>
        <v>Transit_009_026_001</v>
      </c>
      <c r="X170" s="29" t="str">
        <f>"TransitCapMin_"&amp;RIGHT($W170,11)</f>
        <v>TransitCapMin_009_026_001</v>
      </c>
    </row>
    <row r="171" spans="1:24" x14ac:dyDescent="0.25">
      <c r="A171" s="88">
        <f t="shared" si="170"/>
        <v>42</v>
      </c>
      <c r="B171" s="173"/>
      <c r="C171" s="87" t="str">
        <f t="shared" ref="C171:D171" si="206">IF($B170&lt;&gt;"",C167,"")</f>
        <v>Capacity - Max</v>
      </c>
      <c r="D171" s="87" t="str">
        <f t="shared" si="206"/>
        <v>GWh/day</v>
      </c>
      <c r="E171" s="151">
        <v>28.3</v>
      </c>
      <c r="F171" s="151">
        <v>28.3</v>
      </c>
      <c r="G171" s="151">
        <v>28.3</v>
      </c>
      <c r="H171" s="151">
        <v>28.3</v>
      </c>
      <c r="I171" s="151">
        <v>28.3</v>
      </c>
      <c r="J171" s="151">
        <v>28.3</v>
      </c>
      <c r="K171" s="151">
        <v>28.3</v>
      </c>
      <c r="L171" s="151">
        <v>28.3</v>
      </c>
      <c r="M171" s="151">
        <v>28.3</v>
      </c>
      <c r="N171" s="151">
        <v>28.3</v>
      </c>
      <c r="O171" s="151">
        <v>28.3</v>
      </c>
      <c r="P171" s="151">
        <v>28.3</v>
      </c>
      <c r="Q171" s="151">
        <v>28.3</v>
      </c>
      <c r="R171" s="151">
        <v>28.3</v>
      </c>
      <c r="S171" s="151">
        <v>28.3</v>
      </c>
      <c r="T171" s="151">
        <v>28.3</v>
      </c>
      <c r="U171" s="151">
        <v>28.3</v>
      </c>
      <c r="V171" s="25"/>
      <c r="W171" s="29" t="str">
        <f>INDEX(TBL_TRANSIT[TransitID],$A171)</f>
        <v>Transit_009_026_001</v>
      </c>
      <c r="X171" s="29" t="str">
        <f>"TransitCapMax_"&amp;RIGHT($W171,11)</f>
        <v>TransitCapMax_009_026_001</v>
      </c>
    </row>
    <row r="172" spans="1:24" x14ac:dyDescent="0.25">
      <c r="A172" s="88">
        <f t="shared" si="170"/>
        <v>42</v>
      </c>
      <c r="B172" s="173"/>
      <c r="C172" s="87" t="str">
        <f t="shared" ref="C172:D172" si="207">IF($B170&lt;&gt;"",C168,"")</f>
        <v>Tariff - fixed</v>
      </c>
      <c r="D172" s="87" t="str">
        <f t="shared" si="207"/>
        <v>EUR/month</v>
      </c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24"/>
      <c r="W172" s="29" t="str">
        <f>INDEX(TBL_TRANSIT[TransitID],$A172)</f>
        <v>Transit_009_026_001</v>
      </c>
      <c r="X172" s="29" t="str">
        <f>"TransitTariffFixed_"&amp;RIGHT($W172,11)</f>
        <v>TransitTariffFixed_009_026_001</v>
      </c>
    </row>
    <row r="173" spans="1:24" x14ac:dyDescent="0.25">
      <c r="A173" s="88">
        <f t="shared" si="170"/>
        <v>42</v>
      </c>
      <c r="B173" s="174"/>
      <c r="C173" s="87" t="str">
        <f t="shared" ref="C173:D173" si="208">IF($B170&lt;&gt;"",C169,"")</f>
        <v>Tariff - variable</v>
      </c>
      <c r="D173" s="87" t="str">
        <f t="shared" si="208"/>
        <v>EUR/MWh</v>
      </c>
      <c r="E173" s="151">
        <v>0.28938356164383566</v>
      </c>
      <c r="F173" s="151">
        <v>0.28938356164383566</v>
      </c>
      <c r="G173" s="151">
        <v>0.28938356164383566</v>
      </c>
      <c r="H173" s="151">
        <v>0.28938356164383566</v>
      </c>
      <c r="I173" s="151">
        <v>0.28938356164383566</v>
      </c>
      <c r="J173" s="151">
        <v>0.28938356164383566</v>
      </c>
      <c r="K173" s="151">
        <v>0.28938356164383566</v>
      </c>
      <c r="L173" s="151">
        <v>0.28938356164383566</v>
      </c>
      <c r="M173" s="151">
        <v>0.28938356164383566</v>
      </c>
      <c r="N173" s="151">
        <v>0.28938356164383566</v>
      </c>
      <c r="O173" s="151">
        <v>0.28938356164383566</v>
      </c>
      <c r="P173" s="151">
        <v>0.28938356164383566</v>
      </c>
      <c r="Q173" s="151">
        <v>0.28938356164383566</v>
      </c>
      <c r="R173" s="151">
        <v>0.28938356164383566</v>
      </c>
      <c r="S173" s="151">
        <v>0.28938356164383566</v>
      </c>
      <c r="T173" s="151">
        <v>0.28938356164383566</v>
      </c>
      <c r="U173" s="151">
        <v>0.28938356164383566</v>
      </c>
      <c r="V173" s="25" t="s">
        <v>382</v>
      </c>
      <c r="W173" s="29" t="str">
        <f>INDEX(TBL_TRANSIT[TransitID],$A173)</f>
        <v>Transit_009_026_001</v>
      </c>
      <c r="X173" s="29" t="str">
        <f>"TransitTariffVar_"&amp;RIGHT($W173,11)</f>
        <v>TransitTariffVar_009_026_001</v>
      </c>
    </row>
    <row r="174" spans="1:24" x14ac:dyDescent="0.25">
      <c r="A174" s="88">
        <f t="shared" ref="A174" si="209">$A170+1</f>
        <v>43</v>
      </c>
      <c r="B174" s="172" t="str">
        <f>IFERROR(INDEX(TBL_TRANSIT[Name],$A174),"")</f>
        <v>ES_FR_Pipe</v>
      </c>
      <c r="C174" s="87" t="str">
        <f t="shared" ref="C174:D174" si="210">IF($B174&lt;&gt;"",C170,"")</f>
        <v>Capacity - Min</v>
      </c>
      <c r="D174" s="87" t="str">
        <f t="shared" si="210"/>
        <v>GWh/day</v>
      </c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24"/>
      <c r="W174" s="29" t="str">
        <f>INDEX(TBL_TRANSIT[TransitID],$A174)</f>
        <v>Transit_005_007_001</v>
      </c>
      <c r="X174" s="29" t="str">
        <f>"TransitCapMin_"&amp;RIGHT($W174,11)</f>
        <v>TransitCapMin_005_007_001</v>
      </c>
    </row>
    <row r="175" spans="1:24" x14ac:dyDescent="0.25">
      <c r="A175" s="88">
        <f t="shared" si="170"/>
        <v>43</v>
      </c>
      <c r="B175" s="173"/>
      <c r="C175" s="87" t="str">
        <f t="shared" ref="C175:D175" si="211">IF($B174&lt;&gt;"",C171,"")</f>
        <v>Capacity - Max</v>
      </c>
      <c r="D175" s="87" t="str">
        <f t="shared" si="211"/>
        <v>GWh/day</v>
      </c>
      <c r="E175" s="151">
        <v>165</v>
      </c>
      <c r="F175" s="151">
        <v>165</v>
      </c>
      <c r="G175" s="151">
        <v>165</v>
      </c>
      <c r="H175" s="151">
        <v>165</v>
      </c>
      <c r="I175" s="151">
        <v>165</v>
      </c>
      <c r="J175" s="151">
        <v>165</v>
      </c>
      <c r="K175" s="151">
        <v>165</v>
      </c>
      <c r="L175" s="151">
        <v>165</v>
      </c>
      <c r="M175" s="151">
        <v>165</v>
      </c>
      <c r="N175" s="151">
        <v>165</v>
      </c>
      <c r="O175" s="151">
        <v>165</v>
      </c>
      <c r="P175" s="151">
        <v>165</v>
      </c>
      <c r="Q175" s="151">
        <v>165</v>
      </c>
      <c r="R175" s="151">
        <v>165</v>
      </c>
      <c r="S175" s="151">
        <v>165</v>
      </c>
      <c r="T175" s="151">
        <v>165</v>
      </c>
      <c r="U175" s="151">
        <v>165</v>
      </c>
      <c r="V175" s="25"/>
      <c r="W175" s="29" t="str">
        <f>INDEX(TBL_TRANSIT[TransitID],$A175)</f>
        <v>Transit_005_007_001</v>
      </c>
      <c r="X175" s="29" t="str">
        <f>"TransitCapMax_"&amp;RIGHT($W175,11)</f>
        <v>TransitCapMax_005_007_001</v>
      </c>
    </row>
    <row r="176" spans="1:24" x14ac:dyDescent="0.25">
      <c r="A176" s="88">
        <f t="shared" si="170"/>
        <v>43</v>
      </c>
      <c r="B176" s="173"/>
      <c r="C176" s="87" t="str">
        <f t="shared" ref="C176:D176" si="212">IF($B174&lt;&gt;"",C172,"")</f>
        <v>Tariff - fixed</v>
      </c>
      <c r="D176" s="87" t="str">
        <f t="shared" si="212"/>
        <v>EUR/month</v>
      </c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24"/>
      <c r="W176" s="29" t="str">
        <f>INDEX(TBL_TRANSIT[TransitID],$A176)</f>
        <v>Transit_005_007_001</v>
      </c>
      <c r="X176" s="29" t="str">
        <f>"TransitTariffFixed_"&amp;RIGHT($W176,11)</f>
        <v>TransitTariffFixed_005_007_001</v>
      </c>
    </row>
    <row r="177" spans="1:24" x14ac:dyDescent="0.25">
      <c r="A177" s="88">
        <f t="shared" si="170"/>
        <v>43</v>
      </c>
      <c r="B177" s="174"/>
      <c r="C177" s="87" t="str">
        <f t="shared" ref="C177:D177" si="213">IF($B174&lt;&gt;"",C173,"")</f>
        <v>Tariff - variable</v>
      </c>
      <c r="D177" s="87" t="str">
        <f t="shared" si="213"/>
        <v>EUR/MWh</v>
      </c>
      <c r="E177" s="151">
        <v>0.11415525114155251</v>
      </c>
      <c r="F177" s="151">
        <v>0.11415525114155251</v>
      </c>
      <c r="G177" s="151">
        <v>0.11415525114155251</v>
      </c>
      <c r="H177" s="151">
        <v>0.11415525114155251</v>
      </c>
      <c r="I177" s="151">
        <v>0.11415525114155251</v>
      </c>
      <c r="J177" s="151">
        <v>0.11415525114155251</v>
      </c>
      <c r="K177" s="151">
        <v>0.11415525114155251</v>
      </c>
      <c r="L177" s="151">
        <v>0.11415525114155251</v>
      </c>
      <c r="M177" s="151">
        <v>0.11415525114155251</v>
      </c>
      <c r="N177" s="151">
        <v>0.11415525114155251</v>
      </c>
      <c r="O177" s="151">
        <v>0.11415525114155251</v>
      </c>
      <c r="P177" s="151">
        <v>0.11415525114155251</v>
      </c>
      <c r="Q177" s="151">
        <v>0.11415525114155251</v>
      </c>
      <c r="R177" s="151">
        <v>0.11415525114155251</v>
      </c>
      <c r="S177" s="151">
        <v>0.11415525114155251</v>
      </c>
      <c r="T177" s="151">
        <v>0.11415525114155251</v>
      </c>
      <c r="U177" s="151">
        <v>0.11415525114155251</v>
      </c>
      <c r="V177" s="25" t="s">
        <v>382</v>
      </c>
      <c r="W177" s="29" t="str">
        <f>INDEX(TBL_TRANSIT[TransitID],$A177)</f>
        <v>Transit_005_007_001</v>
      </c>
      <c r="X177" s="29" t="str">
        <f>"TransitTariffVar_"&amp;RIGHT($W177,11)</f>
        <v>TransitTariffVar_005_007_001</v>
      </c>
    </row>
    <row r="178" spans="1:24" x14ac:dyDescent="0.25">
      <c r="A178" s="88">
        <f t="shared" ref="A178" si="214">$A174+1</f>
        <v>44</v>
      </c>
      <c r="B178" s="172" t="str">
        <f>IFERROR(INDEX(TBL_TRANSIT[Name],$A178),"")</f>
        <v>CH_FR_pipe</v>
      </c>
      <c r="C178" s="87" t="str">
        <f t="shared" ref="C178:D178" si="215">IF($B178&lt;&gt;"",C174,"")</f>
        <v>Capacity - Min</v>
      </c>
      <c r="D178" s="87" t="str">
        <f t="shared" si="215"/>
        <v>GWh/day</v>
      </c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24"/>
      <c r="W178" s="29" t="str">
        <f>INDEX(TBL_TRANSIT[TransitID],$A178)</f>
        <v>Transit_005_010_001</v>
      </c>
      <c r="X178" s="29" t="str">
        <f>"TransitCapMin_"&amp;RIGHT($W178,11)</f>
        <v>TransitCapMin_005_010_001</v>
      </c>
    </row>
    <row r="179" spans="1:24" x14ac:dyDescent="0.25">
      <c r="A179" s="88">
        <f t="shared" si="170"/>
        <v>44</v>
      </c>
      <c r="B179" s="173"/>
      <c r="C179" s="87" t="str">
        <f t="shared" ref="C179:D179" si="216">IF($B178&lt;&gt;"",C175,"")</f>
        <v>Capacity - Max</v>
      </c>
      <c r="D179" s="87" t="str">
        <f t="shared" si="216"/>
        <v>GWh/day</v>
      </c>
      <c r="E179" s="151">
        <v>260.39999999999998</v>
      </c>
      <c r="F179" s="151">
        <v>260.39999999999998</v>
      </c>
      <c r="G179" s="151">
        <v>260.39999999999998</v>
      </c>
      <c r="H179" s="151">
        <v>260.39999999999998</v>
      </c>
      <c r="I179" s="151">
        <v>260.39999999999998</v>
      </c>
      <c r="J179" s="151">
        <v>260.39999999999998</v>
      </c>
      <c r="K179" s="151">
        <v>260.39999999999998</v>
      </c>
      <c r="L179" s="151">
        <v>260.39999999999998</v>
      </c>
      <c r="M179" s="151">
        <v>260.39999999999998</v>
      </c>
      <c r="N179" s="151">
        <v>260.39999999999998</v>
      </c>
      <c r="O179" s="151">
        <v>260.39999999999998</v>
      </c>
      <c r="P179" s="151">
        <v>260.39999999999998</v>
      </c>
      <c r="Q179" s="151">
        <v>260.39999999999998</v>
      </c>
      <c r="R179" s="151">
        <v>260.39999999999998</v>
      </c>
      <c r="S179" s="151">
        <v>260.39999999999998</v>
      </c>
      <c r="T179" s="151">
        <v>260.39999999999998</v>
      </c>
      <c r="U179" s="151">
        <v>260.39999999999998</v>
      </c>
      <c r="V179" s="25"/>
      <c r="W179" s="29" t="str">
        <f>INDEX(TBL_TRANSIT[TransitID],$A179)</f>
        <v>Transit_005_010_001</v>
      </c>
      <c r="X179" s="29" t="str">
        <f>"TransitCapMax_"&amp;RIGHT($W179,11)</f>
        <v>TransitCapMax_005_010_001</v>
      </c>
    </row>
    <row r="180" spans="1:24" x14ac:dyDescent="0.25">
      <c r="A180" s="88">
        <f t="shared" si="170"/>
        <v>44</v>
      </c>
      <c r="B180" s="173"/>
      <c r="C180" s="87" t="str">
        <f t="shared" ref="C180:D180" si="217">IF($B178&lt;&gt;"",C176,"")</f>
        <v>Tariff - fixed</v>
      </c>
      <c r="D180" s="87" t="str">
        <f t="shared" si="217"/>
        <v>EUR/month</v>
      </c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24"/>
      <c r="W180" s="29" t="str">
        <f>INDEX(TBL_TRANSIT[TransitID],$A180)</f>
        <v>Transit_005_010_001</v>
      </c>
      <c r="X180" s="29" t="str">
        <f>"TransitTariffFixed_"&amp;RIGHT($W180,11)</f>
        <v>TransitTariffFixed_005_010_001</v>
      </c>
    </row>
    <row r="181" spans="1:24" x14ac:dyDescent="0.25">
      <c r="A181" s="88">
        <f t="shared" si="170"/>
        <v>44</v>
      </c>
      <c r="B181" s="174"/>
      <c r="C181" s="87" t="str">
        <f t="shared" ref="C181:D181" si="218">IF($B178&lt;&gt;"",C177,"")</f>
        <v>Tariff - variable</v>
      </c>
      <c r="D181" s="87" t="str">
        <f t="shared" si="218"/>
        <v>EUR/MWh</v>
      </c>
      <c r="E181" s="151">
        <v>1.0547945205479452</v>
      </c>
      <c r="F181" s="151">
        <v>1.0547945205479452</v>
      </c>
      <c r="G181" s="151">
        <v>1.0547945205479452</v>
      </c>
      <c r="H181" s="151">
        <v>1.0547945205479452</v>
      </c>
      <c r="I181" s="151">
        <v>1.0547945205479452</v>
      </c>
      <c r="J181" s="151">
        <v>1.0547945205479452</v>
      </c>
      <c r="K181" s="151">
        <v>1.0547945205479452</v>
      </c>
      <c r="L181" s="151">
        <v>1.0547945205479452</v>
      </c>
      <c r="M181" s="151">
        <v>1.0547945205479452</v>
      </c>
      <c r="N181" s="151">
        <v>1.0547945205479452</v>
      </c>
      <c r="O181" s="151">
        <v>1.0547945205479452</v>
      </c>
      <c r="P181" s="151">
        <v>1.0547945205479452</v>
      </c>
      <c r="Q181" s="151">
        <v>1.0547945205479452</v>
      </c>
      <c r="R181" s="151">
        <v>1.0547945205479452</v>
      </c>
      <c r="S181" s="151">
        <v>1.0547945205479452</v>
      </c>
      <c r="T181" s="151">
        <v>1.0547945205479452</v>
      </c>
      <c r="U181" s="151">
        <v>1.0547945205479452</v>
      </c>
      <c r="V181" s="25" t="s">
        <v>382</v>
      </c>
      <c r="W181" s="29" t="str">
        <f>INDEX(TBL_TRANSIT[TransitID],$A181)</f>
        <v>Transit_005_010_001</v>
      </c>
      <c r="X181" s="29" t="str">
        <f>"TransitTariffVar_"&amp;RIGHT($W181,11)</f>
        <v>TransitTariffVar_005_010_001</v>
      </c>
    </row>
    <row r="182" spans="1:24" x14ac:dyDescent="0.25">
      <c r="A182" s="88">
        <f t="shared" ref="A182" si="219">$A178+1</f>
        <v>45</v>
      </c>
      <c r="B182" s="172" t="str">
        <f>IFERROR(INDEX(TBL_TRANSIT[Name],$A182),"")</f>
        <v>CH_GER_Pipe</v>
      </c>
      <c r="C182" s="87" t="str">
        <f t="shared" ref="C182:D182" si="220">IF($B182&lt;&gt;"",C178,"")</f>
        <v>Capacity - Min</v>
      </c>
      <c r="D182" s="87" t="str">
        <f t="shared" si="220"/>
        <v>GWh/day</v>
      </c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24"/>
      <c r="W182" s="29" t="str">
        <f>INDEX(TBL_TRANSIT[TransitID],$A182)</f>
        <v>Transit_012_010_001</v>
      </c>
      <c r="X182" s="29" t="str">
        <f>"TransitCapMin_"&amp;RIGHT($W182,11)</f>
        <v>TransitCapMin_012_010_001</v>
      </c>
    </row>
    <row r="183" spans="1:24" x14ac:dyDescent="0.25">
      <c r="A183" s="88">
        <f t="shared" si="170"/>
        <v>45</v>
      </c>
      <c r="B183" s="173"/>
      <c r="C183" s="87" t="str">
        <f t="shared" ref="C183:D183" si="221">IF($B182&lt;&gt;"",C179,"")</f>
        <v>Capacity - Max</v>
      </c>
      <c r="D183" s="87" t="str">
        <f t="shared" si="221"/>
        <v>GWh/day</v>
      </c>
      <c r="E183" s="151">
        <v>309.54000000000002</v>
      </c>
      <c r="F183" s="151">
        <v>309.54000000000002</v>
      </c>
      <c r="G183" s="151">
        <v>309.54000000000002</v>
      </c>
      <c r="H183" s="151">
        <v>309.54000000000002</v>
      </c>
      <c r="I183" s="151">
        <v>309.54000000000002</v>
      </c>
      <c r="J183" s="151">
        <v>309.54000000000002</v>
      </c>
      <c r="K183" s="151">
        <v>309.54000000000002</v>
      </c>
      <c r="L183" s="151">
        <v>309.54000000000002</v>
      </c>
      <c r="M183" s="151">
        <v>309.54000000000002</v>
      </c>
      <c r="N183" s="151">
        <v>309.54000000000002</v>
      </c>
      <c r="O183" s="151">
        <v>309.54000000000002</v>
      </c>
      <c r="P183" s="151">
        <v>309.54000000000002</v>
      </c>
      <c r="Q183" s="151">
        <v>309.54000000000002</v>
      </c>
      <c r="R183" s="151">
        <v>309.54000000000002</v>
      </c>
      <c r="S183" s="151">
        <v>309.54000000000002</v>
      </c>
      <c r="T183" s="151">
        <v>309.54000000000002</v>
      </c>
      <c r="U183" s="151">
        <v>309.54000000000002</v>
      </c>
      <c r="V183" s="25"/>
      <c r="W183" s="29" t="str">
        <f>INDEX(TBL_TRANSIT[TransitID],$A183)</f>
        <v>Transit_012_010_001</v>
      </c>
      <c r="X183" s="29" t="str">
        <f>"TransitCapMax_"&amp;RIGHT($W183,11)</f>
        <v>TransitCapMax_012_010_001</v>
      </c>
    </row>
    <row r="184" spans="1:24" x14ac:dyDescent="0.25">
      <c r="A184" s="88">
        <f t="shared" si="170"/>
        <v>45</v>
      </c>
      <c r="B184" s="173"/>
      <c r="C184" s="87" t="str">
        <f t="shared" ref="C184:D184" si="222">IF($B182&lt;&gt;"",C180,"")</f>
        <v>Tariff - fixed</v>
      </c>
      <c r="D184" s="87" t="str">
        <f t="shared" si="222"/>
        <v>EUR/month</v>
      </c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24"/>
      <c r="W184" s="29" t="str">
        <f>INDEX(TBL_TRANSIT[TransitID],$A184)</f>
        <v>Transit_012_010_001</v>
      </c>
      <c r="X184" s="29" t="str">
        <f>"TransitTariffFixed_"&amp;RIGHT($W184,11)</f>
        <v>TransitTariffFixed_012_010_001</v>
      </c>
    </row>
    <row r="185" spans="1:24" x14ac:dyDescent="0.25">
      <c r="A185" s="88">
        <f t="shared" si="170"/>
        <v>45</v>
      </c>
      <c r="B185" s="174"/>
      <c r="C185" s="87" t="str">
        <f t="shared" ref="C185:D185" si="223">IF($B182&lt;&gt;"",C181,"")</f>
        <v>Tariff - variable</v>
      </c>
      <c r="D185" s="87" t="str">
        <f t="shared" si="223"/>
        <v>EUR/MWh</v>
      </c>
      <c r="E185" s="151">
        <v>0.43378995433789952</v>
      </c>
      <c r="F185" s="151">
        <v>0.43378995433789952</v>
      </c>
      <c r="G185" s="151">
        <v>0.43378995433789952</v>
      </c>
      <c r="H185" s="151">
        <v>0.43378995433789952</v>
      </c>
      <c r="I185" s="151">
        <v>0.43378995433789952</v>
      </c>
      <c r="J185" s="151">
        <v>0.43378995433789952</v>
      </c>
      <c r="K185" s="151">
        <v>0.43378995433789952</v>
      </c>
      <c r="L185" s="151">
        <v>0.43378995433789952</v>
      </c>
      <c r="M185" s="151">
        <v>0.43378995433789952</v>
      </c>
      <c r="N185" s="151">
        <v>0.43378995433789952</v>
      </c>
      <c r="O185" s="151">
        <v>0.43378995433789952</v>
      </c>
      <c r="P185" s="151">
        <v>0.43378995433789952</v>
      </c>
      <c r="Q185" s="151">
        <v>0.43378995433789952</v>
      </c>
      <c r="R185" s="151">
        <v>0.43378995433789952</v>
      </c>
      <c r="S185" s="151">
        <v>0.43378995433789952</v>
      </c>
      <c r="T185" s="151">
        <v>0.43378995433789952</v>
      </c>
      <c r="U185" s="151">
        <v>0.43378995433789952</v>
      </c>
      <c r="V185" s="25" t="s">
        <v>382</v>
      </c>
      <c r="W185" s="29" t="str">
        <f>INDEX(TBL_TRANSIT[TransitID],$A185)</f>
        <v>Transit_012_010_001</v>
      </c>
      <c r="X185" s="29" t="str">
        <f>"TransitTariffVar_"&amp;RIGHT($W185,11)</f>
        <v>TransitTariffVar_012_010_001</v>
      </c>
    </row>
    <row r="186" spans="1:24" x14ac:dyDescent="0.25">
      <c r="A186" s="88">
        <f t="shared" ref="A186" si="224">$A182+1</f>
        <v>46</v>
      </c>
      <c r="B186" s="172" t="str">
        <f>IFERROR(INDEX(TBL_TRANSIT[Name],$A186),"")</f>
        <v>CH_IT_Pipe</v>
      </c>
      <c r="C186" s="87" t="str">
        <f t="shared" ref="C186:D186" si="225">IF($B186&lt;&gt;"",C182,"")</f>
        <v>Capacity - Min</v>
      </c>
      <c r="D186" s="87" t="str">
        <f t="shared" si="225"/>
        <v>GWh/day</v>
      </c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24"/>
      <c r="W186" s="29" t="str">
        <f>INDEX(TBL_TRANSIT[TransitID],$A186)</f>
        <v>Transit_009_010_001</v>
      </c>
      <c r="X186" s="29" t="str">
        <f>"TransitCapMin_"&amp;RIGHT($W186,11)</f>
        <v>TransitCapMin_009_010_001</v>
      </c>
    </row>
    <row r="187" spans="1:24" x14ac:dyDescent="0.25">
      <c r="A187" s="88">
        <f t="shared" si="170"/>
        <v>46</v>
      </c>
      <c r="B187" s="173"/>
      <c r="C187" s="87" t="str">
        <f t="shared" ref="C187:D187" si="226">IF($B186&lt;&gt;"",C183,"")</f>
        <v>Capacity - Max</v>
      </c>
      <c r="D187" s="87" t="str">
        <f t="shared" si="226"/>
        <v>GWh/day</v>
      </c>
      <c r="E187" s="151">
        <v>441.4</v>
      </c>
      <c r="F187" s="151">
        <v>441.4</v>
      </c>
      <c r="G187" s="151">
        <v>441.4</v>
      </c>
      <c r="H187" s="151">
        <v>441.4</v>
      </c>
      <c r="I187" s="151">
        <v>441.4</v>
      </c>
      <c r="J187" s="151">
        <v>441.4</v>
      </c>
      <c r="K187" s="151">
        <v>441.4</v>
      </c>
      <c r="L187" s="151">
        <v>441.4</v>
      </c>
      <c r="M187" s="151">
        <v>441.4</v>
      </c>
      <c r="N187" s="151">
        <v>441.4</v>
      </c>
      <c r="O187" s="151">
        <v>441.4</v>
      </c>
      <c r="P187" s="151">
        <v>441.4</v>
      </c>
      <c r="Q187" s="151">
        <v>441.4</v>
      </c>
      <c r="R187" s="151">
        <v>441.4</v>
      </c>
      <c r="S187" s="151">
        <v>441.4</v>
      </c>
      <c r="T187" s="151">
        <v>441.4</v>
      </c>
      <c r="U187" s="151">
        <v>441.4</v>
      </c>
      <c r="V187" s="25"/>
      <c r="W187" s="29" t="str">
        <f>INDEX(TBL_TRANSIT[TransitID],$A187)</f>
        <v>Transit_009_010_001</v>
      </c>
      <c r="X187" s="29" t="str">
        <f>"TransitCapMax_"&amp;RIGHT($W187,11)</f>
        <v>TransitCapMax_009_010_001</v>
      </c>
    </row>
    <row r="188" spans="1:24" x14ac:dyDescent="0.25">
      <c r="A188" s="88">
        <f t="shared" si="170"/>
        <v>46</v>
      </c>
      <c r="B188" s="173"/>
      <c r="C188" s="87" t="str">
        <f t="shared" ref="C188:D188" si="227">IF($B186&lt;&gt;"",C184,"")</f>
        <v>Tariff - fixed</v>
      </c>
      <c r="D188" s="87" t="str">
        <f t="shared" si="227"/>
        <v>EUR/month</v>
      </c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24"/>
      <c r="W188" s="29" t="str">
        <f>INDEX(TBL_TRANSIT[TransitID],$A188)</f>
        <v>Transit_009_010_001</v>
      </c>
      <c r="X188" s="29" t="str">
        <f>"TransitTariffFixed_"&amp;RIGHT($W188,11)</f>
        <v>TransitTariffFixed_009_010_001</v>
      </c>
    </row>
    <row r="189" spans="1:24" x14ac:dyDescent="0.25">
      <c r="A189" s="88">
        <f t="shared" si="170"/>
        <v>46</v>
      </c>
      <c r="B189" s="174"/>
      <c r="C189" s="87" t="str">
        <f t="shared" ref="C189:D189" si="228">IF($B186&lt;&gt;"",C185,"")</f>
        <v>Tariff - variable</v>
      </c>
      <c r="D189" s="87" t="str">
        <f t="shared" si="228"/>
        <v>EUR/MWh</v>
      </c>
      <c r="E189" s="151">
        <v>0.33778538812785386</v>
      </c>
      <c r="F189" s="151">
        <v>0.33778538812785386</v>
      </c>
      <c r="G189" s="151">
        <v>0.33778538812785386</v>
      </c>
      <c r="H189" s="151">
        <v>0.33778538812785386</v>
      </c>
      <c r="I189" s="151">
        <v>0.33778538812785386</v>
      </c>
      <c r="J189" s="151">
        <v>0.33778538812785386</v>
      </c>
      <c r="K189" s="151">
        <v>0.33778538812785386</v>
      </c>
      <c r="L189" s="151">
        <v>0.33778538812785386</v>
      </c>
      <c r="M189" s="151">
        <v>0.33778538812785386</v>
      </c>
      <c r="N189" s="151">
        <v>0.33778538812785386</v>
      </c>
      <c r="O189" s="151">
        <v>0.33778538812785386</v>
      </c>
      <c r="P189" s="151">
        <v>0.33778538812785386</v>
      </c>
      <c r="Q189" s="151">
        <v>0.33778538812785386</v>
      </c>
      <c r="R189" s="151">
        <v>0.33778538812785386</v>
      </c>
      <c r="S189" s="151">
        <v>0.33778538812785386</v>
      </c>
      <c r="T189" s="151">
        <v>0.33778538812785386</v>
      </c>
      <c r="U189" s="151">
        <v>0.33778538812785386</v>
      </c>
      <c r="V189" s="25" t="s">
        <v>382</v>
      </c>
      <c r="W189" s="29" t="str">
        <f>INDEX(TBL_TRANSIT[TransitID],$A189)</f>
        <v>Transit_009_010_001</v>
      </c>
      <c r="X189" s="29" t="str">
        <f>"TransitTariffVar_"&amp;RIGHT($W189,11)</f>
        <v>TransitTariffVar_009_010_001</v>
      </c>
    </row>
    <row r="190" spans="1:24" x14ac:dyDescent="0.25">
      <c r="A190" s="88">
        <f t="shared" ref="A190" si="229">$A186+1</f>
        <v>47</v>
      </c>
      <c r="B190" s="172" t="str">
        <f>IFERROR(INDEX(TBL_TRANSIT[Name],$A190),"")</f>
        <v>UK_BE_Pipe</v>
      </c>
      <c r="C190" s="87" t="str">
        <f t="shared" ref="C190:D190" si="230">IF($B190&lt;&gt;"",C186,"")</f>
        <v>Capacity - Min</v>
      </c>
      <c r="D190" s="87" t="str">
        <f t="shared" si="230"/>
        <v>GWh/day</v>
      </c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24"/>
      <c r="W190" s="29" t="str">
        <f>INDEX(TBL_TRANSIT[TransitID],$A190)</f>
        <v>Transit_002_033_001</v>
      </c>
      <c r="X190" s="29" t="str">
        <f>"TransitCapMin_"&amp;RIGHT($W190,11)</f>
        <v>TransitCapMin_002_033_001</v>
      </c>
    </row>
    <row r="191" spans="1:24" x14ac:dyDescent="0.25">
      <c r="A191" s="88">
        <f t="shared" si="170"/>
        <v>47</v>
      </c>
      <c r="B191" s="173"/>
      <c r="C191" s="87" t="str">
        <f t="shared" ref="C191:D191" si="231">IF($B190&lt;&gt;"",C187,"")</f>
        <v>Capacity - Max</v>
      </c>
      <c r="D191" s="87" t="str">
        <f t="shared" si="231"/>
        <v>GWh/day</v>
      </c>
      <c r="E191" s="151">
        <v>803.4</v>
      </c>
      <c r="F191" s="151">
        <v>803.4</v>
      </c>
      <c r="G191" s="151">
        <v>803.4</v>
      </c>
      <c r="H191" s="151">
        <v>803.4</v>
      </c>
      <c r="I191" s="151">
        <v>803.4</v>
      </c>
      <c r="J191" s="151">
        <v>803.4</v>
      </c>
      <c r="K191" s="151">
        <v>803.4</v>
      </c>
      <c r="L191" s="151">
        <v>803.4</v>
      </c>
      <c r="M191" s="151">
        <v>803.4</v>
      </c>
      <c r="N191" s="151">
        <v>803.4</v>
      </c>
      <c r="O191" s="151">
        <v>803.4</v>
      </c>
      <c r="P191" s="151">
        <v>803.4</v>
      </c>
      <c r="Q191" s="151">
        <v>803.4</v>
      </c>
      <c r="R191" s="151">
        <v>803.4</v>
      </c>
      <c r="S191" s="151">
        <v>803.4</v>
      </c>
      <c r="T191" s="151">
        <v>803.4</v>
      </c>
      <c r="U191" s="151">
        <v>803.4</v>
      </c>
      <c r="V191" s="25"/>
      <c r="W191" s="29" t="str">
        <f>INDEX(TBL_TRANSIT[TransitID],$A191)</f>
        <v>Transit_002_033_001</v>
      </c>
      <c r="X191" s="29" t="str">
        <f>"TransitCapMax_"&amp;RIGHT($W191,11)</f>
        <v>TransitCapMax_002_033_001</v>
      </c>
    </row>
    <row r="192" spans="1:24" x14ac:dyDescent="0.25">
      <c r="A192" s="88">
        <f t="shared" si="170"/>
        <v>47</v>
      </c>
      <c r="B192" s="173"/>
      <c r="C192" s="87" t="str">
        <f t="shared" ref="C192:D192" si="232">IF($B190&lt;&gt;"",C188,"")</f>
        <v>Tariff - fixed</v>
      </c>
      <c r="D192" s="87" t="str">
        <f t="shared" si="232"/>
        <v>EUR/month</v>
      </c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24"/>
      <c r="W192" s="29" t="str">
        <f>INDEX(TBL_TRANSIT[TransitID],$A192)</f>
        <v>Transit_002_033_001</v>
      </c>
      <c r="X192" s="29" t="str">
        <f>"TransitTariffFixed_"&amp;RIGHT($W192,11)</f>
        <v>TransitTariffFixed_002_033_001</v>
      </c>
    </row>
    <row r="193" spans="1:24" x14ac:dyDescent="0.25">
      <c r="A193" s="88">
        <f t="shared" si="170"/>
        <v>47</v>
      </c>
      <c r="B193" s="174"/>
      <c r="C193" s="87" t="str">
        <f t="shared" ref="C193:D193" si="233">IF($B190&lt;&gt;"",C189,"")</f>
        <v>Tariff - variable</v>
      </c>
      <c r="D193" s="87" t="str">
        <f t="shared" si="233"/>
        <v>EUR/MWh</v>
      </c>
      <c r="E193" s="151">
        <v>9.290042009132421E-2</v>
      </c>
      <c r="F193" s="151">
        <v>9.290042009132421E-2</v>
      </c>
      <c r="G193" s="151">
        <v>9.290042009132421E-2</v>
      </c>
      <c r="H193" s="151">
        <v>9.290042009132421E-2</v>
      </c>
      <c r="I193" s="151">
        <v>9.290042009132421E-2</v>
      </c>
      <c r="J193" s="151">
        <v>9.290042009132421E-2</v>
      </c>
      <c r="K193" s="151">
        <v>9.290042009132421E-2</v>
      </c>
      <c r="L193" s="151">
        <v>9.290042009132421E-2</v>
      </c>
      <c r="M193" s="151">
        <v>9.290042009132421E-2</v>
      </c>
      <c r="N193" s="151">
        <v>9.290042009132421E-2</v>
      </c>
      <c r="O193" s="151">
        <v>9.290042009132421E-2</v>
      </c>
      <c r="P193" s="151">
        <v>9.290042009132421E-2</v>
      </c>
      <c r="Q193" s="151">
        <v>9.290042009132421E-2</v>
      </c>
      <c r="R193" s="151">
        <v>9.290042009132421E-2</v>
      </c>
      <c r="S193" s="151">
        <v>9.290042009132421E-2</v>
      </c>
      <c r="T193" s="151">
        <v>9.290042009132421E-2</v>
      </c>
      <c r="U193" s="151">
        <v>9.290042009132421E-2</v>
      </c>
      <c r="V193" s="25" t="s">
        <v>382</v>
      </c>
      <c r="W193" s="29" t="str">
        <f>INDEX(TBL_TRANSIT[TransitID],$A193)</f>
        <v>Transit_002_033_001</v>
      </c>
      <c r="X193" s="29" t="str">
        <f>"TransitTariffVar_"&amp;RIGHT($W193,11)</f>
        <v>TransitTariffVar_002_033_001</v>
      </c>
    </row>
    <row r="194" spans="1:24" x14ac:dyDescent="0.25">
      <c r="A194" s="88">
        <f t="shared" ref="A194" si="234">$A190+1</f>
        <v>48</v>
      </c>
      <c r="B194" s="172" t="str">
        <f>IFERROR(INDEX(TBL_TRANSIT[Name],$A194),"")</f>
        <v>UK_NE_Pipe</v>
      </c>
      <c r="C194" s="87" t="str">
        <f t="shared" ref="C194:D194" si="235">IF($B194&lt;&gt;"",C190,"")</f>
        <v>Capacity - Min</v>
      </c>
      <c r="D194" s="87" t="str">
        <f t="shared" si="235"/>
        <v>GWh/day</v>
      </c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24"/>
      <c r="W194" s="29" t="str">
        <f>INDEX(TBL_TRANSIT[TransitID],$A194)</f>
        <v>Transit_004_033_001</v>
      </c>
      <c r="X194" s="29" t="str">
        <f>"TransitCapMin_"&amp;RIGHT($W194,11)</f>
        <v>TransitCapMin_004_033_001</v>
      </c>
    </row>
    <row r="195" spans="1:24" x14ac:dyDescent="0.25">
      <c r="A195" s="88">
        <f t="shared" si="170"/>
        <v>48</v>
      </c>
      <c r="B195" s="173"/>
      <c r="C195" s="87" t="str">
        <f t="shared" ref="C195:D195" si="236">IF($B194&lt;&gt;"",C191,"")</f>
        <v>Capacity - Max</v>
      </c>
      <c r="D195" s="87" t="str">
        <f t="shared" si="236"/>
        <v>GWh/day</v>
      </c>
      <c r="E195" s="151">
        <v>494</v>
      </c>
      <c r="F195" s="151">
        <v>494</v>
      </c>
      <c r="G195" s="151">
        <v>494</v>
      </c>
      <c r="H195" s="151">
        <v>494</v>
      </c>
      <c r="I195" s="151">
        <v>494</v>
      </c>
      <c r="J195" s="151">
        <v>494</v>
      </c>
      <c r="K195" s="151">
        <v>494</v>
      </c>
      <c r="L195" s="151">
        <v>494</v>
      </c>
      <c r="M195" s="151">
        <v>494</v>
      </c>
      <c r="N195" s="151">
        <v>494</v>
      </c>
      <c r="O195" s="151">
        <v>494</v>
      </c>
      <c r="P195" s="151">
        <v>494</v>
      </c>
      <c r="Q195" s="151">
        <v>494</v>
      </c>
      <c r="R195" s="151">
        <v>494</v>
      </c>
      <c r="S195" s="151">
        <v>494</v>
      </c>
      <c r="T195" s="151">
        <v>494</v>
      </c>
      <c r="U195" s="151">
        <v>494</v>
      </c>
      <c r="V195" s="25"/>
      <c r="W195" s="29" t="str">
        <f>INDEX(TBL_TRANSIT[TransitID],$A195)</f>
        <v>Transit_004_033_001</v>
      </c>
      <c r="X195" s="29" t="str">
        <f>"TransitCapMax_"&amp;RIGHT($W195,11)</f>
        <v>TransitCapMax_004_033_001</v>
      </c>
    </row>
    <row r="196" spans="1:24" x14ac:dyDescent="0.25">
      <c r="A196" s="88">
        <f t="shared" si="170"/>
        <v>48</v>
      </c>
      <c r="B196" s="173"/>
      <c r="C196" s="87" t="str">
        <f t="shared" ref="C196:D196" si="237">IF($B194&lt;&gt;"",C192,"")</f>
        <v>Tariff - fixed</v>
      </c>
      <c r="D196" s="87" t="str">
        <f t="shared" si="237"/>
        <v>EUR/month</v>
      </c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24"/>
      <c r="W196" s="29" t="str">
        <f>INDEX(TBL_TRANSIT[TransitID],$A196)</f>
        <v>Transit_004_033_001</v>
      </c>
      <c r="X196" s="29" t="str">
        <f>"TransitTariffFixed_"&amp;RIGHT($W196,11)</f>
        <v>TransitTariffFixed_004_033_001</v>
      </c>
    </row>
    <row r="197" spans="1:24" x14ac:dyDescent="0.25">
      <c r="A197" s="88">
        <f t="shared" si="170"/>
        <v>48</v>
      </c>
      <c r="B197" s="174"/>
      <c r="C197" s="87" t="str">
        <f t="shared" ref="C197:D197" si="238">IF($B194&lt;&gt;"",C193,"")</f>
        <v>Tariff - variable</v>
      </c>
      <c r="D197" s="87" t="str">
        <f t="shared" si="238"/>
        <v>EUR/MWh</v>
      </c>
      <c r="E197" s="151">
        <v>0.29290042009132417</v>
      </c>
      <c r="F197" s="151">
        <v>0.29290042009132417</v>
      </c>
      <c r="G197" s="151">
        <v>0.29290042009132417</v>
      </c>
      <c r="H197" s="151">
        <v>0.29290042009132417</v>
      </c>
      <c r="I197" s="151">
        <v>0.29290042009132417</v>
      </c>
      <c r="J197" s="151">
        <v>0.29290042009132417</v>
      </c>
      <c r="K197" s="151">
        <v>0.29290042009132417</v>
      </c>
      <c r="L197" s="151">
        <v>0.29290042009132417</v>
      </c>
      <c r="M197" s="151">
        <v>0.29290042009132417</v>
      </c>
      <c r="N197" s="151">
        <v>0.29290042009132417</v>
      </c>
      <c r="O197" s="151">
        <v>0.29290042009132417</v>
      </c>
      <c r="P197" s="151">
        <v>0.29290042009132417</v>
      </c>
      <c r="Q197" s="151">
        <v>0.29290042009132417</v>
      </c>
      <c r="R197" s="151">
        <v>0.29290042009132417</v>
      </c>
      <c r="S197" s="151">
        <v>0.29290042009132417</v>
      </c>
      <c r="T197" s="151">
        <v>0.29290042009132417</v>
      </c>
      <c r="U197" s="151">
        <v>0.29290042009132417</v>
      </c>
      <c r="V197" s="25" t="s">
        <v>382</v>
      </c>
      <c r="W197" s="29" t="str">
        <f>INDEX(TBL_TRANSIT[TransitID],$A197)</f>
        <v>Transit_004_033_001</v>
      </c>
      <c r="X197" s="29" t="str">
        <f>"TransitTariffVar_"&amp;RIGHT($W197,11)</f>
        <v>TransitTariffVar_004_033_001</v>
      </c>
    </row>
    <row r="198" spans="1:24" x14ac:dyDescent="0.25">
      <c r="A198" s="88">
        <f t="shared" ref="A198" si="239">$A194+1</f>
        <v>49</v>
      </c>
      <c r="B198" s="172" t="str">
        <f>IFERROR(INDEX(TBL_TRANSIT[Name],$A198),"")</f>
        <v>CZ_GER_OPAL_Pipe</v>
      </c>
      <c r="C198" s="87" t="str">
        <f t="shared" ref="C198:D198" si="240">IF($B198&lt;&gt;"",C194,"")</f>
        <v>Capacity - Min</v>
      </c>
      <c r="D198" s="87" t="str">
        <f t="shared" si="240"/>
        <v>GWh/day</v>
      </c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24"/>
      <c r="W198" s="29" t="str">
        <f>INDEX(TBL_TRANSIT[TransitID],$A198)</f>
        <v>Transit_012_018_002</v>
      </c>
      <c r="X198" s="29" t="str">
        <f>"TransitCapMin_"&amp;RIGHT($W198,11)</f>
        <v>TransitCapMin_012_018_002</v>
      </c>
    </row>
    <row r="199" spans="1:24" x14ac:dyDescent="0.25">
      <c r="A199" s="88">
        <f t="shared" ref="A199:A237" si="241">$A198</f>
        <v>49</v>
      </c>
      <c r="B199" s="173"/>
      <c r="C199" s="87" t="str">
        <f t="shared" ref="C199:D199" si="242">IF($B198&lt;&gt;"",C195,"")</f>
        <v>Capacity - Max</v>
      </c>
      <c r="D199" s="87" t="str">
        <f t="shared" si="242"/>
        <v>GWh/day</v>
      </c>
      <c r="E199" s="151">
        <v>516.6</v>
      </c>
      <c r="F199" s="151">
        <v>516.6</v>
      </c>
      <c r="G199" s="151">
        <v>516.6</v>
      </c>
      <c r="H199" s="151">
        <v>516.6</v>
      </c>
      <c r="I199" s="151">
        <v>516.6</v>
      </c>
      <c r="J199" s="151">
        <v>516.6</v>
      </c>
      <c r="K199" s="151">
        <v>516.6</v>
      </c>
      <c r="L199" s="151">
        <v>516.6</v>
      </c>
      <c r="M199" s="151">
        <v>516.6</v>
      </c>
      <c r="N199" s="151">
        <v>516.6</v>
      </c>
      <c r="O199" s="151">
        <v>516.6</v>
      </c>
      <c r="P199" s="151">
        <v>516.6</v>
      </c>
      <c r="Q199" s="151">
        <v>516.6</v>
      </c>
      <c r="R199" s="151">
        <v>516.6</v>
      </c>
      <c r="S199" s="151">
        <v>516.6</v>
      </c>
      <c r="T199" s="151">
        <v>516.6</v>
      </c>
      <c r="U199" s="151">
        <v>516.6</v>
      </c>
      <c r="V199" s="25"/>
      <c r="W199" s="29" t="str">
        <f>INDEX(TBL_TRANSIT[TransitID],$A199)</f>
        <v>Transit_012_018_002</v>
      </c>
      <c r="X199" s="29" t="str">
        <f>"TransitCapMax_"&amp;RIGHT($W199,11)</f>
        <v>TransitCapMax_012_018_002</v>
      </c>
    </row>
    <row r="200" spans="1:24" x14ac:dyDescent="0.25">
      <c r="A200" s="88">
        <f t="shared" si="241"/>
        <v>49</v>
      </c>
      <c r="B200" s="173"/>
      <c r="C200" s="87" t="str">
        <f t="shared" ref="C200:D200" si="243">IF($B198&lt;&gt;"",C196,"")</f>
        <v>Tariff - fixed</v>
      </c>
      <c r="D200" s="87" t="str">
        <f t="shared" si="243"/>
        <v>EUR/month</v>
      </c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24"/>
      <c r="W200" s="29" t="str">
        <f>INDEX(TBL_TRANSIT[TransitID],$A200)</f>
        <v>Transit_012_018_002</v>
      </c>
      <c r="X200" s="29" t="str">
        <f>"TransitTariffFixed_"&amp;RIGHT($W200,11)</f>
        <v>TransitTariffFixed_012_018_002</v>
      </c>
    </row>
    <row r="201" spans="1:24" x14ac:dyDescent="0.25">
      <c r="A201" s="88">
        <f t="shared" si="241"/>
        <v>49</v>
      </c>
      <c r="B201" s="174"/>
      <c r="C201" s="87" t="str">
        <f t="shared" ref="C201:D201" si="244">IF($B198&lt;&gt;"",C197,"")</f>
        <v>Tariff - variable</v>
      </c>
      <c r="D201" s="87" t="str">
        <f t="shared" si="244"/>
        <v>EUR/MWh</v>
      </c>
      <c r="E201" s="151">
        <v>0.52423378995433789</v>
      </c>
      <c r="F201" s="151">
        <v>0.52423378995433789</v>
      </c>
      <c r="G201" s="151">
        <v>0.52423378995433789</v>
      </c>
      <c r="H201" s="151">
        <v>0.52423378995433789</v>
      </c>
      <c r="I201" s="151">
        <v>0.52423378995433789</v>
      </c>
      <c r="J201" s="151">
        <v>0.52423378995433789</v>
      </c>
      <c r="K201" s="151">
        <v>0.52423378995433789</v>
      </c>
      <c r="L201" s="151">
        <v>0.52423378995433789</v>
      </c>
      <c r="M201" s="151">
        <v>0.52423378995433789</v>
      </c>
      <c r="N201" s="151">
        <v>0.52423378995433789</v>
      </c>
      <c r="O201" s="151">
        <v>0.52423378995433789</v>
      </c>
      <c r="P201" s="151">
        <v>0.52423378995433789</v>
      </c>
      <c r="Q201" s="151">
        <v>0.52423378995433789</v>
      </c>
      <c r="R201" s="151">
        <v>0.52423378995433789</v>
      </c>
      <c r="S201" s="151">
        <v>0.52423378995433789</v>
      </c>
      <c r="T201" s="151">
        <v>0.52423378995433789</v>
      </c>
      <c r="U201" s="151">
        <v>0.52423378995433789</v>
      </c>
      <c r="V201" s="25" t="s">
        <v>382</v>
      </c>
      <c r="W201" s="29" t="str">
        <f>INDEX(TBL_TRANSIT[TransitID],$A201)</f>
        <v>Transit_012_018_002</v>
      </c>
      <c r="X201" s="29" t="str">
        <f>"TransitTariffVar_"&amp;RIGHT($W201,11)</f>
        <v>TransitTariffVar_012_018_002</v>
      </c>
    </row>
    <row r="202" spans="1:24" x14ac:dyDescent="0.25">
      <c r="A202" s="88">
        <f t="shared" ref="A202" si="245">$A198+1</f>
        <v>50</v>
      </c>
      <c r="B202" s="172" t="str">
        <f>IFERROR(INDEX(TBL_TRANSIT[Name],$A202),"")</f>
        <v>HUN_Ukr_Pipe</v>
      </c>
      <c r="C202" s="87" t="str">
        <f t="shared" ref="C202:D202" si="246">IF($B202&lt;&gt;"",C198,"")</f>
        <v>Capacity - Min</v>
      </c>
      <c r="D202" s="87" t="str">
        <f t="shared" si="246"/>
        <v>GWh/day</v>
      </c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24"/>
      <c r="W202" s="29" t="str">
        <f>INDEX(TBL_TRANSIT[TransitID],$A202)</f>
        <v>Transit_036_025_001</v>
      </c>
      <c r="X202" s="29" t="str">
        <f>"TransitCapMin_"&amp;RIGHT($W202,11)</f>
        <v>TransitCapMin_036_025_001</v>
      </c>
    </row>
    <row r="203" spans="1:24" x14ac:dyDescent="0.25">
      <c r="A203" s="88">
        <f t="shared" si="241"/>
        <v>50</v>
      </c>
      <c r="B203" s="173"/>
      <c r="C203" s="87" t="str">
        <f t="shared" ref="C203:D203" si="247">IF($B202&lt;&gt;"",C199,"")</f>
        <v>Capacity - Max</v>
      </c>
      <c r="D203" s="87" t="str">
        <f t="shared" si="247"/>
        <v>GWh/day</v>
      </c>
      <c r="E203" s="151">
        <v>135.6</v>
      </c>
      <c r="F203" s="151">
        <v>135.6</v>
      </c>
      <c r="G203" s="151">
        <v>135.6</v>
      </c>
      <c r="H203" s="151">
        <v>135.6</v>
      </c>
      <c r="I203" s="151">
        <v>135.6</v>
      </c>
      <c r="J203" s="151">
        <v>135.6</v>
      </c>
      <c r="K203" s="151">
        <v>135.6</v>
      </c>
      <c r="L203" s="151">
        <v>135.6</v>
      </c>
      <c r="M203" s="151">
        <v>135.6</v>
      </c>
      <c r="N203" s="151">
        <v>135.6</v>
      </c>
      <c r="O203" s="151">
        <v>135.6</v>
      </c>
      <c r="P203" s="151">
        <v>135.6</v>
      </c>
      <c r="Q203" s="151">
        <v>135.6</v>
      </c>
      <c r="R203" s="151">
        <v>135.6</v>
      </c>
      <c r="S203" s="151">
        <v>135.6</v>
      </c>
      <c r="T203" s="151">
        <v>135.6</v>
      </c>
      <c r="U203" s="151">
        <v>135.6</v>
      </c>
      <c r="V203" s="25"/>
      <c r="W203" s="29" t="str">
        <f>INDEX(TBL_TRANSIT[TransitID],$A203)</f>
        <v>Transit_036_025_001</v>
      </c>
      <c r="X203" s="29" t="str">
        <f>"TransitCapMax_"&amp;RIGHT($W203,11)</f>
        <v>TransitCapMax_036_025_001</v>
      </c>
    </row>
    <row r="204" spans="1:24" x14ac:dyDescent="0.25">
      <c r="A204" s="88">
        <f t="shared" si="241"/>
        <v>50</v>
      </c>
      <c r="B204" s="173"/>
      <c r="C204" s="87" t="str">
        <f t="shared" ref="C204:D204" si="248">IF($B202&lt;&gt;"",C200,"")</f>
        <v>Tariff - fixed</v>
      </c>
      <c r="D204" s="87" t="str">
        <f t="shared" si="248"/>
        <v>EUR/month</v>
      </c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24"/>
      <c r="W204" s="29" t="str">
        <f>INDEX(TBL_TRANSIT[TransitID],$A204)</f>
        <v>Transit_036_025_001</v>
      </c>
      <c r="X204" s="29" t="str">
        <f>"TransitTariffFixed_"&amp;RIGHT($W204,11)</f>
        <v>TransitTariffFixed_036_025_001</v>
      </c>
    </row>
    <row r="205" spans="1:24" x14ac:dyDescent="0.25">
      <c r="A205" s="88">
        <f t="shared" si="241"/>
        <v>50</v>
      </c>
      <c r="B205" s="174"/>
      <c r="C205" s="87" t="str">
        <f t="shared" ref="C205:D205" si="249">IF($B202&lt;&gt;"",C201,"")</f>
        <v>Tariff - variable</v>
      </c>
      <c r="D205" s="87" t="str">
        <f t="shared" si="249"/>
        <v>EUR/MWh</v>
      </c>
      <c r="E205" s="151">
        <v>0.95836241095890418</v>
      </c>
      <c r="F205" s="151">
        <v>0.95836241095890418</v>
      </c>
      <c r="G205" s="151">
        <v>0.95836241095890418</v>
      </c>
      <c r="H205" s="151">
        <v>0.95836241095890418</v>
      </c>
      <c r="I205" s="151">
        <v>0.95836241095890418</v>
      </c>
      <c r="J205" s="151">
        <v>0.95836241095890418</v>
      </c>
      <c r="K205" s="151">
        <v>0.95836241095890418</v>
      </c>
      <c r="L205" s="151">
        <v>0.95836241095890418</v>
      </c>
      <c r="M205" s="151">
        <v>0.95836241095890418</v>
      </c>
      <c r="N205" s="151">
        <v>0.95836241095890418</v>
      </c>
      <c r="O205" s="151">
        <v>0.95836241095890418</v>
      </c>
      <c r="P205" s="151">
        <v>0.95836241095890418</v>
      </c>
      <c r="Q205" s="151">
        <v>0.95836241095890418</v>
      </c>
      <c r="R205" s="151">
        <v>0.95836241095890418</v>
      </c>
      <c r="S205" s="151">
        <v>0.95836241095890418</v>
      </c>
      <c r="T205" s="151">
        <v>0.95836241095890418</v>
      </c>
      <c r="U205" s="151">
        <v>0.95836241095890418</v>
      </c>
      <c r="V205" s="25" t="s">
        <v>382</v>
      </c>
      <c r="W205" s="29" t="str">
        <f>INDEX(TBL_TRANSIT[TransitID],$A205)</f>
        <v>Transit_036_025_001</v>
      </c>
      <c r="X205" s="29" t="str">
        <f>"TransitTariffVar_"&amp;RIGHT($W205,11)</f>
        <v>TransitTariffVar_036_025_001</v>
      </c>
    </row>
    <row r="206" spans="1:24" x14ac:dyDescent="0.25">
      <c r="A206" s="88">
        <f t="shared" ref="A206" si="250">$A202+1</f>
        <v>51</v>
      </c>
      <c r="B206" s="172" t="str">
        <f>IFERROR(INDEX(TBL_TRANSIT[Name],$A206),"")</f>
        <v>PO_Ukr_Pipe</v>
      </c>
      <c r="C206" s="87" t="str">
        <f t="shared" ref="C206:D206" si="251">IF($B206&lt;&gt;"",C202,"")</f>
        <v>Capacity - Min</v>
      </c>
      <c r="D206" s="87" t="str">
        <f t="shared" si="251"/>
        <v>GWh/day</v>
      </c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24"/>
      <c r="W206" s="29" t="str">
        <f>INDEX(TBL_TRANSIT[TransitID],$A206)</f>
        <v>Transit_036_017_001</v>
      </c>
      <c r="X206" s="29" t="str">
        <f>"TransitCapMin_"&amp;RIGHT($W206,11)</f>
        <v>TransitCapMin_036_017_001</v>
      </c>
    </row>
    <row r="207" spans="1:24" x14ac:dyDescent="0.25">
      <c r="A207" s="88">
        <f t="shared" si="241"/>
        <v>51</v>
      </c>
      <c r="B207" s="173"/>
      <c r="C207" s="87" t="str">
        <f t="shared" ref="C207:D207" si="252">IF($B206&lt;&gt;"",C203,"")</f>
        <v>Capacity - Max</v>
      </c>
      <c r="D207" s="87" t="str">
        <f t="shared" si="252"/>
        <v>GWh/day</v>
      </c>
      <c r="E207" s="151">
        <v>370.9</v>
      </c>
      <c r="F207" s="151">
        <v>370.9</v>
      </c>
      <c r="G207" s="151">
        <v>370.9</v>
      </c>
      <c r="H207" s="151">
        <v>370.9</v>
      </c>
      <c r="I207" s="151">
        <v>370.9</v>
      </c>
      <c r="J207" s="151">
        <v>370.9</v>
      </c>
      <c r="K207" s="151">
        <v>370.9</v>
      </c>
      <c r="L207" s="151">
        <v>370.9</v>
      </c>
      <c r="M207" s="151">
        <v>370.9</v>
      </c>
      <c r="N207" s="151">
        <v>370.9</v>
      </c>
      <c r="O207" s="151">
        <v>370.9</v>
      </c>
      <c r="P207" s="151">
        <v>370.9</v>
      </c>
      <c r="Q207" s="151">
        <v>370.9</v>
      </c>
      <c r="R207" s="151">
        <v>370.9</v>
      </c>
      <c r="S207" s="151">
        <v>370.9</v>
      </c>
      <c r="T207" s="151">
        <v>370.9</v>
      </c>
      <c r="U207" s="151">
        <v>370.9</v>
      </c>
      <c r="V207" s="25"/>
      <c r="W207" s="29" t="str">
        <f>INDEX(TBL_TRANSIT[TransitID],$A207)</f>
        <v>Transit_036_017_001</v>
      </c>
      <c r="X207" s="29" t="str">
        <f>"TransitCapMax_"&amp;RIGHT($W207,11)</f>
        <v>TransitCapMax_036_017_001</v>
      </c>
    </row>
    <row r="208" spans="1:24" x14ac:dyDescent="0.25">
      <c r="A208" s="88">
        <f t="shared" si="241"/>
        <v>51</v>
      </c>
      <c r="B208" s="173"/>
      <c r="C208" s="87" t="str">
        <f t="shared" ref="C208:D208" si="253">IF($B206&lt;&gt;"",C204,"")</f>
        <v>Tariff - fixed</v>
      </c>
      <c r="D208" s="87" t="str">
        <f t="shared" si="253"/>
        <v>EUR/month</v>
      </c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24"/>
      <c r="W208" s="29" t="str">
        <f>INDEX(TBL_TRANSIT[TransitID],$A208)</f>
        <v>Transit_036_017_001</v>
      </c>
      <c r="X208" s="29" t="str">
        <f>"TransitTariffFixed_"&amp;RIGHT($W208,11)</f>
        <v>TransitTariffFixed_036_017_001</v>
      </c>
    </row>
    <row r="209" spans="1:24" x14ac:dyDescent="0.25">
      <c r="A209" s="88">
        <f t="shared" si="241"/>
        <v>51</v>
      </c>
      <c r="B209" s="174"/>
      <c r="C209" s="87" t="str">
        <f t="shared" ref="C209:D209" si="254">IF($B206&lt;&gt;"",C205,"")</f>
        <v>Tariff - variable</v>
      </c>
      <c r="D209" s="87" t="str">
        <f t="shared" si="254"/>
        <v>EUR/MWh</v>
      </c>
      <c r="E209" s="151">
        <v>0.22188194520547944</v>
      </c>
      <c r="F209" s="151">
        <v>0.22188194520547944</v>
      </c>
      <c r="G209" s="151">
        <v>0.22188194520547944</v>
      </c>
      <c r="H209" s="151">
        <v>0.22188194520547944</v>
      </c>
      <c r="I209" s="151">
        <v>0.22188194520547944</v>
      </c>
      <c r="J209" s="151">
        <v>0.22188194520547944</v>
      </c>
      <c r="K209" s="151">
        <v>0.22188194520547944</v>
      </c>
      <c r="L209" s="151">
        <v>0.22188194520547944</v>
      </c>
      <c r="M209" s="151">
        <v>0.22188194520547944</v>
      </c>
      <c r="N209" s="151">
        <v>0.22188194520547944</v>
      </c>
      <c r="O209" s="151">
        <v>0.22188194520547944</v>
      </c>
      <c r="P209" s="151">
        <v>0.22188194520547944</v>
      </c>
      <c r="Q209" s="151">
        <v>0.22188194520547944</v>
      </c>
      <c r="R209" s="151">
        <v>0.22188194520547944</v>
      </c>
      <c r="S209" s="151">
        <v>0.22188194520547944</v>
      </c>
      <c r="T209" s="151">
        <v>0.22188194520547944</v>
      </c>
      <c r="U209" s="151">
        <v>0.22188194520547944</v>
      </c>
      <c r="V209" s="25" t="s">
        <v>382</v>
      </c>
      <c r="W209" s="29" t="str">
        <f>INDEX(TBL_TRANSIT[TransitID],$A209)</f>
        <v>Transit_036_017_001</v>
      </c>
      <c r="X209" s="29" t="str">
        <f>"TransitTariffVar_"&amp;RIGHT($W209,11)</f>
        <v>TransitTariffVar_036_017_001</v>
      </c>
    </row>
    <row r="210" spans="1:24" x14ac:dyDescent="0.25">
      <c r="A210" s="88">
        <f t="shared" ref="A210" si="255">$A206+1</f>
        <v>52</v>
      </c>
      <c r="B210" s="172" t="str">
        <f>IFERROR(INDEX(TBL_TRANSIT[Name],$A210),"")</f>
        <v>RO_Ukr_Pipe</v>
      </c>
      <c r="C210" s="87" t="str">
        <f t="shared" ref="C210:D210" si="256">IF($B210&lt;&gt;"",C206,"")</f>
        <v>Capacity - Min</v>
      </c>
      <c r="D210" s="87" t="str">
        <f t="shared" si="256"/>
        <v>GWh/day</v>
      </c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24"/>
      <c r="W210" s="29" t="str">
        <f>INDEX(TBL_TRANSIT[TransitID],$A210)</f>
        <v>Transit_036_028_002</v>
      </c>
      <c r="X210" s="29" t="str">
        <f>"TransitCapMin_"&amp;RIGHT($W210,11)</f>
        <v>TransitCapMin_036_028_002</v>
      </c>
    </row>
    <row r="211" spans="1:24" x14ac:dyDescent="0.25">
      <c r="A211" s="88">
        <f t="shared" si="241"/>
        <v>52</v>
      </c>
      <c r="B211" s="173"/>
      <c r="C211" s="87" t="str">
        <f t="shared" ref="C211:D211" si="257">IF($B210&lt;&gt;"",C207,"")</f>
        <v>Capacity - Max</v>
      </c>
      <c r="D211" s="87" t="str">
        <f t="shared" si="257"/>
        <v>GWh/day</v>
      </c>
      <c r="E211" s="151">
        <v>2277.6</v>
      </c>
      <c r="F211" s="151">
        <v>2277.6</v>
      </c>
      <c r="G211" s="151">
        <v>2277.6</v>
      </c>
      <c r="H211" s="151">
        <v>2277.6</v>
      </c>
      <c r="I211" s="151">
        <v>2277.6</v>
      </c>
      <c r="J211" s="151">
        <v>2277.6</v>
      </c>
      <c r="K211" s="151">
        <v>2277.6</v>
      </c>
      <c r="L211" s="151">
        <v>2277.6</v>
      </c>
      <c r="M211" s="151">
        <v>2277.6</v>
      </c>
      <c r="N211" s="151">
        <v>2277.6</v>
      </c>
      <c r="O211" s="151">
        <v>2277.6</v>
      </c>
      <c r="P211" s="151">
        <v>2277.6</v>
      </c>
      <c r="Q211" s="151">
        <v>2277.6</v>
      </c>
      <c r="R211" s="151">
        <v>2277.6</v>
      </c>
      <c r="S211" s="151">
        <v>2277.6</v>
      </c>
      <c r="T211" s="151">
        <v>2277.6</v>
      </c>
      <c r="U211" s="151">
        <v>2277.6</v>
      </c>
      <c r="V211" s="25"/>
      <c r="W211" s="29" t="str">
        <f>INDEX(TBL_TRANSIT[TransitID],$A211)</f>
        <v>Transit_036_028_002</v>
      </c>
      <c r="X211" s="29" t="str">
        <f>"TransitCapMax_"&amp;RIGHT($W211,11)</f>
        <v>TransitCapMax_036_028_002</v>
      </c>
    </row>
    <row r="212" spans="1:24" x14ac:dyDescent="0.25">
      <c r="A212" s="88">
        <f t="shared" si="241"/>
        <v>52</v>
      </c>
      <c r="B212" s="173"/>
      <c r="C212" s="87" t="str">
        <f t="shared" ref="C212:D212" si="258">IF($B210&lt;&gt;"",C208,"")</f>
        <v>Tariff - fixed</v>
      </c>
      <c r="D212" s="87" t="str">
        <f t="shared" si="258"/>
        <v>EUR/month</v>
      </c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24"/>
      <c r="W212" s="29" t="str">
        <f>INDEX(TBL_TRANSIT[TransitID],$A212)</f>
        <v>Transit_036_028_002</v>
      </c>
      <c r="X212" s="29" t="str">
        <f>"TransitTariffFixed_"&amp;RIGHT($W212,11)</f>
        <v>TransitTariffFixed_036_028_002</v>
      </c>
    </row>
    <row r="213" spans="1:24" x14ac:dyDescent="0.25">
      <c r="A213" s="88">
        <f t="shared" si="241"/>
        <v>52</v>
      </c>
      <c r="B213" s="174"/>
      <c r="C213" s="87" t="str">
        <f t="shared" ref="C213:D213" si="259">IF($B210&lt;&gt;"",C209,"")</f>
        <v>Tariff - variable</v>
      </c>
      <c r="D213" s="87" t="str">
        <f t="shared" si="259"/>
        <v>EUR/MWh</v>
      </c>
      <c r="E213" s="151">
        <v>0.48807934246575341</v>
      </c>
      <c r="F213" s="151">
        <v>0.48807934246575341</v>
      </c>
      <c r="G213" s="151">
        <v>0.48807934246575341</v>
      </c>
      <c r="H213" s="151">
        <v>0.48807934246575341</v>
      </c>
      <c r="I213" s="151">
        <v>0.48807934246575341</v>
      </c>
      <c r="J213" s="151">
        <v>0.48807934246575341</v>
      </c>
      <c r="K213" s="151">
        <v>0.48807934246575341</v>
      </c>
      <c r="L213" s="151">
        <v>0.48807934246575341</v>
      </c>
      <c r="M213" s="151">
        <v>0.48807934246575341</v>
      </c>
      <c r="N213" s="151">
        <v>0.48807934246575341</v>
      </c>
      <c r="O213" s="151">
        <v>0.48807934246575341</v>
      </c>
      <c r="P213" s="151">
        <v>0.48807934246575341</v>
      </c>
      <c r="Q213" s="151">
        <v>0.48807934246575341</v>
      </c>
      <c r="R213" s="151">
        <v>0.48807934246575341</v>
      </c>
      <c r="S213" s="151">
        <v>0.48807934246575341</v>
      </c>
      <c r="T213" s="151">
        <v>0.48807934246575341</v>
      </c>
      <c r="U213" s="151">
        <v>0.48807934246575341</v>
      </c>
      <c r="V213" s="25" t="s">
        <v>382</v>
      </c>
      <c r="W213" s="29" t="str">
        <f>INDEX(TBL_TRANSIT[TransitID],$A213)</f>
        <v>Transit_036_028_002</v>
      </c>
      <c r="X213" s="29" t="str">
        <f>"TransitTariffVar_"&amp;RIGHT($W213,11)</f>
        <v>TransitTariffVar_036_028_002</v>
      </c>
    </row>
    <row r="214" spans="1:24" x14ac:dyDescent="0.25">
      <c r="A214" s="88">
        <f t="shared" ref="A214" si="260">$A210+1</f>
        <v>53</v>
      </c>
      <c r="B214" s="172" t="str">
        <f>IFERROR(INDEX(TBL_TRANSIT[Name],$A214),"")</f>
        <v>SK_Ukr_Pipe</v>
      </c>
      <c r="C214" s="87" t="str">
        <f t="shared" ref="C214:D214" si="261">IF($B214&lt;&gt;"",C210,"")</f>
        <v>Capacity - Min</v>
      </c>
      <c r="D214" s="87" t="str">
        <f t="shared" si="261"/>
        <v>GWh/day</v>
      </c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24"/>
      <c r="W214" s="29" t="str">
        <f>INDEX(TBL_TRANSIT[TransitID],$A214)</f>
        <v>Transit_036_019_001</v>
      </c>
      <c r="X214" s="29" t="str">
        <f>"TransitCapMin_"&amp;RIGHT($W214,11)</f>
        <v>TransitCapMin_036_019_001</v>
      </c>
    </row>
    <row r="215" spans="1:24" x14ac:dyDescent="0.25">
      <c r="A215" s="88">
        <f t="shared" si="241"/>
        <v>53</v>
      </c>
      <c r="B215" s="173"/>
      <c r="C215" s="87" t="str">
        <f t="shared" ref="C215:D215" si="262">IF($B214&lt;&gt;"",C211,"")</f>
        <v>Capacity - Max</v>
      </c>
      <c r="D215" s="87" t="str">
        <f t="shared" si="262"/>
        <v>GWh/day</v>
      </c>
      <c r="E215" s="151">
        <v>182.7</v>
      </c>
      <c r="F215" s="151">
        <v>182.7</v>
      </c>
      <c r="G215" s="151">
        <v>182.7</v>
      </c>
      <c r="H215" s="151">
        <v>182.7</v>
      </c>
      <c r="I215" s="151">
        <v>182.7</v>
      </c>
      <c r="J215" s="151">
        <v>182.7</v>
      </c>
      <c r="K215" s="151">
        <v>182.7</v>
      </c>
      <c r="L215" s="151">
        <v>182.7</v>
      </c>
      <c r="M215" s="151">
        <v>182.7</v>
      </c>
      <c r="N215" s="151">
        <v>182.7</v>
      </c>
      <c r="O215" s="151">
        <v>182.7</v>
      </c>
      <c r="P215" s="151">
        <v>182.7</v>
      </c>
      <c r="Q215" s="151">
        <v>182.7</v>
      </c>
      <c r="R215" s="151">
        <v>182.7</v>
      </c>
      <c r="S215" s="151">
        <v>182.7</v>
      </c>
      <c r="T215" s="151">
        <v>182.7</v>
      </c>
      <c r="U215" s="151">
        <v>182.7</v>
      </c>
      <c r="V215" s="25"/>
      <c r="W215" s="29" t="str">
        <f>INDEX(TBL_TRANSIT[TransitID],$A215)</f>
        <v>Transit_036_019_001</v>
      </c>
      <c r="X215" s="29" t="str">
        <f>"TransitCapMax_"&amp;RIGHT($W215,11)</f>
        <v>TransitCapMax_036_019_001</v>
      </c>
    </row>
    <row r="216" spans="1:24" x14ac:dyDescent="0.25">
      <c r="A216" s="88">
        <f t="shared" si="241"/>
        <v>53</v>
      </c>
      <c r="B216" s="173"/>
      <c r="C216" s="87" t="str">
        <f t="shared" ref="C216:D216" si="263">IF($B214&lt;&gt;"",C212,"")</f>
        <v>Tariff - fixed</v>
      </c>
      <c r="D216" s="87" t="str">
        <f t="shared" si="263"/>
        <v>EUR/month</v>
      </c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24"/>
      <c r="W216" s="29" t="str">
        <f>INDEX(TBL_TRANSIT[TransitID],$A216)</f>
        <v>Transit_036_019_001</v>
      </c>
      <c r="X216" s="29" t="str">
        <f>"TransitTariffFixed_"&amp;RIGHT($W216,11)</f>
        <v>TransitTariffFixed_036_019_001</v>
      </c>
    </row>
    <row r="217" spans="1:24" x14ac:dyDescent="0.25">
      <c r="A217" s="88">
        <f t="shared" si="241"/>
        <v>53</v>
      </c>
      <c r="B217" s="174"/>
      <c r="C217" s="87" t="str">
        <f t="shared" ref="C217:D217" si="264">IF($B214&lt;&gt;"",C213,"")</f>
        <v>Tariff - variable</v>
      </c>
      <c r="D217" s="87" t="str">
        <f t="shared" si="264"/>
        <v>EUR/MWh</v>
      </c>
      <c r="E217" s="151">
        <v>0.8416699543378996</v>
      </c>
      <c r="F217" s="151">
        <v>0.8416699543378996</v>
      </c>
      <c r="G217" s="151">
        <v>0.8416699543378996</v>
      </c>
      <c r="H217" s="151">
        <v>0.8416699543378996</v>
      </c>
      <c r="I217" s="151">
        <v>0.8416699543378996</v>
      </c>
      <c r="J217" s="151">
        <v>0.8416699543378996</v>
      </c>
      <c r="K217" s="151">
        <v>0.8416699543378996</v>
      </c>
      <c r="L217" s="151">
        <v>0.8416699543378996</v>
      </c>
      <c r="M217" s="151">
        <v>0.8416699543378996</v>
      </c>
      <c r="N217" s="151">
        <v>0.8416699543378996</v>
      </c>
      <c r="O217" s="151">
        <v>0.8416699543378996</v>
      </c>
      <c r="P217" s="151">
        <v>0.8416699543378996</v>
      </c>
      <c r="Q217" s="151">
        <v>0.8416699543378996</v>
      </c>
      <c r="R217" s="151">
        <v>0.8416699543378996</v>
      </c>
      <c r="S217" s="151">
        <v>0.8416699543378996</v>
      </c>
      <c r="T217" s="151">
        <v>0.8416699543378996</v>
      </c>
      <c r="U217" s="151">
        <v>0.8416699543378996</v>
      </c>
      <c r="V217" s="25" t="s">
        <v>382</v>
      </c>
      <c r="W217" s="29" t="str">
        <f>INDEX(TBL_TRANSIT[TransitID],$A217)</f>
        <v>Transit_036_019_001</v>
      </c>
      <c r="X217" s="29" t="str">
        <f>"TransitTariffVar_"&amp;RIGHT($W217,11)</f>
        <v>TransitTariffVar_036_019_001</v>
      </c>
    </row>
    <row r="218" spans="1:24" x14ac:dyDescent="0.25">
      <c r="A218" s="88">
        <f t="shared" ref="A218" si="265">$A214+1</f>
        <v>54</v>
      </c>
      <c r="B218" s="172" t="str">
        <f>IFERROR(INDEX(TBL_TRANSIT[Name],$A218),"")</f>
        <v>GER_PO_YAMAL_Pipe</v>
      </c>
      <c r="C218" s="87" t="str">
        <f t="shared" ref="C218:D218" si="266">IF($B218&lt;&gt;"",C214,"")</f>
        <v>Capacity - Min</v>
      </c>
      <c r="D218" s="87" t="str">
        <f t="shared" si="266"/>
        <v>GWh/day</v>
      </c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24"/>
      <c r="W218" s="29" t="str">
        <f>INDEX(TBL_TRANSIT[TransitID],$A218)</f>
        <v>Transit_017_012_001</v>
      </c>
      <c r="X218" s="29" t="str">
        <f>"TransitCapMin_"&amp;RIGHT($W218,11)</f>
        <v>TransitCapMin_017_012_001</v>
      </c>
    </row>
    <row r="219" spans="1:24" x14ac:dyDescent="0.25">
      <c r="A219" s="88">
        <f t="shared" si="241"/>
        <v>54</v>
      </c>
      <c r="B219" s="173"/>
      <c r="C219" s="87" t="str">
        <f t="shared" ref="C219:D219" si="267">IF($B218&lt;&gt;"",C215,"")</f>
        <v>Capacity - Max</v>
      </c>
      <c r="D219" s="87" t="str">
        <f t="shared" si="267"/>
        <v>GWh/day</v>
      </c>
      <c r="E219" s="151">
        <v>743.2</v>
      </c>
      <c r="F219" s="151">
        <v>743.2</v>
      </c>
      <c r="G219" s="151">
        <v>743.2</v>
      </c>
      <c r="H219" s="151">
        <v>743.2</v>
      </c>
      <c r="I219" s="151">
        <v>743.2</v>
      </c>
      <c r="J219" s="151">
        <v>743.2</v>
      </c>
      <c r="K219" s="151">
        <v>743.2</v>
      </c>
      <c r="L219" s="151">
        <v>743.2</v>
      </c>
      <c r="M219" s="151">
        <v>743.2</v>
      </c>
      <c r="N219" s="151">
        <v>743.2</v>
      </c>
      <c r="O219" s="151">
        <v>743.2</v>
      </c>
      <c r="P219" s="151">
        <v>743.2</v>
      </c>
      <c r="Q219" s="151">
        <v>743.2</v>
      </c>
      <c r="R219" s="151">
        <v>743.2</v>
      </c>
      <c r="S219" s="151">
        <v>743.2</v>
      </c>
      <c r="T219" s="151">
        <v>743.2</v>
      </c>
      <c r="U219" s="151">
        <v>743.2</v>
      </c>
      <c r="V219" s="25"/>
      <c r="W219" s="29" t="str">
        <f>INDEX(TBL_TRANSIT[TransitID],$A219)</f>
        <v>Transit_017_012_001</v>
      </c>
      <c r="X219" s="29" t="str">
        <f>"TransitCapMax_"&amp;RIGHT($W219,11)</f>
        <v>TransitCapMax_017_012_001</v>
      </c>
    </row>
    <row r="220" spans="1:24" x14ac:dyDescent="0.25">
      <c r="A220" s="88">
        <f t="shared" si="241"/>
        <v>54</v>
      </c>
      <c r="B220" s="173"/>
      <c r="C220" s="87" t="str">
        <f t="shared" ref="C220:D220" si="268">IF($B218&lt;&gt;"",C216,"")</f>
        <v>Tariff - fixed</v>
      </c>
      <c r="D220" s="87" t="str">
        <f t="shared" si="268"/>
        <v>EUR/month</v>
      </c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24"/>
      <c r="W220" s="29" t="str">
        <f>INDEX(TBL_TRANSIT[TransitID],$A220)</f>
        <v>Transit_017_012_001</v>
      </c>
      <c r="X220" s="29" t="str">
        <f>"TransitTariffFixed_"&amp;RIGHT($W220,11)</f>
        <v>TransitTariffFixed_017_012_001</v>
      </c>
    </row>
    <row r="221" spans="1:24" x14ac:dyDescent="0.25">
      <c r="A221" s="88">
        <f t="shared" si="241"/>
        <v>54</v>
      </c>
      <c r="B221" s="174"/>
      <c r="C221" s="87" t="str">
        <f t="shared" ref="C221:D221" si="269">IF($B218&lt;&gt;"",C217,"")</f>
        <v>Tariff - variable</v>
      </c>
      <c r="D221" s="87" t="str">
        <f t="shared" si="269"/>
        <v>EUR/MWh</v>
      </c>
      <c r="E221" s="151">
        <v>0.22188194520547944</v>
      </c>
      <c r="F221" s="151">
        <v>0.22188194520547944</v>
      </c>
      <c r="G221" s="151">
        <v>0.22188194520547944</v>
      </c>
      <c r="H221" s="151">
        <v>0.22188194520547944</v>
      </c>
      <c r="I221" s="151">
        <v>0.22188194520547944</v>
      </c>
      <c r="J221" s="151">
        <v>0.22188194520547944</v>
      </c>
      <c r="K221" s="151">
        <v>0.22188194520547944</v>
      </c>
      <c r="L221" s="151">
        <v>0.22188194520547944</v>
      </c>
      <c r="M221" s="151">
        <v>0.22188194520547944</v>
      </c>
      <c r="N221" s="151">
        <v>0.22188194520547944</v>
      </c>
      <c r="O221" s="151">
        <v>0.22188194520547944</v>
      </c>
      <c r="P221" s="151">
        <v>0.22188194520547944</v>
      </c>
      <c r="Q221" s="151">
        <v>0.22188194520547944</v>
      </c>
      <c r="R221" s="151">
        <v>0.22188194520547944</v>
      </c>
      <c r="S221" s="151">
        <v>0.22188194520547944</v>
      </c>
      <c r="T221" s="151">
        <v>0.22188194520547944</v>
      </c>
      <c r="U221" s="151">
        <v>0.22188194520547944</v>
      </c>
      <c r="V221" s="25" t="s">
        <v>382</v>
      </c>
      <c r="W221" s="29" t="str">
        <f>INDEX(TBL_TRANSIT[TransitID],$A221)</f>
        <v>Transit_017_012_001</v>
      </c>
      <c r="X221" s="29" t="str">
        <f>"TransitTariffVar_"&amp;RIGHT($W221,11)</f>
        <v>TransitTariffVar_017_012_001</v>
      </c>
    </row>
    <row r="222" spans="1:24" x14ac:dyDescent="0.25">
      <c r="A222" s="88">
        <f t="shared" ref="A222" si="270">$A218+1</f>
        <v>55</v>
      </c>
      <c r="B222" s="172" t="str">
        <f>IFERROR(INDEX(TBL_TRANSIT[Name],$A222),"")</f>
        <v>RO_Ukr_TBP_Pipe</v>
      </c>
      <c r="C222" s="87" t="str">
        <f t="shared" ref="C222:D222" si="271">IF($B222&lt;&gt;"",C218,"")</f>
        <v>Capacity - Min</v>
      </c>
      <c r="D222" s="87" t="str">
        <f t="shared" si="271"/>
        <v>GWh/day</v>
      </c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24"/>
      <c r="W222" s="29" t="str">
        <f>INDEX(TBL_TRANSIT[TransitID],$A222)</f>
        <v>Transit_036_028_002</v>
      </c>
      <c r="X222" s="29" t="str">
        <f>"TransitCapMin_"&amp;RIGHT($W222,11)</f>
        <v>TransitCapMin_036_028_002</v>
      </c>
    </row>
    <row r="223" spans="1:24" x14ac:dyDescent="0.25">
      <c r="A223" s="88">
        <f t="shared" si="241"/>
        <v>55</v>
      </c>
      <c r="B223" s="173"/>
      <c r="C223" s="87" t="str">
        <f t="shared" ref="C223:D223" si="272">IF($B222&lt;&gt;"",C219,"")</f>
        <v>Capacity - Max</v>
      </c>
      <c r="D223" s="87" t="str">
        <f t="shared" si="272"/>
        <v>GWh/day</v>
      </c>
      <c r="E223" s="151">
        <v>743.2</v>
      </c>
      <c r="F223" s="151">
        <v>743.2</v>
      </c>
      <c r="G223" s="151">
        <v>743.2</v>
      </c>
      <c r="H223" s="151">
        <v>743.2</v>
      </c>
      <c r="I223" s="151">
        <v>743.2</v>
      </c>
      <c r="J223" s="151">
        <v>743.2</v>
      </c>
      <c r="K223" s="151">
        <v>743.2</v>
      </c>
      <c r="L223" s="151">
        <v>743.2</v>
      </c>
      <c r="M223" s="151">
        <v>743.2</v>
      </c>
      <c r="N223" s="151">
        <v>743.2</v>
      </c>
      <c r="O223" s="151">
        <v>743.2</v>
      </c>
      <c r="P223" s="151">
        <v>743.2</v>
      </c>
      <c r="Q223" s="151">
        <v>743.2</v>
      </c>
      <c r="R223" s="151">
        <v>743.2</v>
      </c>
      <c r="S223" s="151">
        <v>743.2</v>
      </c>
      <c r="T223" s="151">
        <v>743.2</v>
      </c>
      <c r="U223" s="151">
        <v>743.2</v>
      </c>
      <c r="V223" s="25"/>
      <c r="W223" s="29" t="str">
        <f>INDEX(TBL_TRANSIT[TransitID],$A223)</f>
        <v>Transit_036_028_002</v>
      </c>
      <c r="X223" s="29" t="str">
        <f>"TransitCapMax_"&amp;RIGHT($W223,11)</f>
        <v>TransitCapMax_036_028_002</v>
      </c>
    </row>
    <row r="224" spans="1:24" x14ac:dyDescent="0.25">
      <c r="A224" s="88">
        <f t="shared" si="241"/>
        <v>55</v>
      </c>
      <c r="B224" s="173"/>
      <c r="C224" s="87" t="str">
        <f t="shared" ref="C224:D224" si="273">IF($B222&lt;&gt;"",C220,"")</f>
        <v>Tariff - fixed</v>
      </c>
      <c r="D224" s="87" t="str">
        <f t="shared" si="273"/>
        <v>EUR/month</v>
      </c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24"/>
      <c r="W224" s="29" t="str">
        <f>INDEX(TBL_TRANSIT[TransitID],$A224)</f>
        <v>Transit_036_028_002</v>
      </c>
      <c r="X224" s="29" t="str">
        <f>"TransitTariffFixed_"&amp;RIGHT($W224,11)</f>
        <v>TransitTariffFixed_036_028_002</v>
      </c>
    </row>
    <row r="225" spans="1:24" x14ac:dyDescent="0.25">
      <c r="A225" s="88">
        <f t="shared" si="241"/>
        <v>55</v>
      </c>
      <c r="B225" s="174"/>
      <c r="C225" s="87" t="str">
        <f t="shared" ref="C225:D225" si="274">IF($B222&lt;&gt;"",C221,"")</f>
        <v>Tariff - variable</v>
      </c>
      <c r="D225" s="87" t="str">
        <f t="shared" si="274"/>
        <v>EUR/MWh</v>
      </c>
      <c r="E225" s="155">
        <v>0.19862206773097191</v>
      </c>
      <c r="F225" s="155">
        <v>0.5321957121201919</v>
      </c>
      <c r="G225" s="155">
        <v>0.20451103263212145</v>
      </c>
      <c r="H225" s="155">
        <v>5.9444566210001604E-2</v>
      </c>
      <c r="I225" s="155">
        <v>0.64338978321770901</v>
      </c>
      <c r="J225" s="155">
        <v>0.56136523426530671</v>
      </c>
      <c r="K225" s="155">
        <v>0.32128369378212573</v>
      </c>
      <c r="L225" s="155">
        <v>0.68214473378150708</v>
      </c>
      <c r="M225" s="155">
        <v>0.83642422206781297</v>
      </c>
      <c r="N225" s="155">
        <v>0.31030353673272604</v>
      </c>
      <c r="O225" s="155">
        <v>0.84434121550937025</v>
      </c>
      <c r="P225" s="155">
        <v>0.12539990129772483</v>
      </c>
      <c r="Q225" s="155">
        <v>0.93151069372988449</v>
      </c>
      <c r="R225" s="155">
        <v>0.18631893993597382</v>
      </c>
      <c r="S225" s="155">
        <v>0.18304338857034774</v>
      </c>
      <c r="T225" s="155">
        <v>0.54823193894307676</v>
      </c>
      <c r="U225" s="155">
        <v>0.78925739911178827</v>
      </c>
      <c r="V225" s="25"/>
      <c r="W225" s="29" t="str">
        <f>INDEX(TBL_TRANSIT[TransitID],$A225)</f>
        <v>Transit_036_028_002</v>
      </c>
      <c r="X225" s="29" t="str">
        <f>"TransitTariffVar_"&amp;RIGHT($W225,11)</f>
        <v>TransitTariffVar_036_028_002</v>
      </c>
    </row>
    <row r="226" spans="1:24" x14ac:dyDescent="0.25">
      <c r="A226" s="88">
        <f t="shared" ref="A226" si="275">$A222+1</f>
        <v>56</v>
      </c>
      <c r="B226" s="172" t="str">
        <f>IFERROR(INDEX(TBL_TRANSIT[Name],$A226),"")</f>
        <v/>
      </c>
      <c r="C226" s="87" t="str">
        <f t="shared" ref="C226:D226" si="276">IF($B226&lt;&gt;"",C222,"")</f>
        <v/>
      </c>
      <c r="D226" s="87" t="str">
        <f t="shared" si="276"/>
        <v/>
      </c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8">
        <f t="shared" si="241"/>
        <v>56</v>
      </c>
      <c r="B227" s="173"/>
      <c r="C227" s="87" t="str">
        <f t="shared" ref="C227:D227" si="277">IF($B226&lt;&gt;"",C223,"")</f>
        <v/>
      </c>
      <c r="D227" s="87" t="str">
        <f t="shared" si="277"/>
        <v/>
      </c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8">
        <f t="shared" si="241"/>
        <v>56</v>
      </c>
      <c r="B228" s="173"/>
      <c r="C228" s="87" t="str">
        <f t="shared" ref="C228:D228" si="278">IF($B226&lt;&gt;"",C224,"")</f>
        <v/>
      </c>
      <c r="D228" s="87" t="str">
        <f t="shared" si="278"/>
        <v/>
      </c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8">
        <f t="shared" si="241"/>
        <v>56</v>
      </c>
      <c r="B229" s="174"/>
      <c r="C229" s="87" t="str">
        <f t="shared" ref="C229:D229" si="279">IF($B226&lt;&gt;"",C225,"")</f>
        <v/>
      </c>
      <c r="D229" s="87" t="str">
        <f t="shared" si="279"/>
        <v/>
      </c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8">
        <f t="shared" ref="A230" si="280">$A226+1</f>
        <v>57</v>
      </c>
      <c r="B230" s="172" t="str">
        <f>IFERROR(INDEX(TBL_TRANSIT[Name],$A230),"")</f>
        <v/>
      </c>
      <c r="C230" s="87" t="str">
        <f t="shared" ref="C230:D230" si="281">IF($B230&lt;&gt;"",C226,"")</f>
        <v/>
      </c>
      <c r="D230" s="87" t="str">
        <f t="shared" si="281"/>
        <v/>
      </c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8">
        <f t="shared" si="241"/>
        <v>57</v>
      </c>
      <c r="B231" s="173"/>
      <c r="C231" s="87" t="str">
        <f t="shared" ref="C231:D231" si="282">IF($B230&lt;&gt;"",C227,"")</f>
        <v/>
      </c>
      <c r="D231" s="87" t="str">
        <f t="shared" si="282"/>
        <v/>
      </c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8">
        <f t="shared" si="241"/>
        <v>57</v>
      </c>
      <c r="B232" s="173"/>
      <c r="C232" s="87" t="str">
        <f t="shared" ref="C232:D232" si="283">IF($B230&lt;&gt;"",C228,"")</f>
        <v/>
      </c>
      <c r="D232" s="87" t="str">
        <f t="shared" si="283"/>
        <v/>
      </c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8">
        <f t="shared" si="241"/>
        <v>57</v>
      </c>
      <c r="B233" s="174"/>
      <c r="C233" s="87" t="str">
        <f t="shared" ref="C233:D233" si="284">IF($B230&lt;&gt;"",C229,"")</f>
        <v/>
      </c>
      <c r="D233" s="87" t="str">
        <f t="shared" si="284"/>
        <v/>
      </c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8">
        <f t="shared" ref="A234" si="285">$A230+1</f>
        <v>58</v>
      </c>
      <c r="B234" s="172" t="str">
        <f>IFERROR(INDEX(TBL_TRANSIT[Name],$A234),"")</f>
        <v/>
      </c>
      <c r="C234" s="87" t="str">
        <f t="shared" ref="C234:D234" si="286">IF($B234&lt;&gt;"",C230,"")</f>
        <v/>
      </c>
      <c r="D234" s="87" t="str">
        <f t="shared" si="286"/>
        <v/>
      </c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8">
        <f t="shared" si="241"/>
        <v>58</v>
      </c>
      <c r="B235" s="173"/>
      <c r="C235" s="87" t="str">
        <f t="shared" ref="C235:D235" si="287">IF($B234&lt;&gt;"",C231,"")</f>
        <v/>
      </c>
      <c r="D235" s="87" t="str">
        <f t="shared" si="287"/>
        <v/>
      </c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8">
        <f t="shared" si="241"/>
        <v>58</v>
      </c>
      <c r="B236" s="173"/>
      <c r="C236" s="87" t="str">
        <f t="shared" ref="C236:D236" si="288">IF($B234&lt;&gt;"",C232,"")</f>
        <v/>
      </c>
      <c r="D236" s="87" t="str">
        <f t="shared" si="288"/>
        <v/>
      </c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8">
        <f t="shared" si="241"/>
        <v>58</v>
      </c>
      <c r="B237" s="174"/>
      <c r="C237" s="87" t="str">
        <f t="shared" ref="C237:D237" si="289">IF($B234&lt;&gt;"",C233,"")</f>
        <v/>
      </c>
      <c r="D237" s="87" t="str">
        <f t="shared" si="289"/>
        <v/>
      </c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8">
        <f t="shared" ref="A238" si="290">$A234+1</f>
        <v>59</v>
      </c>
      <c r="B238" s="172" t="str">
        <f>IFERROR(INDEX(TBL_TRANSIT[Name],$A238),"")</f>
        <v/>
      </c>
      <c r="C238" s="87" t="str">
        <f t="shared" ref="C238:D238" si="291">IF($B238&lt;&gt;"",C234,"")</f>
        <v/>
      </c>
      <c r="D238" s="87" t="str">
        <f t="shared" si="291"/>
        <v/>
      </c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8">
        <f t="shared" ref="A239:A293" si="292">$A238</f>
        <v>59</v>
      </c>
      <c r="B239" s="173"/>
      <c r="C239" s="87" t="str">
        <f t="shared" ref="C239:D239" si="293">IF($B238&lt;&gt;"",C235,"")</f>
        <v/>
      </c>
      <c r="D239" s="87" t="str">
        <f t="shared" si="293"/>
        <v/>
      </c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8">
        <f t="shared" si="292"/>
        <v>59</v>
      </c>
      <c r="B240" s="173"/>
      <c r="C240" s="87" t="str">
        <f t="shared" ref="C240:D240" si="294">IF($B238&lt;&gt;"",C236,"")</f>
        <v/>
      </c>
      <c r="D240" s="87" t="str">
        <f t="shared" si="294"/>
        <v/>
      </c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8">
        <f t="shared" si="292"/>
        <v>59</v>
      </c>
      <c r="B241" s="174"/>
      <c r="C241" s="87" t="str">
        <f t="shared" ref="C241:D241" si="295">IF($B238&lt;&gt;"",C237,"")</f>
        <v/>
      </c>
      <c r="D241" s="87" t="str">
        <f t="shared" si="295"/>
        <v/>
      </c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8">
        <f t="shared" ref="A242" si="296">$A238+1</f>
        <v>60</v>
      </c>
      <c r="B242" s="172" t="str">
        <f>IFERROR(INDEX(TBL_TRANSIT[Name],$A242),"")</f>
        <v/>
      </c>
      <c r="C242" s="87" t="str">
        <f t="shared" ref="C242:D242" si="297">IF($B242&lt;&gt;"",C238,"")</f>
        <v/>
      </c>
      <c r="D242" s="87" t="str">
        <f t="shared" si="297"/>
        <v/>
      </c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8">
        <f t="shared" si="292"/>
        <v>60</v>
      </c>
      <c r="B243" s="173"/>
      <c r="C243" s="87" t="str">
        <f t="shared" ref="C243:D243" si="298">IF($B242&lt;&gt;"",C239,"")</f>
        <v/>
      </c>
      <c r="D243" s="87" t="str">
        <f t="shared" si="298"/>
        <v/>
      </c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8">
        <f t="shared" si="292"/>
        <v>60</v>
      </c>
      <c r="B244" s="173"/>
      <c r="C244" s="87" t="str">
        <f t="shared" ref="C244:D244" si="299">IF($B242&lt;&gt;"",C240,"")</f>
        <v/>
      </c>
      <c r="D244" s="87" t="str">
        <f t="shared" si="299"/>
        <v/>
      </c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8">
        <f t="shared" si="292"/>
        <v>60</v>
      </c>
      <c r="B245" s="174"/>
      <c r="C245" s="87" t="str">
        <f t="shared" ref="C245:D245" si="300">IF($B242&lt;&gt;"",C241,"")</f>
        <v/>
      </c>
      <c r="D245" s="87" t="str">
        <f t="shared" si="300"/>
        <v/>
      </c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8">
        <f t="shared" ref="A246" si="301">$A242+1</f>
        <v>61</v>
      </c>
      <c r="B246" s="172" t="str">
        <f>IFERROR(INDEX(TBL_TRANSIT[Name],$A246),"")</f>
        <v/>
      </c>
      <c r="C246" s="87" t="str">
        <f t="shared" ref="C246:D246" si="302">IF($B246&lt;&gt;"",C242,"")</f>
        <v/>
      </c>
      <c r="D246" s="87" t="str">
        <f t="shared" si="302"/>
        <v/>
      </c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8">
        <f t="shared" si="292"/>
        <v>61</v>
      </c>
      <c r="B247" s="173"/>
      <c r="C247" s="87" t="str">
        <f t="shared" ref="C247:D247" si="303">IF($B246&lt;&gt;"",C243,"")</f>
        <v/>
      </c>
      <c r="D247" s="87" t="str">
        <f t="shared" si="303"/>
        <v/>
      </c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8">
        <f t="shared" si="292"/>
        <v>61</v>
      </c>
      <c r="B248" s="173"/>
      <c r="C248" s="87" t="str">
        <f t="shared" ref="C248:D248" si="304">IF($B246&lt;&gt;"",C244,"")</f>
        <v/>
      </c>
      <c r="D248" s="87" t="str">
        <f t="shared" si="304"/>
        <v/>
      </c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8">
        <f t="shared" si="292"/>
        <v>61</v>
      </c>
      <c r="B249" s="174"/>
      <c r="C249" s="87" t="str">
        <f t="shared" ref="C249:D249" si="305">IF($B246&lt;&gt;"",C245,"")</f>
        <v/>
      </c>
      <c r="D249" s="87" t="str">
        <f t="shared" si="305"/>
        <v/>
      </c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8">
        <f t="shared" ref="A250" si="306">$A246+1</f>
        <v>62</v>
      </c>
      <c r="B250" s="172" t="str">
        <f>IFERROR(INDEX(TBL_TRANSIT[Name],$A250),"")</f>
        <v/>
      </c>
      <c r="C250" s="87" t="str">
        <f t="shared" ref="C250:D250" si="307">IF($B250&lt;&gt;"",C246,"")</f>
        <v/>
      </c>
      <c r="D250" s="87" t="str">
        <f t="shared" si="307"/>
        <v/>
      </c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8">
        <f t="shared" si="292"/>
        <v>62</v>
      </c>
      <c r="B251" s="173"/>
      <c r="C251" s="87" t="str">
        <f t="shared" ref="C251:D251" si="308">IF($B250&lt;&gt;"",C247,"")</f>
        <v/>
      </c>
      <c r="D251" s="87" t="str">
        <f t="shared" si="308"/>
        <v/>
      </c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8">
        <f t="shared" si="292"/>
        <v>62</v>
      </c>
      <c r="B252" s="173"/>
      <c r="C252" s="87" t="str">
        <f t="shared" ref="C252:D252" si="309">IF($B250&lt;&gt;"",C248,"")</f>
        <v/>
      </c>
      <c r="D252" s="87" t="str">
        <f t="shared" si="309"/>
        <v/>
      </c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8">
        <f t="shared" si="292"/>
        <v>62</v>
      </c>
      <c r="B253" s="174"/>
      <c r="C253" s="87" t="str">
        <f t="shared" ref="C253:D253" si="310">IF($B250&lt;&gt;"",C249,"")</f>
        <v/>
      </c>
      <c r="D253" s="87" t="str">
        <f t="shared" si="310"/>
        <v/>
      </c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8">
        <f t="shared" ref="A254" si="311">$A250+1</f>
        <v>63</v>
      </c>
      <c r="B254" s="172" t="str">
        <f>IFERROR(INDEX(TBL_TRANSIT[Name],$A254),"")</f>
        <v/>
      </c>
      <c r="C254" s="87" t="str">
        <f t="shared" ref="C254:D254" si="312">IF($B254&lt;&gt;"",C250,"")</f>
        <v/>
      </c>
      <c r="D254" s="87" t="str">
        <f t="shared" si="312"/>
        <v/>
      </c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8">
        <f t="shared" si="292"/>
        <v>63</v>
      </c>
      <c r="B255" s="173"/>
      <c r="C255" s="87" t="str">
        <f t="shared" ref="C255:D255" si="313">IF($B254&lt;&gt;"",C251,"")</f>
        <v/>
      </c>
      <c r="D255" s="87" t="str">
        <f t="shared" si="313"/>
        <v/>
      </c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8">
        <f t="shared" si="292"/>
        <v>63</v>
      </c>
      <c r="B256" s="173"/>
      <c r="C256" s="87" t="str">
        <f t="shared" ref="C256:D256" si="314">IF($B254&lt;&gt;"",C252,"")</f>
        <v/>
      </c>
      <c r="D256" s="87" t="str">
        <f t="shared" si="314"/>
        <v/>
      </c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8">
        <f t="shared" si="292"/>
        <v>63</v>
      </c>
      <c r="B257" s="174"/>
      <c r="C257" s="87" t="str">
        <f t="shared" ref="C257:D257" si="315">IF($B254&lt;&gt;"",C253,"")</f>
        <v/>
      </c>
      <c r="D257" s="87" t="str">
        <f t="shared" si="315"/>
        <v/>
      </c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8">
        <f t="shared" ref="A258" si="316">$A254+1</f>
        <v>64</v>
      </c>
      <c r="B258" s="172" t="str">
        <f>IFERROR(INDEX(TBL_TRANSIT[Name],$A258),"")</f>
        <v/>
      </c>
      <c r="C258" s="87" t="str">
        <f t="shared" ref="C258:D258" si="317">IF($B258&lt;&gt;"",C254,"")</f>
        <v/>
      </c>
      <c r="D258" s="87" t="str">
        <f t="shared" si="317"/>
        <v/>
      </c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8">
        <f t="shared" si="292"/>
        <v>64</v>
      </c>
      <c r="B259" s="173"/>
      <c r="C259" s="87" t="str">
        <f t="shared" ref="C259:D259" si="318">IF($B258&lt;&gt;"",C255,"")</f>
        <v/>
      </c>
      <c r="D259" s="87" t="str">
        <f t="shared" si="318"/>
        <v/>
      </c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8">
        <f t="shared" si="292"/>
        <v>64</v>
      </c>
      <c r="B260" s="173"/>
      <c r="C260" s="87" t="str">
        <f t="shared" ref="C260:D260" si="319">IF($B258&lt;&gt;"",C256,"")</f>
        <v/>
      </c>
      <c r="D260" s="87" t="str">
        <f t="shared" si="319"/>
        <v/>
      </c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8">
        <f t="shared" si="292"/>
        <v>64</v>
      </c>
      <c r="B261" s="174"/>
      <c r="C261" s="87" t="str">
        <f t="shared" ref="C261:D261" si="320">IF($B258&lt;&gt;"",C257,"")</f>
        <v/>
      </c>
      <c r="D261" s="87" t="str">
        <f t="shared" si="320"/>
        <v/>
      </c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8">
        <f t="shared" ref="A262" si="321">$A258+1</f>
        <v>65</v>
      </c>
      <c r="B262" s="172" t="str">
        <f>IFERROR(INDEX(TBL_TRANSIT[Name],$A262),"")</f>
        <v/>
      </c>
      <c r="C262" s="87" t="str">
        <f t="shared" ref="C262:D262" si="322">IF($B262&lt;&gt;"",C258,"")</f>
        <v/>
      </c>
      <c r="D262" s="87" t="str">
        <f t="shared" si="322"/>
        <v/>
      </c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8">
        <f t="shared" si="292"/>
        <v>65</v>
      </c>
      <c r="B263" s="173"/>
      <c r="C263" s="87" t="str">
        <f t="shared" ref="C263:D263" si="323">IF($B262&lt;&gt;"",C259,"")</f>
        <v/>
      </c>
      <c r="D263" s="87" t="str">
        <f t="shared" si="323"/>
        <v/>
      </c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8">
        <f t="shared" si="292"/>
        <v>65</v>
      </c>
      <c r="B264" s="173"/>
      <c r="C264" s="87" t="str">
        <f t="shared" ref="C264:D264" si="324">IF($B262&lt;&gt;"",C260,"")</f>
        <v/>
      </c>
      <c r="D264" s="87" t="str">
        <f t="shared" si="324"/>
        <v/>
      </c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8">
        <f t="shared" si="292"/>
        <v>65</v>
      </c>
      <c r="B265" s="174"/>
      <c r="C265" s="87" t="str">
        <f t="shared" ref="C265:D265" si="325">IF($B262&lt;&gt;"",C261,"")</f>
        <v/>
      </c>
      <c r="D265" s="87" t="str">
        <f t="shared" si="325"/>
        <v/>
      </c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8">
        <f t="shared" ref="A266" si="326">$A262+1</f>
        <v>66</v>
      </c>
      <c r="B266" s="172" t="str">
        <f>IFERROR(INDEX(TBL_TRANSIT[Name],$A266),"")</f>
        <v/>
      </c>
      <c r="C266" s="87" t="str">
        <f t="shared" ref="C266:D266" si="327">IF($B266&lt;&gt;"",C262,"")</f>
        <v/>
      </c>
      <c r="D266" s="87" t="str">
        <f t="shared" si="327"/>
        <v/>
      </c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8">
        <f t="shared" si="292"/>
        <v>66</v>
      </c>
      <c r="B267" s="173"/>
      <c r="C267" s="87" t="str">
        <f t="shared" ref="C267:D267" si="328">IF($B266&lt;&gt;"",C263,"")</f>
        <v/>
      </c>
      <c r="D267" s="87" t="str">
        <f t="shared" si="328"/>
        <v/>
      </c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8">
        <f t="shared" si="292"/>
        <v>66</v>
      </c>
      <c r="B268" s="173"/>
      <c r="C268" s="87" t="str">
        <f t="shared" ref="C268:D268" si="329">IF($B266&lt;&gt;"",C264,"")</f>
        <v/>
      </c>
      <c r="D268" s="87" t="str">
        <f t="shared" si="329"/>
        <v/>
      </c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8">
        <f t="shared" si="292"/>
        <v>66</v>
      </c>
      <c r="B269" s="174"/>
      <c r="C269" s="87" t="str">
        <f t="shared" ref="C269:D269" si="330">IF($B266&lt;&gt;"",C265,"")</f>
        <v/>
      </c>
      <c r="D269" s="87" t="str">
        <f t="shared" si="330"/>
        <v/>
      </c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8">
        <f t="shared" ref="A270" si="331">$A266+1</f>
        <v>67</v>
      </c>
      <c r="B270" s="172" t="str">
        <f>IFERROR(INDEX(TBL_TRANSIT[Name],$A270),"")</f>
        <v/>
      </c>
      <c r="C270" s="87" t="str">
        <f t="shared" ref="C270:D270" si="332">IF($B270&lt;&gt;"",C266,"")</f>
        <v/>
      </c>
      <c r="D270" s="87" t="str">
        <f t="shared" si="332"/>
        <v/>
      </c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8">
        <f t="shared" si="292"/>
        <v>67</v>
      </c>
      <c r="B271" s="173"/>
      <c r="C271" s="87" t="str">
        <f t="shared" ref="C271:D271" si="333">IF($B270&lt;&gt;"",C267,"")</f>
        <v/>
      </c>
      <c r="D271" s="87" t="str">
        <f t="shared" si="333"/>
        <v/>
      </c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8">
        <f t="shared" si="292"/>
        <v>67</v>
      </c>
      <c r="B272" s="173"/>
      <c r="C272" s="87" t="str">
        <f t="shared" ref="C272:D272" si="334">IF($B270&lt;&gt;"",C268,"")</f>
        <v/>
      </c>
      <c r="D272" s="87" t="str">
        <f t="shared" si="334"/>
        <v/>
      </c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8">
        <f t="shared" si="292"/>
        <v>67</v>
      </c>
      <c r="B273" s="174"/>
      <c r="C273" s="87" t="str">
        <f t="shared" ref="C273:D273" si="335">IF($B270&lt;&gt;"",C269,"")</f>
        <v/>
      </c>
      <c r="D273" s="87" t="str">
        <f t="shared" si="335"/>
        <v/>
      </c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8">
        <f t="shared" ref="A274" si="336">$A270+1</f>
        <v>68</v>
      </c>
      <c r="B274" s="172" t="str">
        <f>IFERROR(INDEX(TBL_TRANSIT[Name],$A274),"")</f>
        <v/>
      </c>
      <c r="C274" s="87" t="str">
        <f t="shared" ref="C274:D274" si="337">IF($B274&lt;&gt;"",C270,"")</f>
        <v/>
      </c>
      <c r="D274" s="87" t="str">
        <f t="shared" si="337"/>
        <v/>
      </c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8">
        <f t="shared" si="292"/>
        <v>68</v>
      </c>
      <c r="B275" s="173"/>
      <c r="C275" s="87" t="str">
        <f t="shared" ref="C275:D275" si="338">IF($B274&lt;&gt;"",C271,"")</f>
        <v/>
      </c>
      <c r="D275" s="87" t="str">
        <f t="shared" si="338"/>
        <v/>
      </c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8">
        <f t="shared" si="292"/>
        <v>68</v>
      </c>
      <c r="B276" s="173"/>
      <c r="C276" s="87" t="str">
        <f t="shared" ref="C276:D276" si="339">IF($B274&lt;&gt;"",C272,"")</f>
        <v/>
      </c>
      <c r="D276" s="87" t="str">
        <f t="shared" si="339"/>
        <v/>
      </c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8">
        <f t="shared" si="292"/>
        <v>68</v>
      </c>
      <c r="B277" s="174"/>
      <c r="C277" s="87" t="str">
        <f t="shared" ref="C277:D277" si="340">IF($B274&lt;&gt;"",C273,"")</f>
        <v/>
      </c>
      <c r="D277" s="87" t="str">
        <f t="shared" si="340"/>
        <v/>
      </c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8">
        <f t="shared" ref="A278" si="341">$A274+1</f>
        <v>69</v>
      </c>
      <c r="B278" s="172" t="str">
        <f>IFERROR(INDEX(TBL_TRANSIT[Name],$A278),"")</f>
        <v/>
      </c>
      <c r="C278" s="87" t="str">
        <f t="shared" ref="C278:D278" si="342">IF($B278&lt;&gt;"",C274,"")</f>
        <v/>
      </c>
      <c r="D278" s="87" t="str">
        <f t="shared" si="342"/>
        <v/>
      </c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8">
        <f t="shared" si="292"/>
        <v>69</v>
      </c>
      <c r="B279" s="173"/>
      <c r="C279" s="87" t="str">
        <f t="shared" ref="C279:D279" si="343">IF($B278&lt;&gt;"",C275,"")</f>
        <v/>
      </c>
      <c r="D279" s="87" t="str">
        <f t="shared" si="343"/>
        <v/>
      </c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8">
        <f t="shared" si="292"/>
        <v>69</v>
      </c>
      <c r="B280" s="173"/>
      <c r="C280" s="87" t="str">
        <f t="shared" ref="C280:D280" si="344">IF($B278&lt;&gt;"",C276,"")</f>
        <v/>
      </c>
      <c r="D280" s="87" t="str">
        <f t="shared" si="344"/>
        <v/>
      </c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8">
        <f t="shared" si="292"/>
        <v>69</v>
      </c>
      <c r="B281" s="174"/>
      <c r="C281" s="87" t="str">
        <f t="shared" ref="C281:D281" si="345">IF($B278&lt;&gt;"",C277,"")</f>
        <v/>
      </c>
      <c r="D281" s="87" t="str">
        <f t="shared" si="345"/>
        <v/>
      </c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8">
        <f t="shared" ref="A282" si="346">$A278+1</f>
        <v>70</v>
      </c>
      <c r="B282" s="172" t="str">
        <f>IFERROR(INDEX(TBL_TRANSIT[Name],$A282),"")</f>
        <v/>
      </c>
      <c r="C282" s="87" t="str">
        <f t="shared" ref="C282:D282" si="347">IF($B282&lt;&gt;"",C278,"")</f>
        <v/>
      </c>
      <c r="D282" s="87" t="str">
        <f t="shared" si="347"/>
        <v/>
      </c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8">
        <f t="shared" si="292"/>
        <v>70</v>
      </c>
      <c r="B283" s="173"/>
      <c r="C283" s="87" t="str">
        <f t="shared" ref="C283:D283" si="348">IF($B282&lt;&gt;"",C279,"")</f>
        <v/>
      </c>
      <c r="D283" s="87" t="str">
        <f t="shared" si="348"/>
        <v/>
      </c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8">
        <f t="shared" si="292"/>
        <v>70</v>
      </c>
      <c r="B284" s="173"/>
      <c r="C284" s="87" t="str">
        <f t="shared" ref="C284:D284" si="349">IF($B282&lt;&gt;"",C280,"")</f>
        <v/>
      </c>
      <c r="D284" s="87" t="str">
        <f t="shared" si="349"/>
        <v/>
      </c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8">
        <f t="shared" si="292"/>
        <v>70</v>
      </c>
      <c r="B285" s="174"/>
      <c r="C285" s="87" t="str">
        <f t="shared" ref="C285:D285" si="350">IF($B282&lt;&gt;"",C281,"")</f>
        <v/>
      </c>
      <c r="D285" s="87" t="str">
        <f t="shared" si="350"/>
        <v/>
      </c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8">
        <f t="shared" ref="A286" si="351">$A282+1</f>
        <v>71</v>
      </c>
      <c r="B286" s="172" t="str">
        <f>IFERROR(INDEX(TBL_TRANSIT[Name],$A286),"")</f>
        <v/>
      </c>
      <c r="C286" s="87" t="str">
        <f t="shared" ref="C286:D286" si="352">IF($B286&lt;&gt;"",C282,"")</f>
        <v/>
      </c>
      <c r="D286" s="87" t="str">
        <f t="shared" si="352"/>
        <v/>
      </c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8">
        <f t="shared" si="292"/>
        <v>71</v>
      </c>
      <c r="B287" s="173"/>
      <c r="C287" s="87" t="str">
        <f t="shared" ref="C287:D287" si="353">IF($B286&lt;&gt;"",C283,"")</f>
        <v/>
      </c>
      <c r="D287" s="87" t="str">
        <f t="shared" si="353"/>
        <v/>
      </c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8">
        <f t="shared" si="292"/>
        <v>71</v>
      </c>
      <c r="B288" s="173"/>
      <c r="C288" s="87" t="str">
        <f t="shared" ref="C288:D288" si="354">IF($B286&lt;&gt;"",C284,"")</f>
        <v/>
      </c>
      <c r="D288" s="87" t="str">
        <f t="shared" si="354"/>
        <v/>
      </c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8">
        <f t="shared" si="292"/>
        <v>71</v>
      </c>
      <c r="B289" s="174"/>
      <c r="C289" s="87" t="str">
        <f t="shared" ref="C289:D289" si="355">IF($B286&lt;&gt;"",C285,"")</f>
        <v/>
      </c>
      <c r="D289" s="87" t="str">
        <f t="shared" si="355"/>
        <v/>
      </c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8">
        <f t="shared" ref="A290" si="356">$A286+1</f>
        <v>72</v>
      </c>
      <c r="B290" s="172" t="str">
        <f>IFERROR(INDEX(TBL_TRANSIT[Name],$A290),"")</f>
        <v/>
      </c>
      <c r="C290" s="87" t="str">
        <f t="shared" ref="C290:D290" si="357">IF($B290&lt;&gt;"",C286,"")</f>
        <v/>
      </c>
      <c r="D290" s="87" t="str">
        <f t="shared" si="357"/>
        <v/>
      </c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8">
        <f t="shared" si="292"/>
        <v>72</v>
      </c>
      <c r="B291" s="173"/>
      <c r="C291" s="87" t="str">
        <f t="shared" ref="C291:D291" si="358">IF($B290&lt;&gt;"",C287,"")</f>
        <v/>
      </c>
      <c r="D291" s="87" t="str">
        <f t="shared" si="358"/>
        <v/>
      </c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8">
        <f t="shared" si="292"/>
        <v>72</v>
      </c>
      <c r="B292" s="173"/>
      <c r="C292" s="87" t="str">
        <f t="shared" ref="C292:D292" si="359">IF($B290&lt;&gt;"",C288,"")</f>
        <v/>
      </c>
      <c r="D292" s="87" t="str">
        <f t="shared" si="359"/>
        <v/>
      </c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8">
        <f t="shared" si="292"/>
        <v>72</v>
      </c>
      <c r="B293" s="174"/>
      <c r="C293" s="87" t="str">
        <f t="shared" ref="C293:D293" si="360">IF($B290&lt;&gt;"",C289,"")</f>
        <v/>
      </c>
      <c r="D293" s="87" t="str">
        <f t="shared" si="360"/>
        <v/>
      </c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8">
        <f t="shared" ref="A294" si="361">$A290+1</f>
        <v>73</v>
      </c>
      <c r="B294" s="172" t="str">
        <f>IFERROR(INDEX(TBL_TRANSIT[Name],$A294),"")</f>
        <v/>
      </c>
      <c r="C294" s="87" t="str">
        <f t="shared" ref="C294:D294" si="362">IF($B294&lt;&gt;"",C290,"")</f>
        <v/>
      </c>
      <c r="D294" s="87" t="str">
        <f t="shared" si="362"/>
        <v/>
      </c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8">
        <f t="shared" ref="A295:A333" si="363">$A294</f>
        <v>73</v>
      </c>
      <c r="B295" s="173"/>
      <c r="C295" s="87" t="str">
        <f t="shared" ref="C295:D295" si="364">IF($B294&lt;&gt;"",C291,"")</f>
        <v/>
      </c>
      <c r="D295" s="87" t="str">
        <f t="shared" si="364"/>
        <v/>
      </c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8">
        <f t="shared" si="363"/>
        <v>73</v>
      </c>
      <c r="B296" s="173"/>
      <c r="C296" s="87" t="str">
        <f t="shared" ref="C296:D296" si="365">IF($B294&lt;&gt;"",C292,"")</f>
        <v/>
      </c>
      <c r="D296" s="87" t="str">
        <f t="shared" si="365"/>
        <v/>
      </c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8">
        <f t="shared" si="363"/>
        <v>73</v>
      </c>
      <c r="B297" s="174"/>
      <c r="C297" s="87" t="str">
        <f t="shared" ref="C297:D297" si="366">IF($B294&lt;&gt;"",C293,"")</f>
        <v/>
      </c>
      <c r="D297" s="87" t="str">
        <f t="shared" si="366"/>
        <v/>
      </c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8">
        <f t="shared" ref="A298" si="367">$A294+1</f>
        <v>74</v>
      </c>
      <c r="B298" s="172" t="str">
        <f>IFERROR(INDEX(TBL_TRANSIT[Name],$A298),"")</f>
        <v/>
      </c>
      <c r="C298" s="87" t="str">
        <f t="shared" ref="C298:D298" si="368">IF($B298&lt;&gt;"",C294,"")</f>
        <v/>
      </c>
      <c r="D298" s="87" t="str">
        <f t="shared" si="368"/>
        <v/>
      </c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8">
        <f t="shared" si="363"/>
        <v>74</v>
      </c>
      <c r="B299" s="173"/>
      <c r="C299" s="87" t="str">
        <f t="shared" ref="C299:D299" si="369">IF($B298&lt;&gt;"",C295,"")</f>
        <v/>
      </c>
      <c r="D299" s="87" t="str">
        <f t="shared" si="369"/>
        <v/>
      </c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8">
        <f t="shared" si="363"/>
        <v>74</v>
      </c>
      <c r="B300" s="173"/>
      <c r="C300" s="87" t="str">
        <f t="shared" ref="C300:D300" si="370">IF($B298&lt;&gt;"",C296,"")</f>
        <v/>
      </c>
      <c r="D300" s="87" t="str">
        <f t="shared" si="370"/>
        <v/>
      </c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8">
        <f t="shared" si="363"/>
        <v>74</v>
      </c>
      <c r="B301" s="174"/>
      <c r="C301" s="87" t="str">
        <f t="shared" ref="C301:D301" si="371">IF($B298&lt;&gt;"",C297,"")</f>
        <v/>
      </c>
      <c r="D301" s="87" t="str">
        <f t="shared" si="371"/>
        <v/>
      </c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8">
        <f t="shared" ref="A302" si="372">$A298+1</f>
        <v>75</v>
      </c>
      <c r="B302" s="172" t="str">
        <f>IFERROR(INDEX(TBL_TRANSIT[Name],$A302),"")</f>
        <v/>
      </c>
      <c r="C302" s="87" t="str">
        <f t="shared" ref="C302:D302" si="373">IF($B302&lt;&gt;"",C298,"")</f>
        <v/>
      </c>
      <c r="D302" s="87" t="str">
        <f t="shared" si="373"/>
        <v/>
      </c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8">
        <f t="shared" si="363"/>
        <v>75</v>
      </c>
      <c r="B303" s="173"/>
      <c r="C303" s="87" t="str">
        <f t="shared" ref="C303:D303" si="374">IF($B302&lt;&gt;"",C299,"")</f>
        <v/>
      </c>
      <c r="D303" s="87" t="str">
        <f t="shared" si="374"/>
        <v/>
      </c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8">
        <f t="shared" si="363"/>
        <v>75</v>
      </c>
      <c r="B304" s="173"/>
      <c r="C304" s="87" t="str">
        <f t="shared" ref="C304:D304" si="375">IF($B302&lt;&gt;"",C300,"")</f>
        <v/>
      </c>
      <c r="D304" s="87" t="str">
        <f t="shared" si="375"/>
        <v/>
      </c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8">
        <f t="shared" si="363"/>
        <v>75</v>
      </c>
      <c r="B305" s="174"/>
      <c r="C305" s="87" t="str">
        <f t="shared" ref="C305:D305" si="376">IF($B302&lt;&gt;"",C301,"")</f>
        <v/>
      </c>
      <c r="D305" s="87" t="str">
        <f t="shared" si="376"/>
        <v/>
      </c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8">
        <f t="shared" ref="A306" si="377">$A302+1</f>
        <v>76</v>
      </c>
      <c r="B306" s="172" t="str">
        <f>IFERROR(INDEX(TBL_TRANSIT[Name],$A306),"")</f>
        <v/>
      </c>
      <c r="C306" s="87" t="str">
        <f t="shared" ref="C306:D306" si="378">IF($B306&lt;&gt;"",C302,"")</f>
        <v/>
      </c>
      <c r="D306" s="87" t="str">
        <f t="shared" si="378"/>
        <v/>
      </c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8">
        <f t="shared" si="363"/>
        <v>76</v>
      </c>
      <c r="B307" s="173"/>
      <c r="C307" s="87" t="str">
        <f t="shared" ref="C307:D307" si="379">IF($B306&lt;&gt;"",C303,"")</f>
        <v/>
      </c>
      <c r="D307" s="87" t="str">
        <f t="shared" si="379"/>
        <v/>
      </c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8">
        <f t="shared" si="363"/>
        <v>76</v>
      </c>
      <c r="B308" s="173"/>
      <c r="C308" s="87" t="str">
        <f t="shared" ref="C308:D308" si="380">IF($B306&lt;&gt;"",C304,"")</f>
        <v/>
      </c>
      <c r="D308" s="87" t="str">
        <f t="shared" si="380"/>
        <v/>
      </c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8">
        <f t="shared" si="363"/>
        <v>76</v>
      </c>
      <c r="B309" s="174"/>
      <c r="C309" s="87" t="str">
        <f t="shared" ref="C309:D309" si="381">IF($B306&lt;&gt;"",C305,"")</f>
        <v/>
      </c>
      <c r="D309" s="87" t="str">
        <f t="shared" si="381"/>
        <v/>
      </c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8">
        <f t="shared" ref="A310" si="382">$A306+1</f>
        <v>77</v>
      </c>
      <c r="B310" s="172" t="str">
        <f>IFERROR(INDEX(TBL_TRANSIT[Name],$A310),"")</f>
        <v/>
      </c>
      <c r="C310" s="87" t="str">
        <f t="shared" ref="C310:D310" si="383">IF($B310&lt;&gt;"",C306,"")</f>
        <v/>
      </c>
      <c r="D310" s="87" t="str">
        <f t="shared" si="383"/>
        <v/>
      </c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8">
        <f t="shared" si="363"/>
        <v>77</v>
      </c>
      <c r="B311" s="173"/>
      <c r="C311" s="87" t="str">
        <f t="shared" ref="C311:D311" si="384">IF($B310&lt;&gt;"",C307,"")</f>
        <v/>
      </c>
      <c r="D311" s="87" t="str">
        <f t="shared" si="384"/>
        <v/>
      </c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8">
        <f t="shared" si="363"/>
        <v>77</v>
      </c>
      <c r="B312" s="173"/>
      <c r="C312" s="87" t="str">
        <f t="shared" ref="C312:D312" si="385">IF($B310&lt;&gt;"",C308,"")</f>
        <v/>
      </c>
      <c r="D312" s="87" t="str">
        <f t="shared" si="385"/>
        <v/>
      </c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8">
        <f t="shared" si="363"/>
        <v>77</v>
      </c>
      <c r="B313" s="174"/>
      <c r="C313" s="87" t="str">
        <f t="shared" ref="C313:D313" si="386">IF($B310&lt;&gt;"",C309,"")</f>
        <v/>
      </c>
      <c r="D313" s="87" t="str">
        <f t="shared" si="386"/>
        <v/>
      </c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8">
        <f t="shared" ref="A314" si="387">$A310+1</f>
        <v>78</v>
      </c>
      <c r="B314" s="172" t="str">
        <f>IFERROR(INDEX(TBL_TRANSIT[Name],$A314),"")</f>
        <v/>
      </c>
      <c r="C314" s="87" t="str">
        <f t="shared" ref="C314:D314" si="388">IF($B314&lt;&gt;"",C310,"")</f>
        <v/>
      </c>
      <c r="D314" s="87" t="str">
        <f t="shared" si="388"/>
        <v/>
      </c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8">
        <f t="shared" si="363"/>
        <v>78</v>
      </c>
      <c r="B315" s="173"/>
      <c r="C315" s="87" t="str">
        <f t="shared" ref="C315:D315" si="389">IF($B314&lt;&gt;"",C311,"")</f>
        <v/>
      </c>
      <c r="D315" s="87" t="str">
        <f t="shared" si="389"/>
        <v/>
      </c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8">
        <f t="shared" si="363"/>
        <v>78</v>
      </c>
      <c r="B316" s="173"/>
      <c r="C316" s="87" t="str">
        <f t="shared" ref="C316:D316" si="390">IF($B314&lt;&gt;"",C312,"")</f>
        <v/>
      </c>
      <c r="D316" s="87" t="str">
        <f t="shared" si="390"/>
        <v/>
      </c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8">
        <f t="shared" si="363"/>
        <v>78</v>
      </c>
      <c r="B317" s="174"/>
      <c r="C317" s="87" t="str">
        <f t="shared" ref="C317:D317" si="391">IF($B314&lt;&gt;"",C313,"")</f>
        <v/>
      </c>
      <c r="D317" s="87" t="str">
        <f t="shared" si="391"/>
        <v/>
      </c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R317" s="151"/>
      <c r="S317" s="151"/>
      <c r="T317" s="151"/>
      <c r="U317" s="151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8">
        <f t="shared" ref="A318" si="392">$A314+1</f>
        <v>79</v>
      </c>
      <c r="B318" s="172" t="str">
        <f>IFERROR(INDEX(TBL_TRANSIT[Name],$A318),"")</f>
        <v/>
      </c>
      <c r="C318" s="87" t="str">
        <f t="shared" ref="C318:D318" si="393">IF($B318&lt;&gt;"",C314,"")</f>
        <v/>
      </c>
      <c r="D318" s="87" t="str">
        <f t="shared" si="393"/>
        <v/>
      </c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8">
        <f t="shared" si="363"/>
        <v>79</v>
      </c>
      <c r="B319" s="173"/>
      <c r="C319" s="87" t="str">
        <f t="shared" ref="C319:D319" si="394">IF($B318&lt;&gt;"",C315,"")</f>
        <v/>
      </c>
      <c r="D319" s="87" t="str">
        <f t="shared" si="394"/>
        <v/>
      </c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R319" s="151"/>
      <c r="S319" s="151"/>
      <c r="T319" s="151"/>
      <c r="U319" s="151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8">
        <f t="shared" si="363"/>
        <v>79</v>
      </c>
      <c r="B320" s="173"/>
      <c r="C320" s="87" t="str">
        <f t="shared" ref="C320:D320" si="395">IF($B318&lt;&gt;"",C316,"")</f>
        <v/>
      </c>
      <c r="D320" s="87" t="str">
        <f t="shared" si="395"/>
        <v/>
      </c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8">
        <f t="shared" si="363"/>
        <v>79</v>
      </c>
      <c r="B321" s="174"/>
      <c r="C321" s="87" t="str">
        <f t="shared" ref="C321:D321" si="396">IF($B318&lt;&gt;"",C317,"")</f>
        <v/>
      </c>
      <c r="D321" s="87" t="str">
        <f t="shared" si="396"/>
        <v/>
      </c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R321" s="151"/>
      <c r="S321" s="151"/>
      <c r="T321" s="151"/>
      <c r="U321" s="151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8">
        <f t="shared" ref="A322" si="397">$A318+1</f>
        <v>80</v>
      </c>
      <c r="B322" s="172" t="str">
        <f>IFERROR(INDEX(TBL_TRANSIT[Name],$A322),"")</f>
        <v/>
      </c>
      <c r="C322" s="87" t="str">
        <f t="shared" ref="C322:D322" si="398">IF($B322&lt;&gt;"",C318,"")</f>
        <v/>
      </c>
      <c r="D322" s="87" t="str">
        <f t="shared" si="398"/>
        <v/>
      </c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8">
        <f t="shared" si="363"/>
        <v>80</v>
      </c>
      <c r="B323" s="173"/>
      <c r="C323" s="87" t="str">
        <f t="shared" ref="C323:D323" si="399">IF($B322&lt;&gt;"",C319,"")</f>
        <v/>
      </c>
      <c r="D323" s="87" t="str">
        <f t="shared" si="399"/>
        <v/>
      </c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R323" s="151"/>
      <c r="S323" s="151"/>
      <c r="T323" s="151"/>
      <c r="U323" s="151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8">
        <f t="shared" si="363"/>
        <v>80</v>
      </c>
      <c r="B324" s="173"/>
      <c r="C324" s="87" t="str">
        <f t="shared" ref="C324:D324" si="400">IF($B322&lt;&gt;"",C320,"")</f>
        <v/>
      </c>
      <c r="D324" s="87" t="str">
        <f t="shared" si="400"/>
        <v/>
      </c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8">
        <f t="shared" si="363"/>
        <v>80</v>
      </c>
      <c r="B325" s="174"/>
      <c r="C325" s="87" t="str">
        <f t="shared" ref="C325:D325" si="401">IF($B322&lt;&gt;"",C321,"")</f>
        <v/>
      </c>
      <c r="D325" s="87" t="str">
        <f t="shared" si="401"/>
        <v/>
      </c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R325" s="151"/>
      <c r="S325" s="151"/>
      <c r="T325" s="151"/>
      <c r="U325" s="151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8">
        <f t="shared" ref="A326" si="402">$A322+1</f>
        <v>81</v>
      </c>
      <c r="B326" s="172" t="str">
        <f>IFERROR(INDEX(TBL_TRANSIT[Name],$A326),"")</f>
        <v/>
      </c>
      <c r="C326" s="87" t="str">
        <f t="shared" ref="C326:D326" si="403">IF($B326&lt;&gt;"",C322,"")</f>
        <v/>
      </c>
      <c r="D326" s="87" t="str">
        <f t="shared" si="403"/>
        <v/>
      </c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8">
        <f t="shared" si="363"/>
        <v>81</v>
      </c>
      <c r="B327" s="173"/>
      <c r="C327" s="87" t="str">
        <f t="shared" ref="C327:D327" si="404">IF($B326&lt;&gt;"",C323,"")</f>
        <v/>
      </c>
      <c r="D327" s="87" t="str">
        <f t="shared" si="404"/>
        <v/>
      </c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R327" s="151"/>
      <c r="S327" s="151"/>
      <c r="T327" s="151"/>
      <c r="U327" s="151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8">
        <f t="shared" si="363"/>
        <v>81</v>
      </c>
      <c r="B328" s="173"/>
      <c r="C328" s="87" t="str">
        <f t="shared" ref="C328:D328" si="405">IF($B326&lt;&gt;"",C324,"")</f>
        <v/>
      </c>
      <c r="D328" s="87" t="str">
        <f t="shared" si="405"/>
        <v/>
      </c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8">
        <f t="shared" si="363"/>
        <v>81</v>
      </c>
      <c r="B329" s="174"/>
      <c r="C329" s="87" t="str">
        <f t="shared" ref="C329:D329" si="406">IF($B326&lt;&gt;"",C325,"")</f>
        <v/>
      </c>
      <c r="D329" s="87" t="str">
        <f t="shared" si="406"/>
        <v/>
      </c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R329" s="151"/>
      <c r="S329" s="151"/>
      <c r="T329" s="151"/>
      <c r="U329" s="151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8">
        <f t="shared" ref="A330" si="407">$A326+1</f>
        <v>82</v>
      </c>
      <c r="B330" s="172" t="str">
        <f>IFERROR(INDEX(TBL_TRANSIT[Name],$A330),"")</f>
        <v/>
      </c>
      <c r="C330" s="87" t="str">
        <f t="shared" ref="C330:D330" si="408">IF($B330&lt;&gt;"",C326,"")</f>
        <v/>
      </c>
      <c r="D330" s="87" t="str">
        <f t="shared" si="408"/>
        <v/>
      </c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8">
        <f t="shared" si="363"/>
        <v>82</v>
      </c>
      <c r="B331" s="173"/>
      <c r="C331" s="87" t="str">
        <f t="shared" ref="C331:D331" si="409">IF($B330&lt;&gt;"",C327,"")</f>
        <v/>
      </c>
      <c r="D331" s="87" t="str">
        <f t="shared" si="409"/>
        <v/>
      </c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R331" s="151"/>
      <c r="S331" s="151"/>
      <c r="T331" s="151"/>
      <c r="U331" s="151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8">
        <f t="shared" si="363"/>
        <v>82</v>
      </c>
      <c r="B332" s="173"/>
      <c r="C332" s="87" t="str">
        <f t="shared" ref="C332:D332" si="410">IF($B330&lt;&gt;"",C328,"")</f>
        <v/>
      </c>
      <c r="D332" s="87" t="str">
        <f t="shared" si="410"/>
        <v/>
      </c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8">
        <f t="shared" si="363"/>
        <v>82</v>
      </c>
      <c r="B333" s="174"/>
      <c r="C333" s="87" t="str">
        <f t="shared" ref="C333:D333" si="411">IF($B330&lt;&gt;"",C329,"")</f>
        <v/>
      </c>
      <c r="D333" s="87" t="str">
        <f t="shared" si="411"/>
        <v/>
      </c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R333" s="151"/>
      <c r="S333" s="151"/>
      <c r="T333" s="151"/>
      <c r="U333" s="151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8">
        <f t="shared" ref="A334" si="412">$A330+1</f>
        <v>83</v>
      </c>
      <c r="B334" s="172" t="str">
        <f>IFERROR(INDEX(TBL_TRANSIT[Name],$A334),"")</f>
        <v/>
      </c>
      <c r="C334" s="87" t="str">
        <f t="shared" ref="C334:D334" si="413">IF($B334&lt;&gt;"",C330,"")</f>
        <v/>
      </c>
      <c r="D334" s="87" t="str">
        <f t="shared" si="413"/>
        <v/>
      </c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8">
        <f t="shared" ref="A335:A389" si="414">$A334</f>
        <v>83</v>
      </c>
      <c r="B335" s="173"/>
      <c r="C335" s="87" t="str">
        <f t="shared" ref="C335:D335" si="415">IF($B334&lt;&gt;"",C331,"")</f>
        <v/>
      </c>
      <c r="D335" s="87" t="str">
        <f t="shared" si="415"/>
        <v/>
      </c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R335" s="151"/>
      <c r="S335" s="151"/>
      <c r="T335" s="151"/>
      <c r="U335" s="151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8">
        <f t="shared" si="414"/>
        <v>83</v>
      </c>
      <c r="B336" s="173"/>
      <c r="C336" s="87" t="str">
        <f t="shared" ref="C336:D336" si="416">IF($B334&lt;&gt;"",C332,"")</f>
        <v/>
      </c>
      <c r="D336" s="87" t="str">
        <f t="shared" si="416"/>
        <v/>
      </c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8">
        <f t="shared" si="414"/>
        <v>83</v>
      </c>
      <c r="B337" s="174"/>
      <c r="C337" s="87" t="str">
        <f t="shared" ref="C337:D337" si="417">IF($B334&lt;&gt;"",C333,"")</f>
        <v/>
      </c>
      <c r="D337" s="87" t="str">
        <f t="shared" si="417"/>
        <v/>
      </c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R337" s="151"/>
      <c r="S337" s="151"/>
      <c r="T337" s="151"/>
      <c r="U337" s="151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8">
        <f t="shared" ref="A338" si="418">$A334+1</f>
        <v>84</v>
      </c>
      <c r="B338" s="172" t="str">
        <f>IFERROR(INDEX(TBL_TRANSIT[Name],$A338),"")</f>
        <v/>
      </c>
      <c r="C338" s="87" t="str">
        <f t="shared" ref="C338:D338" si="419">IF($B338&lt;&gt;"",C334,"")</f>
        <v/>
      </c>
      <c r="D338" s="87" t="str">
        <f t="shared" si="419"/>
        <v/>
      </c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8">
        <f t="shared" si="414"/>
        <v>84</v>
      </c>
      <c r="B339" s="173"/>
      <c r="C339" s="87" t="str">
        <f t="shared" ref="C339:D339" si="420">IF($B338&lt;&gt;"",C335,"")</f>
        <v/>
      </c>
      <c r="D339" s="87" t="str">
        <f t="shared" si="420"/>
        <v/>
      </c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R339" s="151"/>
      <c r="S339" s="151"/>
      <c r="T339" s="151"/>
      <c r="U339" s="151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8">
        <f t="shared" si="414"/>
        <v>84</v>
      </c>
      <c r="B340" s="173"/>
      <c r="C340" s="87" t="str">
        <f t="shared" ref="C340:D340" si="421">IF($B338&lt;&gt;"",C336,"")</f>
        <v/>
      </c>
      <c r="D340" s="87" t="str">
        <f t="shared" si="421"/>
        <v/>
      </c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8">
        <f t="shared" si="414"/>
        <v>84</v>
      </c>
      <c r="B341" s="174"/>
      <c r="C341" s="87" t="str">
        <f t="shared" ref="C341:D341" si="422">IF($B338&lt;&gt;"",C337,"")</f>
        <v/>
      </c>
      <c r="D341" s="87" t="str">
        <f t="shared" si="422"/>
        <v/>
      </c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R341" s="151"/>
      <c r="S341" s="151"/>
      <c r="T341" s="151"/>
      <c r="U341" s="151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8">
        <f t="shared" ref="A342" si="423">$A338+1</f>
        <v>85</v>
      </c>
      <c r="B342" s="172" t="str">
        <f>IFERROR(INDEX(TBL_TRANSIT[Name],$A342),"")</f>
        <v/>
      </c>
      <c r="C342" s="87" t="str">
        <f t="shared" ref="C342:D342" si="424">IF($B342&lt;&gt;"",C338,"")</f>
        <v/>
      </c>
      <c r="D342" s="87" t="str">
        <f t="shared" si="424"/>
        <v/>
      </c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8">
        <f t="shared" si="414"/>
        <v>85</v>
      </c>
      <c r="B343" s="173"/>
      <c r="C343" s="87" t="str">
        <f t="shared" ref="C343:D343" si="425">IF($B342&lt;&gt;"",C339,"")</f>
        <v/>
      </c>
      <c r="D343" s="87" t="str">
        <f t="shared" si="425"/>
        <v/>
      </c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R343" s="151"/>
      <c r="S343" s="151"/>
      <c r="T343" s="151"/>
      <c r="U343" s="151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8">
        <f t="shared" si="414"/>
        <v>85</v>
      </c>
      <c r="B344" s="173"/>
      <c r="C344" s="87" t="str">
        <f t="shared" ref="C344:D344" si="426">IF($B342&lt;&gt;"",C340,"")</f>
        <v/>
      </c>
      <c r="D344" s="87" t="str">
        <f t="shared" si="426"/>
        <v/>
      </c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8">
        <f t="shared" si="414"/>
        <v>85</v>
      </c>
      <c r="B345" s="174"/>
      <c r="C345" s="87" t="str">
        <f t="shared" ref="C345:D345" si="427">IF($B342&lt;&gt;"",C341,"")</f>
        <v/>
      </c>
      <c r="D345" s="87" t="str">
        <f t="shared" si="427"/>
        <v/>
      </c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R345" s="151"/>
      <c r="S345" s="151"/>
      <c r="T345" s="151"/>
      <c r="U345" s="151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8">
        <f t="shared" ref="A346" si="428">$A342+1</f>
        <v>86</v>
      </c>
      <c r="B346" s="172" t="str">
        <f>IFERROR(INDEX(TBL_TRANSIT[Name],$A346),"")</f>
        <v/>
      </c>
      <c r="C346" s="87" t="str">
        <f t="shared" ref="C346:D346" si="429">IF($B346&lt;&gt;"",C342,"")</f>
        <v/>
      </c>
      <c r="D346" s="87" t="str">
        <f t="shared" si="429"/>
        <v/>
      </c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8">
        <f t="shared" si="414"/>
        <v>86</v>
      </c>
      <c r="B347" s="173"/>
      <c r="C347" s="87" t="str">
        <f t="shared" ref="C347:D347" si="430">IF($B346&lt;&gt;"",C343,"")</f>
        <v/>
      </c>
      <c r="D347" s="87" t="str">
        <f t="shared" si="430"/>
        <v/>
      </c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R347" s="151"/>
      <c r="S347" s="151"/>
      <c r="T347" s="151"/>
      <c r="U347" s="151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8">
        <f t="shared" si="414"/>
        <v>86</v>
      </c>
      <c r="B348" s="173"/>
      <c r="C348" s="87" t="str">
        <f t="shared" ref="C348:D348" si="431">IF($B346&lt;&gt;"",C344,"")</f>
        <v/>
      </c>
      <c r="D348" s="87" t="str">
        <f t="shared" si="431"/>
        <v/>
      </c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8">
        <f t="shared" si="414"/>
        <v>86</v>
      </c>
      <c r="B349" s="174"/>
      <c r="C349" s="87" t="str">
        <f t="shared" ref="C349:D349" si="432">IF($B346&lt;&gt;"",C345,"")</f>
        <v/>
      </c>
      <c r="D349" s="87" t="str">
        <f t="shared" si="432"/>
        <v/>
      </c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R349" s="151"/>
      <c r="S349" s="151"/>
      <c r="T349" s="151"/>
      <c r="U349" s="151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8">
        <f t="shared" ref="A350" si="433">$A346+1</f>
        <v>87</v>
      </c>
      <c r="B350" s="172" t="str">
        <f>IFERROR(INDEX(TBL_TRANSIT[Name],$A350),"")</f>
        <v/>
      </c>
      <c r="C350" s="87" t="str">
        <f t="shared" ref="C350:D350" si="434">IF($B350&lt;&gt;"",C346,"")</f>
        <v/>
      </c>
      <c r="D350" s="87" t="str">
        <f t="shared" si="434"/>
        <v/>
      </c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8">
        <f t="shared" si="414"/>
        <v>87</v>
      </c>
      <c r="B351" s="173"/>
      <c r="C351" s="87" t="str">
        <f t="shared" ref="C351:D351" si="435">IF($B350&lt;&gt;"",C347,"")</f>
        <v/>
      </c>
      <c r="D351" s="87" t="str">
        <f t="shared" si="435"/>
        <v/>
      </c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8">
        <f t="shared" si="414"/>
        <v>87</v>
      </c>
      <c r="B352" s="173"/>
      <c r="C352" s="87" t="str">
        <f t="shared" ref="C352:D352" si="436">IF($B350&lt;&gt;"",C348,"")</f>
        <v/>
      </c>
      <c r="D352" s="87" t="str">
        <f t="shared" si="436"/>
        <v/>
      </c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8">
        <f t="shared" si="414"/>
        <v>87</v>
      </c>
      <c r="B353" s="174"/>
      <c r="C353" s="87" t="str">
        <f t="shared" ref="C353:D353" si="437">IF($B350&lt;&gt;"",C349,"")</f>
        <v/>
      </c>
      <c r="D353" s="87" t="str">
        <f t="shared" si="437"/>
        <v/>
      </c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R353" s="151"/>
      <c r="S353" s="151"/>
      <c r="T353" s="151"/>
      <c r="U353" s="151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8">
        <f t="shared" ref="A354" si="438">$A350+1</f>
        <v>88</v>
      </c>
      <c r="B354" s="172" t="str">
        <f>IFERROR(INDEX(TBL_TRANSIT[Name],$A354),"")</f>
        <v/>
      </c>
      <c r="C354" s="87" t="str">
        <f t="shared" ref="C354:D354" si="439">IF($B354&lt;&gt;"",C350,"")</f>
        <v/>
      </c>
      <c r="D354" s="87" t="str">
        <f t="shared" si="439"/>
        <v/>
      </c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8">
        <f t="shared" si="414"/>
        <v>88</v>
      </c>
      <c r="B355" s="173"/>
      <c r="C355" s="87" t="str">
        <f t="shared" ref="C355:D355" si="440">IF($B354&lt;&gt;"",C351,"")</f>
        <v/>
      </c>
      <c r="D355" s="87" t="str">
        <f t="shared" si="440"/>
        <v/>
      </c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R355" s="151"/>
      <c r="S355" s="151"/>
      <c r="T355" s="151"/>
      <c r="U355" s="151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8">
        <f t="shared" si="414"/>
        <v>88</v>
      </c>
      <c r="B356" s="173"/>
      <c r="C356" s="87" t="str">
        <f t="shared" ref="C356:D356" si="441">IF($B354&lt;&gt;"",C352,"")</f>
        <v/>
      </c>
      <c r="D356" s="87" t="str">
        <f t="shared" si="441"/>
        <v/>
      </c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8">
        <f t="shared" si="414"/>
        <v>88</v>
      </c>
      <c r="B357" s="174"/>
      <c r="C357" s="87" t="str">
        <f t="shared" ref="C357:D357" si="442">IF($B354&lt;&gt;"",C353,"")</f>
        <v/>
      </c>
      <c r="D357" s="87" t="str">
        <f t="shared" si="442"/>
        <v/>
      </c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R357" s="151"/>
      <c r="S357" s="151"/>
      <c r="T357" s="151"/>
      <c r="U357" s="151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8">
        <f t="shared" ref="A358" si="443">$A354+1</f>
        <v>89</v>
      </c>
      <c r="B358" s="172" t="str">
        <f>IFERROR(INDEX(TBL_TRANSIT[Name],$A358),"")</f>
        <v/>
      </c>
      <c r="C358" s="87" t="str">
        <f t="shared" ref="C358:D358" si="444">IF($B358&lt;&gt;"",C354,"")</f>
        <v/>
      </c>
      <c r="D358" s="87" t="str">
        <f t="shared" si="444"/>
        <v/>
      </c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8">
        <f t="shared" si="414"/>
        <v>89</v>
      </c>
      <c r="B359" s="173"/>
      <c r="C359" s="87" t="str">
        <f t="shared" ref="C359:D359" si="445">IF($B358&lt;&gt;"",C355,"")</f>
        <v/>
      </c>
      <c r="D359" s="87" t="str">
        <f t="shared" si="445"/>
        <v/>
      </c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R359" s="151"/>
      <c r="S359" s="151"/>
      <c r="T359" s="151"/>
      <c r="U359" s="151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8">
        <f t="shared" si="414"/>
        <v>89</v>
      </c>
      <c r="B360" s="173"/>
      <c r="C360" s="87" t="str">
        <f t="shared" ref="C360:D360" si="446">IF($B358&lt;&gt;"",C356,"")</f>
        <v/>
      </c>
      <c r="D360" s="87" t="str">
        <f t="shared" si="446"/>
        <v/>
      </c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8">
        <f t="shared" si="414"/>
        <v>89</v>
      </c>
      <c r="B361" s="174"/>
      <c r="C361" s="87" t="str">
        <f t="shared" ref="C361:D361" si="447">IF($B358&lt;&gt;"",C357,"")</f>
        <v/>
      </c>
      <c r="D361" s="87" t="str">
        <f t="shared" si="447"/>
        <v/>
      </c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R361" s="151"/>
      <c r="S361" s="151"/>
      <c r="T361" s="151"/>
      <c r="U361" s="151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8">
        <f t="shared" ref="A362" si="448">$A358+1</f>
        <v>90</v>
      </c>
      <c r="B362" s="172" t="str">
        <f>IFERROR(INDEX(TBL_TRANSIT[Name],$A362),"")</f>
        <v/>
      </c>
      <c r="C362" s="87" t="str">
        <f t="shared" ref="C362:D362" si="449">IF($B362&lt;&gt;"",C358,"")</f>
        <v/>
      </c>
      <c r="D362" s="87" t="str">
        <f t="shared" si="449"/>
        <v/>
      </c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8">
        <f t="shared" si="414"/>
        <v>90</v>
      </c>
      <c r="B363" s="173"/>
      <c r="C363" s="87" t="str">
        <f t="shared" ref="C363:D363" si="450">IF($B362&lt;&gt;"",C359,"")</f>
        <v/>
      </c>
      <c r="D363" s="87" t="str">
        <f t="shared" si="450"/>
        <v/>
      </c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R363" s="151"/>
      <c r="S363" s="151"/>
      <c r="T363" s="151"/>
      <c r="U363" s="151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8">
        <f t="shared" si="414"/>
        <v>90</v>
      </c>
      <c r="B364" s="173"/>
      <c r="C364" s="87" t="str">
        <f t="shared" ref="C364:D364" si="451">IF($B362&lt;&gt;"",C360,"")</f>
        <v/>
      </c>
      <c r="D364" s="87" t="str">
        <f t="shared" si="451"/>
        <v/>
      </c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8">
        <f t="shared" si="414"/>
        <v>90</v>
      </c>
      <c r="B365" s="174"/>
      <c r="C365" s="87" t="str">
        <f t="shared" ref="C365:D365" si="452">IF($B362&lt;&gt;"",C361,"")</f>
        <v/>
      </c>
      <c r="D365" s="87" t="str">
        <f t="shared" si="452"/>
        <v/>
      </c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R365" s="151"/>
      <c r="S365" s="151"/>
      <c r="T365" s="151"/>
      <c r="U365" s="151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8">
        <f t="shared" ref="A366" si="453">$A362+1</f>
        <v>91</v>
      </c>
      <c r="B366" s="172" t="str">
        <f>IFERROR(INDEX(TBL_TRANSIT[Name],$A366),"")</f>
        <v/>
      </c>
      <c r="C366" s="87" t="str">
        <f t="shared" ref="C366:D366" si="454">IF($B366&lt;&gt;"",C362,"")</f>
        <v/>
      </c>
      <c r="D366" s="87" t="str">
        <f t="shared" si="454"/>
        <v/>
      </c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8">
        <f t="shared" si="414"/>
        <v>91</v>
      </c>
      <c r="B367" s="173"/>
      <c r="C367" s="87" t="str">
        <f t="shared" ref="C367:D367" si="455">IF($B366&lt;&gt;"",C363,"")</f>
        <v/>
      </c>
      <c r="D367" s="87" t="str">
        <f t="shared" si="455"/>
        <v/>
      </c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R367" s="151"/>
      <c r="S367" s="151"/>
      <c r="T367" s="151"/>
      <c r="U367" s="151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8">
        <f t="shared" si="414"/>
        <v>91</v>
      </c>
      <c r="B368" s="173"/>
      <c r="C368" s="87" t="str">
        <f t="shared" ref="C368:D368" si="456">IF($B366&lt;&gt;"",C364,"")</f>
        <v/>
      </c>
      <c r="D368" s="87" t="str">
        <f t="shared" si="456"/>
        <v/>
      </c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8">
        <f t="shared" si="414"/>
        <v>91</v>
      </c>
      <c r="B369" s="174"/>
      <c r="C369" s="87" t="str">
        <f t="shared" ref="C369:D369" si="457">IF($B366&lt;&gt;"",C365,"")</f>
        <v/>
      </c>
      <c r="D369" s="87" t="str">
        <f t="shared" si="457"/>
        <v/>
      </c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R369" s="151"/>
      <c r="S369" s="151"/>
      <c r="T369" s="151"/>
      <c r="U369" s="151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8">
        <f t="shared" ref="A370" si="458">$A366+1</f>
        <v>92</v>
      </c>
      <c r="B370" s="172" t="str">
        <f>IFERROR(INDEX(TBL_TRANSIT[Name],$A370),"")</f>
        <v/>
      </c>
      <c r="C370" s="87" t="str">
        <f t="shared" ref="C370:D370" si="459">IF($B370&lt;&gt;"",C366,"")</f>
        <v/>
      </c>
      <c r="D370" s="87" t="str">
        <f t="shared" si="459"/>
        <v/>
      </c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8">
        <f t="shared" si="414"/>
        <v>92</v>
      </c>
      <c r="B371" s="173"/>
      <c r="C371" s="87" t="str">
        <f t="shared" ref="C371:D371" si="460">IF($B370&lt;&gt;"",C367,"")</f>
        <v/>
      </c>
      <c r="D371" s="87" t="str">
        <f t="shared" si="460"/>
        <v/>
      </c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R371" s="151"/>
      <c r="S371" s="151"/>
      <c r="T371" s="151"/>
      <c r="U371" s="151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8">
        <f t="shared" si="414"/>
        <v>92</v>
      </c>
      <c r="B372" s="173"/>
      <c r="C372" s="87" t="str">
        <f t="shared" ref="C372:D372" si="461">IF($B370&lt;&gt;"",C368,"")</f>
        <v/>
      </c>
      <c r="D372" s="87" t="str">
        <f t="shared" si="461"/>
        <v/>
      </c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8">
        <f t="shared" si="414"/>
        <v>92</v>
      </c>
      <c r="B373" s="174"/>
      <c r="C373" s="87" t="str">
        <f t="shared" ref="C373:D373" si="462">IF($B370&lt;&gt;"",C369,"")</f>
        <v/>
      </c>
      <c r="D373" s="87" t="str">
        <f t="shared" si="462"/>
        <v/>
      </c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R373" s="151"/>
      <c r="S373" s="151"/>
      <c r="T373" s="151"/>
      <c r="U373" s="151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8">
        <f t="shared" ref="A374" si="463">$A370+1</f>
        <v>93</v>
      </c>
      <c r="B374" s="172" t="str">
        <f>IFERROR(INDEX(TBL_TRANSIT[Name],$A374),"")</f>
        <v/>
      </c>
      <c r="C374" s="87" t="str">
        <f t="shared" ref="C374:D374" si="464">IF($B374&lt;&gt;"",C370,"")</f>
        <v/>
      </c>
      <c r="D374" s="87" t="str">
        <f t="shared" si="464"/>
        <v/>
      </c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8">
        <f t="shared" si="414"/>
        <v>93</v>
      </c>
      <c r="B375" s="173"/>
      <c r="C375" s="87" t="str">
        <f t="shared" ref="C375:D375" si="465">IF($B374&lt;&gt;"",C371,"")</f>
        <v/>
      </c>
      <c r="D375" s="87" t="str">
        <f t="shared" si="465"/>
        <v/>
      </c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R375" s="151"/>
      <c r="S375" s="151"/>
      <c r="T375" s="151"/>
      <c r="U375" s="151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8">
        <f t="shared" si="414"/>
        <v>93</v>
      </c>
      <c r="B376" s="173"/>
      <c r="C376" s="87" t="str">
        <f t="shared" ref="C376:D376" si="466">IF($B374&lt;&gt;"",C372,"")</f>
        <v/>
      </c>
      <c r="D376" s="87" t="str">
        <f t="shared" si="466"/>
        <v/>
      </c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8">
        <f t="shared" si="414"/>
        <v>93</v>
      </c>
      <c r="B377" s="174"/>
      <c r="C377" s="87" t="str">
        <f t="shared" ref="C377:D377" si="467">IF($B374&lt;&gt;"",C373,"")</f>
        <v/>
      </c>
      <c r="D377" s="87" t="str">
        <f t="shared" si="467"/>
        <v/>
      </c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R377" s="151"/>
      <c r="S377" s="151"/>
      <c r="T377" s="151"/>
      <c r="U377" s="151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8">
        <f t="shared" ref="A378" si="468">$A374+1</f>
        <v>94</v>
      </c>
      <c r="B378" s="172" t="str">
        <f>IFERROR(INDEX(TBL_TRANSIT[Name],$A378),"")</f>
        <v/>
      </c>
      <c r="C378" s="87" t="str">
        <f t="shared" ref="C378:D378" si="469">IF($B378&lt;&gt;"",C374,"")</f>
        <v/>
      </c>
      <c r="D378" s="87" t="str">
        <f t="shared" si="469"/>
        <v/>
      </c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8">
        <f t="shared" si="414"/>
        <v>94</v>
      </c>
      <c r="B379" s="173"/>
      <c r="C379" s="87" t="str">
        <f t="shared" ref="C379:D379" si="470">IF($B378&lt;&gt;"",C375,"")</f>
        <v/>
      </c>
      <c r="D379" s="87" t="str">
        <f t="shared" si="470"/>
        <v/>
      </c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R379" s="151"/>
      <c r="S379" s="151"/>
      <c r="T379" s="151"/>
      <c r="U379" s="151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8">
        <f t="shared" si="414"/>
        <v>94</v>
      </c>
      <c r="B380" s="173"/>
      <c r="C380" s="87" t="str">
        <f t="shared" ref="C380:D380" si="471">IF($B378&lt;&gt;"",C376,"")</f>
        <v/>
      </c>
      <c r="D380" s="87" t="str">
        <f t="shared" si="471"/>
        <v/>
      </c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8">
        <f t="shared" si="414"/>
        <v>94</v>
      </c>
      <c r="B381" s="174"/>
      <c r="C381" s="87" t="str">
        <f t="shared" ref="C381:D381" si="472">IF($B378&lt;&gt;"",C377,"")</f>
        <v/>
      </c>
      <c r="D381" s="87" t="str">
        <f t="shared" si="472"/>
        <v/>
      </c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R381" s="151"/>
      <c r="S381" s="151"/>
      <c r="T381" s="151"/>
      <c r="U381" s="151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8">
        <f t="shared" ref="A382" si="473">$A378+1</f>
        <v>95</v>
      </c>
      <c r="B382" s="172" t="str">
        <f>IFERROR(INDEX(TBL_TRANSIT[Name],$A382),"")</f>
        <v/>
      </c>
      <c r="C382" s="87" t="str">
        <f t="shared" ref="C382:D382" si="474">IF($B382&lt;&gt;"",C378,"")</f>
        <v/>
      </c>
      <c r="D382" s="87" t="str">
        <f t="shared" si="474"/>
        <v/>
      </c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8">
        <f t="shared" si="414"/>
        <v>95</v>
      </c>
      <c r="B383" s="173"/>
      <c r="C383" s="87" t="str">
        <f t="shared" ref="C383:D383" si="475">IF($B382&lt;&gt;"",C379,"")</f>
        <v/>
      </c>
      <c r="D383" s="87" t="str">
        <f t="shared" si="475"/>
        <v/>
      </c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R383" s="151"/>
      <c r="S383" s="151"/>
      <c r="T383" s="151"/>
      <c r="U383" s="151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8">
        <f t="shared" si="414"/>
        <v>95</v>
      </c>
      <c r="B384" s="173"/>
      <c r="C384" s="87" t="str">
        <f t="shared" ref="C384:D384" si="476">IF($B382&lt;&gt;"",C380,"")</f>
        <v/>
      </c>
      <c r="D384" s="87" t="str">
        <f t="shared" si="476"/>
        <v/>
      </c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8">
        <f t="shared" si="414"/>
        <v>95</v>
      </c>
      <c r="B385" s="174"/>
      <c r="C385" s="87" t="str">
        <f t="shared" ref="C385:D385" si="477">IF($B382&lt;&gt;"",C381,"")</f>
        <v/>
      </c>
      <c r="D385" s="87" t="str">
        <f t="shared" si="477"/>
        <v/>
      </c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R385" s="151"/>
      <c r="S385" s="151"/>
      <c r="T385" s="151"/>
      <c r="U385" s="151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8">
        <f t="shared" ref="A386" si="478">$A382+1</f>
        <v>96</v>
      </c>
      <c r="B386" s="172" t="str">
        <f>IFERROR(INDEX(TBL_TRANSIT[Name],$A386),"")</f>
        <v/>
      </c>
      <c r="C386" s="87" t="str">
        <f t="shared" ref="C386:D386" si="479">IF($B386&lt;&gt;"",C382,"")</f>
        <v/>
      </c>
      <c r="D386" s="87" t="str">
        <f t="shared" si="479"/>
        <v/>
      </c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8">
        <f t="shared" si="414"/>
        <v>96</v>
      </c>
      <c r="B387" s="173"/>
      <c r="C387" s="87" t="str">
        <f t="shared" ref="C387:D387" si="480">IF($B386&lt;&gt;"",C383,"")</f>
        <v/>
      </c>
      <c r="D387" s="87" t="str">
        <f t="shared" si="480"/>
        <v/>
      </c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R387" s="151"/>
      <c r="S387" s="151"/>
      <c r="T387" s="151"/>
      <c r="U387" s="151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8">
        <f t="shared" si="414"/>
        <v>96</v>
      </c>
      <c r="B388" s="173"/>
      <c r="C388" s="87" t="str">
        <f t="shared" ref="C388:D388" si="481">IF($B386&lt;&gt;"",C384,"")</f>
        <v/>
      </c>
      <c r="D388" s="87" t="str">
        <f t="shared" si="481"/>
        <v/>
      </c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8">
        <f t="shared" si="414"/>
        <v>96</v>
      </c>
      <c r="B389" s="174"/>
      <c r="C389" s="87" t="str">
        <f t="shared" ref="C389:D389" si="482">IF($B386&lt;&gt;"",C385,"")</f>
        <v/>
      </c>
      <c r="D389" s="87" t="str">
        <f t="shared" si="482"/>
        <v/>
      </c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R389" s="151"/>
      <c r="S389" s="151"/>
      <c r="T389" s="151"/>
      <c r="U389" s="151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8">
        <f t="shared" ref="A390" si="483">$A386+1</f>
        <v>97</v>
      </c>
      <c r="B390" s="172" t="str">
        <f>IFERROR(INDEX(TBL_TRANSIT[Name],$A390),"")</f>
        <v/>
      </c>
      <c r="C390" s="87" t="str">
        <f t="shared" ref="C390:D390" si="484">IF($B390&lt;&gt;"",C386,"")</f>
        <v/>
      </c>
      <c r="D390" s="87" t="str">
        <f t="shared" si="484"/>
        <v/>
      </c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8">
        <f t="shared" ref="A391:A445" si="485">$A390</f>
        <v>97</v>
      </c>
      <c r="B391" s="173"/>
      <c r="C391" s="87" t="str">
        <f t="shared" ref="C391:D391" si="486">IF($B390&lt;&gt;"",C387,"")</f>
        <v/>
      </c>
      <c r="D391" s="87" t="str">
        <f t="shared" si="486"/>
        <v/>
      </c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R391" s="151"/>
      <c r="S391" s="151"/>
      <c r="T391" s="151"/>
      <c r="U391" s="151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8">
        <f t="shared" si="485"/>
        <v>97</v>
      </c>
      <c r="B392" s="173"/>
      <c r="C392" s="87" t="str">
        <f t="shared" ref="C392:D392" si="487">IF($B390&lt;&gt;"",C388,"")</f>
        <v/>
      </c>
      <c r="D392" s="87" t="str">
        <f t="shared" si="487"/>
        <v/>
      </c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8">
        <f t="shared" si="485"/>
        <v>97</v>
      </c>
      <c r="B393" s="174"/>
      <c r="C393" s="87" t="str">
        <f t="shared" ref="C393:D393" si="488">IF($B390&lt;&gt;"",C389,"")</f>
        <v/>
      </c>
      <c r="D393" s="87" t="str">
        <f t="shared" si="488"/>
        <v/>
      </c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R393" s="151"/>
      <c r="S393" s="151"/>
      <c r="T393" s="151"/>
      <c r="U393" s="151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8">
        <f t="shared" ref="A394" si="489">$A390+1</f>
        <v>98</v>
      </c>
      <c r="B394" s="172" t="str">
        <f>IFERROR(INDEX(TBL_TRANSIT[Name],$A394),"")</f>
        <v/>
      </c>
      <c r="C394" s="87" t="str">
        <f t="shared" ref="C394:D394" si="490">IF($B394&lt;&gt;"",C390,"")</f>
        <v/>
      </c>
      <c r="D394" s="87" t="str">
        <f t="shared" si="490"/>
        <v/>
      </c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8">
        <f t="shared" si="485"/>
        <v>98</v>
      </c>
      <c r="B395" s="173"/>
      <c r="C395" s="87" t="str">
        <f t="shared" ref="C395:D395" si="491">IF($B394&lt;&gt;"",C391,"")</f>
        <v/>
      </c>
      <c r="D395" s="87" t="str">
        <f t="shared" si="491"/>
        <v/>
      </c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R395" s="151"/>
      <c r="S395" s="151"/>
      <c r="T395" s="151"/>
      <c r="U395" s="151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8">
        <f t="shared" si="485"/>
        <v>98</v>
      </c>
      <c r="B396" s="173"/>
      <c r="C396" s="87" t="str">
        <f t="shared" ref="C396:D396" si="492">IF($B394&lt;&gt;"",C392,"")</f>
        <v/>
      </c>
      <c r="D396" s="87" t="str">
        <f t="shared" si="492"/>
        <v/>
      </c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8">
        <f t="shared" si="485"/>
        <v>98</v>
      </c>
      <c r="B397" s="174"/>
      <c r="C397" s="87" t="str">
        <f t="shared" ref="C397:D397" si="493">IF($B394&lt;&gt;"",C393,"")</f>
        <v/>
      </c>
      <c r="D397" s="87" t="str">
        <f t="shared" si="493"/>
        <v/>
      </c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R397" s="151"/>
      <c r="S397" s="151"/>
      <c r="T397" s="151"/>
      <c r="U397" s="151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8">
        <f t="shared" ref="A398" si="494">$A394+1</f>
        <v>99</v>
      </c>
      <c r="B398" s="172" t="str">
        <f>IFERROR(INDEX(TBL_TRANSIT[Name],$A398),"")</f>
        <v/>
      </c>
      <c r="C398" s="87" t="str">
        <f t="shared" ref="C398:D398" si="495">IF($B398&lt;&gt;"",C394,"")</f>
        <v/>
      </c>
      <c r="D398" s="87" t="str">
        <f t="shared" si="495"/>
        <v/>
      </c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8">
        <f t="shared" si="485"/>
        <v>99</v>
      </c>
      <c r="B399" s="173"/>
      <c r="C399" s="87" t="str">
        <f t="shared" ref="C399:D399" si="496">IF($B398&lt;&gt;"",C395,"")</f>
        <v/>
      </c>
      <c r="D399" s="87" t="str">
        <f t="shared" si="496"/>
        <v/>
      </c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R399" s="151"/>
      <c r="S399" s="151"/>
      <c r="T399" s="151"/>
      <c r="U399" s="151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8">
        <f t="shared" si="485"/>
        <v>99</v>
      </c>
      <c r="B400" s="173"/>
      <c r="C400" s="87" t="str">
        <f t="shared" ref="C400:D400" si="497">IF($B398&lt;&gt;"",C396,"")</f>
        <v/>
      </c>
      <c r="D400" s="87" t="str">
        <f t="shared" si="497"/>
        <v/>
      </c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8">
        <f t="shared" si="485"/>
        <v>99</v>
      </c>
      <c r="B401" s="174"/>
      <c r="C401" s="87" t="str">
        <f t="shared" ref="C401:D401" si="498">IF($B398&lt;&gt;"",C397,"")</f>
        <v/>
      </c>
      <c r="D401" s="87" t="str">
        <f t="shared" si="498"/>
        <v/>
      </c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R401" s="151"/>
      <c r="S401" s="151"/>
      <c r="T401" s="151"/>
      <c r="U401" s="151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8">
        <f t="shared" ref="A402" si="499">$A398+1</f>
        <v>100</v>
      </c>
      <c r="B402" s="172" t="str">
        <f>IFERROR(INDEX(TBL_TRANSIT[Name],$A402),"")</f>
        <v/>
      </c>
      <c r="C402" s="87" t="str">
        <f t="shared" ref="C402:D402" si="500">IF($B402&lt;&gt;"",C398,"")</f>
        <v/>
      </c>
      <c r="D402" s="87" t="str">
        <f t="shared" si="500"/>
        <v/>
      </c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8">
        <f t="shared" si="485"/>
        <v>100</v>
      </c>
      <c r="B403" s="173"/>
      <c r="C403" s="87" t="str">
        <f t="shared" ref="C403:D403" si="501">IF($B402&lt;&gt;"",C399,"")</f>
        <v/>
      </c>
      <c r="D403" s="87" t="str">
        <f t="shared" si="501"/>
        <v/>
      </c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R403" s="151"/>
      <c r="S403" s="151"/>
      <c r="T403" s="151"/>
      <c r="U403" s="151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8">
        <f t="shared" si="485"/>
        <v>100</v>
      </c>
      <c r="B404" s="173"/>
      <c r="C404" s="87" t="str">
        <f t="shared" ref="C404:D404" si="502">IF($B402&lt;&gt;"",C400,"")</f>
        <v/>
      </c>
      <c r="D404" s="87" t="str">
        <f t="shared" si="502"/>
        <v/>
      </c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8">
        <f t="shared" si="485"/>
        <v>100</v>
      </c>
      <c r="B405" s="174"/>
      <c r="C405" s="87" t="str">
        <f t="shared" ref="C405:D405" si="503">IF($B402&lt;&gt;"",C401,"")</f>
        <v/>
      </c>
      <c r="D405" s="87" t="str">
        <f t="shared" si="503"/>
        <v/>
      </c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R405" s="151"/>
      <c r="S405" s="151"/>
      <c r="T405" s="151"/>
      <c r="U405" s="151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8">
        <f t="shared" ref="A406" si="504">$A402+1</f>
        <v>101</v>
      </c>
      <c r="B406" s="172" t="str">
        <f>IFERROR(INDEX(TBL_TRANSIT[Name],$A406),"")</f>
        <v/>
      </c>
      <c r="C406" s="87" t="str">
        <f t="shared" ref="C406:D406" si="505">IF($B406&lt;&gt;"",C402,"")</f>
        <v/>
      </c>
      <c r="D406" s="87" t="str">
        <f t="shared" si="505"/>
        <v/>
      </c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8">
        <f t="shared" si="485"/>
        <v>101</v>
      </c>
      <c r="B407" s="173"/>
      <c r="C407" s="87" t="str">
        <f t="shared" ref="C407:D407" si="506">IF($B406&lt;&gt;"",C403,"")</f>
        <v/>
      </c>
      <c r="D407" s="87" t="str">
        <f t="shared" si="506"/>
        <v/>
      </c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R407" s="151"/>
      <c r="S407" s="151"/>
      <c r="T407" s="151"/>
      <c r="U407" s="151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8">
        <f t="shared" si="485"/>
        <v>101</v>
      </c>
      <c r="B408" s="173"/>
      <c r="C408" s="87" t="str">
        <f t="shared" ref="C408:D408" si="507">IF($B406&lt;&gt;"",C404,"")</f>
        <v/>
      </c>
      <c r="D408" s="87" t="str">
        <f t="shared" si="507"/>
        <v/>
      </c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8">
        <f t="shared" si="485"/>
        <v>101</v>
      </c>
      <c r="B409" s="174"/>
      <c r="C409" s="87" t="str">
        <f t="shared" ref="C409:D409" si="508">IF($B406&lt;&gt;"",C405,"")</f>
        <v/>
      </c>
      <c r="D409" s="87" t="str">
        <f t="shared" si="508"/>
        <v/>
      </c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R409" s="151"/>
      <c r="S409" s="151"/>
      <c r="T409" s="151"/>
      <c r="U409" s="151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8">
        <f t="shared" ref="A410" si="509">$A406+1</f>
        <v>102</v>
      </c>
      <c r="B410" s="172" t="str">
        <f>IFERROR(INDEX(TBL_TRANSIT[Name],$A410),"")</f>
        <v/>
      </c>
      <c r="C410" s="87" t="str">
        <f t="shared" ref="C410:D410" si="510">IF($B410&lt;&gt;"",C406,"")</f>
        <v/>
      </c>
      <c r="D410" s="87" t="str">
        <f t="shared" si="510"/>
        <v/>
      </c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8">
        <f t="shared" si="485"/>
        <v>102</v>
      </c>
      <c r="B411" s="173"/>
      <c r="C411" s="87" t="str">
        <f t="shared" ref="C411:D411" si="511">IF($B410&lt;&gt;"",C407,"")</f>
        <v/>
      </c>
      <c r="D411" s="87" t="str">
        <f t="shared" si="511"/>
        <v/>
      </c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R411" s="151"/>
      <c r="S411" s="151"/>
      <c r="T411" s="151"/>
      <c r="U411" s="151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8">
        <f t="shared" si="485"/>
        <v>102</v>
      </c>
      <c r="B412" s="173"/>
      <c r="C412" s="87" t="str">
        <f t="shared" ref="C412:D412" si="512">IF($B410&lt;&gt;"",C408,"")</f>
        <v/>
      </c>
      <c r="D412" s="87" t="str">
        <f t="shared" si="512"/>
        <v/>
      </c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8">
        <f t="shared" si="485"/>
        <v>102</v>
      </c>
      <c r="B413" s="174"/>
      <c r="C413" s="87" t="str">
        <f t="shared" ref="C413:D413" si="513">IF($B410&lt;&gt;"",C409,"")</f>
        <v/>
      </c>
      <c r="D413" s="87" t="str">
        <f t="shared" si="513"/>
        <v/>
      </c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R413" s="151"/>
      <c r="S413" s="151"/>
      <c r="T413" s="151"/>
      <c r="U413" s="151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8">
        <f t="shared" ref="A414" si="514">$A410+1</f>
        <v>103</v>
      </c>
      <c r="B414" s="172" t="str">
        <f>IFERROR(INDEX(TBL_TRANSIT[Name],$A414),"")</f>
        <v/>
      </c>
      <c r="C414" s="87" t="str">
        <f t="shared" ref="C414:D414" si="515">IF($B414&lt;&gt;"",C410,"")</f>
        <v/>
      </c>
      <c r="D414" s="87" t="str">
        <f t="shared" si="515"/>
        <v/>
      </c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8">
        <f t="shared" si="485"/>
        <v>103</v>
      </c>
      <c r="B415" s="173"/>
      <c r="C415" s="87" t="str">
        <f t="shared" ref="C415:D415" si="516">IF($B414&lt;&gt;"",C411,"")</f>
        <v/>
      </c>
      <c r="D415" s="87" t="str">
        <f t="shared" si="516"/>
        <v/>
      </c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R415" s="151"/>
      <c r="S415" s="151"/>
      <c r="T415" s="151"/>
      <c r="U415" s="151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8">
        <f t="shared" si="485"/>
        <v>103</v>
      </c>
      <c r="B416" s="173"/>
      <c r="C416" s="87" t="str">
        <f t="shared" ref="C416:D416" si="517">IF($B414&lt;&gt;"",C412,"")</f>
        <v/>
      </c>
      <c r="D416" s="87" t="str">
        <f t="shared" si="517"/>
        <v/>
      </c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8">
        <f t="shared" si="485"/>
        <v>103</v>
      </c>
      <c r="B417" s="174"/>
      <c r="C417" s="87" t="str">
        <f t="shared" ref="C417:D417" si="518">IF($B414&lt;&gt;"",C413,"")</f>
        <v/>
      </c>
      <c r="D417" s="87" t="str">
        <f t="shared" si="518"/>
        <v/>
      </c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R417" s="151"/>
      <c r="S417" s="151"/>
      <c r="T417" s="151"/>
      <c r="U417" s="151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8">
        <f t="shared" ref="A418" si="519">$A414+1</f>
        <v>104</v>
      </c>
      <c r="B418" s="172" t="str">
        <f>IFERROR(INDEX(TBL_TRANSIT[Name],$A418),"")</f>
        <v/>
      </c>
      <c r="C418" s="87" t="str">
        <f t="shared" ref="C418:D418" si="520">IF($B418&lt;&gt;"",C414,"")</f>
        <v/>
      </c>
      <c r="D418" s="87" t="str">
        <f t="shared" si="520"/>
        <v/>
      </c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8">
        <f t="shared" si="485"/>
        <v>104</v>
      </c>
      <c r="B419" s="173"/>
      <c r="C419" s="87" t="str">
        <f t="shared" ref="C419:D419" si="521">IF($B418&lt;&gt;"",C415,"")</f>
        <v/>
      </c>
      <c r="D419" s="87" t="str">
        <f t="shared" si="521"/>
        <v/>
      </c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R419" s="151"/>
      <c r="S419" s="151"/>
      <c r="T419" s="151"/>
      <c r="U419" s="151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8">
        <f t="shared" si="485"/>
        <v>104</v>
      </c>
      <c r="B420" s="173"/>
      <c r="C420" s="87" t="str">
        <f t="shared" ref="C420:D420" si="522">IF($B418&lt;&gt;"",C416,"")</f>
        <v/>
      </c>
      <c r="D420" s="87" t="str">
        <f t="shared" si="522"/>
        <v/>
      </c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8">
        <f t="shared" si="485"/>
        <v>104</v>
      </c>
      <c r="B421" s="174"/>
      <c r="C421" s="87" t="str">
        <f t="shared" ref="C421:D421" si="523">IF($B418&lt;&gt;"",C417,"")</f>
        <v/>
      </c>
      <c r="D421" s="87" t="str">
        <f t="shared" si="523"/>
        <v/>
      </c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R421" s="151"/>
      <c r="S421" s="151"/>
      <c r="T421" s="151"/>
      <c r="U421" s="151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8">
        <f t="shared" ref="A422" si="524">$A418+1</f>
        <v>105</v>
      </c>
      <c r="B422" s="172" t="str">
        <f>IFERROR(INDEX(TBL_TRANSIT[Name],$A422),"")</f>
        <v/>
      </c>
      <c r="C422" s="87" t="str">
        <f t="shared" ref="C422:D422" si="525">IF($B422&lt;&gt;"",C418,"")</f>
        <v/>
      </c>
      <c r="D422" s="87" t="str">
        <f t="shared" si="525"/>
        <v/>
      </c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8">
        <f t="shared" si="485"/>
        <v>105</v>
      </c>
      <c r="B423" s="173"/>
      <c r="C423" s="87" t="str">
        <f t="shared" ref="C423:D423" si="526">IF($B422&lt;&gt;"",C419,"")</f>
        <v/>
      </c>
      <c r="D423" s="87" t="str">
        <f t="shared" si="526"/>
        <v/>
      </c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R423" s="151"/>
      <c r="S423" s="151"/>
      <c r="T423" s="151"/>
      <c r="U423" s="151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8">
        <f t="shared" si="485"/>
        <v>105</v>
      </c>
      <c r="B424" s="173"/>
      <c r="C424" s="87" t="str">
        <f t="shared" ref="C424:D424" si="527">IF($B422&lt;&gt;"",C420,"")</f>
        <v/>
      </c>
      <c r="D424" s="87" t="str">
        <f t="shared" si="527"/>
        <v/>
      </c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8">
        <f t="shared" si="485"/>
        <v>105</v>
      </c>
      <c r="B425" s="174"/>
      <c r="C425" s="87" t="str">
        <f t="shared" ref="C425:D425" si="528">IF($B422&lt;&gt;"",C421,"")</f>
        <v/>
      </c>
      <c r="D425" s="87" t="str">
        <f t="shared" si="528"/>
        <v/>
      </c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R425" s="151"/>
      <c r="S425" s="151"/>
      <c r="T425" s="151"/>
      <c r="U425" s="151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8">
        <f t="shared" ref="A426" si="529">$A422+1</f>
        <v>106</v>
      </c>
      <c r="B426" s="172" t="str">
        <f>IFERROR(INDEX(TBL_TRANSIT[Name],$A426),"")</f>
        <v/>
      </c>
      <c r="C426" s="87" t="str">
        <f t="shared" ref="C426:D426" si="530">IF($B426&lt;&gt;"",C422,"")</f>
        <v/>
      </c>
      <c r="D426" s="87" t="str">
        <f t="shared" si="530"/>
        <v/>
      </c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8">
        <f t="shared" si="485"/>
        <v>106</v>
      </c>
      <c r="B427" s="173"/>
      <c r="C427" s="87" t="str">
        <f t="shared" ref="C427:D427" si="531">IF($B426&lt;&gt;"",C423,"")</f>
        <v/>
      </c>
      <c r="D427" s="87" t="str">
        <f t="shared" si="531"/>
        <v/>
      </c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R427" s="151"/>
      <c r="S427" s="151"/>
      <c r="T427" s="151"/>
      <c r="U427" s="151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8">
        <f t="shared" si="485"/>
        <v>106</v>
      </c>
      <c r="B428" s="173"/>
      <c r="C428" s="87" t="str">
        <f t="shared" ref="C428:D428" si="532">IF($B426&lt;&gt;"",C424,"")</f>
        <v/>
      </c>
      <c r="D428" s="87" t="str">
        <f t="shared" si="532"/>
        <v/>
      </c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8">
        <f t="shared" si="485"/>
        <v>106</v>
      </c>
      <c r="B429" s="174"/>
      <c r="C429" s="87" t="str">
        <f t="shared" ref="C429:D429" si="533">IF($B426&lt;&gt;"",C425,"")</f>
        <v/>
      </c>
      <c r="D429" s="87" t="str">
        <f t="shared" si="533"/>
        <v/>
      </c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R429" s="151"/>
      <c r="S429" s="151"/>
      <c r="T429" s="151"/>
      <c r="U429" s="151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8">
        <f t="shared" ref="A430" si="534">$A426+1</f>
        <v>107</v>
      </c>
      <c r="B430" s="172" t="str">
        <f>IFERROR(INDEX(TBL_TRANSIT[Name],$A430),"")</f>
        <v/>
      </c>
      <c r="C430" s="87" t="str">
        <f t="shared" ref="C430:D430" si="535">IF($B430&lt;&gt;"",C426,"")</f>
        <v/>
      </c>
      <c r="D430" s="87" t="str">
        <f t="shared" si="535"/>
        <v/>
      </c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8">
        <f t="shared" si="485"/>
        <v>107</v>
      </c>
      <c r="B431" s="173"/>
      <c r="C431" s="87" t="str">
        <f t="shared" ref="C431:D431" si="536">IF($B430&lt;&gt;"",C427,"")</f>
        <v/>
      </c>
      <c r="D431" s="87" t="str">
        <f t="shared" si="536"/>
        <v/>
      </c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R431" s="151"/>
      <c r="S431" s="151"/>
      <c r="T431" s="151"/>
      <c r="U431" s="151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8">
        <f t="shared" si="485"/>
        <v>107</v>
      </c>
      <c r="B432" s="173"/>
      <c r="C432" s="87" t="str">
        <f t="shared" ref="C432:D432" si="537">IF($B430&lt;&gt;"",C428,"")</f>
        <v/>
      </c>
      <c r="D432" s="87" t="str">
        <f t="shared" si="537"/>
        <v/>
      </c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8">
        <f t="shared" si="485"/>
        <v>107</v>
      </c>
      <c r="B433" s="174"/>
      <c r="C433" s="87" t="str">
        <f t="shared" ref="C433:D433" si="538">IF($B430&lt;&gt;"",C429,"")</f>
        <v/>
      </c>
      <c r="D433" s="87" t="str">
        <f t="shared" si="538"/>
        <v/>
      </c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R433" s="151"/>
      <c r="S433" s="151"/>
      <c r="T433" s="151"/>
      <c r="U433" s="151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8">
        <f t="shared" ref="A434" si="539">$A430+1</f>
        <v>108</v>
      </c>
      <c r="B434" s="172" t="str">
        <f>IFERROR(INDEX(TBL_TRANSIT[Name],$A434),"")</f>
        <v/>
      </c>
      <c r="C434" s="87" t="str">
        <f t="shared" ref="C434:D434" si="540">IF($B434&lt;&gt;"",C430,"")</f>
        <v/>
      </c>
      <c r="D434" s="87" t="str">
        <f t="shared" si="540"/>
        <v/>
      </c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8">
        <f t="shared" si="485"/>
        <v>108</v>
      </c>
      <c r="B435" s="173"/>
      <c r="C435" s="87" t="str">
        <f t="shared" ref="C435:D435" si="541">IF($B434&lt;&gt;"",C431,"")</f>
        <v/>
      </c>
      <c r="D435" s="87" t="str">
        <f t="shared" si="541"/>
        <v/>
      </c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R435" s="151"/>
      <c r="S435" s="151"/>
      <c r="T435" s="151"/>
      <c r="U435" s="151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8">
        <f t="shared" si="485"/>
        <v>108</v>
      </c>
      <c r="B436" s="173"/>
      <c r="C436" s="87" t="str">
        <f t="shared" ref="C436:D436" si="542">IF($B434&lt;&gt;"",C432,"")</f>
        <v/>
      </c>
      <c r="D436" s="87" t="str">
        <f t="shared" si="542"/>
        <v/>
      </c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8">
        <f t="shared" si="485"/>
        <v>108</v>
      </c>
      <c r="B437" s="174"/>
      <c r="C437" s="87" t="str">
        <f t="shared" ref="C437:D437" si="543">IF($B434&lt;&gt;"",C433,"")</f>
        <v/>
      </c>
      <c r="D437" s="87" t="str">
        <f t="shared" si="543"/>
        <v/>
      </c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R437" s="151"/>
      <c r="S437" s="151"/>
      <c r="T437" s="151"/>
      <c r="U437" s="151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8">
        <f t="shared" ref="A438" si="544">$A434+1</f>
        <v>109</v>
      </c>
      <c r="B438" s="172" t="str">
        <f>IFERROR(INDEX(TBL_TRANSIT[Name],$A438),"")</f>
        <v/>
      </c>
      <c r="C438" s="87" t="str">
        <f t="shared" ref="C438:D438" si="545">IF($B438&lt;&gt;"",C434,"")</f>
        <v/>
      </c>
      <c r="D438" s="87" t="str">
        <f t="shared" si="545"/>
        <v/>
      </c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8">
        <f t="shared" si="485"/>
        <v>109</v>
      </c>
      <c r="B439" s="173"/>
      <c r="C439" s="87" t="str">
        <f t="shared" ref="C439:D439" si="546">IF($B438&lt;&gt;"",C435,"")</f>
        <v/>
      </c>
      <c r="D439" s="87" t="str">
        <f t="shared" si="546"/>
        <v/>
      </c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R439" s="151"/>
      <c r="S439" s="151"/>
      <c r="T439" s="151"/>
      <c r="U439" s="151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8">
        <f t="shared" si="485"/>
        <v>109</v>
      </c>
      <c r="B440" s="173"/>
      <c r="C440" s="87" t="str">
        <f t="shared" ref="C440:D440" si="547">IF($B438&lt;&gt;"",C436,"")</f>
        <v/>
      </c>
      <c r="D440" s="87" t="str">
        <f t="shared" si="547"/>
        <v/>
      </c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8">
        <f t="shared" si="485"/>
        <v>109</v>
      </c>
      <c r="B441" s="174"/>
      <c r="C441" s="87" t="str">
        <f t="shared" ref="C441:D441" si="548">IF($B438&lt;&gt;"",C437,"")</f>
        <v/>
      </c>
      <c r="D441" s="87" t="str">
        <f t="shared" si="548"/>
        <v/>
      </c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R441" s="151"/>
      <c r="S441" s="151"/>
      <c r="T441" s="151"/>
      <c r="U441" s="151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8">
        <f t="shared" ref="A442" si="549">$A438+1</f>
        <v>110</v>
      </c>
      <c r="B442" s="172" t="str">
        <f>IFERROR(INDEX(TBL_TRANSIT[Name],$A442),"")</f>
        <v/>
      </c>
      <c r="C442" s="87" t="str">
        <f t="shared" ref="C442:D442" si="550">IF($B442&lt;&gt;"",C438,"")</f>
        <v/>
      </c>
      <c r="D442" s="87" t="str">
        <f t="shared" si="550"/>
        <v/>
      </c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8">
        <f t="shared" si="485"/>
        <v>110</v>
      </c>
      <c r="B443" s="173"/>
      <c r="C443" s="87" t="str">
        <f t="shared" ref="C443:D443" si="551">IF($B442&lt;&gt;"",C439,"")</f>
        <v/>
      </c>
      <c r="D443" s="87" t="str">
        <f t="shared" si="551"/>
        <v/>
      </c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R443" s="151"/>
      <c r="S443" s="151"/>
      <c r="T443" s="151"/>
      <c r="U443" s="151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8">
        <f t="shared" si="485"/>
        <v>110</v>
      </c>
      <c r="B444" s="173"/>
      <c r="C444" s="87" t="str">
        <f t="shared" ref="C444:D444" si="552">IF($B442&lt;&gt;"",C440,"")</f>
        <v/>
      </c>
      <c r="D444" s="87" t="str">
        <f t="shared" si="552"/>
        <v/>
      </c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8">
        <f t="shared" si="485"/>
        <v>110</v>
      </c>
      <c r="B445" s="174"/>
      <c r="C445" s="87" t="str">
        <f t="shared" ref="C445:D445" si="553">IF($B442&lt;&gt;"",C441,"")</f>
        <v/>
      </c>
      <c r="D445" s="87" t="str">
        <f t="shared" si="553"/>
        <v/>
      </c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R445" s="151"/>
      <c r="S445" s="151"/>
      <c r="T445" s="151"/>
      <c r="U445" s="151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6" priority="2" operator="equal">
      <formula>#REF!</formula>
    </cfRule>
  </conditionalFormatting>
  <conditionalFormatting sqref="D8:D9">
    <cfRule type="cellIs" dxfId="95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C7" sqref="C7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144</v>
      </c>
    </row>
    <row r="2" spans="1:6" x14ac:dyDescent="0.25">
      <c r="A2" s="1"/>
    </row>
    <row r="5" spans="1:6" x14ac:dyDescent="0.25">
      <c r="A5" t="s">
        <v>145</v>
      </c>
      <c r="B5" t="s">
        <v>1</v>
      </c>
      <c r="C5" t="s">
        <v>199</v>
      </c>
      <c r="D5" t="s">
        <v>198</v>
      </c>
      <c r="E5" t="s">
        <v>3</v>
      </c>
      <c r="F5" s="2" t="s">
        <v>146</v>
      </c>
    </row>
    <row r="6" spans="1:6" x14ac:dyDescent="0.25">
      <c r="A6" s="79" t="s">
        <v>371</v>
      </c>
      <c r="B6" s="4">
        <f>ROW(1:1)</f>
        <v>1</v>
      </c>
      <c r="C6" s="104">
        <v>48.389090000000003</v>
      </c>
      <c r="D6" s="104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6" t="s">
        <v>372</v>
      </c>
      <c r="B7" s="135">
        <f>ROW(2:2)</f>
        <v>2</v>
      </c>
      <c r="C7" s="104">
        <v>43.137070000000001</v>
      </c>
      <c r="D7" s="104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D6" sqref="D6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ht="30" x14ac:dyDescent="0.25">
      <c r="A6" s="80" t="s">
        <v>371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373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30" t="s">
        <v>372</v>
      </c>
      <c r="B7" s="135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42" t="s">
        <v>374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>
      <selection activeCell="F7" sqref="F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196</v>
      </c>
    </row>
    <row r="5" spans="1:11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s="2" t="s">
        <v>264</v>
      </c>
      <c r="G5" s="2" t="s">
        <v>265</v>
      </c>
      <c r="H5" t="s">
        <v>119</v>
      </c>
      <c r="I5" t="s">
        <v>118</v>
      </c>
      <c r="J5" s="2" t="s">
        <v>3</v>
      </c>
      <c r="K5" s="2" t="s">
        <v>153</v>
      </c>
    </row>
    <row r="6" spans="1:11" x14ac:dyDescent="0.25">
      <c r="A6" s="147" t="s">
        <v>371</v>
      </c>
      <c r="B6" s="4">
        <f>INDEX(TBL_REGIONS_INDEX[Index],MATCH(TBL_PIPED_EXPORTERS_CONNECTIONS[[#This Row],[Exporter]],TBL_PIPED_EXPORTERS[Exporter],0))</f>
        <v>1</v>
      </c>
      <c r="C6" s="148" t="s">
        <v>195</v>
      </c>
      <c r="D6" s="4">
        <f>INDEX(TBL_REGIONS_INDEX[Index],MATCH(TBL_PIPED_EXPORTERS_CONNECTIONS[[#This Row],[Region]],TBL_REGIONS_INDEX[Region],0))</f>
        <v>36</v>
      </c>
      <c r="E6" s="133" t="s">
        <v>383</v>
      </c>
      <c r="F6" s="104">
        <v>49.070267000000001</v>
      </c>
      <c r="G6" s="104">
        <v>29.238873000000002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7" t="s">
        <v>372</v>
      </c>
      <c r="B7" s="135">
        <f>INDEX(TBL_REGIONS_INDEX[Index],MATCH(TBL_PIPED_EXPORTERS_CONNECTIONS[[#This Row],[Exporter]],TBL_PIPED_EXPORTERS[Exporter],0))</f>
        <v>2</v>
      </c>
      <c r="C7" s="134" t="s">
        <v>189</v>
      </c>
      <c r="D7" s="135">
        <f>INDEX(TBL_REGIONS_INDEX[Index],MATCH(TBL_PIPED_EXPORTERS_CONNECTIONS[[#This Row],[Region]],TBL_REGIONS_INDEX[Region],0))</f>
        <v>29</v>
      </c>
      <c r="E7" s="133" t="s">
        <v>384</v>
      </c>
      <c r="F7" s="137">
        <v>42.783307000000001</v>
      </c>
      <c r="G7" s="137">
        <v>24.646070999999999</v>
      </c>
      <c r="H7" s="112" t="str">
        <f>TEXT(TBL_PIPED_EXPORTERS_CONNECTIONS[[#This Row],[Exporter Index]],"000")&amp;TEXT(TBL_PIPED_EXPORTERS_CONNECTIONS[[#This Row],[Region Index]],"000")</f>
        <v>002029</v>
      </c>
      <c r="I7" s="135">
        <f>COUNTIF($H$6:$H8,$H7)</f>
        <v>1</v>
      </c>
      <c r="J7" s="142"/>
      <c r="K7" s="138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5"/>
  <sheetViews>
    <sheetView tabSelected="1" topLeftCell="A4" workbookViewId="0">
      <selection activeCell="B6" sqref="B6"/>
    </sheetView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155</v>
      </c>
    </row>
    <row r="2" spans="1:22" x14ac:dyDescent="0.25">
      <c r="A2" s="1" t="s">
        <v>160</v>
      </c>
    </row>
    <row r="3" spans="1:22" x14ac:dyDescent="0.25">
      <c r="A3" s="1"/>
    </row>
    <row r="4" spans="1:22" x14ac:dyDescent="0.25">
      <c r="B4" s="99" t="s">
        <v>63</v>
      </c>
      <c r="D4" s="99"/>
    </row>
    <row r="5" spans="1:22" x14ac:dyDescent="0.25">
      <c r="A5" t="s">
        <v>74</v>
      </c>
      <c r="B5" t="s">
        <v>266</v>
      </c>
      <c r="C5" s="156" t="s">
        <v>387</v>
      </c>
      <c r="D5" s="101" t="s">
        <v>4</v>
      </c>
      <c r="E5" s="101" t="s">
        <v>5</v>
      </c>
      <c r="F5" s="101" t="s">
        <v>6</v>
      </c>
      <c r="G5" s="101" t="s">
        <v>7</v>
      </c>
      <c r="H5" s="101" t="s">
        <v>8</v>
      </c>
      <c r="I5" s="101" t="s">
        <v>9</v>
      </c>
      <c r="J5" s="101" t="s">
        <v>10</v>
      </c>
      <c r="K5" s="101" t="s">
        <v>11</v>
      </c>
      <c r="L5" s="101" t="s">
        <v>12</v>
      </c>
      <c r="M5" s="101" t="s">
        <v>13</v>
      </c>
      <c r="N5" s="101" t="s">
        <v>14</v>
      </c>
      <c r="O5" s="101" t="s">
        <v>15</v>
      </c>
      <c r="P5" s="101" t="s">
        <v>16</v>
      </c>
      <c r="Q5" s="101" t="s">
        <v>17</v>
      </c>
      <c r="R5" s="101" t="s">
        <v>18</v>
      </c>
      <c r="S5" s="101" t="s">
        <v>19</v>
      </c>
      <c r="T5" s="101" t="s">
        <v>20</v>
      </c>
      <c r="U5" t="s">
        <v>3</v>
      </c>
      <c r="V5" s="2" t="s">
        <v>75</v>
      </c>
    </row>
    <row r="6" spans="1:22" x14ac:dyDescent="0.25">
      <c r="A6" s="80" t="s">
        <v>163</v>
      </c>
      <c r="B6" s="152">
        <v>9001</v>
      </c>
      <c r="C6" s="153">
        <f>0.55*TBL_STORAGE[[#This Row],[WGV]]</f>
        <v>4950.55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42" t="s">
        <v>385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6" t="s">
        <v>172</v>
      </c>
      <c r="B7" s="152">
        <v>95189</v>
      </c>
      <c r="C7" s="153">
        <f>0.55*TBL_STORAGE[[#This Row],[WGV]]</f>
        <v>52353.950000000004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42" t="s">
        <v>385</v>
      </c>
      <c r="V7" s="138" t="str">
        <f>"Storage_"&amp;TEXT(INDEX(TBL_REGIONS_INDEX[Index],MATCH(TBL_STORAGE[[#This Row],[Storage]],TBL_REGIONS_INDEX[Region],0)),"000")</f>
        <v>Storage_011</v>
      </c>
    </row>
    <row r="8" spans="1:22" x14ac:dyDescent="0.25">
      <c r="A8" s="136" t="s">
        <v>189</v>
      </c>
      <c r="B8" s="152">
        <v>5800</v>
      </c>
      <c r="C8" s="153">
        <f>0.55*TBL_STORAGE[[#This Row],[WGV]]</f>
        <v>3190.0000000000005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42" t="s">
        <v>385</v>
      </c>
      <c r="V8" s="138" t="str">
        <f>"Storage_"&amp;TEXT(INDEX(TBL_REGIONS_INDEX[Index],MATCH(TBL_STORAGE[[#This Row],[Storage]],TBL_REGIONS_INDEX[Region],0)),"000")</f>
        <v>Storage_029</v>
      </c>
    </row>
    <row r="9" spans="1:22" x14ac:dyDescent="0.25">
      <c r="A9" s="136" t="s">
        <v>187</v>
      </c>
      <c r="B9" s="152">
        <v>5216</v>
      </c>
      <c r="C9" s="153">
        <f>0.55*TBL_STORAGE[[#This Row],[WGV]]</f>
        <v>2868.8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42" t="s">
        <v>385</v>
      </c>
      <c r="V9" s="138" t="str">
        <f>"Storage_"&amp;TEXT(INDEX(TBL_REGIONS_INDEX[Index],MATCH(TBL_STORAGE[[#This Row],[Storage]],TBL_REGIONS_INDEX[Region],0)),"000")</f>
        <v>Storage_027</v>
      </c>
    </row>
    <row r="10" spans="1:22" x14ac:dyDescent="0.25">
      <c r="A10" s="136" t="s">
        <v>179</v>
      </c>
      <c r="B10" s="152">
        <v>43134</v>
      </c>
      <c r="C10" s="153">
        <f>0.55*TBL_STORAGE[[#This Row],[WGV]]</f>
        <v>23723.7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42" t="s">
        <v>385</v>
      </c>
      <c r="V10" s="138" t="str">
        <f>"Storage_"&amp;TEXT(INDEX(TBL_REGIONS_INDEX[Index],MATCH(TBL_STORAGE[[#This Row],[Storage]],TBL_REGIONS_INDEX[Region],0)),"000")</f>
        <v>Storage_018</v>
      </c>
    </row>
    <row r="11" spans="1:22" x14ac:dyDescent="0.25">
      <c r="A11" s="136" t="s">
        <v>177</v>
      </c>
      <c r="B11" s="152">
        <v>10460</v>
      </c>
      <c r="C11" s="153">
        <f>0.55*TBL_STORAGE[[#This Row],[WGV]]</f>
        <v>5753.0000000000009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42" t="s">
        <v>385</v>
      </c>
      <c r="V11" s="138" t="str">
        <f>"Storage_"&amp;TEXT(INDEX(TBL_REGIONS_INDEX[Index],MATCH(TBL_STORAGE[[#This Row],[Storage]],TBL_REGIONS_INDEX[Region],0)),"000")</f>
        <v>Storage_016</v>
      </c>
    </row>
    <row r="12" spans="1:22" x14ac:dyDescent="0.25">
      <c r="A12" s="136" t="s">
        <v>166</v>
      </c>
      <c r="B12" s="152">
        <v>132300</v>
      </c>
      <c r="C12" s="153">
        <f>0.55*TBL_STORAGE[[#This Row],[WGV]]</f>
        <v>72765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42" t="s">
        <v>385</v>
      </c>
      <c r="V12" s="138" t="str">
        <f>"Storage_"&amp;TEXT(INDEX(TBL_REGIONS_INDEX[Index],MATCH(TBL_STORAGE[[#This Row],[Storage]],TBL_REGIONS_INDEX[Region],0)),"000")</f>
        <v>Storage_005</v>
      </c>
    </row>
    <row r="13" spans="1:22" x14ac:dyDescent="0.25">
      <c r="A13" s="136" t="s">
        <v>173</v>
      </c>
      <c r="B13" s="152">
        <v>260527</v>
      </c>
      <c r="C13" s="153">
        <f>0.55*TBL_STORAGE[[#This Row],[WGV]]</f>
        <v>143289.85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42" t="s">
        <v>385</v>
      </c>
      <c r="V13" s="138" t="str">
        <f>"Storage_"&amp;TEXT(INDEX(TBL_REGIONS_INDEX[Index],MATCH(TBL_STORAGE[[#This Row],[Storage]],TBL_REGIONS_INDEX[Region],0)),"000")</f>
        <v>Storage_012</v>
      </c>
    </row>
    <row r="14" spans="1:22" x14ac:dyDescent="0.25">
      <c r="A14" s="136" t="s">
        <v>185</v>
      </c>
      <c r="B14" s="152">
        <v>69633</v>
      </c>
      <c r="C14" s="153">
        <f>0.55*TBL_STORAGE[[#This Row],[WGV]]</f>
        <v>38298.15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42" t="s">
        <v>385</v>
      </c>
      <c r="V14" s="138" t="str">
        <f>"Storage_"&amp;TEXT(INDEX(TBL_REGIONS_INDEX[Index],MATCH(TBL_STORAGE[[#This Row],[Storage]],TBL_REGIONS_INDEX[Region],0)),"000")</f>
        <v>Storage_025</v>
      </c>
    </row>
    <row r="15" spans="1:22" x14ac:dyDescent="0.25">
      <c r="A15" s="136" t="s">
        <v>170</v>
      </c>
      <c r="B15" s="152">
        <v>195366</v>
      </c>
      <c r="C15" s="153">
        <f>0.55*TBL_STORAGE[[#This Row],[WGV]]</f>
        <v>107451.3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42" t="s">
        <v>385</v>
      </c>
      <c r="V15" s="138" t="str">
        <f>"Storage_"&amp;TEXT(INDEX(TBL_REGIONS_INDEX[Index],MATCH(TBL_STORAGE[[#This Row],[Storage]],TBL_REGIONS_INDEX[Region],0)),"000")</f>
        <v>Storage_009</v>
      </c>
    </row>
    <row r="16" spans="1:22" x14ac:dyDescent="0.25">
      <c r="A16" s="136" t="s">
        <v>183</v>
      </c>
      <c r="B16" s="152">
        <v>24200</v>
      </c>
      <c r="C16" s="153">
        <f>0.55*TBL_STORAGE[[#This Row],[WGV]]</f>
        <v>13310.000000000002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42" t="s">
        <v>385</v>
      </c>
      <c r="V16" s="138" t="str">
        <f>"Storage_"&amp;TEXT(INDEX(TBL_REGIONS_INDEX[Index],MATCH(TBL_STORAGE[[#This Row],[Storage]],TBL_REGIONS_INDEX[Region],0)),"000")</f>
        <v>Storage_022</v>
      </c>
    </row>
    <row r="17" spans="1:22" x14ac:dyDescent="0.25">
      <c r="A17" s="136" t="s">
        <v>165</v>
      </c>
      <c r="B17" s="152">
        <v>144557</v>
      </c>
      <c r="C17" s="153">
        <f>0.55*TBL_STORAGE[[#This Row],[WGV]]</f>
        <v>79506.350000000006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42" t="s">
        <v>385</v>
      </c>
      <c r="V17" s="138" t="str">
        <f>"Storage_"&amp;TEXT(INDEX(TBL_REGIONS_INDEX[Index],MATCH(TBL_STORAGE[[#This Row],[Storage]],TBL_REGIONS_INDEX[Region],0)),"000")</f>
        <v>Storage_004</v>
      </c>
    </row>
    <row r="18" spans="1:22" x14ac:dyDescent="0.25">
      <c r="A18" s="136" t="s">
        <v>178</v>
      </c>
      <c r="B18" s="152">
        <v>38433</v>
      </c>
      <c r="C18" s="153">
        <f>0.55*TBL_STORAGE[[#This Row],[WGV]]</f>
        <v>21138.15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42" t="s">
        <v>385</v>
      </c>
      <c r="V18" s="138" t="str">
        <f>"Storage_"&amp;TEXT(INDEX(TBL_REGIONS_INDEX[Index],MATCH(TBL_STORAGE[[#This Row],[Storage]],TBL_REGIONS_INDEX[Region],0)),"000")</f>
        <v>Storage_017</v>
      </c>
    </row>
    <row r="19" spans="1:22" x14ac:dyDescent="0.25">
      <c r="A19" s="136" t="s">
        <v>169</v>
      </c>
      <c r="B19" s="152">
        <v>3570</v>
      </c>
      <c r="C19" s="153">
        <f>0.55*TBL_STORAGE[[#This Row],[WGV]]</f>
        <v>1963.5000000000002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42" t="s">
        <v>385</v>
      </c>
      <c r="V19" s="138" t="str">
        <f>"Storage_"&amp;TEXT(INDEX(TBL_REGIONS_INDEX[Index],MATCH(TBL_STORAGE[[#This Row],[Storage]],TBL_REGIONS_INDEX[Region],0)),"000")</f>
        <v>Storage_008</v>
      </c>
    </row>
    <row r="20" spans="1:22" x14ac:dyDescent="0.25">
      <c r="A20" s="136" t="s">
        <v>188</v>
      </c>
      <c r="B20" s="159">
        <v>32991</v>
      </c>
      <c r="C20" s="153">
        <f>0.55*TBL_STORAGE[[#This Row],[WGV]]</f>
        <v>18145.050000000003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42" t="s">
        <v>385</v>
      </c>
      <c r="V20" s="138" t="str">
        <f>"Storage_"&amp;TEXT(INDEX(TBL_REGIONS_INDEX[Index],MATCH(TBL_STORAGE[[#This Row],[Storage]],TBL_REGIONS_INDEX[Region],0)),"000")</f>
        <v>Storage_028</v>
      </c>
    </row>
    <row r="21" spans="1:22" x14ac:dyDescent="0.25">
      <c r="A21" s="136" t="s">
        <v>180</v>
      </c>
      <c r="B21" s="152">
        <v>43448</v>
      </c>
      <c r="C21" s="153">
        <f>0.55*TBL_STORAGE[[#This Row],[WGV]]</f>
        <v>23896.400000000001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42" t="s">
        <v>385</v>
      </c>
      <c r="V21" s="138" t="str">
        <f>"Storage_"&amp;TEXT(INDEX(TBL_REGIONS_INDEX[Index],MATCH(TBL_STORAGE[[#This Row],[Storage]],TBL_REGIONS_INDEX[Region],0)),"000")</f>
        <v>Storage_019</v>
      </c>
    </row>
    <row r="22" spans="1:22" x14ac:dyDescent="0.25">
      <c r="A22" s="136" t="s">
        <v>168</v>
      </c>
      <c r="B22" s="152">
        <v>34248</v>
      </c>
      <c r="C22" s="153">
        <f>0.55*TBL_STORAGE[[#This Row],[WGV]]</f>
        <v>18836.400000000001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42" t="s">
        <v>385</v>
      </c>
      <c r="V22" s="138" t="str">
        <f>"Storage_"&amp;TEXT(INDEX(TBL_REGIONS_INDEX[Index],MATCH(TBL_STORAGE[[#This Row],[Storage]],TBL_REGIONS_INDEX[Region],0)),"000")</f>
        <v>Storage_007</v>
      </c>
    </row>
    <row r="23" spans="1:22" x14ac:dyDescent="0.25">
      <c r="A23" s="136" t="s">
        <v>175</v>
      </c>
      <c r="B23" s="152">
        <v>86</v>
      </c>
      <c r="C23" s="153">
        <f>0.55*TBL_STORAGE[[#This Row],[WGV]]</f>
        <v>47.300000000000004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42" t="s">
        <v>385</v>
      </c>
      <c r="V23" s="138" t="str">
        <f>"Storage_"&amp;TEXT(INDEX(TBL_REGIONS_INDEX[Index],MATCH(TBL_STORAGE[[#This Row],[Storage]],TBL_REGIONS_INDEX[Region],0)),"000")</f>
        <v>Storage_014</v>
      </c>
    </row>
    <row r="24" spans="1:22" x14ac:dyDescent="0.25">
      <c r="A24" s="136" t="s">
        <v>195</v>
      </c>
      <c r="B24" s="175">
        <v>150000</v>
      </c>
      <c r="C24" s="153">
        <f>0.55*TBL_STORAGE[[#This Row],[WGV]]</f>
        <v>82500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42" t="s">
        <v>385</v>
      </c>
      <c r="V24" s="138" t="str">
        <f>"Storage_"&amp;TEXT(INDEX(TBL_REGIONS_INDEX[Index],MATCH(TBL_STORAGE[[#This Row],[Storage]],TBL_REGIONS_INDEX[Region],0)),"000")</f>
        <v>Storage_036</v>
      </c>
    </row>
    <row r="25" spans="1:22" x14ac:dyDescent="0.25">
      <c r="A25" s="136" t="s">
        <v>193</v>
      </c>
      <c r="B25" s="152">
        <v>17470</v>
      </c>
      <c r="C25" s="153">
        <f>0.55*TBL_STORAGE[[#This Row],[WGV]]</f>
        <v>9608.5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42" t="s">
        <v>385</v>
      </c>
      <c r="V25" s="138" t="str">
        <f>"Storage_"&amp;TEXT(INDEX(TBL_REGIONS_INDEX[Index],MATCH(TBL_STORAGE[[#This Row],[Storage]],TBL_REGIONS_INDEX[Region],0)),"000")</f>
        <v>Storage_033</v>
      </c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J39" sqref="J39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159</v>
      </c>
    </row>
    <row r="2" spans="1:19" x14ac:dyDescent="0.25">
      <c r="A2" s="1" t="s">
        <v>126</v>
      </c>
    </row>
    <row r="3" spans="1:19" x14ac:dyDescent="0.25">
      <c r="A3" s="1" t="s">
        <v>156</v>
      </c>
    </row>
    <row r="4" spans="1:19" x14ac:dyDescent="0.25">
      <c r="A4" s="5" t="s">
        <v>158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90" t="s">
        <v>157</v>
      </c>
      <c r="B6" s="100">
        <v>0.67669999999999997</v>
      </c>
      <c r="C6" s="100">
        <v>0.74639999999999995</v>
      </c>
      <c r="D6" s="100">
        <v>0.77110000000000001</v>
      </c>
      <c r="E6" s="100">
        <v>0.70369814661287045</v>
      </c>
      <c r="F6" s="100">
        <v>0.58836849057646601</v>
      </c>
      <c r="G6" s="100">
        <v>0.43785030674846626</v>
      </c>
      <c r="H6" s="100">
        <v>0.32427872473700692</v>
      </c>
      <c r="I6" s="100">
        <v>0.28173333333333334</v>
      </c>
      <c r="J6" s="100">
        <v>0.34720000000000001</v>
      </c>
      <c r="K6" s="176">
        <v>0.45673333333333338</v>
      </c>
      <c r="L6" s="176">
        <v>0.57379999999999998</v>
      </c>
      <c r="M6" s="100">
        <v>0.68663333333333343</v>
      </c>
      <c r="N6" s="100">
        <v>0.80363333333333331</v>
      </c>
      <c r="O6" s="100">
        <v>0.8758999999999999</v>
      </c>
      <c r="P6" s="100">
        <v>0.88483333333333336</v>
      </c>
      <c r="Q6" s="100">
        <v>0.80176666666666663</v>
      </c>
      <c r="R6" s="100">
        <v>0.65963333333333329</v>
      </c>
      <c r="S6" s="17" t="s">
        <v>386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16"/>
  <sheetViews>
    <sheetView workbookViewId="0">
      <selection activeCell="A23" sqref="A23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9,77 TWh."</v>
      </c>
    </row>
    <row r="3" spans="1:10" x14ac:dyDescent="0.25">
      <c r="A3" s="1"/>
    </row>
    <row r="4" spans="1:10" x14ac:dyDescent="0.25">
      <c r="A4" s="18" t="s">
        <v>65</v>
      </c>
      <c r="B4" s="31">
        <v>35.17</v>
      </c>
    </row>
    <row r="5" spans="1:10" x14ac:dyDescent="0.25">
      <c r="A5" s="32" t="s">
        <v>96</v>
      </c>
      <c r="B5" s="53">
        <v>1330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9769444444.4444466</v>
      </c>
      <c r="F8" s="47">
        <f>E8/1000</f>
        <v>9769444.4444444459</v>
      </c>
      <c r="G8" s="47">
        <f t="shared" ref="G8:H10" si="0">F8/1000</f>
        <v>9769.4444444444453</v>
      </c>
      <c r="H8" s="47">
        <f t="shared" si="0"/>
        <v>9.7694444444444457</v>
      </c>
      <c r="I8" s="60">
        <f>1/B15</f>
        <v>33334728.121419374</v>
      </c>
      <c r="J8" s="63">
        <f>J9*1000</f>
        <v>0.75187969924812037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9769444.4444444459</v>
      </c>
      <c r="F9" s="46">
        <f>E9/1000</f>
        <v>9769.4444444444453</v>
      </c>
      <c r="G9" s="46">
        <f t="shared" si="0"/>
        <v>9.7694444444444457</v>
      </c>
      <c r="H9" s="46">
        <f t="shared" si="0"/>
        <v>9.7694444444444452E-3</v>
      </c>
      <c r="I9" s="54">
        <f>1/C15</f>
        <v>33334.728121419372</v>
      </c>
      <c r="J9" s="64">
        <f>1/$B$5</f>
        <v>7.5187969924812035E-4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9.7694444444444457</v>
      </c>
      <c r="F10" s="46">
        <f>E10/1000</f>
        <v>9.7694444444444452E-3</v>
      </c>
      <c r="G10" s="46">
        <f t="shared" si="0"/>
        <v>9.7694444444444457E-6</v>
      </c>
      <c r="H10" s="46">
        <f t="shared" si="0"/>
        <v>9.7694444444444464E-9</v>
      </c>
      <c r="I10" s="54">
        <f>1/D15</f>
        <v>3.3334728121419369E-2</v>
      </c>
      <c r="J10" s="64">
        <f>J9/1000000</f>
        <v>7.5187969924812033E-10</v>
      </c>
    </row>
    <row r="11" spans="1:10" x14ac:dyDescent="0.25">
      <c r="A11" s="35" t="s">
        <v>61</v>
      </c>
      <c r="B11" s="45">
        <f>C11/1000</f>
        <v>1.0235996588001136E-7</v>
      </c>
      <c r="C11" s="46">
        <f>D11/1000</f>
        <v>1.0235996588001136E-4</v>
      </c>
      <c r="D11" s="46">
        <f>1/E10</f>
        <v>0.10235996588001137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7.6962380360910794E-11</v>
      </c>
    </row>
    <row r="12" spans="1:10" x14ac:dyDescent="0.25">
      <c r="A12" s="35" t="s">
        <v>62</v>
      </c>
      <c r="B12" s="45">
        <f t="shared" ref="B12:E14" si="1">B11/1000</f>
        <v>1.0235996588001135E-10</v>
      </c>
      <c r="C12" s="46">
        <f t="shared" si="1"/>
        <v>1.0235996588001136E-7</v>
      </c>
      <c r="D12" s="46">
        <f t="shared" si="1"/>
        <v>1.0235996588001136E-4</v>
      </c>
      <c r="E12" s="44">
        <f t="shared" si="1"/>
        <v>1E-3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7.6962380360910799E-8</v>
      </c>
    </row>
    <row r="13" spans="1:10" x14ac:dyDescent="0.25">
      <c r="A13" s="35" t="s">
        <v>63</v>
      </c>
      <c r="B13" s="45">
        <f t="shared" si="1"/>
        <v>1.0235996588001135E-13</v>
      </c>
      <c r="C13" s="46">
        <f t="shared" si="1"/>
        <v>1.0235996588001135E-10</v>
      </c>
      <c r="D13" s="46">
        <f t="shared" si="1"/>
        <v>1.0235996588001136E-7</v>
      </c>
      <c r="E13" s="44">
        <f t="shared" si="1"/>
        <v>9.9999999999999995E-7</v>
      </c>
      <c r="F13" s="44">
        <f>F12/1000</f>
        <v>1E-3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7.6962380360910804E-5</v>
      </c>
    </row>
    <row r="14" spans="1:10" x14ac:dyDescent="0.25">
      <c r="A14" s="35" t="s">
        <v>64</v>
      </c>
      <c r="B14" s="45">
        <f t="shared" si="1"/>
        <v>1.0235996588001135E-16</v>
      </c>
      <c r="C14" s="46">
        <f t="shared" si="1"/>
        <v>1.0235996588001135E-13</v>
      </c>
      <c r="D14" s="46">
        <f t="shared" si="1"/>
        <v>1.0235996588001135E-10</v>
      </c>
      <c r="E14" s="44">
        <f t="shared" si="1"/>
        <v>9.9999999999999986E-10</v>
      </c>
      <c r="F14" s="44">
        <f>F13/1000</f>
        <v>9.9999999999999995E-7</v>
      </c>
      <c r="G14" s="44">
        <f>G13/1000</f>
        <v>1E-3</v>
      </c>
      <c r="H14" s="44">
        <v>1</v>
      </c>
      <c r="I14" s="55">
        <f>1/H15</f>
        <v>3412141.6331279422</v>
      </c>
      <c r="J14" s="65">
        <f>1/H16</f>
        <v>7.6962380360910798E-2</v>
      </c>
    </row>
    <row r="15" spans="1:10" x14ac:dyDescent="0.25">
      <c r="A15" s="57" t="s">
        <v>67</v>
      </c>
      <c r="B15" s="56">
        <f>C15/1000</f>
        <v>2.9998744743247079E-8</v>
      </c>
      <c r="C15" s="54">
        <f>D15/1000000</f>
        <v>2.9998744743247079E-5</v>
      </c>
      <c r="D15" s="54">
        <f>D9/E9*E15</f>
        <v>29.99874474324708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2.2555447175373747E-8</v>
      </c>
    </row>
    <row r="16" spans="1:10" ht="15.75" thickBot="1" x14ac:dyDescent="0.3">
      <c r="A16" s="58" t="s">
        <v>97</v>
      </c>
      <c r="B16" s="69">
        <f>1/J8</f>
        <v>1.3299999999999998</v>
      </c>
      <c r="C16" s="70">
        <f>1/J9</f>
        <v>1330</v>
      </c>
      <c r="D16" s="70">
        <f>1/J10</f>
        <v>1330000000</v>
      </c>
      <c r="E16" s="68">
        <f>E8/D8*D16</f>
        <v>12993361111.111113</v>
      </c>
      <c r="F16" s="68">
        <f>E16/1000</f>
        <v>12993361.111111112</v>
      </c>
      <c r="G16" s="68">
        <f t="shared" ref="G16" si="2">F16/1000</f>
        <v>12993.361111111111</v>
      </c>
      <c r="H16" s="68">
        <f t="shared" ref="H16" si="3">G16/1000</f>
        <v>12.993361111111112</v>
      </c>
      <c r="I16" s="67">
        <f>I8/H8*H16</f>
        <v>44335188.40148776</v>
      </c>
      <c r="J16" s="34">
        <v>1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/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1.157122</v>
      </c>
      <c r="F6">
        <f>IFERROR(GETPIVOTDATA("Interbank Rate",'External Data'!$A$3,"Month",MONTH(F$5),"Year",YEAR(F$5),"Currency",TBL_FOREX[[#This Row],[Currency]]),E6)</f>
        <v>1.157122</v>
      </c>
      <c r="G6">
        <f>IFERROR(GETPIVOTDATA("Interbank Rate",'External Data'!$A$3,"Month",MONTH(G$5),"Year",YEAR(G$5),"Currency",TBL_FOREX[[#This Row],[Currency]]),F6)</f>
        <v>1.157122</v>
      </c>
      <c r="H6">
        <f>IFERROR(GETPIVOTDATA("Interbank Rate",'External Data'!$A$3,"Month",MONTH(H$5),"Year",YEAR(H$5),"Currency",TBL_FOREX[[#This Row],[Currency]]),G6)</f>
        <v>1.157122</v>
      </c>
      <c r="I6">
        <f>IFERROR(GETPIVOTDATA("Interbank Rate",'External Data'!$A$3,"Month",MONTH(I$5),"Year",YEAR(I$5),"Currency",TBL_FOREX[[#This Row],[Currency]]),H6)</f>
        <v>1.157122</v>
      </c>
      <c r="J6">
        <f>IFERROR(GETPIVOTDATA("Interbank Rate",'External Data'!$A$3,"Month",MONTH(J$5),"Year",YEAR(J$5),"Currency",TBL_FOREX[[#This Row],[Currency]]),I6)</f>
        <v>1.157122</v>
      </c>
      <c r="K6">
        <f>IFERROR(GETPIVOTDATA("Interbank Rate",'External Data'!$A$3,"Month",MONTH(K$5),"Year",YEAR(K$5),"Currency",TBL_FOREX[[#This Row],[Currency]]),J6)</f>
        <v>1.157122</v>
      </c>
      <c r="L6">
        <f>IFERROR(GETPIVOTDATA("Interbank Rate",'External Data'!$A$3,"Month",MONTH(L$5),"Year",YEAR(L$5),"Currency",TBL_FOREX[[#This Row],[Currency]]),K6)</f>
        <v>1.157122</v>
      </c>
      <c r="M6">
        <f>IFERROR(GETPIVOTDATA("Interbank Rate",'External Data'!$A$3,"Month",MONTH(M$5),"Year",YEAR(M$5),"Currency",TBL_FOREX[[#This Row],[Currency]]),L6)</f>
        <v>1.157122</v>
      </c>
      <c r="N6">
        <f>IFERROR(GETPIVOTDATA("Interbank Rate",'External Data'!$A$3,"Month",MONTH(N$5),"Year",YEAR(N$5),"Currency",TBL_FOREX[[#This Row],[Currency]]),M6)</f>
        <v>1.157122</v>
      </c>
      <c r="O6">
        <f>IFERROR(GETPIVOTDATA("Interbank Rate",'External Data'!$A$3,"Month",MONTH(O$5),"Year",YEAR(O$5),"Currency",TBL_FOREX[[#This Row],[Currency]]),N6)</f>
        <v>1.157122</v>
      </c>
      <c r="P6">
        <f>IFERROR(GETPIVOTDATA("Interbank Rate",'External Data'!$A$3,"Month",MONTH(P$5),"Year",YEAR(P$5),"Currency",TBL_FOREX[[#This Row],[Currency]]),O6)</f>
        <v>1.157122</v>
      </c>
      <c r="Q6">
        <f>IFERROR(GETPIVOTDATA("Interbank Rate",'External Data'!$A$3,"Month",MONTH(Q$5),"Year",YEAR(Q$5),"Currency",TBL_FOREX[[#This Row],[Currency]]),P6)</f>
        <v>1.157122</v>
      </c>
      <c r="R6">
        <f>IFERROR(GETPIVOTDATA("Interbank Rate",'External Data'!$A$3,"Month",MONTH(R$5),"Year",YEAR(R$5),"Currency",TBL_FOREX[[#This Row],[Currency]]),Q6)</f>
        <v>1.157122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0.85179499999999997</v>
      </c>
      <c r="F7">
        <f>IFERROR(GETPIVOTDATA("Interbank Rate",'External Data'!$A$3,"Month",MONTH(F$5),"Year",YEAR(F$5),"Currency",TBL_FOREX[[#This Row],[Currency]]),E7)</f>
        <v>0.85179499999999997</v>
      </c>
      <c r="G7">
        <f>IFERROR(GETPIVOTDATA("Interbank Rate",'External Data'!$A$3,"Month",MONTH(G$5),"Year",YEAR(G$5),"Currency",TBL_FOREX[[#This Row],[Currency]]),F7)</f>
        <v>0.85179499999999997</v>
      </c>
      <c r="H7">
        <f>IFERROR(GETPIVOTDATA("Interbank Rate",'External Data'!$A$3,"Month",MONTH(H$5),"Year",YEAR(H$5),"Currency",TBL_FOREX[[#This Row],[Currency]]),G7)</f>
        <v>0.85179499999999997</v>
      </c>
      <c r="I7">
        <f>IFERROR(GETPIVOTDATA("Interbank Rate",'External Data'!$A$3,"Month",MONTH(I$5),"Year",YEAR(I$5),"Currency",TBL_FOREX[[#This Row],[Currency]]),H7)</f>
        <v>0.85179499999999997</v>
      </c>
      <c r="J7">
        <f>IFERROR(GETPIVOTDATA("Interbank Rate",'External Data'!$A$3,"Month",MONTH(J$5),"Year",YEAR(J$5),"Currency",TBL_FOREX[[#This Row],[Currency]]),I7)</f>
        <v>0.85179499999999997</v>
      </c>
      <c r="K7">
        <f>IFERROR(GETPIVOTDATA("Interbank Rate",'External Data'!$A$3,"Month",MONTH(K$5),"Year",YEAR(K$5),"Currency",TBL_FOREX[[#This Row],[Currency]]),J7)</f>
        <v>0.85179499999999997</v>
      </c>
      <c r="L7">
        <f>IFERROR(GETPIVOTDATA("Interbank Rate",'External Data'!$A$3,"Month",MONTH(L$5),"Year",YEAR(L$5),"Currency",TBL_FOREX[[#This Row],[Currency]]),K7)</f>
        <v>0.85179499999999997</v>
      </c>
      <c r="M7">
        <f>IFERROR(GETPIVOTDATA("Interbank Rate",'External Data'!$A$3,"Month",MONTH(M$5),"Year",YEAR(M$5),"Currency",TBL_FOREX[[#This Row],[Currency]]),L7)</f>
        <v>0.85179499999999997</v>
      </c>
      <c r="N7">
        <f>IFERROR(GETPIVOTDATA("Interbank Rate",'External Data'!$A$3,"Month",MONTH(N$5),"Year",YEAR(N$5),"Currency",TBL_FOREX[[#This Row],[Currency]]),M7)</f>
        <v>0.85179499999999997</v>
      </c>
      <c r="O7">
        <f>IFERROR(GETPIVOTDATA("Interbank Rate",'External Data'!$A$3,"Month",MONTH(O$5),"Year",YEAR(O$5),"Currency",TBL_FOREX[[#This Row],[Currency]]),N7)</f>
        <v>0.85179499999999997</v>
      </c>
      <c r="P7">
        <f>IFERROR(GETPIVOTDATA("Interbank Rate",'External Data'!$A$3,"Month",MONTH(P$5),"Year",YEAR(P$5),"Currency",TBL_FOREX[[#This Row],[Currency]]),O7)</f>
        <v>0.85179499999999997</v>
      </c>
      <c r="Q7">
        <f>IFERROR(GETPIVOTDATA("Interbank Rate",'External Data'!$A$3,"Month",MONTH(Q$5),"Year",YEAR(Q$5),"Currency",TBL_FOREX[[#This Row],[Currency]]),P7)</f>
        <v>0.85179499999999997</v>
      </c>
      <c r="R7">
        <f>IFERROR(GETPIVOTDATA("Interbank Rate",'External Data'!$A$3,"Month",MONTH(R$5),"Year",YEAR(R$5),"Currency",TBL_FOREX[[#This Row],[Currency]]),Q7)</f>
        <v>0.85179499999999997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C19" sqref="C19"/>
    </sheetView>
  </sheetViews>
  <sheetFormatPr defaultColWidth="9.140625" defaultRowHeight="15" x14ac:dyDescent="0.25"/>
  <sheetData>
    <row r="5" spans="1:18" x14ac:dyDescent="0.25">
      <c r="A5" s="5" t="s">
        <v>135</v>
      </c>
      <c r="B5" s="94" t="s">
        <v>4</v>
      </c>
      <c r="C5" s="94" t="s">
        <v>5</v>
      </c>
      <c r="D5" s="94" t="s">
        <v>6</v>
      </c>
      <c r="E5" s="94" t="s">
        <v>7</v>
      </c>
      <c r="F5" s="94" t="s">
        <v>8</v>
      </c>
      <c r="G5" s="94" t="s">
        <v>9</v>
      </c>
      <c r="H5" s="94" t="s">
        <v>10</v>
      </c>
      <c r="I5" s="94" t="s">
        <v>11</v>
      </c>
      <c r="J5" s="94" t="s">
        <v>12</v>
      </c>
      <c r="K5" s="94" t="s">
        <v>13</v>
      </c>
      <c r="L5" s="94" t="s">
        <v>14</v>
      </c>
      <c r="M5" s="94" t="s">
        <v>15</v>
      </c>
      <c r="N5" s="94" t="s">
        <v>16</v>
      </c>
      <c r="O5" s="94" t="s">
        <v>17</v>
      </c>
      <c r="P5" s="94" t="s">
        <v>18</v>
      </c>
      <c r="Q5" s="94" t="s">
        <v>19</v>
      </c>
      <c r="R5" s="94" t="s">
        <v>20</v>
      </c>
    </row>
    <row r="6" spans="1:18" x14ac:dyDescent="0.25">
      <c r="A6" s="5" t="s">
        <v>136</v>
      </c>
      <c r="B6" s="95">
        <v>31</v>
      </c>
      <c r="C6" s="95">
        <v>30</v>
      </c>
      <c r="D6" s="95">
        <v>31</v>
      </c>
      <c r="E6" s="95">
        <v>30</v>
      </c>
      <c r="F6" s="95">
        <v>31</v>
      </c>
      <c r="G6" s="95">
        <v>31</v>
      </c>
      <c r="H6" s="95">
        <v>28</v>
      </c>
      <c r="I6" s="95">
        <v>31</v>
      </c>
      <c r="J6" s="95">
        <v>30</v>
      </c>
      <c r="K6" s="95">
        <v>31</v>
      </c>
      <c r="L6" s="95">
        <v>30</v>
      </c>
      <c r="M6" s="95">
        <v>31</v>
      </c>
      <c r="N6" s="95">
        <v>31</v>
      </c>
      <c r="O6" s="95">
        <v>30</v>
      </c>
      <c r="P6" s="95">
        <v>31</v>
      </c>
      <c r="Q6" s="95">
        <v>30</v>
      </c>
      <c r="R6" s="95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11" sqref="B11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0.85179499999999997</v>
      </c>
      <c r="C11" s="48">
        <v>1.157122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>
      <selection activeCell="C11" sqref="C11"/>
    </sheetView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6" t="s">
        <v>139</v>
      </c>
      <c r="B2" s="97">
        <v>44493</v>
      </c>
      <c r="C2" s="98" t="s">
        <v>140</v>
      </c>
    </row>
    <row r="3" spans="1:3" ht="75" x14ac:dyDescent="0.25">
      <c r="A3" s="96" t="s">
        <v>149</v>
      </c>
      <c r="B3" s="97">
        <v>44498</v>
      </c>
      <c r="C3" s="19" t="s">
        <v>161</v>
      </c>
    </row>
    <row r="4" spans="1:3" ht="30" x14ac:dyDescent="0.25">
      <c r="A4" s="96" t="s">
        <v>267</v>
      </c>
      <c r="B4" s="97">
        <v>44501</v>
      </c>
      <c r="C4" s="19" t="s">
        <v>268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B4014B-2C1E-4689-8118-3B59828B63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2021-11-06T22:17:37Z</dcterms:modified>
</cp:coreProperties>
</file>