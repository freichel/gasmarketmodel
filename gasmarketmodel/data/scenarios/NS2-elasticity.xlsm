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B9711BF5-98B5-4D19-AB3F-1137B9C35CD8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K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23" i="17"/>
  <c r="D33" i="17"/>
  <c r="D17" i="17" l="1"/>
  <c r="D16" i="17"/>
  <c r="D19" i="17"/>
  <c r="D10" i="17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33" i="2" l="1"/>
  <c r="D32" i="9"/>
  <c r="B30" i="9"/>
  <c r="H30" i="9" s="1"/>
  <c r="B33" i="9"/>
  <c r="B31" i="9"/>
  <c r="B32" i="9"/>
  <c r="K32" i="9" s="1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8" i="12" l="1"/>
  <c r="H34" i="9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7" i="25"/>
  <c r="C7" i="25"/>
  <c r="E6" i="25"/>
  <c r="D7" i="25"/>
  <c r="B6" i="25"/>
  <c r="D6" i="25"/>
  <c r="E7" i="25"/>
  <c r="C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L36" i="12" s="1"/>
  <c r="J50" i="12"/>
  <c r="L50" i="12" s="1"/>
  <c r="J8" i="12"/>
  <c r="J41" i="12"/>
  <c r="L41" i="12" s="1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L11" i="18" s="1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L18" i="18" s="1"/>
  <c r="J19" i="18"/>
  <c r="L19" i="18" s="1"/>
  <c r="J17" i="18"/>
  <c r="L17" i="18" s="1"/>
  <c r="L60" i="12"/>
  <c r="L8" i="12"/>
  <c r="W14" i="15" s="1"/>
  <c r="X14" i="15" s="1"/>
  <c r="L20" i="12"/>
  <c r="L24" i="12"/>
  <c r="L32" i="12"/>
  <c r="L9" i="12"/>
  <c r="L13" i="12"/>
  <c r="L37" i="12"/>
  <c r="L18" i="12"/>
  <c r="L30" i="12"/>
  <c r="L38" i="12"/>
  <c r="L42" i="12"/>
  <c r="L54" i="12"/>
  <c r="L58" i="12"/>
  <c r="L7" i="12"/>
  <c r="L19" i="12"/>
  <c r="L39" i="12"/>
  <c r="L55" i="12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7" i="25"/>
  <c r="K6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6" i="25"/>
  <c r="M7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O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P7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7" i="25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R7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<sst xmlns="http://schemas.openxmlformats.org/spreadsheetml/2006/main" count="1395" uniqueCount="443">
  <si>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</si>
  <si>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</si>
  <si>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</si>
  <si>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</si>
  <si>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</si>
  <si>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</si>
  <si>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</si>
  <si>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</si>
  <si>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</si>
  <si>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</si>
  <si>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</si>
  <si>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</si>
  <si>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</si>
  <si>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</si>
  <si>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</si>
  <si>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</si>
  <si>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</si>
  <si>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</si>
  <si>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</si>
  <si>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</si>
  <si>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</si>
  <si>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</si>
  <si>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</si>
  <si>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</si>
  <si>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</si>
  <si>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</si>
  <si>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</si>
  <si>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</si>
  <si>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</si>
  <si>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</si>
  <si>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</si>
  <si>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</si>
  <si>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</si>
  <si>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</si>
  <si>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</si>
  <si>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</si>
  <si>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</si>
  <si>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</si>
  <si>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</si>
  <si>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</si>
  <si>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</si>
  <si>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</si>
  <si>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</si>
  <si>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</si>
  <si>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</si>
  <si>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</si>
  <si>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</si>
  <si>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</si>
  <si>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</si>
  <si>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</si>
  <si>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</si>
  <si>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</si>
  <si>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</si>
  <si>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</si>
  <si>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</si>
  <si>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</si>
  <si>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</si>
  <si>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</si>
  <si>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</si>
  <si>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</si>
  <si>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</si>
  <si>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</si>
  <si>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</si>
  <si>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</si>
  <si>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</si>
  <si>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</si>
  <si>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</si>
  <si>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</si>
  <si>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</si>
  <si>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</si>
  <si>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</si>
  <si>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</si>
  <si>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</si>
  <si>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</si>
  <si>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</si>
  <si>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</si>
  <si>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</si>
  <si>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</si>
  <si>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</si>
  <si>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</si>
  <si>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</si>
  <si>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</si>
  <si>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</si>
  <si>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</si>
  <si>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</si>
  <si>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</si>
  <si>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</si>
  <si>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</si>
  <si>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</si>
  <si>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</si>
  <si>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</si>
  <si>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</si>
  <si>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</si>
  <si>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</si>
  <si>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</si>
  <si>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</si>
  <si>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</si>
  <si>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</si>
  <si>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</si>
  <si>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</si>
  <si>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</si>
  <si>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</si>
  <si>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</si>
  <si>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</si>
  <si>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</si>
  <si>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</si>
  <si>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</si>
  <si>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</si>
  <si>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</si>
  <si>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</si>
  <si>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</si>
  <si>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</si>
  <si>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</si>
  <si>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</si>
  <si>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</si>
  <si>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</si>
  <si>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</si>
  <si>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</si>
  <si>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</si>
  <si>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</si>
  <si>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</si>
  <si>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</si>
  <si>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</si>
  <si>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</si>
  <si>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</si>
  <si>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</si>
  <si>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</si>
  <si>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</si>
  <si>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</si>
  <si>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</si>
  <si>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</si>
  <si>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</si>
  <si>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</si>
  <si>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</si>
  <si>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</si>
  <si>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</si>
  <si>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</si>
  <si>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</si>
  <si>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</si>
  <si>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</si>
  <si>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</si>
  <si>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</si>
  <si>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</si>
  <si>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</si>
  <si>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</si>
  <si>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</si>
  <si>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</si>
  <si>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</si>
  <si>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</si>
  <si>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</si>
  <si>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</si>
  <si>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</si>
  <si>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</si>
  <si>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</si>
  <si>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</si>
  <si>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</si>
  <si>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</si>
  <si>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</si>
  <si>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</si>
  <si>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</si>
  <si>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</si>
  <si>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</si>
  <si>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</si>
  <si>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</si>
  <si>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</si>
  <si>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</si>
  <si>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</si>
  <si>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</si>
  <si>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</si>
  <si>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</si>
  <si>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</si>
  <si>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</si>
  <si>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</si>
  <si>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</si>
  <si>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</si>
  <si>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</si>
  <si>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</si>
  <si>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</si>
  <si>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</si>
  <si>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</si>
  <si>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</si>
  <si>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</si>
  <si>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</si>
  <si>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</si>
  <si>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</si>
  <si>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</si>
  <si>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</si>
  <si>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</si>
  <si>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</si>
  <si>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</si>
  <si>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</si>
  <si>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</si>
  <si>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</si>
  <si>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</si>
  <si>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</si>
  <si>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</si>
  <si>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</si>
  <si>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</si>
  <si>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</si>
  <si>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</si>
  <si>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</si>
  <si>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</si>
  <si>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</si>
  <si>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</si>
  <si>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</si>
  <si>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</si>
  <si>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</si>
  <si>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</si>
  <si>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</si>
  <si>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</si>
  <si>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</si>
  <si>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</si>
  <si>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</si>
  <si>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</si>
  <si>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</si>
  <si>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</si>
  <si>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</si>
  <si>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</si>
  <si>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</si>
  <si>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</si>
  <si>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</si>
  <si>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</si>
  <si>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</si>
  <si>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</si>
  <si>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</si>
  <si>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</si>
  <si>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</si>
  <si>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</si>
  <si>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</si>
  <si>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</si>
  <si>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</si>
  <si>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</si>
  <si>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</si>
  <si>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</si>
  <si>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</si>
  <si>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</si>
  <si>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</si>
  <si>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</si>
  <si>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</si>
  <si>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</si>
  <si>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</si>
  <si>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</si>
  <si>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</si>
  <si>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</si>
  <si>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</si>
  <si>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</si>
  <si>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</si>
  <si>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</si>
  <si>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</si>
  <si>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</si>
  <si>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</si>
  <si>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</si>
  <si>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</si>
  <si>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</si>
  <si>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</si>
  <si>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</si>
  <si>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</si>
  <si>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</si>
  <si>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</si>
  <si>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</si>
  <si>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</si>
  <si>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</si>
  <si>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</si>
  <si>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</si>
  <si>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</si>
  <si>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</si>
  <si>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</si>
  <si>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</si>
  <si>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</si>
  <si>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</si>
  <si>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</si>
  <si>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</si>
  <si>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</si>
  <si>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</si>
  <si>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</si>
  <si>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</si>
  <si>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</si>
  <si>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</si>
  <si>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</si>
  <si>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</si>
  <si>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</si>
  <si>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</si>
  <si>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</si>
  <si>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</si>
  <si>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</si>
  <si>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</si>
  <si>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</si>
  <si>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</si>
  <si>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</si>
  <si>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</si>
  <si>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</si>
  <si>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</si>
  <si>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</si>
  <si>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</si>
  <si>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</si>
  <si>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</si>
  <si>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</si>
  <si>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</si>
  <si>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</si>
  <si>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</si>
  <si>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</si>
  <si>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</si>
  <si>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</si>
  <si>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</si>
  <si>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</si>
  <si>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</si>
  <si>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</si>
  <si>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</si>
  <si>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</si>
  <si>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</si>
  <si>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</si>
  <si>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</si>
  <si>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</si>
  <si>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</si>
  <si>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</si>
  <si>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</si>
  <si>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</si>
  <si>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</si>
  <si>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</si>
  <si>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</si>
  <si>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</si>
  <si>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</si>
  <si>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</si>
  <si>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</si>
  <si>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</si>
  <si>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</si>
  <si>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</si>
  <si>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</si>
  <si>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</si>
  <si>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</si>
  <si>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</si>
  <si>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</si>
  <si>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</si>
  <si>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</si>
  <si>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</si>
  <si>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</si>
  <si>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</si>
  <si>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</si>
  <si>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</si>
  <si>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</si>
  <si>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</si>
  <si>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</si>
  <si>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</si>
  <si>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</si>
  <si>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</si>
  <si>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</si>
  <si>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</si>
  <si>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</si>
  <si>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</si>
  <si>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</si>
  <si>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</si>
  <si>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</si>
  <si>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</si>
  <si>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</si>
  <si>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</si>
  <si>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</si>
  <si>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</si>
  <si>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</si>
  <si>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</si>
  <si>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</si>
  <si>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</si>
  <si>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</si>
  <si>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</si>
  <si>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</si>
  <si>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</si>
  <si>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</si>
  <si>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</si>
  <si>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</si>
  <si>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</si>
  <si>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</si>
  <si>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</si>
  <si>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</si>
  <si>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</si>
  <si>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</si>
  <si>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</si>
  <si>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</si>
  <si>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</si>
  <si>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</si>
  <si>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</si>
  <si>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</si>
  <si>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</si>
  <si>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</si>
  <si>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</si>
  <si>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</si>
  <si>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</si>
  <si>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</si>
  <si>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</si>
  <si>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</si>
  <si>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</si>
  <si>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</si>
  <si>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</si>
  <si>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</si>
  <si>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</si>
  <si>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</si>
  <si>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</si>
  <si>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</si>
  <si>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</si>
  <si>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</si>
  <si>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</si>
  <si>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</si>
  <si>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</si>
  <si>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</si>
  <si>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</si>
  <si>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</si>
  <si>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</si>
  <si>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</si>
  <si>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</si>
  <si>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</si>
  <si>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</si>
  <si>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</si>
  <si>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</si>
  <si>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</si>
  <si>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</si>
  <si>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</si>
  <si>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</si>
  <si>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</si>
  <si>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</si>
  <si>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</si>
  <si>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</si>
  <si>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</si>
  <si>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</si>
  <si>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</si>
  <si>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SupplyCurveLNG_v9.xlsx; Tab: o1 (alle Zeilen)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</si>
  <si>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</si>
  <si>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</si>
  <si>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</si>
  <si>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</si>
  <si>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</si>
  <si>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</si>
  <si>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</si>
  <si>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</si>
  <si>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</si>
  <si>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</si>
  <si>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</si>
  <si>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</si>
  <si>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</si>
  <si>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2021_Storage_DB_final_tc_v5_Speicher_synthetisch.xlsx; Tab: w_1</t>
  </si>
  <si>
    <t>2021_Storage_DB_final_tc_v5_Speicher_synthetisch.xlsx; Tab: w_1 (Annahme: tatsächlicher Anfangsfüllstand Ukraine, gleicher Endfüllstand wie Markt, Verlauf gleichförmig, aber gestaucht im Vergleich zum Markt)</t>
  </si>
  <si>
    <t>res_Produktionskapazitäten_v4.xlsx; Tab: w_3</t>
  </si>
  <si>
    <t>Demand Response im Kraftwerkssektor aufgrund eines niedrigen Preisniveaus</t>
  </si>
  <si>
    <t>res_Demand-Production_v6_normal_demand_elasticity.xlsx; Tab: w_D</t>
  </si>
  <si>
    <t>res_Demand-Production_v6_normal_demand_elasticity.xlsx; Tab: w_D; Annahme: Monatsmengenstruktur wie UK (für Stromerzeugung)</t>
  </si>
  <si>
    <t>NS2-elasticity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</si>
</sst>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3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A4" sqref="A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442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439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422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9.4798343119541144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9.4798343119541144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9.4798343119541144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9.4798343119541144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9.4798343119541144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9.4798343119541144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9.4798343119541144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9.4798343119541144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9.6119106344371197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9.6119106344371197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11.183970319037465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11.183970319037465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11.183970319037465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11.183970319037465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11.283970319037465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9.4798343119541144</v>
      </c>
      <c r="D645" s="30">
        <v>9.5617206709425044</v>
      </c>
      <c r="E645" s="30">
        <v>9.4798343119541144</v>
      </c>
      <c r="F645" s="30">
        <v>8.6964606709425052</v>
      </c>
      <c r="G645" s="30">
        <v>8.8234206709425056</v>
      </c>
      <c r="H645" s="30">
        <v>11.283970319037465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9.4798343119541144</v>
      </c>
      <c r="D646" s="26">
        <v>9.5617206709425044</v>
      </c>
      <c r="E646" s="26">
        <v>9.4798343119541144</v>
      </c>
      <c r="F646" s="26">
        <v>8.6964606709425052</v>
      </c>
      <c r="G646" s="26">
        <v>8.8234206709425056</v>
      </c>
      <c r="H646" s="26">
        <v>11.283970319037465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9.4798343119541144</v>
      </c>
      <c r="D647" s="30">
        <v>9.5617206709425044</v>
      </c>
      <c r="E647" s="30">
        <v>9.4798343119541144</v>
      </c>
      <c r="F647" s="30">
        <v>8.6964606709425052</v>
      </c>
      <c r="G647" s="30">
        <v>8.8234206709425056</v>
      </c>
      <c r="H647" s="30">
        <v>11.283970319037465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9.4798343119541144</v>
      </c>
      <c r="D648" s="26">
        <v>9.5617206709425044</v>
      </c>
      <c r="E648" s="26">
        <v>9.4798343119541144</v>
      </c>
      <c r="F648" s="26">
        <v>8.6964606709425052</v>
      </c>
      <c r="G648" s="26">
        <v>8.8234206709425056</v>
      </c>
      <c r="H648" s="26">
        <v>11.283970319037465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9.6119106344371197</v>
      </c>
      <c r="D649" s="30">
        <v>9.5617206709425044</v>
      </c>
      <c r="E649" s="30">
        <v>9.6119106344371197</v>
      </c>
      <c r="F649" s="30">
        <v>8.6964606709425052</v>
      </c>
      <c r="G649" s="30">
        <v>8.8234206709425056</v>
      </c>
      <c r="H649" s="30">
        <v>11.283970319037465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9.6119106344371197</v>
      </c>
      <c r="D650" s="26">
        <v>9.5617206709425044</v>
      </c>
      <c r="E650" s="26">
        <v>9.6119106344371197</v>
      </c>
      <c r="F650" s="26">
        <v>8.6964606709425052</v>
      </c>
      <c r="G650" s="26">
        <v>8.8234206709425056</v>
      </c>
      <c r="H650" s="26">
        <v>11.283970319037465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9.6119106344371197</v>
      </c>
      <c r="D651" s="30">
        <v>9.5617206709425044</v>
      </c>
      <c r="E651" s="30">
        <v>9.6119106344371197</v>
      </c>
      <c r="F651" s="30">
        <v>8.6964606709425052</v>
      </c>
      <c r="G651" s="30">
        <v>8.8234206709425056</v>
      </c>
      <c r="H651" s="30">
        <v>11.283970319037465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11.183970319037465</v>
      </c>
      <c r="D652" s="26">
        <v>9.5617206709425044</v>
      </c>
      <c r="E652" s="26">
        <v>11.183970319037465</v>
      </c>
      <c r="F652" s="26">
        <v>8.6964606709425052</v>
      </c>
      <c r="G652" s="26">
        <v>8.8234206709425056</v>
      </c>
      <c r="H652" s="26">
        <v>11.283970319037465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11.183970319037465</v>
      </c>
      <c r="D653" s="30">
        <v>9.5617206709425044</v>
      </c>
      <c r="E653" s="30">
        <v>11.183970319037465</v>
      </c>
      <c r="F653" s="30">
        <v>8.6964606709425052</v>
      </c>
      <c r="G653" s="30">
        <v>8.8234206709425056</v>
      </c>
      <c r="H653" s="30">
        <v>11.283970319037465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11.183970319037465</v>
      </c>
      <c r="D654" s="26">
        <v>9.5617206709425044</v>
      </c>
      <c r="E654" s="26">
        <v>11.183970319037465</v>
      </c>
      <c r="F654" s="26">
        <v>8.6964606709425052</v>
      </c>
      <c r="G654" s="26">
        <v>8.8234206709425056</v>
      </c>
      <c r="H654" s="26">
        <v>11.283970319037465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11.183970319037465</v>
      </c>
      <c r="D655" s="30">
        <v>9.5617206709425044</v>
      </c>
      <c r="E655" s="30">
        <v>11.183970319037465</v>
      </c>
      <c r="F655" s="30">
        <v>8.6964606709425052</v>
      </c>
      <c r="G655" s="30">
        <v>8.8234206709425056</v>
      </c>
      <c r="H655" s="30">
        <v>11.283970319037465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11.283970319037465</v>
      </c>
      <c r="D656" s="26">
        <v>9.5617206709425044</v>
      </c>
      <c r="E656" s="26">
        <v>11.283970319037465</v>
      </c>
      <c r="F656" s="26">
        <v>8.6964606709425052</v>
      </c>
      <c r="G656" s="26">
        <v>8.8234206709425056</v>
      </c>
      <c r="H656" s="26">
        <v>11.283970319037465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11.283970319037465</v>
      </c>
      <c r="D657" s="30">
        <v>9.5617206709425044</v>
      </c>
      <c r="E657" s="30">
        <v>11.283970319037465</v>
      </c>
      <c r="F657" s="30">
        <v>8.6964606709425052</v>
      </c>
      <c r="G657" s="30">
        <v>8.8234206709425056</v>
      </c>
      <c r="H657" s="30">
        <v>11.383970319037465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11.283970319037465</v>
      </c>
      <c r="D658" s="26">
        <v>9.5617206709425044</v>
      </c>
      <c r="E658" s="26">
        <v>11.283970319037465</v>
      </c>
      <c r="F658" s="26">
        <v>8.6964606709425052</v>
      </c>
      <c r="G658" s="26">
        <v>8.8234206709425056</v>
      </c>
      <c r="H658" s="26">
        <v>11.383970319037465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11.283970319037465</v>
      </c>
      <c r="D659" s="30">
        <v>9.5617206709425044</v>
      </c>
      <c r="E659" s="30">
        <v>11.283970319037465</v>
      </c>
      <c r="F659" s="30">
        <v>8.6964606709425052</v>
      </c>
      <c r="G659" s="30">
        <v>8.8234206709425056</v>
      </c>
      <c r="H659" s="30">
        <v>11.383970319037465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11.283970319037465</v>
      </c>
      <c r="D660" s="26">
        <v>9.5617206709425044</v>
      </c>
      <c r="E660" s="26">
        <v>11.283970319037465</v>
      </c>
      <c r="F660" s="26">
        <v>8.6964606709425052</v>
      </c>
      <c r="G660" s="26">
        <v>8.8234206709425056</v>
      </c>
      <c r="H660" s="26">
        <v>11.383970319037465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11.283970319037465</v>
      </c>
      <c r="D661" s="30">
        <v>9.5617206709425044</v>
      </c>
      <c r="E661" s="30">
        <v>11.283970319037465</v>
      </c>
      <c r="F661" s="30">
        <v>8.6964606709425052</v>
      </c>
      <c r="G661" s="30">
        <v>8.8234206709425056</v>
      </c>
      <c r="H661" s="30">
        <v>11.383970319037465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11.283970319037465</v>
      </c>
      <c r="D662" s="26">
        <v>9.5617206709425044</v>
      </c>
      <c r="E662" s="26">
        <v>11.283970319037465</v>
      </c>
      <c r="F662" s="26">
        <v>8.6964606709425052</v>
      </c>
      <c r="G662" s="26">
        <v>8.8234206709425056</v>
      </c>
      <c r="H662" s="26">
        <v>11.383970319037465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11.283970319037465</v>
      </c>
      <c r="D663" s="30">
        <v>9.5617206709425044</v>
      </c>
      <c r="E663" s="30">
        <v>11.283970319037465</v>
      </c>
      <c r="F663" s="30">
        <v>8.6964606709425052</v>
      </c>
      <c r="G663" s="30">
        <v>8.8234206709425056</v>
      </c>
      <c r="H663" s="30">
        <v>11.383970319037465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11.283970319037465</v>
      </c>
      <c r="D664" s="26">
        <v>9.5617206709425044</v>
      </c>
      <c r="E664" s="26">
        <v>11.283970319037465</v>
      </c>
      <c r="F664" s="26">
        <v>8.6964606709425052</v>
      </c>
      <c r="G664" s="26">
        <v>8.8234206709425056</v>
      </c>
      <c r="H664" s="26">
        <v>11.383970319037465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11.283970319037465</v>
      </c>
      <c r="D665" s="30">
        <v>9.5617206709425044</v>
      </c>
      <c r="E665" s="30">
        <v>11.283970319037465</v>
      </c>
      <c r="F665" s="30">
        <v>8.6964606709425052</v>
      </c>
      <c r="G665" s="30">
        <v>8.8234206709425056</v>
      </c>
      <c r="H665" s="30">
        <v>11.383970319037465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11.283970319037465</v>
      </c>
      <c r="D666" s="26">
        <v>9.5617206709425044</v>
      </c>
      <c r="E666" s="26">
        <v>11.283970319037465</v>
      </c>
      <c r="F666" s="26">
        <v>8.6964606709425052</v>
      </c>
      <c r="G666" s="26">
        <v>8.8234206709425056</v>
      </c>
      <c r="H666" s="26">
        <v>11.383970319037465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9.4798343119541144</v>
      </c>
      <c r="C667" s="30">
        <v>11.283970319037465</v>
      </c>
      <c r="D667" s="30">
        <v>9.5617206709425044</v>
      </c>
      <c r="E667" s="30">
        <v>11.283970319037465</v>
      </c>
      <c r="F667" s="30">
        <v>9.4798343119541144</v>
      </c>
      <c r="G667" s="30">
        <v>8.8234206709425056</v>
      </c>
      <c r="H667" s="30">
        <v>11.383970319037465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9.4798343119541144</v>
      </c>
      <c r="C668" s="26">
        <v>11.283970319037465</v>
      </c>
      <c r="D668" s="26">
        <v>9.5617206709425044</v>
      </c>
      <c r="E668" s="26">
        <v>11.283970319037465</v>
      </c>
      <c r="F668" s="26">
        <v>9.4798343119541144</v>
      </c>
      <c r="G668" s="26">
        <v>8.8234206709425056</v>
      </c>
      <c r="H668" s="26">
        <v>11.383970319037465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9.4798343119541144</v>
      </c>
      <c r="C669" s="30">
        <v>11.283970319037465</v>
      </c>
      <c r="D669" s="30">
        <v>9.5617206709425044</v>
      </c>
      <c r="E669" s="30">
        <v>11.283970319037465</v>
      </c>
      <c r="F669" s="30">
        <v>9.4798343119541144</v>
      </c>
      <c r="G669" s="30">
        <v>8.8234206709425056</v>
      </c>
      <c r="H669" s="30">
        <v>11.383970319037465</v>
      </c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9.4798343119541144</v>
      </c>
      <c r="C670" s="26">
        <v>11.383970319037465</v>
      </c>
      <c r="D670" s="26">
        <v>9.5617206709425044</v>
      </c>
      <c r="E670" s="26">
        <v>11.383970319037465</v>
      </c>
      <c r="F670" s="26">
        <v>9.4798343119541144</v>
      </c>
      <c r="G670" s="26">
        <v>8.8234206709425056</v>
      </c>
      <c r="H670" s="26">
        <v>11.483970319037466</v>
      </c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9.6119106344371197</v>
      </c>
      <c r="C671" s="30">
        <v>11.383970319037465</v>
      </c>
      <c r="D671" s="30">
        <v>9.6119106344371197</v>
      </c>
      <c r="E671" s="30">
        <v>11.383970319037465</v>
      </c>
      <c r="F671" s="30">
        <v>9.6119106344371197</v>
      </c>
      <c r="G671" s="30">
        <v>8.8234206709425056</v>
      </c>
      <c r="H671" s="30">
        <v>11.483970319037466</v>
      </c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9.6119106344371197</v>
      </c>
      <c r="C672" s="26">
        <v>11.383970319037465</v>
      </c>
      <c r="D672" s="26">
        <v>9.6119106344371197</v>
      </c>
      <c r="E672" s="26">
        <v>11.383970319037465</v>
      </c>
      <c r="F672" s="26">
        <v>9.6119106344371197</v>
      </c>
      <c r="G672" s="26">
        <v>8.8234206709425056</v>
      </c>
      <c r="H672" s="26">
        <v>11.483970319037466</v>
      </c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11.183970319037465</v>
      </c>
      <c r="C673" s="30">
        <v>11.383970319037465</v>
      </c>
      <c r="D673" s="30">
        <v>11.183970319037465</v>
      </c>
      <c r="E673" s="30">
        <v>11.383970319037465</v>
      </c>
      <c r="F673" s="30">
        <v>11.183970319037465</v>
      </c>
      <c r="G673" s="30">
        <v>8.8234206709425056</v>
      </c>
      <c r="H673" s="30">
        <v>11.483970319037466</v>
      </c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11.183970319037465</v>
      </c>
      <c r="C674" s="26">
        <v>11.383970319037465</v>
      </c>
      <c r="D674" s="26">
        <v>11.183970319037465</v>
      </c>
      <c r="E674" s="26">
        <v>11.383970319037465</v>
      </c>
      <c r="F674" s="26">
        <v>11.183970319037465</v>
      </c>
      <c r="G674" s="26">
        <v>8.8234206709425056</v>
      </c>
      <c r="H674" s="26">
        <v>11.483970319037466</v>
      </c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11.183970319037465</v>
      </c>
      <c r="C675" s="30">
        <v>11.383970319037465</v>
      </c>
      <c r="D675" s="30">
        <v>11.183970319037465</v>
      </c>
      <c r="E675" s="30">
        <v>11.383970319037465</v>
      </c>
      <c r="F675" s="30">
        <v>11.183970319037465</v>
      </c>
      <c r="G675" s="30">
        <v>8.8234206709425056</v>
      </c>
      <c r="H675" s="30">
        <v>11.483970319037466</v>
      </c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11.183970319037465</v>
      </c>
      <c r="C676" s="26">
        <v>11.383970319037465</v>
      </c>
      <c r="D676" s="26">
        <v>11.183970319037465</v>
      </c>
      <c r="E676" s="26">
        <v>11.383970319037465</v>
      </c>
      <c r="F676" s="26">
        <v>11.183970319037465</v>
      </c>
      <c r="G676" s="26">
        <v>8.8234206709425056</v>
      </c>
      <c r="H676" s="26">
        <v>11.483970319037466</v>
      </c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11.183970319037465</v>
      </c>
      <c r="C677" s="30">
        <v>11.383970319037465</v>
      </c>
      <c r="D677" s="30">
        <v>11.183970319037465</v>
      </c>
      <c r="E677" s="30">
        <v>11.383970319037465</v>
      </c>
      <c r="F677" s="30">
        <v>11.183970319037465</v>
      </c>
      <c r="G677" s="30">
        <v>8.8234206709425056</v>
      </c>
      <c r="H677" s="30">
        <v>11.483970319037466</v>
      </c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11.283970319037465</v>
      </c>
      <c r="C678" s="26">
        <v>11.383970319037465</v>
      </c>
      <c r="D678" s="26">
        <v>11.283970319037465</v>
      </c>
      <c r="E678" s="26">
        <v>11.383970319037465</v>
      </c>
      <c r="F678" s="26">
        <v>11.283970319037465</v>
      </c>
      <c r="G678" s="26">
        <v>8.8234206709425056</v>
      </c>
      <c r="H678" s="26">
        <v>11.483970319037466</v>
      </c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11.283970319037465</v>
      </c>
      <c r="C679" s="30">
        <v>11.383970319037465</v>
      </c>
      <c r="D679" s="30">
        <v>11.283970319037465</v>
      </c>
      <c r="E679" s="30">
        <v>11.383970319037465</v>
      </c>
      <c r="F679" s="30">
        <v>11.283970319037465</v>
      </c>
      <c r="G679" s="30">
        <v>8.8234206709425056</v>
      </c>
      <c r="H679" s="30">
        <v>11.483970319037466</v>
      </c>
      <c r="I679" s="30">
        <v>8.3445606709425046</v>
      </c>
      <c r="J679" s="30">
        <v>9.4798343119541144</v>
      </c>
      <c r="K679" s="30">
        <v>7.298520670942505</v>
      </c>
      <c r="L679" s="30">
        <v>9.4798343119541144</v>
      </c>
      <c r="M679" s="30">
        <v>7.3813206709425057</v>
      </c>
      <c r="N679" s="30">
        <v>7.3896006709425048</v>
      </c>
      <c r="O679" s="30">
        <v>9.4798343119541144</v>
      </c>
      <c r="P679" s="30">
        <v>7.4047806709425048</v>
      </c>
      <c r="Q679" s="30">
        <v>9.4798343119541144</v>
      </c>
      <c r="R679" s="30">
        <v>7.7760006709425049</v>
      </c>
      <c r="S679" s="25"/>
    </row>
    <row r="680" spans="1:19" x14ac:dyDescent="0.25">
      <c r="A680" s="26">
        <v>6.75</v>
      </c>
      <c r="B680" s="26">
        <v>11.283970319037465</v>
      </c>
      <c r="C680" s="26">
        <v>11.383970319037465</v>
      </c>
      <c r="D680" s="26">
        <v>11.283970319037465</v>
      </c>
      <c r="E680" s="26">
        <v>11.383970319037465</v>
      </c>
      <c r="F680" s="26">
        <v>11.283970319037465</v>
      </c>
      <c r="G680" s="26">
        <v>8.8234206709425056</v>
      </c>
      <c r="H680" s="26">
        <v>11.483970319037466</v>
      </c>
      <c r="I680" s="26">
        <v>8.3445606709425046</v>
      </c>
      <c r="J680" s="26">
        <v>9.4798343119541144</v>
      </c>
      <c r="K680" s="26">
        <v>7.298520670942505</v>
      </c>
      <c r="L680" s="26">
        <v>9.4798343119541144</v>
      </c>
      <c r="M680" s="26">
        <v>7.3813206709425057</v>
      </c>
      <c r="N680" s="26">
        <v>7.3896006709425048</v>
      </c>
      <c r="O680" s="26">
        <v>9.4798343119541144</v>
      </c>
      <c r="P680" s="26">
        <v>7.4047806709425048</v>
      </c>
      <c r="Q680" s="26">
        <v>9.4798343119541144</v>
      </c>
      <c r="R680" s="26">
        <v>7.7760006709425049</v>
      </c>
      <c r="S680" s="24"/>
    </row>
    <row r="681" spans="1:19" x14ac:dyDescent="0.25">
      <c r="A681" s="30">
        <v>6.76</v>
      </c>
      <c r="B681" s="30">
        <v>11.283970319037465</v>
      </c>
      <c r="C681" s="30">
        <v>11.383970319037465</v>
      </c>
      <c r="D681" s="30">
        <v>11.283970319037465</v>
      </c>
      <c r="E681" s="30">
        <v>11.383970319037465</v>
      </c>
      <c r="F681" s="30">
        <v>11.283970319037465</v>
      </c>
      <c r="G681" s="30">
        <v>8.8234206709425056</v>
      </c>
      <c r="H681" s="30">
        <v>11.483970319037466</v>
      </c>
      <c r="I681" s="30">
        <v>8.3445606709425046</v>
      </c>
      <c r="J681" s="30">
        <v>9.4798343119541144</v>
      </c>
      <c r="K681" s="30">
        <v>7.298520670942505</v>
      </c>
      <c r="L681" s="30">
        <v>9.4798343119541144</v>
      </c>
      <c r="M681" s="30">
        <v>7.3813206709425057</v>
      </c>
      <c r="N681" s="30">
        <v>7.3896006709425048</v>
      </c>
      <c r="O681" s="30">
        <v>9.4798343119541144</v>
      </c>
      <c r="P681" s="30">
        <v>7.4047806709425048</v>
      </c>
      <c r="Q681" s="30">
        <v>9.4798343119541144</v>
      </c>
      <c r="R681" s="30">
        <v>7.7760006709425049</v>
      </c>
      <c r="S681" s="25"/>
    </row>
    <row r="682" spans="1:19" x14ac:dyDescent="0.25">
      <c r="A682" s="26">
        <v>6.77</v>
      </c>
      <c r="B682" s="26">
        <v>11.283970319037465</v>
      </c>
      <c r="C682" s="26">
        <v>11.383970319037465</v>
      </c>
      <c r="D682" s="26">
        <v>11.283970319037465</v>
      </c>
      <c r="E682" s="26">
        <v>11.383970319037465</v>
      </c>
      <c r="F682" s="26">
        <v>11.283970319037465</v>
      </c>
      <c r="G682" s="26">
        <v>8.8234206709425056</v>
      </c>
      <c r="H682" s="26">
        <v>11.483970319037466</v>
      </c>
      <c r="I682" s="26">
        <v>8.3445606709425046</v>
      </c>
      <c r="J682" s="26">
        <v>9.4798343119541144</v>
      </c>
      <c r="K682" s="26">
        <v>7.298520670942505</v>
      </c>
      <c r="L682" s="26">
        <v>9.4798343119541144</v>
      </c>
      <c r="M682" s="26">
        <v>7.3813206709425057</v>
      </c>
      <c r="N682" s="26">
        <v>7.3896006709425048</v>
      </c>
      <c r="O682" s="26">
        <v>9.4798343119541144</v>
      </c>
      <c r="P682" s="26">
        <v>7.4047806709425048</v>
      </c>
      <c r="Q682" s="26">
        <v>9.4798343119541144</v>
      </c>
      <c r="R682" s="26">
        <v>7.7760006709425049</v>
      </c>
      <c r="S682" s="24"/>
    </row>
    <row r="683" spans="1:19" x14ac:dyDescent="0.25">
      <c r="A683" s="30">
        <v>6.78</v>
      </c>
      <c r="B683" s="30">
        <v>11.283970319037465</v>
      </c>
      <c r="C683" s="30">
        <v>11.483970319037466</v>
      </c>
      <c r="D683" s="30">
        <v>11.283970319037465</v>
      </c>
      <c r="E683" s="30">
        <v>11.483970319037466</v>
      </c>
      <c r="F683" s="30">
        <v>11.283970319037465</v>
      </c>
      <c r="G683" s="30">
        <v>8.8234206709425056</v>
      </c>
      <c r="H683" s="30"/>
      <c r="I683" s="30">
        <v>8.3445606709425046</v>
      </c>
      <c r="J683" s="30">
        <v>9.6119106344371197</v>
      </c>
      <c r="K683" s="30">
        <v>7.298520670942505</v>
      </c>
      <c r="L683" s="30">
        <v>9.6119106344371197</v>
      </c>
      <c r="M683" s="30">
        <v>7.3813206709425057</v>
      </c>
      <c r="N683" s="30">
        <v>7.3896006709425048</v>
      </c>
      <c r="O683" s="30">
        <v>9.6119106344371197</v>
      </c>
      <c r="P683" s="30">
        <v>7.4047806709425048</v>
      </c>
      <c r="Q683" s="30">
        <v>9.6119106344371197</v>
      </c>
      <c r="R683" s="30">
        <v>7.7760006709425049</v>
      </c>
      <c r="S683" s="25"/>
    </row>
    <row r="684" spans="1:19" x14ac:dyDescent="0.25">
      <c r="A684" s="26">
        <v>6.79</v>
      </c>
      <c r="B684" s="26">
        <v>11.283970319037465</v>
      </c>
      <c r="C684" s="26">
        <v>11.483970319037466</v>
      </c>
      <c r="D684" s="26">
        <v>11.283970319037465</v>
      </c>
      <c r="E684" s="26">
        <v>11.483970319037466</v>
      </c>
      <c r="F684" s="26">
        <v>11.283970319037465</v>
      </c>
      <c r="G684" s="26">
        <v>8.8234206709425056</v>
      </c>
      <c r="H684" s="26"/>
      <c r="I684" s="26">
        <v>8.3445606709425046</v>
      </c>
      <c r="J684" s="26">
        <v>9.6119106344371197</v>
      </c>
      <c r="K684" s="26">
        <v>7.298520670942505</v>
      </c>
      <c r="L684" s="26">
        <v>9.6119106344371197</v>
      </c>
      <c r="M684" s="26">
        <v>7.3813206709425057</v>
      </c>
      <c r="N684" s="26">
        <v>7.3896006709425048</v>
      </c>
      <c r="O684" s="26">
        <v>9.6119106344371197</v>
      </c>
      <c r="P684" s="26">
        <v>7.4047806709425048</v>
      </c>
      <c r="Q684" s="26">
        <v>9.6119106344371197</v>
      </c>
      <c r="R684" s="26">
        <v>7.7760006709425049</v>
      </c>
      <c r="S684" s="24"/>
    </row>
    <row r="685" spans="1:19" x14ac:dyDescent="0.25">
      <c r="A685" s="30">
        <v>6.8</v>
      </c>
      <c r="B685" s="30">
        <v>11.283970319037465</v>
      </c>
      <c r="C685" s="30">
        <v>11.483970319037466</v>
      </c>
      <c r="D685" s="30">
        <v>11.283970319037465</v>
      </c>
      <c r="E685" s="30">
        <v>11.483970319037466</v>
      </c>
      <c r="F685" s="30">
        <v>11.283970319037465</v>
      </c>
      <c r="G685" s="30">
        <v>8.8234206709425056</v>
      </c>
      <c r="H685" s="30"/>
      <c r="I685" s="30">
        <v>8.3445606709425046</v>
      </c>
      <c r="J685" s="30">
        <v>9.6119106344371197</v>
      </c>
      <c r="K685" s="30">
        <v>7.298520670942505</v>
      </c>
      <c r="L685" s="30">
        <v>9.6119106344371197</v>
      </c>
      <c r="M685" s="30">
        <v>7.3813206709425057</v>
      </c>
      <c r="N685" s="30">
        <v>7.3896006709425048</v>
      </c>
      <c r="O685" s="30">
        <v>9.6119106344371197</v>
      </c>
      <c r="P685" s="30">
        <v>7.4047806709425048</v>
      </c>
      <c r="Q685" s="30">
        <v>9.6119106344371197</v>
      </c>
      <c r="R685" s="30">
        <v>7.7760006709425049</v>
      </c>
      <c r="S685" s="25"/>
    </row>
    <row r="686" spans="1:19" x14ac:dyDescent="0.25">
      <c r="A686" s="26">
        <v>6.81</v>
      </c>
      <c r="B686" s="26">
        <v>11.283970319037465</v>
      </c>
      <c r="C686" s="26">
        <v>11.483970319037466</v>
      </c>
      <c r="D686" s="26">
        <v>11.283970319037465</v>
      </c>
      <c r="E686" s="26">
        <v>11.483970319037466</v>
      </c>
      <c r="F686" s="26">
        <v>11.283970319037465</v>
      </c>
      <c r="G686" s="26">
        <v>8.8234206709425056</v>
      </c>
      <c r="H686" s="26"/>
      <c r="I686" s="26">
        <v>8.3445606709425046</v>
      </c>
      <c r="J686" s="26">
        <v>11.183970319037465</v>
      </c>
      <c r="K686" s="26">
        <v>7.298520670942505</v>
      </c>
      <c r="L686" s="26">
        <v>11.183970319037465</v>
      </c>
      <c r="M686" s="26">
        <v>7.3813206709425057</v>
      </c>
      <c r="N686" s="26">
        <v>7.3896006709425048</v>
      </c>
      <c r="O686" s="26">
        <v>11.183970319037465</v>
      </c>
      <c r="P686" s="26">
        <v>7.4047806709425048</v>
      </c>
      <c r="Q686" s="26">
        <v>11.183970319037465</v>
      </c>
      <c r="R686" s="26">
        <v>7.7760006709425049</v>
      </c>
      <c r="S686" s="24"/>
    </row>
    <row r="687" spans="1:19" x14ac:dyDescent="0.25">
      <c r="A687" s="30">
        <v>6.82</v>
      </c>
      <c r="B687" s="30">
        <v>11.283970319037465</v>
      </c>
      <c r="C687" s="30">
        <v>11.483970319037466</v>
      </c>
      <c r="D687" s="30">
        <v>11.283970319037465</v>
      </c>
      <c r="E687" s="30">
        <v>11.483970319037466</v>
      </c>
      <c r="F687" s="30">
        <v>11.283970319037465</v>
      </c>
      <c r="G687" s="30">
        <v>8.8234206709425056</v>
      </c>
      <c r="H687" s="30"/>
      <c r="I687" s="30">
        <v>8.3445606709425046</v>
      </c>
      <c r="J687" s="30">
        <v>11.183970319037465</v>
      </c>
      <c r="K687" s="30">
        <v>7.298520670942505</v>
      </c>
      <c r="L687" s="30">
        <v>11.183970319037465</v>
      </c>
      <c r="M687" s="30">
        <v>7.3813206709425057</v>
      </c>
      <c r="N687" s="30">
        <v>7.3896006709425048</v>
      </c>
      <c r="O687" s="30">
        <v>11.183970319037465</v>
      </c>
      <c r="P687" s="30">
        <v>7.4047806709425048</v>
      </c>
      <c r="Q687" s="30">
        <v>11.183970319037465</v>
      </c>
      <c r="R687" s="30">
        <v>7.7760006709425049</v>
      </c>
      <c r="S687" s="25"/>
    </row>
    <row r="688" spans="1:19" x14ac:dyDescent="0.25">
      <c r="A688" s="26">
        <v>6.83</v>
      </c>
      <c r="B688" s="26">
        <v>11.283970319037465</v>
      </c>
      <c r="C688" s="26">
        <v>11.483970319037466</v>
      </c>
      <c r="D688" s="26">
        <v>11.283970319037465</v>
      </c>
      <c r="E688" s="26">
        <v>11.483970319037466</v>
      </c>
      <c r="F688" s="26">
        <v>11.283970319037465</v>
      </c>
      <c r="G688" s="26">
        <v>8.8234206709425056</v>
      </c>
      <c r="H688" s="26"/>
      <c r="I688" s="26">
        <v>8.3445606709425046</v>
      </c>
      <c r="J688" s="26">
        <v>11.183970319037465</v>
      </c>
      <c r="K688" s="26">
        <v>7.298520670942505</v>
      </c>
      <c r="L688" s="26">
        <v>11.183970319037465</v>
      </c>
      <c r="M688" s="26">
        <v>7.3813206709425057</v>
      </c>
      <c r="N688" s="26">
        <v>7.3896006709425048</v>
      </c>
      <c r="O688" s="26">
        <v>11.183970319037465</v>
      </c>
      <c r="P688" s="26">
        <v>7.4047806709425048</v>
      </c>
      <c r="Q688" s="26">
        <v>11.183970319037465</v>
      </c>
      <c r="R688" s="26">
        <v>7.7760006709425049</v>
      </c>
      <c r="S688" s="24"/>
    </row>
    <row r="689" spans="1:19" x14ac:dyDescent="0.25">
      <c r="A689" s="30">
        <v>6.84</v>
      </c>
      <c r="B689" s="30">
        <v>11.283970319037465</v>
      </c>
      <c r="C689" s="30">
        <v>11.483970319037466</v>
      </c>
      <c r="D689" s="30">
        <v>11.283970319037465</v>
      </c>
      <c r="E689" s="30">
        <v>11.483970319037466</v>
      </c>
      <c r="F689" s="30">
        <v>11.283970319037465</v>
      </c>
      <c r="G689" s="30">
        <v>8.8234206709425056</v>
      </c>
      <c r="H689" s="30"/>
      <c r="I689" s="30">
        <v>8.3445606709425046</v>
      </c>
      <c r="J689" s="30">
        <v>11.183970319037465</v>
      </c>
      <c r="K689" s="30">
        <v>7.298520670942505</v>
      </c>
      <c r="L689" s="30">
        <v>11.183970319037465</v>
      </c>
      <c r="M689" s="30">
        <v>7.3813206709425057</v>
      </c>
      <c r="N689" s="30">
        <v>7.3896006709425048</v>
      </c>
      <c r="O689" s="30">
        <v>11.183970319037465</v>
      </c>
      <c r="P689" s="30">
        <v>7.4047806709425048</v>
      </c>
      <c r="Q689" s="30">
        <v>11.183970319037465</v>
      </c>
      <c r="R689" s="30">
        <v>7.7760006709425049</v>
      </c>
      <c r="S689" s="25"/>
    </row>
    <row r="690" spans="1:19" x14ac:dyDescent="0.25">
      <c r="A690" s="26">
        <v>6.85</v>
      </c>
      <c r="B690" s="26">
        <v>11.283970319037465</v>
      </c>
      <c r="C690" s="26">
        <v>11.483970319037466</v>
      </c>
      <c r="D690" s="26">
        <v>11.283970319037465</v>
      </c>
      <c r="E690" s="26">
        <v>11.483970319037466</v>
      </c>
      <c r="F690" s="26">
        <v>11.283970319037465</v>
      </c>
      <c r="G690" s="26">
        <v>8.8234206709425056</v>
      </c>
      <c r="H690" s="26"/>
      <c r="I690" s="26">
        <v>8.3445606709425046</v>
      </c>
      <c r="J690" s="26">
        <v>11.283970319037465</v>
      </c>
      <c r="K690" s="26">
        <v>7.298520670942505</v>
      </c>
      <c r="L690" s="26">
        <v>11.283970319037465</v>
      </c>
      <c r="M690" s="26">
        <v>7.3813206709425057</v>
      </c>
      <c r="N690" s="26">
        <v>7.3896006709425048</v>
      </c>
      <c r="O690" s="26">
        <v>11.283970319037465</v>
      </c>
      <c r="P690" s="26">
        <v>7.4047806709425048</v>
      </c>
      <c r="Q690" s="26">
        <v>11.283970319037465</v>
      </c>
      <c r="R690" s="26">
        <v>7.7760006709425049</v>
      </c>
      <c r="S690" s="24"/>
    </row>
    <row r="691" spans="1:19" x14ac:dyDescent="0.25">
      <c r="A691" s="30">
        <v>6.86</v>
      </c>
      <c r="B691" s="30">
        <v>11.283970319037465</v>
      </c>
      <c r="C691" s="30">
        <v>11.483970319037466</v>
      </c>
      <c r="D691" s="30">
        <v>11.283970319037465</v>
      </c>
      <c r="E691" s="30">
        <v>11.483970319037466</v>
      </c>
      <c r="F691" s="30">
        <v>11.283970319037465</v>
      </c>
      <c r="G691" s="30">
        <v>8.8234206709425056</v>
      </c>
      <c r="H691" s="30"/>
      <c r="I691" s="30">
        <v>8.3445606709425046</v>
      </c>
      <c r="J691" s="30">
        <v>11.283970319037465</v>
      </c>
      <c r="K691" s="30">
        <v>7.4401405082909307</v>
      </c>
      <c r="L691" s="30">
        <v>11.283970319037465</v>
      </c>
      <c r="M691" s="30">
        <v>7.4401405082909307</v>
      </c>
      <c r="N691" s="30">
        <v>7.4401405082909307</v>
      </c>
      <c r="O691" s="30">
        <v>11.283970319037465</v>
      </c>
      <c r="P691" s="30">
        <v>7.4401405082909307</v>
      </c>
      <c r="Q691" s="30">
        <v>11.283970319037465</v>
      </c>
      <c r="R691" s="30">
        <v>7.7760006709425049</v>
      </c>
      <c r="S691" s="25"/>
    </row>
    <row r="692" spans="1:19" x14ac:dyDescent="0.25">
      <c r="A692" s="26">
        <v>6.87</v>
      </c>
      <c r="B692" s="26">
        <v>11.383970319037465</v>
      </c>
      <c r="C692" s="26">
        <v>11.483970319037466</v>
      </c>
      <c r="D692" s="26">
        <v>11.383970319037465</v>
      </c>
      <c r="E692" s="26">
        <v>11.483970319037466</v>
      </c>
      <c r="F692" s="26">
        <v>11.383970319037465</v>
      </c>
      <c r="G692" s="26">
        <v>8.8234206709425056</v>
      </c>
      <c r="H692" s="26"/>
      <c r="I692" s="26">
        <v>8.3445606709425046</v>
      </c>
      <c r="J692" s="26">
        <v>11.283970319037465</v>
      </c>
      <c r="K692" s="26">
        <v>7.4401405082909307</v>
      </c>
      <c r="L692" s="26">
        <v>11.283970319037465</v>
      </c>
      <c r="M692" s="26">
        <v>7.4401405082909307</v>
      </c>
      <c r="N692" s="26">
        <v>7.4401405082909307</v>
      </c>
      <c r="O692" s="26">
        <v>11.283970319037465</v>
      </c>
      <c r="P692" s="26">
        <v>7.4401405082909307</v>
      </c>
      <c r="Q692" s="26">
        <v>11.283970319037465</v>
      </c>
      <c r="R692" s="26">
        <v>7.7760006709425049</v>
      </c>
      <c r="S692" s="24"/>
    </row>
    <row r="693" spans="1:19" x14ac:dyDescent="0.25">
      <c r="A693" s="30">
        <v>6.88</v>
      </c>
      <c r="B693" s="30">
        <v>11.383970319037465</v>
      </c>
      <c r="C693" s="30">
        <v>11.483970319037466</v>
      </c>
      <c r="D693" s="30">
        <v>11.383970319037465</v>
      </c>
      <c r="E693" s="30">
        <v>11.483970319037466</v>
      </c>
      <c r="F693" s="30">
        <v>11.383970319037465</v>
      </c>
      <c r="G693" s="30">
        <v>8.8234206709425056</v>
      </c>
      <c r="H693" s="30"/>
      <c r="I693" s="30">
        <v>8.3445606709425046</v>
      </c>
      <c r="J693" s="30">
        <v>11.283970319037465</v>
      </c>
      <c r="K693" s="30">
        <v>7.4401405082909307</v>
      </c>
      <c r="L693" s="30">
        <v>11.283970319037465</v>
      </c>
      <c r="M693" s="30">
        <v>7.4401405082909307</v>
      </c>
      <c r="N693" s="30">
        <v>7.4401405082909307</v>
      </c>
      <c r="O693" s="30">
        <v>11.283970319037465</v>
      </c>
      <c r="P693" s="30">
        <v>7.4401405082909307</v>
      </c>
      <c r="Q693" s="30">
        <v>11.283970319037465</v>
      </c>
      <c r="R693" s="30">
        <v>7.7760006709425049</v>
      </c>
      <c r="S693" s="25"/>
    </row>
    <row r="694" spans="1:19" x14ac:dyDescent="0.25">
      <c r="A694" s="26">
        <v>6.89</v>
      </c>
      <c r="B694" s="26">
        <v>11.383970319037465</v>
      </c>
      <c r="C694" s="26">
        <v>11.483970319037466</v>
      </c>
      <c r="D694" s="26">
        <v>11.383970319037465</v>
      </c>
      <c r="E694" s="26">
        <v>11.483970319037466</v>
      </c>
      <c r="F694" s="26">
        <v>11.383970319037465</v>
      </c>
      <c r="G694" s="26">
        <v>8.8234206709425056</v>
      </c>
      <c r="H694" s="26"/>
      <c r="I694" s="26">
        <v>8.3445606709425046</v>
      </c>
      <c r="J694" s="26">
        <v>11.283970319037465</v>
      </c>
      <c r="K694" s="26">
        <v>7.4401405082909307</v>
      </c>
      <c r="L694" s="26">
        <v>11.283970319037465</v>
      </c>
      <c r="M694" s="26">
        <v>7.4401405082909307</v>
      </c>
      <c r="N694" s="26">
        <v>7.4401405082909307</v>
      </c>
      <c r="O694" s="26">
        <v>11.283970319037465</v>
      </c>
      <c r="P694" s="26">
        <v>7.4401405082909307</v>
      </c>
      <c r="Q694" s="26">
        <v>11.283970319037465</v>
      </c>
      <c r="R694" s="26">
        <v>7.7760006709425049</v>
      </c>
      <c r="S694" s="24"/>
    </row>
    <row r="695" spans="1:19" x14ac:dyDescent="0.25">
      <c r="A695" s="30">
        <v>6.9</v>
      </c>
      <c r="B695" s="30">
        <v>11.383970319037465</v>
      </c>
      <c r="C695" s="30">
        <v>11.483970319037466</v>
      </c>
      <c r="D695" s="30">
        <v>11.383970319037465</v>
      </c>
      <c r="E695" s="30">
        <v>11.483970319037466</v>
      </c>
      <c r="F695" s="30">
        <v>11.383970319037465</v>
      </c>
      <c r="G695" s="30">
        <v>8.8234206709425056</v>
      </c>
      <c r="H695" s="30"/>
      <c r="I695" s="30">
        <v>8.3445606709425046</v>
      </c>
      <c r="J695" s="30">
        <v>11.283970319037465</v>
      </c>
      <c r="K695" s="30">
        <v>7.4401405082909307</v>
      </c>
      <c r="L695" s="30">
        <v>11.283970319037465</v>
      </c>
      <c r="M695" s="30">
        <v>7.4401405082909307</v>
      </c>
      <c r="N695" s="30">
        <v>7.4401405082909307</v>
      </c>
      <c r="O695" s="30">
        <v>11.283970319037465</v>
      </c>
      <c r="P695" s="30">
        <v>7.4401405082909307</v>
      </c>
      <c r="Q695" s="30">
        <v>11.283970319037465</v>
      </c>
      <c r="R695" s="30">
        <v>7.7760006709425049</v>
      </c>
      <c r="S695" s="25"/>
    </row>
    <row r="696" spans="1:19" x14ac:dyDescent="0.25">
      <c r="A696" s="26">
        <v>6.91</v>
      </c>
      <c r="B696" s="26">
        <v>11.383970319037465</v>
      </c>
      <c r="C696" s="26">
        <v>11.483970319037466</v>
      </c>
      <c r="D696" s="26">
        <v>11.383970319037465</v>
      </c>
      <c r="E696" s="26">
        <v>11.483970319037466</v>
      </c>
      <c r="F696" s="26">
        <v>11.383970319037465</v>
      </c>
      <c r="G696" s="26">
        <v>8.8234206709425056</v>
      </c>
      <c r="H696" s="26"/>
      <c r="I696" s="26">
        <v>8.3445606709425046</v>
      </c>
      <c r="J696" s="26">
        <v>11.283970319037465</v>
      </c>
      <c r="K696" s="26">
        <v>7.4401405082909307</v>
      </c>
      <c r="L696" s="26">
        <v>11.283970319037465</v>
      </c>
      <c r="M696" s="26">
        <v>7.4401405082909307</v>
      </c>
      <c r="N696" s="26">
        <v>7.4401405082909307</v>
      </c>
      <c r="O696" s="26">
        <v>11.283970319037465</v>
      </c>
      <c r="P696" s="26">
        <v>7.4401405082909307</v>
      </c>
      <c r="Q696" s="26">
        <v>11.283970319037465</v>
      </c>
      <c r="R696" s="26">
        <v>7.7760006709425049</v>
      </c>
      <c r="S696" s="24"/>
    </row>
    <row r="697" spans="1:19" x14ac:dyDescent="0.25">
      <c r="A697" s="30">
        <v>6.92</v>
      </c>
      <c r="B697" s="30">
        <v>11.383970319037465</v>
      </c>
      <c r="C697" s="30"/>
      <c r="D697" s="30">
        <v>11.383970319037465</v>
      </c>
      <c r="E697" s="30"/>
      <c r="F697" s="30">
        <v>11.383970319037465</v>
      </c>
      <c r="G697" s="30">
        <v>8.8234206709425056</v>
      </c>
      <c r="H697" s="30"/>
      <c r="I697" s="30">
        <v>8.3445606709425046</v>
      </c>
      <c r="J697" s="30">
        <v>11.283970319037465</v>
      </c>
      <c r="K697" s="30">
        <v>7.4401405082909307</v>
      </c>
      <c r="L697" s="30">
        <v>11.283970319037465</v>
      </c>
      <c r="M697" s="30">
        <v>7.4401405082909307</v>
      </c>
      <c r="N697" s="30">
        <v>7.4401405082909307</v>
      </c>
      <c r="O697" s="30">
        <v>11.283970319037465</v>
      </c>
      <c r="P697" s="30">
        <v>7.4401405082909307</v>
      </c>
      <c r="Q697" s="30">
        <v>11.283970319037465</v>
      </c>
      <c r="R697" s="30">
        <v>7.7760006709425049</v>
      </c>
      <c r="S697" s="25"/>
    </row>
    <row r="698" spans="1:19" x14ac:dyDescent="0.25">
      <c r="A698" s="26">
        <v>6.93</v>
      </c>
      <c r="B698" s="26">
        <v>11.383970319037465</v>
      </c>
      <c r="C698" s="26"/>
      <c r="D698" s="26">
        <v>11.383970319037465</v>
      </c>
      <c r="E698" s="26"/>
      <c r="F698" s="26">
        <v>11.383970319037465</v>
      </c>
      <c r="G698" s="26">
        <v>8.8234206709425056</v>
      </c>
      <c r="H698" s="26"/>
      <c r="I698" s="26">
        <v>8.3445606709425046</v>
      </c>
      <c r="J698" s="26">
        <v>11.283970319037465</v>
      </c>
      <c r="K698" s="26">
        <v>7.4401405082909307</v>
      </c>
      <c r="L698" s="26">
        <v>11.283970319037465</v>
      </c>
      <c r="M698" s="26">
        <v>7.4401405082909307</v>
      </c>
      <c r="N698" s="26">
        <v>7.4401405082909307</v>
      </c>
      <c r="O698" s="26">
        <v>11.283970319037465</v>
      </c>
      <c r="P698" s="26">
        <v>7.4401405082909307</v>
      </c>
      <c r="Q698" s="26">
        <v>11.283970319037465</v>
      </c>
      <c r="R698" s="26">
        <v>7.7760006709425049</v>
      </c>
      <c r="S698" s="24"/>
    </row>
    <row r="699" spans="1:19" x14ac:dyDescent="0.25">
      <c r="A699" s="30">
        <v>6.94</v>
      </c>
      <c r="B699" s="30">
        <v>11.383970319037465</v>
      </c>
      <c r="C699" s="30"/>
      <c r="D699" s="30">
        <v>11.383970319037465</v>
      </c>
      <c r="E699" s="30"/>
      <c r="F699" s="30">
        <v>11.383970319037465</v>
      </c>
      <c r="G699" s="30">
        <v>8.8234206709425056</v>
      </c>
      <c r="H699" s="30"/>
      <c r="I699" s="30">
        <v>8.3445606709425046</v>
      </c>
      <c r="J699" s="30">
        <v>11.283970319037465</v>
      </c>
      <c r="K699" s="30">
        <v>7.4401405082909307</v>
      </c>
      <c r="L699" s="30">
        <v>11.283970319037465</v>
      </c>
      <c r="M699" s="30">
        <v>7.4401405082909307</v>
      </c>
      <c r="N699" s="30">
        <v>7.4401405082909307</v>
      </c>
      <c r="O699" s="30">
        <v>11.283970319037465</v>
      </c>
      <c r="P699" s="30">
        <v>7.4401405082909307</v>
      </c>
      <c r="Q699" s="30">
        <v>11.283970319037465</v>
      </c>
      <c r="R699" s="30">
        <v>7.7760006709425049</v>
      </c>
      <c r="S699" s="25"/>
    </row>
    <row r="700" spans="1:19" x14ac:dyDescent="0.25">
      <c r="A700" s="26">
        <v>6.95</v>
      </c>
      <c r="B700" s="26">
        <v>11.383970319037465</v>
      </c>
      <c r="C700" s="26"/>
      <c r="D700" s="26">
        <v>11.383970319037465</v>
      </c>
      <c r="E700" s="26"/>
      <c r="F700" s="26">
        <v>11.383970319037465</v>
      </c>
      <c r="G700" s="26">
        <v>8.8234206709425056</v>
      </c>
      <c r="H700" s="26"/>
      <c r="I700" s="26">
        <v>8.3445606709425046</v>
      </c>
      <c r="J700" s="26">
        <v>11.283970319037465</v>
      </c>
      <c r="K700" s="26">
        <v>7.4401405082909307</v>
      </c>
      <c r="L700" s="26">
        <v>11.283970319037465</v>
      </c>
      <c r="M700" s="26">
        <v>7.4401405082909307</v>
      </c>
      <c r="N700" s="26">
        <v>7.4401405082909307</v>
      </c>
      <c r="O700" s="26">
        <v>11.283970319037465</v>
      </c>
      <c r="P700" s="26">
        <v>7.4401405082909307</v>
      </c>
      <c r="Q700" s="26">
        <v>11.283970319037465</v>
      </c>
      <c r="R700" s="26">
        <v>7.7760006709425049</v>
      </c>
      <c r="S700" s="24"/>
    </row>
    <row r="701" spans="1:19" x14ac:dyDescent="0.25">
      <c r="A701" s="30">
        <v>6.96</v>
      </c>
      <c r="B701" s="30">
        <v>11.383970319037465</v>
      </c>
      <c r="C701" s="30"/>
      <c r="D701" s="30">
        <v>11.383970319037465</v>
      </c>
      <c r="E701" s="30"/>
      <c r="F701" s="30">
        <v>11.383970319037465</v>
      </c>
      <c r="G701" s="30">
        <v>8.8234206709425056</v>
      </c>
      <c r="H701" s="30"/>
      <c r="I701" s="30">
        <v>8.3445606709425046</v>
      </c>
      <c r="J701" s="30">
        <v>11.283970319037465</v>
      </c>
      <c r="K701" s="30">
        <v>7.4401405082909307</v>
      </c>
      <c r="L701" s="30">
        <v>11.283970319037465</v>
      </c>
      <c r="M701" s="30">
        <v>7.4401405082909307</v>
      </c>
      <c r="N701" s="30">
        <v>7.4401405082909307</v>
      </c>
      <c r="O701" s="30">
        <v>11.283970319037465</v>
      </c>
      <c r="P701" s="30">
        <v>7.4401405082909307</v>
      </c>
      <c r="Q701" s="30">
        <v>11.283970319037465</v>
      </c>
      <c r="R701" s="30">
        <v>7.7760006709425049</v>
      </c>
      <c r="S701" s="25"/>
    </row>
    <row r="702" spans="1:19" x14ac:dyDescent="0.25">
      <c r="A702" s="26">
        <v>6.97</v>
      </c>
      <c r="B702" s="26">
        <v>11.383970319037465</v>
      </c>
      <c r="C702" s="26"/>
      <c r="D702" s="26">
        <v>11.383970319037465</v>
      </c>
      <c r="E702" s="26"/>
      <c r="F702" s="26">
        <v>11.383970319037465</v>
      </c>
      <c r="G702" s="26">
        <v>9.4798343119541144</v>
      </c>
      <c r="H702" s="26"/>
      <c r="I702" s="26">
        <v>9.4798343119541144</v>
      </c>
      <c r="J702" s="26">
        <v>11.283970319037465</v>
      </c>
      <c r="K702" s="26">
        <v>9.4798343119541144</v>
      </c>
      <c r="L702" s="26">
        <v>11.283970319037465</v>
      </c>
      <c r="M702" s="26">
        <v>9.4798343119541144</v>
      </c>
      <c r="N702" s="26">
        <v>9.4798343119541144</v>
      </c>
      <c r="O702" s="26">
        <v>11.283970319037465</v>
      </c>
      <c r="P702" s="26">
        <v>9.4798343119541144</v>
      </c>
      <c r="Q702" s="26">
        <v>11.283970319037465</v>
      </c>
      <c r="R702" s="26">
        <v>9.4798343119541144</v>
      </c>
      <c r="S702" s="24"/>
    </row>
    <row r="703" spans="1:19" x14ac:dyDescent="0.25">
      <c r="A703" s="30">
        <v>6.98</v>
      </c>
      <c r="B703" s="30">
        <v>11.383970319037465</v>
      </c>
      <c r="C703" s="30"/>
      <c r="D703" s="30">
        <v>11.383970319037465</v>
      </c>
      <c r="E703" s="30"/>
      <c r="F703" s="30">
        <v>11.383970319037465</v>
      </c>
      <c r="G703" s="30">
        <v>9.4798343119541144</v>
      </c>
      <c r="H703" s="30"/>
      <c r="I703" s="30">
        <v>9.4798343119541144</v>
      </c>
      <c r="J703" s="30">
        <v>11.283970319037465</v>
      </c>
      <c r="K703" s="30">
        <v>9.4798343119541144</v>
      </c>
      <c r="L703" s="30">
        <v>11.283970319037465</v>
      </c>
      <c r="M703" s="30">
        <v>9.4798343119541144</v>
      </c>
      <c r="N703" s="30">
        <v>9.4798343119541144</v>
      </c>
      <c r="O703" s="30">
        <v>11.283970319037465</v>
      </c>
      <c r="P703" s="30">
        <v>9.4798343119541144</v>
      </c>
      <c r="Q703" s="30">
        <v>11.283970319037465</v>
      </c>
      <c r="R703" s="30">
        <v>9.4798343119541144</v>
      </c>
      <c r="S703" s="25"/>
    </row>
    <row r="704" spans="1:19" x14ac:dyDescent="0.25">
      <c r="A704" s="26">
        <v>6.99</v>
      </c>
      <c r="B704" s="26">
        <v>11.383970319037465</v>
      </c>
      <c r="C704" s="26"/>
      <c r="D704" s="26">
        <v>11.383970319037465</v>
      </c>
      <c r="E704" s="26"/>
      <c r="F704" s="26">
        <v>11.383970319037465</v>
      </c>
      <c r="G704" s="26">
        <v>9.4798343119541144</v>
      </c>
      <c r="H704" s="26"/>
      <c r="I704" s="26">
        <v>9.4798343119541144</v>
      </c>
      <c r="J704" s="26">
        <v>11.383970319037465</v>
      </c>
      <c r="K704" s="26">
        <v>9.4798343119541144</v>
      </c>
      <c r="L704" s="26">
        <v>11.383970319037465</v>
      </c>
      <c r="M704" s="26">
        <v>9.4798343119541144</v>
      </c>
      <c r="N704" s="26">
        <v>9.4798343119541144</v>
      </c>
      <c r="O704" s="26">
        <v>11.383970319037465</v>
      </c>
      <c r="P704" s="26">
        <v>9.4798343119541144</v>
      </c>
      <c r="Q704" s="26">
        <v>11.383970319037465</v>
      </c>
      <c r="R704" s="26">
        <v>9.4798343119541144</v>
      </c>
      <c r="S704" s="24"/>
    </row>
    <row r="705" spans="1:19" x14ac:dyDescent="0.25">
      <c r="A705" s="30">
        <v>7</v>
      </c>
      <c r="B705" s="30">
        <v>11.383970319037465</v>
      </c>
      <c r="C705" s="30"/>
      <c r="D705" s="30">
        <v>11.383970319037465</v>
      </c>
      <c r="E705" s="30"/>
      <c r="F705" s="30">
        <v>11.383970319037465</v>
      </c>
      <c r="G705" s="30">
        <v>9.4798343119541144</v>
      </c>
      <c r="H705" s="30"/>
      <c r="I705" s="30">
        <v>9.4798343119541144</v>
      </c>
      <c r="J705" s="30">
        <v>11.383970319037465</v>
      </c>
      <c r="K705" s="30">
        <v>9.4798343119541144</v>
      </c>
      <c r="L705" s="30">
        <v>11.383970319037465</v>
      </c>
      <c r="M705" s="30">
        <v>9.4798343119541144</v>
      </c>
      <c r="N705" s="30">
        <v>9.4798343119541144</v>
      </c>
      <c r="O705" s="30">
        <v>11.383970319037465</v>
      </c>
      <c r="P705" s="30">
        <v>9.4798343119541144</v>
      </c>
      <c r="Q705" s="30">
        <v>11.383970319037465</v>
      </c>
      <c r="R705" s="30">
        <v>9.4798343119541144</v>
      </c>
      <c r="S705" s="25"/>
    </row>
    <row r="706" spans="1:19" x14ac:dyDescent="0.25">
      <c r="A706" s="26">
        <v>7.01</v>
      </c>
      <c r="B706" s="26">
        <v>11.483970319037466</v>
      </c>
      <c r="C706" s="26"/>
      <c r="D706" s="26">
        <v>11.483970319037466</v>
      </c>
      <c r="E706" s="26"/>
      <c r="F706" s="26">
        <v>11.483970319037466</v>
      </c>
      <c r="G706" s="26">
        <v>9.6119106344371197</v>
      </c>
      <c r="H706" s="26"/>
      <c r="I706" s="26">
        <v>9.6119106344371197</v>
      </c>
      <c r="J706" s="26">
        <v>11.383970319037465</v>
      </c>
      <c r="K706" s="26">
        <v>9.6119106344371197</v>
      </c>
      <c r="L706" s="26">
        <v>11.383970319037465</v>
      </c>
      <c r="M706" s="26">
        <v>9.6119106344371197</v>
      </c>
      <c r="N706" s="26">
        <v>9.6119106344371197</v>
      </c>
      <c r="O706" s="26">
        <v>11.383970319037465</v>
      </c>
      <c r="P706" s="26">
        <v>9.6119106344371197</v>
      </c>
      <c r="Q706" s="26">
        <v>11.383970319037465</v>
      </c>
      <c r="R706" s="26">
        <v>9.6119106344371197</v>
      </c>
      <c r="S706" s="24"/>
    </row>
    <row r="707" spans="1:19" x14ac:dyDescent="0.25">
      <c r="A707" s="30">
        <v>7.02</v>
      </c>
      <c r="B707" s="30">
        <v>11.483970319037466</v>
      </c>
      <c r="C707" s="30"/>
      <c r="D707" s="30">
        <v>11.483970319037466</v>
      </c>
      <c r="E707" s="30"/>
      <c r="F707" s="30">
        <v>11.483970319037466</v>
      </c>
      <c r="G707" s="30">
        <v>9.6119106344371197</v>
      </c>
      <c r="H707" s="30"/>
      <c r="I707" s="30">
        <v>9.6119106344371197</v>
      </c>
      <c r="J707" s="30">
        <v>11.383970319037465</v>
      </c>
      <c r="K707" s="30">
        <v>9.6119106344371197</v>
      </c>
      <c r="L707" s="30">
        <v>11.383970319037465</v>
      </c>
      <c r="M707" s="30">
        <v>9.6119106344371197</v>
      </c>
      <c r="N707" s="30">
        <v>9.6119106344371197</v>
      </c>
      <c r="O707" s="30">
        <v>11.383970319037465</v>
      </c>
      <c r="P707" s="30">
        <v>9.6119106344371197</v>
      </c>
      <c r="Q707" s="30">
        <v>11.383970319037465</v>
      </c>
      <c r="R707" s="30">
        <v>9.6119106344371197</v>
      </c>
      <c r="S707" s="25"/>
    </row>
    <row r="708" spans="1:19" x14ac:dyDescent="0.25">
      <c r="A708" s="26">
        <v>7.03</v>
      </c>
      <c r="B708" s="26">
        <v>11.483970319037466</v>
      </c>
      <c r="C708" s="26"/>
      <c r="D708" s="26">
        <v>11.483970319037466</v>
      </c>
      <c r="E708" s="26"/>
      <c r="F708" s="26">
        <v>11.483970319037466</v>
      </c>
      <c r="G708" s="26">
        <v>11.183970319037465</v>
      </c>
      <c r="H708" s="26"/>
      <c r="I708" s="26">
        <v>11.183970319037465</v>
      </c>
      <c r="J708" s="26">
        <v>11.383970319037465</v>
      </c>
      <c r="K708" s="26">
        <v>11.183970319037465</v>
      </c>
      <c r="L708" s="26">
        <v>11.383970319037465</v>
      </c>
      <c r="M708" s="26">
        <v>11.183970319037465</v>
      </c>
      <c r="N708" s="26">
        <v>11.183970319037465</v>
      </c>
      <c r="O708" s="26">
        <v>11.383970319037465</v>
      </c>
      <c r="P708" s="26">
        <v>11.183970319037465</v>
      </c>
      <c r="Q708" s="26">
        <v>11.383970319037465</v>
      </c>
      <c r="R708" s="26">
        <v>11.183970319037465</v>
      </c>
      <c r="S708" s="24"/>
    </row>
    <row r="709" spans="1:19" x14ac:dyDescent="0.25">
      <c r="A709" s="30">
        <v>7.04</v>
      </c>
      <c r="B709" s="30">
        <v>11.483970319037466</v>
      </c>
      <c r="C709" s="30"/>
      <c r="D709" s="30">
        <v>11.483970319037466</v>
      </c>
      <c r="E709" s="30"/>
      <c r="F709" s="30">
        <v>11.483970319037466</v>
      </c>
      <c r="G709" s="30">
        <v>11.183970319037465</v>
      </c>
      <c r="H709" s="30"/>
      <c r="I709" s="30">
        <v>11.183970319037465</v>
      </c>
      <c r="J709" s="30">
        <v>11.383970319037465</v>
      </c>
      <c r="K709" s="30">
        <v>11.183970319037465</v>
      </c>
      <c r="L709" s="30">
        <v>11.383970319037465</v>
      </c>
      <c r="M709" s="30">
        <v>11.183970319037465</v>
      </c>
      <c r="N709" s="30">
        <v>11.183970319037465</v>
      </c>
      <c r="O709" s="30">
        <v>11.383970319037465</v>
      </c>
      <c r="P709" s="30">
        <v>11.183970319037465</v>
      </c>
      <c r="Q709" s="30">
        <v>11.383970319037465</v>
      </c>
      <c r="R709" s="30">
        <v>11.183970319037465</v>
      </c>
      <c r="S709" s="25"/>
    </row>
    <row r="710" spans="1:19" x14ac:dyDescent="0.25">
      <c r="A710" s="26">
        <v>7.05</v>
      </c>
      <c r="B710" s="26">
        <v>11.483970319037466</v>
      </c>
      <c r="C710" s="26"/>
      <c r="D710" s="26">
        <v>11.483970319037466</v>
      </c>
      <c r="E710" s="26"/>
      <c r="F710" s="26">
        <v>11.483970319037466</v>
      </c>
      <c r="G710" s="26">
        <v>11.183970319037465</v>
      </c>
      <c r="H710" s="26"/>
      <c r="I710" s="26">
        <v>11.183970319037465</v>
      </c>
      <c r="J710" s="26">
        <v>11.383970319037465</v>
      </c>
      <c r="K710" s="26">
        <v>11.183970319037465</v>
      </c>
      <c r="L710" s="26">
        <v>11.383970319037465</v>
      </c>
      <c r="M710" s="26">
        <v>11.183970319037465</v>
      </c>
      <c r="N710" s="26">
        <v>11.183970319037465</v>
      </c>
      <c r="O710" s="26">
        <v>11.383970319037465</v>
      </c>
      <c r="P710" s="26">
        <v>11.183970319037465</v>
      </c>
      <c r="Q710" s="26">
        <v>11.383970319037465</v>
      </c>
      <c r="R710" s="26">
        <v>11.183970319037465</v>
      </c>
      <c r="S710" s="24"/>
    </row>
    <row r="711" spans="1:19" x14ac:dyDescent="0.25">
      <c r="A711" s="30">
        <v>7.06</v>
      </c>
      <c r="B711" s="30">
        <v>11.483970319037466</v>
      </c>
      <c r="C711" s="30"/>
      <c r="D711" s="30">
        <v>11.483970319037466</v>
      </c>
      <c r="E711" s="30"/>
      <c r="F711" s="30">
        <v>11.483970319037466</v>
      </c>
      <c r="G711" s="30">
        <v>11.183970319037465</v>
      </c>
      <c r="H711" s="30"/>
      <c r="I711" s="30">
        <v>11.183970319037465</v>
      </c>
      <c r="J711" s="30">
        <v>11.383970319037465</v>
      </c>
      <c r="K711" s="30">
        <v>11.183970319037465</v>
      </c>
      <c r="L711" s="30">
        <v>11.383970319037465</v>
      </c>
      <c r="M711" s="30">
        <v>11.183970319037465</v>
      </c>
      <c r="N711" s="30">
        <v>11.183970319037465</v>
      </c>
      <c r="O711" s="30">
        <v>11.383970319037465</v>
      </c>
      <c r="P711" s="30">
        <v>11.183970319037465</v>
      </c>
      <c r="Q711" s="30">
        <v>11.383970319037465</v>
      </c>
      <c r="R711" s="30">
        <v>11.183970319037465</v>
      </c>
      <c r="S711" s="25"/>
    </row>
    <row r="712" spans="1:19" x14ac:dyDescent="0.25">
      <c r="A712" s="26">
        <v>7.07</v>
      </c>
      <c r="B712" s="26">
        <v>11.483970319037466</v>
      </c>
      <c r="C712" s="26"/>
      <c r="D712" s="26">
        <v>11.483970319037466</v>
      </c>
      <c r="E712" s="26"/>
      <c r="F712" s="26">
        <v>11.483970319037466</v>
      </c>
      <c r="G712" s="26">
        <v>11.183970319037465</v>
      </c>
      <c r="H712" s="26"/>
      <c r="I712" s="26">
        <v>11.183970319037465</v>
      </c>
      <c r="J712" s="26">
        <v>11.383970319037465</v>
      </c>
      <c r="K712" s="26">
        <v>11.183970319037465</v>
      </c>
      <c r="L712" s="26">
        <v>11.383970319037465</v>
      </c>
      <c r="M712" s="26">
        <v>11.183970319037465</v>
      </c>
      <c r="N712" s="26">
        <v>11.183970319037465</v>
      </c>
      <c r="O712" s="26">
        <v>11.383970319037465</v>
      </c>
      <c r="P712" s="26">
        <v>11.183970319037465</v>
      </c>
      <c r="Q712" s="26">
        <v>11.383970319037465</v>
      </c>
      <c r="R712" s="26">
        <v>11.183970319037465</v>
      </c>
      <c r="S712" s="24"/>
    </row>
    <row r="713" spans="1:19" x14ac:dyDescent="0.25">
      <c r="A713" s="30">
        <v>7.08</v>
      </c>
      <c r="B713" s="30">
        <v>11.483970319037466</v>
      </c>
      <c r="C713" s="30"/>
      <c r="D713" s="30">
        <v>11.483970319037466</v>
      </c>
      <c r="E713" s="30"/>
      <c r="F713" s="30">
        <v>11.483970319037466</v>
      </c>
      <c r="G713" s="30">
        <v>11.283970319037465</v>
      </c>
      <c r="H713" s="30"/>
      <c r="I713" s="30">
        <v>11.283970319037465</v>
      </c>
      <c r="J713" s="30">
        <v>11.383970319037465</v>
      </c>
      <c r="K713" s="30">
        <v>11.283970319037465</v>
      </c>
      <c r="L713" s="30">
        <v>11.383970319037465</v>
      </c>
      <c r="M713" s="30">
        <v>11.283970319037465</v>
      </c>
      <c r="N713" s="30">
        <v>11.283970319037465</v>
      </c>
      <c r="O713" s="30">
        <v>11.383970319037465</v>
      </c>
      <c r="P713" s="30">
        <v>11.283970319037465</v>
      </c>
      <c r="Q713" s="30">
        <v>11.383970319037465</v>
      </c>
      <c r="R713" s="30">
        <v>11.283970319037465</v>
      </c>
      <c r="S713" s="25"/>
    </row>
    <row r="714" spans="1:19" x14ac:dyDescent="0.25">
      <c r="A714" s="26">
        <v>7.09</v>
      </c>
      <c r="B714" s="26">
        <v>11.483970319037466</v>
      </c>
      <c r="C714" s="26"/>
      <c r="D714" s="26">
        <v>11.483970319037466</v>
      </c>
      <c r="E714" s="26"/>
      <c r="F714" s="26">
        <v>11.483970319037466</v>
      </c>
      <c r="G714" s="26">
        <v>11.283970319037465</v>
      </c>
      <c r="H714" s="26"/>
      <c r="I714" s="26">
        <v>11.283970319037465</v>
      </c>
      <c r="J714" s="26">
        <v>11.383970319037465</v>
      </c>
      <c r="K714" s="26">
        <v>11.283970319037465</v>
      </c>
      <c r="L714" s="26">
        <v>11.383970319037465</v>
      </c>
      <c r="M714" s="26">
        <v>11.283970319037465</v>
      </c>
      <c r="N714" s="26">
        <v>11.283970319037465</v>
      </c>
      <c r="O714" s="26">
        <v>11.383970319037465</v>
      </c>
      <c r="P714" s="26">
        <v>11.283970319037465</v>
      </c>
      <c r="Q714" s="26">
        <v>11.383970319037465</v>
      </c>
      <c r="R714" s="26">
        <v>11.283970319037465</v>
      </c>
      <c r="S714" s="24"/>
    </row>
    <row r="715" spans="1:19" x14ac:dyDescent="0.25">
      <c r="A715" s="30">
        <v>7.1</v>
      </c>
      <c r="B715" s="30">
        <v>11.483970319037466</v>
      </c>
      <c r="C715" s="30"/>
      <c r="D715" s="30">
        <v>11.483970319037466</v>
      </c>
      <c r="E715" s="30"/>
      <c r="F715" s="30">
        <v>11.483970319037466</v>
      </c>
      <c r="G715" s="30">
        <v>11.283970319037465</v>
      </c>
      <c r="H715" s="30"/>
      <c r="I715" s="30">
        <v>11.283970319037465</v>
      </c>
      <c r="J715" s="30">
        <v>11.383970319037465</v>
      </c>
      <c r="K715" s="30">
        <v>11.283970319037465</v>
      </c>
      <c r="L715" s="30">
        <v>11.383970319037465</v>
      </c>
      <c r="M715" s="30">
        <v>11.283970319037465</v>
      </c>
      <c r="N715" s="30">
        <v>11.283970319037465</v>
      </c>
      <c r="O715" s="30">
        <v>11.383970319037465</v>
      </c>
      <c r="P715" s="30">
        <v>11.283970319037465</v>
      </c>
      <c r="Q715" s="30">
        <v>11.383970319037465</v>
      </c>
      <c r="R715" s="30">
        <v>11.283970319037465</v>
      </c>
      <c r="S715" s="25"/>
    </row>
    <row r="716" spans="1:19" x14ac:dyDescent="0.25">
      <c r="A716" s="26">
        <v>7.11</v>
      </c>
      <c r="B716" s="26">
        <v>11.483970319037466</v>
      </c>
      <c r="C716" s="26"/>
      <c r="D716" s="26">
        <v>11.483970319037466</v>
      </c>
      <c r="E716" s="26"/>
      <c r="F716" s="26">
        <v>11.483970319037466</v>
      </c>
      <c r="G716" s="26">
        <v>11.283970319037465</v>
      </c>
      <c r="H716" s="26"/>
      <c r="I716" s="26">
        <v>11.283970319037465</v>
      </c>
      <c r="J716" s="26">
        <v>11.383970319037465</v>
      </c>
      <c r="K716" s="26">
        <v>11.283970319037465</v>
      </c>
      <c r="L716" s="26">
        <v>11.383970319037465</v>
      </c>
      <c r="M716" s="26">
        <v>11.283970319037465</v>
      </c>
      <c r="N716" s="26">
        <v>11.283970319037465</v>
      </c>
      <c r="O716" s="26">
        <v>11.383970319037465</v>
      </c>
      <c r="P716" s="26">
        <v>11.283970319037465</v>
      </c>
      <c r="Q716" s="26">
        <v>11.383970319037465</v>
      </c>
      <c r="R716" s="26">
        <v>11.283970319037465</v>
      </c>
      <c r="S716" s="24"/>
    </row>
    <row r="717" spans="1:19" x14ac:dyDescent="0.25">
      <c r="A717" s="30">
        <v>7.12</v>
      </c>
      <c r="B717" s="30">
        <v>11.483970319037466</v>
      </c>
      <c r="C717" s="30"/>
      <c r="D717" s="30">
        <v>11.483970319037466</v>
      </c>
      <c r="E717" s="30"/>
      <c r="F717" s="30">
        <v>11.483970319037466</v>
      </c>
      <c r="G717" s="30">
        <v>11.283970319037465</v>
      </c>
      <c r="H717" s="30"/>
      <c r="I717" s="30">
        <v>11.283970319037465</v>
      </c>
      <c r="J717" s="30">
        <v>11.483970319037466</v>
      </c>
      <c r="K717" s="30">
        <v>11.283970319037465</v>
      </c>
      <c r="L717" s="30">
        <v>11.483970319037466</v>
      </c>
      <c r="M717" s="30">
        <v>11.283970319037465</v>
      </c>
      <c r="N717" s="30">
        <v>11.283970319037465</v>
      </c>
      <c r="O717" s="30">
        <v>11.483970319037466</v>
      </c>
      <c r="P717" s="30">
        <v>11.283970319037465</v>
      </c>
      <c r="Q717" s="30">
        <v>11.483970319037466</v>
      </c>
      <c r="R717" s="30">
        <v>11.283970319037465</v>
      </c>
      <c r="S717" s="25"/>
    </row>
    <row r="718" spans="1:19" x14ac:dyDescent="0.25">
      <c r="A718" s="26">
        <v>7.13</v>
      </c>
      <c r="B718" s="26">
        <v>11.483970319037466</v>
      </c>
      <c r="C718" s="26"/>
      <c r="D718" s="26">
        <v>11.483970319037466</v>
      </c>
      <c r="E718" s="26"/>
      <c r="F718" s="26">
        <v>11.483970319037466</v>
      </c>
      <c r="G718" s="26">
        <v>11.283970319037465</v>
      </c>
      <c r="H718" s="26"/>
      <c r="I718" s="26">
        <v>11.283970319037465</v>
      </c>
      <c r="J718" s="26">
        <v>11.483970319037466</v>
      </c>
      <c r="K718" s="26">
        <v>11.283970319037465</v>
      </c>
      <c r="L718" s="26">
        <v>11.483970319037466</v>
      </c>
      <c r="M718" s="26">
        <v>11.283970319037465</v>
      </c>
      <c r="N718" s="26">
        <v>11.283970319037465</v>
      </c>
      <c r="O718" s="26">
        <v>11.483970319037466</v>
      </c>
      <c r="P718" s="26">
        <v>11.283970319037465</v>
      </c>
      <c r="Q718" s="26">
        <v>11.483970319037466</v>
      </c>
      <c r="R718" s="26">
        <v>11.283970319037465</v>
      </c>
      <c r="S718" s="24"/>
    </row>
    <row r="719" spans="1:19" x14ac:dyDescent="0.25">
      <c r="A719" s="30">
        <v>7.14</v>
      </c>
      <c r="B719" s="30">
        <v>11.483970319037466</v>
      </c>
      <c r="C719" s="30"/>
      <c r="D719" s="30">
        <v>11.483970319037466</v>
      </c>
      <c r="E719" s="30"/>
      <c r="F719" s="30">
        <v>11.483970319037466</v>
      </c>
      <c r="G719" s="30">
        <v>11.283970319037465</v>
      </c>
      <c r="H719" s="30"/>
      <c r="I719" s="30">
        <v>11.283970319037465</v>
      </c>
      <c r="J719" s="30">
        <v>11.483970319037466</v>
      </c>
      <c r="K719" s="30">
        <v>11.283970319037465</v>
      </c>
      <c r="L719" s="30">
        <v>11.483970319037466</v>
      </c>
      <c r="M719" s="30">
        <v>11.283970319037465</v>
      </c>
      <c r="N719" s="30">
        <v>11.283970319037465</v>
      </c>
      <c r="O719" s="30">
        <v>11.483970319037466</v>
      </c>
      <c r="P719" s="30">
        <v>11.283970319037465</v>
      </c>
      <c r="Q719" s="30">
        <v>11.483970319037466</v>
      </c>
      <c r="R719" s="30">
        <v>11.283970319037465</v>
      </c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11.283970319037465</v>
      </c>
      <c r="H720" s="26"/>
      <c r="I720" s="26">
        <v>11.283970319037465</v>
      </c>
      <c r="J720" s="26">
        <v>11.483970319037466</v>
      </c>
      <c r="K720" s="26">
        <v>11.283970319037465</v>
      </c>
      <c r="L720" s="26">
        <v>11.483970319037466</v>
      </c>
      <c r="M720" s="26">
        <v>11.283970319037465</v>
      </c>
      <c r="N720" s="26">
        <v>11.283970319037465</v>
      </c>
      <c r="O720" s="26">
        <v>11.483970319037466</v>
      </c>
      <c r="P720" s="26">
        <v>11.283970319037465</v>
      </c>
      <c r="Q720" s="26">
        <v>11.483970319037466</v>
      </c>
      <c r="R720" s="26">
        <v>11.283970319037465</v>
      </c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11.283970319037465</v>
      </c>
      <c r="H721" s="30"/>
      <c r="I721" s="30">
        <v>11.283970319037465</v>
      </c>
      <c r="J721" s="30">
        <v>11.483970319037466</v>
      </c>
      <c r="K721" s="30">
        <v>11.283970319037465</v>
      </c>
      <c r="L721" s="30">
        <v>11.483970319037466</v>
      </c>
      <c r="M721" s="30">
        <v>11.283970319037465</v>
      </c>
      <c r="N721" s="30">
        <v>11.283970319037465</v>
      </c>
      <c r="O721" s="30">
        <v>11.483970319037466</v>
      </c>
      <c r="P721" s="30">
        <v>11.283970319037465</v>
      </c>
      <c r="Q721" s="30">
        <v>11.483970319037466</v>
      </c>
      <c r="R721" s="30">
        <v>11.283970319037465</v>
      </c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11.283970319037465</v>
      </c>
      <c r="H722" s="26"/>
      <c r="I722" s="26">
        <v>11.283970319037465</v>
      </c>
      <c r="J722" s="26">
        <v>11.483970319037466</v>
      </c>
      <c r="K722" s="26">
        <v>11.283970319037465</v>
      </c>
      <c r="L722" s="26">
        <v>11.483970319037466</v>
      </c>
      <c r="M722" s="26">
        <v>11.283970319037465</v>
      </c>
      <c r="N722" s="26">
        <v>11.283970319037465</v>
      </c>
      <c r="O722" s="26">
        <v>11.483970319037466</v>
      </c>
      <c r="P722" s="26">
        <v>11.283970319037465</v>
      </c>
      <c r="Q722" s="26">
        <v>11.483970319037466</v>
      </c>
      <c r="R722" s="26">
        <v>11.283970319037465</v>
      </c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11.283970319037465</v>
      </c>
      <c r="H723" s="30"/>
      <c r="I723" s="30">
        <v>11.283970319037465</v>
      </c>
      <c r="J723" s="30">
        <v>11.483970319037466</v>
      </c>
      <c r="K723" s="30">
        <v>11.283970319037465</v>
      </c>
      <c r="L723" s="30">
        <v>11.483970319037466</v>
      </c>
      <c r="M723" s="30">
        <v>11.283970319037465</v>
      </c>
      <c r="N723" s="30">
        <v>11.283970319037465</v>
      </c>
      <c r="O723" s="30">
        <v>11.483970319037466</v>
      </c>
      <c r="P723" s="30">
        <v>11.283970319037465</v>
      </c>
      <c r="Q723" s="30">
        <v>11.483970319037466</v>
      </c>
      <c r="R723" s="30">
        <v>11.283970319037465</v>
      </c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11.283970319037465</v>
      </c>
      <c r="H724" s="26"/>
      <c r="I724" s="26">
        <v>11.283970319037465</v>
      </c>
      <c r="J724" s="26">
        <v>11.483970319037466</v>
      </c>
      <c r="K724" s="26">
        <v>11.283970319037465</v>
      </c>
      <c r="L724" s="26">
        <v>11.483970319037466</v>
      </c>
      <c r="M724" s="26">
        <v>11.283970319037465</v>
      </c>
      <c r="N724" s="26">
        <v>11.283970319037465</v>
      </c>
      <c r="O724" s="26">
        <v>11.483970319037466</v>
      </c>
      <c r="P724" s="26">
        <v>11.283970319037465</v>
      </c>
      <c r="Q724" s="26">
        <v>11.483970319037466</v>
      </c>
      <c r="R724" s="26">
        <v>11.283970319037465</v>
      </c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11.283970319037465</v>
      </c>
      <c r="H725" s="30"/>
      <c r="I725" s="30">
        <v>11.283970319037465</v>
      </c>
      <c r="J725" s="30">
        <v>11.483970319037466</v>
      </c>
      <c r="K725" s="30">
        <v>11.283970319037465</v>
      </c>
      <c r="L725" s="30">
        <v>11.483970319037466</v>
      </c>
      <c r="M725" s="30">
        <v>11.283970319037465</v>
      </c>
      <c r="N725" s="30">
        <v>11.283970319037465</v>
      </c>
      <c r="O725" s="30">
        <v>11.483970319037466</v>
      </c>
      <c r="P725" s="30">
        <v>11.283970319037465</v>
      </c>
      <c r="Q725" s="30">
        <v>11.483970319037466</v>
      </c>
      <c r="R725" s="30">
        <v>11.283970319037465</v>
      </c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11.283970319037465</v>
      </c>
      <c r="H726" s="26"/>
      <c r="I726" s="26">
        <v>11.283970319037465</v>
      </c>
      <c r="J726" s="26">
        <v>11.483970319037466</v>
      </c>
      <c r="K726" s="26">
        <v>11.283970319037465</v>
      </c>
      <c r="L726" s="26">
        <v>11.483970319037466</v>
      </c>
      <c r="M726" s="26">
        <v>11.283970319037465</v>
      </c>
      <c r="N726" s="26">
        <v>11.283970319037465</v>
      </c>
      <c r="O726" s="26">
        <v>11.483970319037466</v>
      </c>
      <c r="P726" s="26">
        <v>11.283970319037465</v>
      </c>
      <c r="Q726" s="26">
        <v>11.483970319037466</v>
      </c>
      <c r="R726" s="26">
        <v>11.283970319037465</v>
      </c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11.383970319037465</v>
      </c>
      <c r="H727" s="30"/>
      <c r="I727" s="30">
        <v>11.383970319037465</v>
      </c>
      <c r="J727" s="30">
        <v>11.483970319037466</v>
      </c>
      <c r="K727" s="30">
        <v>11.383970319037465</v>
      </c>
      <c r="L727" s="30">
        <v>11.483970319037466</v>
      </c>
      <c r="M727" s="30">
        <v>11.383970319037465</v>
      </c>
      <c r="N727" s="30">
        <v>11.383970319037465</v>
      </c>
      <c r="O727" s="30">
        <v>11.483970319037466</v>
      </c>
      <c r="P727" s="30">
        <v>11.383970319037465</v>
      </c>
      <c r="Q727" s="30">
        <v>11.483970319037466</v>
      </c>
      <c r="R727" s="30">
        <v>11.383970319037465</v>
      </c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11.383970319037465</v>
      </c>
      <c r="H728" s="26"/>
      <c r="I728" s="26">
        <v>11.383970319037465</v>
      </c>
      <c r="J728" s="26">
        <v>11.483970319037466</v>
      </c>
      <c r="K728" s="26">
        <v>11.383970319037465</v>
      </c>
      <c r="L728" s="26">
        <v>11.483970319037466</v>
      </c>
      <c r="M728" s="26">
        <v>11.383970319037465</v>
      </c>
      <c r="N728" s="26">
        <v>11.383970319037465</v>
      </c>
      <c r="O728" s="26">
        <v>11.483970319037466</v>
      </c>
      <c r="P728" s="26">
        <v>11.383970319037465</v>
      </c>
      <c r="Q728" s="26">
        <v>11.483970319037466</v>
      </c>
      <c r="R728" s="26">
        <v>11.383970319037465</v>
      </c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11.383970319037465</v>
      </c>
      <c r="H729" s="30"/>
      <c r="I729" s="30">
        <v>11.383970319037465</v>
      </c>
      <c r="J729" s="30">
        <v>11.483970319037466</v>
      </c>
      <c r="K729" s="30">
        <v>11.383970319037465</v>
      </c>
      <c r="L729" s="30">
        <v>11.483970319037466</v>
      </c>
      <c r="M729" s="30">
        <v>11.383970319037465</v>
      </c>
      <c r="N729" s="30">
        <v>11.383970319037465</v>
      </c>
      <c r="O729" s="30">
        <v>11.483970319037466</v>
      </c>
      <c r="P729" s="30">
        <v>11.383970319037465</v>
      </c>
      <c r="Q729" s="30">
        <v>11.483970319037466</v>
      </c>
      <c r="R729" s="30">
        <v>11.383970319037465</v>
      </c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11.383970319037465</v>
      </c>
      <c r="H730" s="26"/>
      <c r="I730" s="26">
        <v>11.383970319037465</v>
      </c>
      <c r="J730" s="26">
        <v>11.483970319037466</v>
      </c>
      <c r="K730" s="26">
        <v>11.383970319037465</v>
      </c>
      <c r="L730" s="26">
        <v>11.483970319037466</v>
      </c>
      <c r="M730" s="26">
        <v>11.383970319037465</v>
      </c>
      <c r="N730" s="26">
        <v>11.383970319037465</v>
      </c>
      <c r="O730" s="26">
        <v>11.483970319037466</v>
      </c>
      <c r="P730" s="26">
        <v>11.383970319037465</v>
      </c>
      <c r="Q730" s="26">
        <v>11.483970319037466</v>
      </c>
      <c r="R730" s="26">
        <v>11.383970319037465</v>
      </c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11.383970319037465</v>
      </c>
      <c r="H731" s="30"/>
      <c r="I731" s="30">
        <v>11.383970319037465</v>
      </c>
      <c r="J731" s="30"/>
      <c r="K731" s="30">
        <v>11.383970319037465</v>
      </c>
      <c r="L731" s="30"/>
      <c r="M731" s="30">
        <v>11.383970319037465</v>
      </c>
      <c r="N731" s="30">
        <v>11.383970319037465</v>
      </c>
      <c r="O731" s="30"/>
      <c r="P731" s="30">
        <v>11.383970319037465</v>
      </c>
      <c r="Q731" s="30"/>
      <c r="R731" s="30">
        <v>11.383970319037465</v>
      </c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11.383970319037465</v>
      </c>
      <c r="H732" s="26"/>
      <c r="I732" s="26">
        <v>11.383970319037465</v>
      </c>
      <c r="J732" s="26"/>
      <c r="K732" s="26">
        <v>11.383970319037465</v>
      </c>
      <c r="L732" s="26"/>
      <c r="M732" s="26">
        <v>11.383970319037465</v>
      </c>
      <c r="N732" s="26">
        <v>11.383970319037465</v>
      </c>
      <c r="O732" s="26"/>
      <c r="P732" s="26">
        <v>11.383970319037465</v>
      </c>
      <c r="Q732" s="26"/>
      <c r="R732" s="26">
        <v>11.383970319037465</v>
      </c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11.383970319037465</v>
      </c>
      <c r="H733" s="30"/>
      <c r="I733" s="30">
        <v>11.383970319037465</v>
      </c>
      <c r="J733" s="30"/>
      <c r="K733" s="30">
        <v>11.383970319037465</v>
      </c>
      <c r="L733" s="30"/>
      <c r="M733" s="30">
        <v>11.383970319037465</v>
      </c>
      <c r="N733" s="30">
        <v>11.383970319037465</v>
      </c>
      <c r="O733" s="30"/>
      <c r="P733" s="30">
        <v>11.383970319037465</v>
      </c>
      <c r="Q733" s="30"/>
      <c r="R733" s="30">
        <v>11.383970319037465</v>
      </c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11.383970319037465</v>
      </c>
      <c r="H734" s="26"/>
      <c r="I734" s="26">
        <v>11.383970319037465</v>
      </c>
      <c r="J734" s="26"/>
      <c r="K734" s="26">
        <v>11.383970319037465</v>
      </c>
      <c r="L734" s="26"/>
      <c r="M734" s="26">
        <v>11.383970319037465</v>
      </c>
      <c r="N734" s="26">
        <v>11.383970319037465</v>
      </c>
      <c r="O734" s="26"/>
      <c r="P734" s="26">
        <v>11.383970319037465</v>
      </c>
      <c r="Q734" s="26"/>
      <c r="R734" s="26">
        <v>11.383970319037465</v>
      </c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11.383970319037465</v>
      </c>
      <c r="H735" s="30"/>
      <c r="I735" s="30">
        <v>11.383970319037465</v>
      </c>
      <c r="J735" s="30"/>
      <c r="K735" s="30">
        <v>11.383970319037465</v>
      </c>
      <c r="L735" s="30"/>
      <c r="M735" s="30">
        <v>11.383970319037465</v>
      </c>
      <c r="N735" s="30">
        <v>11.383970319037465</v>
      </c>
      <c r="O735" s="30"/>
      <c r="P735" s="30">
        <v>11.383970319037465</v>
      </c>
      <c r="Q735" s="30"/>
      <c r="R735" s="30">
        <v>11.383970319037465</v>
      </c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11.383970319037465</v>
      </c>
      <c r="H736" s="26"/>
      <c r="I736" s="26">
        <v>11.383970319037465</v>
      </c>
      <c r="J736" s="26"/>
      <c r="K736" s="26">
        <v>11.383970319037465</v>
      </c>
      <c r="L736" s="26"/>
      <c r="M736" s="26">
        <v>11.383970319037465</v>
      </c>
      <c r="N736" s="26">
        <v>11.383970319037465</v>
      </c>
      <c r="O736" s="26"/>
      <c r="P736" s="26">
        <v>11.383970319037465</v>
      </c>
      <c r="Q736" s="26"/>
      <c r="R736" s="26">
        <v>11.383970319037465</v>
      </c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11.383970319037465</v>
      </c>
      <c r="H737" s="30"/>
      <c r="I737" s="30">
        <v>11.383970319037465</v>
      </c>
      <c r="J737" s="30"/>
      <c r="K737" s="30">
        <v>11.383970319037465</v>
      </c>
      <c r="L737" s="30"/>
      <c r="M737" s="30">
        <v>11.383970319037465</v>
      </c>
      <c r="N737" s="30">
        <v>11.383970319037465</v>
      </c>
      <c r="O737" s="30"/>
      <c r="P737" s="30">
        <v>11.383970319037465</v>
      </c>
      <c r="Q737" s="30"/>
      <c r="R737" s="30">
        <v>11.383970319037465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11.383970319037465</v>
      </c>
      <c r="H738" s="26"/>
      <c r="I738" s="26">
        <v>11.383970319037465</v>
      </c>
      <c r="J738" s="26"/>
      <c r="K738" s="26">
        <v>11.383970319037465</v>
      </c>
      <c r="L738" s="26"/>
      <c r="M738" s="26">
        <v>11.383970319037465</v>
      </c>
      <c r="N738" s="26">
        <v>11.383970319037465</v>
      </c>
      <c r="O738" s="26"/>
      <c r="P738" s="26">
        <v>11.383970319037465</v>
      </c>
      <c r="Q738" s="26"/>
      <c r="R738" s="26">
        <v>11.383970319037465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11.383970319037465</v>
      </c>
      <c r="H739" s="30"/>
      <c r="I739" s="30">
        <v>11.383970319037465</v>
      </c>
      <c r="J739" s="30"/>
      <c r="K739" s="30">
        <v>11.383970319037465</v>
      </c>
      <c r="L739" s="30"/>
      <c r="M739" s="30">
        <v>11.383970319037465</v>
      </c>
      <c r="N739" s="30">
        <v>11.383970319037465</v>
      </c>
      <c r="O739" s="30"/>
      <c r="P739" s="30">
        <v>11.383970319037465</v>
      </c>
      <c r="Q739" s="30"/>
      <c r="R739" s="30">
        <v>11.383970319037465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11.383970319037465</v>
      </c>
      <c r="H740" s="26"/>
      <c r="I740" s="26">
        <v>11.383970319037465</v>
      </c>
      <c r="J740" s="26"/>
      <c r="K740" s="26">
        <v>11.383970319037465</v>
      </c>
      <c r="L740" s="26"/>
      <c r="M740" s="26">
        <v>11.383970319037465</v>
      </c>
      <c r="N740" s="26">
        <v>11.383970319037465</v>
      </c>
      <c r="O740" s="26"/>
      <c r="P740" s="26">
        <v>11.383970319037465</v>
      </c>
      <c r="Q740" s="26"/>
      <c r="R740" s="26">
        <v>11.383970319037465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11.483970319037466</v>
      </c>
      <c r="H741" s="30"/>
      <c r="I741" s="30">
        <v>11.483970319037466</v>
      </c>
      <c r="J741" s="30"/>
      <c r="K741" s="30">
        <v>11.483970319037466</v>
      </c>
      <c r="L741" s="30"/>
      <c r="M741" s="30">
        <v>11.483970319037466</v>
      </c>
      <c r="N741" s="30">
        <v>11.483970319037466</v>
      </c>
      <c r="O741" s="30"/>
      <c r="P741" s="30">
        <v>11.483970319037466</v>
      </c>
      <c r="Q741" s="30"/>
      <c r="R741" s="30">
        <v>11.483970319037466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11.483970319037466</v>
      </c>
      <c r="H742" s="26"/>
      <c r="I742" s="26">
        <v>11.483970319037466</v>
      </c>
      <c r="J742" s="26"/>
      <c r="K742" s="26">
        <v>11.483970319037466</v>
      </c>
      <c r="L742" s="26"/>
      <c r="M742" s="26">
        <v>11.483970319037466</v>
      </c>
      <c r="N742" s="26">
        <v>11.483970319037466</v>
      </c>
      <c r="O742" s="26"/>
      <c r="P742" s="26">
        <v>11.483970319037466</v>
      </c>
      <c r="Q742" s="26"/>
      <c r="R742" s="26">
        <v>11.483970319037466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11.483970319037466</v>
      </c>
      <c r="H743" s="30"/>
      <c r="I743" s="30">
        <v>11.483970319037466</v>
      </c>
      <c r="J743" s="30"/>
      <c r="K743" s="30">
        <v>11.483970319037466</v>
      </c>
      <c r="L743" s="30"/>
      <c r="M743" s="30">
        <v>11.483970319037466</v>
      </c>
      <c r="N743" s="30">
        <v>11.483970319037466</v>
      </c>
      <c r="O743" s="30"/>
      <c r="P743" s="30">
        <v>11.483970319037466</v>
      </c>
      <c r="Q743" s="30"/>
      <c r="R743" s="30">
        <v>11.483970319037466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11.483970319037466</v>
      </c>
      <c r="H744" s="26"/>
      <c r="I744" s="26">
        <v>11.483970319037466</v>
      </c>
      <c r="J744" s="26"/>
      <c r="K744" s="26">
        <v>11.483970319037466</v>
      </c>
      <c r="L744" s="26"/>
      <c r="M744" s="26">
        <v>11.483970319037466</v>
      </c>
      <c r="N744" s="26">
        <v>11.483970319037466</v>
      </c>
      <c r="O744" s="26"/>
      <c r="P744" s="26">
        <v>11.483970319037466</v>
      </c>
      <c r="Q744" s="26"/>
      <c r="R744" s="26">
        <v>11.483970319037466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11.483970319037466</v>
      </c>
      <c r="H745" s="30"/>
      <c r="I745" s="30">
        <v>11.483970319037466</v>
      </c>
      <c r="J745" s="30"/>
      <c r="K745" s="30">
        <v>11.483970319037466</v>
      </c>
      <c r="L745" s="30"/>
      <c r="M745" s="30">
        <v>11.483970319037466</v>
      </c>
      <c r="N745" s="30">
        <v>11.483970319037466</v>
      </c>
      <c r="O745" s="30"/>
      <c r="P745" s="30">
        <v>11.483970319037466</v>
      </c>
      <c r="Q745" s="30"/>
      <c r="R745" s="30">
        <v>11.483970319037466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11.483970319037466</v>
      </c>
      <c r="H746" s="26"/>
      <c r="I746" s="26">
        <v>11.483970319037466</v>
      </c>
      <c r="J746" s="26"/>
      <c r="K746" s="26">
        <v>11.483970319037466</v>
      </c>
      <c r="L746" s="26"/>
      <c r="M746" s="26">
        <v>11.483970319037466</v>
      </c>
      <c r="N746" s="26">
        <v>11.483970319037466</v>
      </c>
      <c r="O746" s="26"/>
      <c r="P746" s="26">
        <v>11.483970319037466</v>
      </c>
      <c r="Q746" s="26"/>
      <c r="R746" s="26">
        <v>11.483970319037466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11.483970319037466</v>
      </c>
      <c r="H747" s="30"/>
      <c r="I747" s="30">
        <v>11.483970319037466</v>
      </c>
      <c r="J747" s="30"/>
      <c r="K747" s="30">
        <v>11.483970319037466</v>
      </c>
      <c r="L747" s="30"/>
      <c r="M747" s="30">
        <v>11.483970319037466</v>
      </c>
      <c r="N747" s="30">
        <v>11.483970319037466</v>
      </c>
      <c r="O747" s="30"/>
      <c r="P747" s="30">
        <v>11.483970319037466</v>
      </c>
      <c r="Q747" s="30"/>
      <c r="R747" s="30">
        <v>11.483970319037466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11.483970319037466</v>
      </c>
      <c r="H748" s="26"/>
      <c r="I748" s="26">
        <v>11.483970319037466</v>
      </c>
      <c r="J748" s="26"/>
      <c r="K748" s="26">
        <v>11.483970319037466</v>
      </c>
      <c r="L748" s="26"/>
      <c r="M748" s="26">
        <v>11.483970319037466</v>
      </c>
      <c r="N748" s="26">
        <v>11.483970319037466</v>
      </c>
      <c r="O748" s="26"/>
      <c r="P748" s="26">
        <v>11.483970319037466</v>
      </c>
      <c r="Q748" s="26"/>
      <c r="R748" s="26">
        <v>11.483970319037466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11.483970319037466</v>
      </c>
      <c r="H749" s="30"/>
      <c r="I749" s="30">
        <v>11.483970319037466</v>
      </c>
      <c r="J749" s="30"/>
      <c r="K749" s="30">
        <v>11.483970319037466</v>
      </c>
      <c r="L749" s="30"/>
      <c r="M749" s="30">
        <v>11.483970319037466</v>
      </c>
      <c r="N749" s="30">
        <v>11.483970319037466</v>
      </c>
      <c r="O749" s="30"/>
      <c r="P749" s="30">
        <v>11.483970319037466</v>
      </c>
      <c r="Q749" s="30"/>
      <c r="R749" s="30">
        <v>11.483970319037466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11.483970319037466</v>
      </c>
      <c r="H750" s="26"/>
      <c r="I750" s="26">
        <v>11.483970319037466</v>
      </c>
      <c r="J750" s="26"/>
      <c r="K750" s="26">
        <v>11.483970319037466</v>
      </c>
      <c r="L750" s="26"/>
      <c r="M750" s="26">
        <v>11.483970319037466</v>
      </c>
      <c r="N750" s="26">
        <v>11.483970319037466</v>
      </c>
      <c r="O750" s="26"/>
      <c r="P750" s="26">
        <v>11.483970319037466</v>
      </c>
      <c r="Q750" s="26"/>
      <c r="R750" s="26">
        <v>11.483970319037466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11.483970319037466</v>
      </c>
      <c r="H751" s="30"/>
      <c r="I751" s="30">
        <v>11.483970319037466</v>
      </c>
      <c r="J751" s="30"/>
      <c r="K751" s="30">
        <v>11.483970319037466</v>
      </c>
      <c r="L751" s="30"/>
      <c r="M751" s="30">
        <v>11.483970319037466</v>
      </c>
      <c r="N751" s="30">
        <v>11.483970319037466</v>
      </c>
      <c r="O751" s="30"/>
      <c r="P751" s="30">
        <v>11.483970319037466</v>
      </c>
      <c r="Q751" s="30"/>
      <c r="R751" s="30">
        <v>11.483970319037466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11.483970319037466</v>
      </c>
      <c r="H752" s="26"/>
      <c r="I752" s="26">
        <v>11.483970319037466</v>
      </c>
      <c r="J752" s="26"/>
      <c r="K752" s="26">
        <v>11.483970319037466</v>
      </c>
      <c r="L752" s="26"/>
      <c r="M752" s="26">
        <v>11.483970319037466</v>
      </c>
      <c r="N752" s="26">
        <v>11.483970319037466</v>
      </c>
      <c r="O752" s="26"/>
      <c r="P752" s="26">
        <v>11.483970319037466</v>
      </c>
      <c r="Q752" s="26"/>
      <c r="R752" s="26">
        <v>11.483970319037466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11.483970319037466</v>
      </c>
      <c r="H753" s="30"/>
      <c r="I753" s="30">
        <v>11.483970319037466</v>
      </c>
      <c r="J753" s="30"/>
      <c r="K753" s="30">
        <v>11.483970319037466</v>
      </c>
      <c r="L753" s="30"/>
      <c r="M753" s="30">
        <v>11.483970319037466</v>
      </c>
      <c r="N753" s="30">
        <v>11.483970319037466</v>
      </c>
      <c r="O753" s="30"/>
      <c r="P753" s="30">
        <v>11.483970319037466</v>
      </c>
      <c r="Q753" s="30"/>
      <c r="R753" s="30">
        <v>11.483970319037466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11.483970319037466</v>
      </c>
      <c r="H754" s="26"/>
      <c r="I754" s="26">
        <v>11.483970319037466</v>
      </c>
      <c r="J754" s="26"/>
      <c r="K754" s="26">
        <v>11.483970319037466</v>
      </c>
      <c r="L754" s="26"/>
      <c r="M754" s="26">
        <v>11.483970319037466</v>
      </c>
      <c r="N754" s="26">
        <v>11.483970319037466</v>
      </c>
      <c r="O754" s="26"/>
      <c r="P754" s="26">
        <v>11.483970319037466</v>
      </c>
      <c r="Q754" s="26"/>
      <c r="R754" s="26">
        <v>11.483970319037466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364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331.16058115298466</v>
      </c>
      <c r="D7" s="33">
        <v>389.7621306197376</v>
      </c>
      <c r="E7" s="33">
        <v>525.18133297199086</v>
      </c>
      <c r="F7" s="33">
        <v>719.02589896685993</v>
      </c>
      <c r="G7" s="33">
        <v>733.85898596991842</v>
      </c>
      <c r="H7" s="33">
        <v>832.0752164029908</v>
      </c>
      <c r="I7" s="33">
        <v>776.97693972976174</v>
      </c>
      <c r="J7" s="33">
        <v>637.00674714851539</v>
      </c>
      <c r="K7" s="33">
        <v>499.61497818402711</v>
      </c>
      <c r="L7" s="33">
        <v>412.06425054874217</v>
      </c>
      <c r="M7" s="33">
        <v>365.17355620450593</v>
      </c>
      <c r="N7" s="33">
        <v>348.29142532364284</v>
      </c>
      <c r="O7" s="33">
        <v>346.64366521657831</v>
      </c>
      <c r="P7" s="33">
        <v>405.94243722721637</v>
      </c>
      <c r="Q7" s="33">
        <v>548.03286493852761</v>
      </c>
      <c r="R7" s="33">
        <v>744.22162511581757</v>
      </c>
      <c r="S7" s="33">
        <v>753.1539984327826</v>
      </c>
      <c r="T7" s="139" t="s">
        <v>440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1601.2422985796156</v>
      </c>
      <c r="D11" s="33">
        <v>1939.3024990982535</v>
      </c>
      <c r="E11" s="33">
        <v>2507.4202904048766</v>
      </c>
      <c r="F11" s="33">
        <v>3633.292171401476</v>
      </c>
      <c r="G11" s="33">
        <v>3424.7849723777617</v>
      </c>
      <c r="H11" s="33">
        <v>4332.1972796599503</v>
      </c>
      <c r="I11" s="33">
        <v>4129.4152837815263</v>
      </c>
      <c r="J11" s="33">
        <v>3315.641903482699</v>
      </c>
      <c r="K11" s="33">
        <v>2446.7709484439074</v>
      </c>
      <c r="L11" s="33">
        <v>1997.4193638542506</v>
      </c>
      <c r="M11" s="33">
        <v>1740.0522354247501</v>
      </c>
      <c r="N11" s="33">
        <v>1812.9049762331329</v>
      </c>
      <c r="O11" s="33">
        <v>1614.5943216128953</v>
      </c>
      <c r="P11" s="33">
        <v>1953.6049356741462</v>
      </c>
      <c r="Q11" s="33">
        <v>2525.1150291843373</v>
      </c>
      <c r="R11" s="33">
        <v>3657.4664837098235</v>
      </c>
      <c r="S11" s="33">
        <v>3447.3692069890676</v>
      </c>
      <c r="T11" s="139" t="s">
        <v>440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973.77833826782717</v>
      </c>
      <c r="D14" s="33">
        <v>936.6582907560296</v>
      </c>
      <c r="E14" s="33">
        <v>1011.4416998568097</v>
      </c>
      <c r="F14" s="33">
        <v>1198.2055980008975</v>
      </c>
      <c r="G14" s="33">
        <v>1097.9235277152802</v>
      </c>
      <c r="H14" s="33">
        <v>1090.1977758043076</v>
      </c>
      <c r="I14" s="33">
        <v>996.76834967438378</v>
      </c>
      <c r="J14" s="33">
        <v>839.55505099125264</v>
      </c>
      <c r="K14" s="33">
        <v>777.03138223998303</v>
      </c>
      <c r="L14" s="33">
        <v>797.76299179337514</v>
      </c>
      <c r="M14" s="33">
        <v>879.06957988305476</v>
      </c>
      <c r="N14" s="33">
        <v>932.99919551857067</v>
      </c>
      <c r="O14" s="33">
        <v>914.37214566572709</v>
      </c>
      <c r="P14" s="33">
        <v>887.6984842033122</v>
      </c>
      <c r="Q14" s="33">
        <v>957.98920143732471</v>
      </c>
      <c r="R14" s="33">
        <v>1141.027240711016</v>
      </c>
      <c r="S14" s="33">
        <v>1056.6520884189958</v>
      </c>
      <c r="T14" s="139" t="s">
        <v>440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607.9590304801352</v>
      </c>
      <c r="D16" s="33">
        <v>799.12556829683342</v>
      </c>
      <c r="E16" s="33">
        <v>1169.4778305180118</v>
      </c>
      <c r="F16" s="33">
        <v>1901.1800558265331</v>
      </c>
      <c r="G16" s="33">
        <v>1967.1458293581397</v>
      </c>
      <c r="H16" s="33">
        <v>2195.0530929116985</v>
      </c>
      <c r="I16" s="33">
        <v>2101.1580016273488</v>
      </c>
      <c r="J16" s="33">
        <v>1610.2949661633716</v>
      </c>
      <c r="K16" s="33">
        <v>1088.2468296504373</v>
      </c>
      <c r="L16" s="33">
        <v>804.24726127471183</v>
      </c>
      <c r="M16" s="33">
        <v>625.72440494859097</v>
      </c>
      <c r="N16" s="33">
        <v>680.32423690531084</v>
      </c>
      <c r="O16" s="33">
        <v>598.4797558328944</v>
      </c>
      <c r="P16" s="33">
        <v>786.79778195395454</v>
      </c>
      <c r="Q16" s="33">
        <v>1151.0949995963861</v>
      </c>
      <c r="R16" s="33">
        <v>1874.5699423560243</v>
      </c>
      <c r="S16" s="33">
        <v>1942.7588205065533</v>
      </c>
      <c r="T16" s="139" t="s">
        <v>440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167.89067764634038</v>
      </c>
      <c r="D17" s="33">
        <v>167.39072370096815</v>
      </c>
      <c r="E17" s="33">
        <v>161.83884814767904</v>
      </c>
      <c r="F17" s="33">
        <v>177.58171285217253</v>
      </c>
      <c r="G17" s="33">
        <v>197.69358464331978</v>
      </c>
      <c r="H17" s="33">
        <v>246.98947877654228</v>
      </c>
      <c r="I17" s="33">
        <v>204.24891955223032</v>
      </c>
      <c r="J17" s="33">
        <v>140.64826153233628</v>
      </c>
      <c r="K17" s="33">
        <v>133.40125642234327</v>
      </c>
      <c r="L17" s="33">
        <v>134.25701566884044</v>
      </c>
      <c r="M17" s="33">
        <v>165.65515814183132</v>
      </c>
      <c r="N17" s="33">
        <v>182.02274005410158</v>
      </c>
      <c r="O17" s="33">
        <v>175.95245793419497</v>
      </c>
      <c r="P17" s="33">
        <v>175.14091313775631</v>
      </c>
      <c r="Q17" s="33">
        <v>169.22804109181885</v>
      </c>
      <c r="R17" s="33">
        <v>185.02442489145059</v>
      </c>
      <c r="S17" s="33">
        <v>205.49117877457337</v>
      </c>
      <c r="T17" s="139" t="s">
        <v>440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144.9566581962639</v>
      </c>
      <c r="D20" s="33">
        <v>150.0015638164885</v>
      </c>
      <c r="E20" s="33">
        <v>163.23140962008972</v>
      </c>
      <c r="F20" s="33">
        <v>191.03486213545168</v>
      </c>
      <c r="G20" s="33">
        <v>183.8347045448352</v>
      </c>
      <c r="H20" s="33">
        <v>179.98979561537001</v>
      </c>
      <c r="I20" s="33">
        <v>167.75156763558317</v>
      </c>
      <c r="J20" s="33">
        <v>163.52784020826064</v>
      </c>
      <c r="K20" s="33">
        <v>164.28459522531833</v>
      </c>
      <c r="L20" s="33">
        <v>158.88588314369244</v>
      </c>
      <c r="M20" s="33">
        <v>158.88059612730797</v>
      </c>
      <c r="N20" s="33">
        <v>160.28513053675499</v>
      </c>
      <c r="O20" s="33">
        <v>148.03717941436267</v>
      </c>
      <c r="P20" s="33">
        <v>153.19301668742804</v>
      </c>
      <c r="Q20" s="33">
        <v>166.70692596070216</v>
      </c>
      <c r="R20" s="33">
        <v>195.09836363083264</v>
      </c>
      <c r="S20" s="33">
        <v>187.75183975922448</v>
      </c>
      <c r="T20" s="139" t="s">
        <v>441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1193.1574113040001</v>
      </c>
      <c r="D21" s="33">
        <v>1403.572069859033</v>
      </c>
      <c r="E21" s="33">
        <v>1535.6196837113939</v>
      </c>
      <c r="F21" s="33">
        <v>2221.9097795368025</v>
      </c>
      <c r="G21" s="33">
        <v>2676.9194224229504</v>
      </c>
      <c r="H21" s="33">
        <v>3125.9334635632431</v>
      </c>
      <c r="I21" s="33">
        <v>2848.6181588304339</v>
      </c>
      <c r="J21" s="33">
        <v>2226.4264054283017</v>
      </c>
      <c r="K21" s="33">
        <v>1597.5788237516394</v>
      </c>
      <c r="L21" s="33">
        <v>1382.4369890935654</v>
      </c>
      <c r="M21" s="33">
        <v>1339.9348643355406</v>
      </c>
      <c r="N21" s="33">
        <v>1437.6143582066099</v>
      </c>
      <c r="O21" s="33">
        <v>1244.8248546056839</v>
      </c>
      <c r="P21" s="33">
        <v>1455.8734638128205</v>
      </c>
      <c r="Q21" s="33">
        <v>1588.3571844998103</v>
      </c>
      <c r="R21" s="33">
        <v>2279.227874415747</v>
      </c>
      <c r="S21" s="33">
        <v>2731.0110362789301</v>
      </c>
      <c r="T21" s="139" t="s">
        <v>440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354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629.99659090897683</v>
      </c>
      <c r="D26" s="33">
        <v>726.17332945097178</v>
      </c>
      <c r="E26" s="33">
        <v>851.4747340480086</v>
      </c>
      <c r="F26" s="33">
        <v>1149.3268002262403</v>
      </c>
      <c r="G26" s="33">
        <v>1226.6544288370189</v>
      </c>
      <c r="H26" s="33">
        <v>1373.0906783589865</v>
      </c>
      <c r="I26" s="33">
        <v>1308.7622372861322</v>
      </c>
      <c r="J26" s="33">
        <v>1099.1750218918864</v>
      </c>
      <c r="K26" s="33">
        <v>821.85194573804688</v>
      </c>
      <c r="L26" s="33">
        <v>702.96927669640729</v>
      </c>
      <c r="M26" s="33">
        <v>626.33838939846851</v>
      </c>
      <c r="N26" s="33">
        <v>646.17379709729767</v>
      </c>
      <c r="O26" s="33">
        <v>640.17014991199528</v>
      </c>
      <c r="P26" s="33">
        <v>736.03930079209374</v>
      </c>
      <c r="Q26" s="33">
        <v>860.5025624250859</v>
      </c>
      <c r="R26" s="33">
        <v>1159.2745609274423</v>
      </c>
      <c r="S26" s="33">
        <v>1232.4231480607129</v>
      </c>
      <c r="T26" s="139" t="s">
        <v>440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170.26906468987909</v>
      </c>
      <c r="D28" s="33">
        <v>176.15700455077342</v>
      </c>
      <c r="E28" s="33">
        <v>160.81272379503378</v>
      </c>
      <c r="F28" s="33">
        <v>170.48102060827759</v>
      </c>
      <c r="G28" s="33">
        <v>165.74212611031302</v>
      </c>
      <c r="H28" s="33">
        <v>188.87568344595684</v>
      </c>
      <c r="I28" s="33">
        <v>198.94680267968303</v>
      </c>
      <c r="J28" s="33">
        <v>165.90339981123239</v>
      </c>
      <c r="K28" s="33">
        <v>166.67785825371047</v>
      </c>
      <c r="L28" s="33">
        <v>174.60002666353714</v>
      </c>
      <c r="M28" s="33">
        <v>189.18870469946035</v>
      </c>
      <c r="N28" s="33">
        <v>187.11694191085766</v>
      </c>
      <c r="O28" s="33">
        <v>180.91142139612106</v>
      </c>
      <c r="P28" s="33">
        <v>186.39444172897032</v>
      </c>
      <c r="Q28" s="33">
        <v>169.91386110161616</v>
      </c>
      <c r="R28" s="33">
        <v>179.48178967781109</v>
      </c>
      <c r="S28" s="33">
        <v>173.18863449818932</v>
      </c>
      <c r="T28" s="139" t="s">
        <v>440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355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356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357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358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1240.3251348778265</v>
      </c>
      <c r="D34" s="33">
        <v>1428.1055341281317</v>
      </c>
      <c r="E34" s="33">
        <v>2043.1033104138664</v>
      </c>
      <c r="F34" s="33">
        <v>2792.8025302881983</v>
      </c>
      <c r="G34" s="33">
        <v>2986.8692515522844</v>
      </c>
      <c r="H34" s="33">
        <v>3236.1927046413548</v>
      </c>
      <c r="I34" s="33">
        <v>2997.0329441882068</v>
      </c>
      <c r="J34" s="33">
        <v>2612.0671032373712</v>
      </c>
      <c r="K34" s="33">
        <v>2100.4562500111401</v>
      </c>
      <c r="L34" s="33">
        <v>1583.186265207506</v>
      </c>
      <c r="M34" s="33">
        <v>1337.5749239192926</v>
      </c>
      <c r="N34" s="33">
        <v>1251.381317929566</v>
      </c>
      <c r="O34" s="33">
        <v>1187.4335077123983</v>
      </c>
      <c r="P34" s="33">
        <v>1370.7603943001957</v>
      </c>
      <c r="Q34" s="33">
        <v>1973.2774985754074</v>
      </c>
      <c r="R34" s="33">
        <v>2705.8516120232871</v>
      </c>
      <c r="S34" s="33">
        <v>2897.916570340049</v>
      </c>
      <c r="T34" s="139" t="s">
        <v>440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359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378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378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378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378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378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378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378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378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378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378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378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378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378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378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378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378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378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378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378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378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:T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413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438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414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415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416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398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399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368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365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369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366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370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367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408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418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419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420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421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384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379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410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432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20.485149541023006</v>
      </c>
      <c r="F11" s="159">
        <f>(('Regions &gt; Demand'!D13+'Regions &gt; Demand'!D22+'Regions &gt; Demand'!D24)+'Storage &gt; Index'!$C$16*('Storage &gt; Target Balance'!C$6-'Storage &gt; Target Balance'!B$6)/(24*Cycles!C$6))*0.7*2/5</f>
        <v>28.857706863138066</v>
      </c>
      <c r="G11" s="159">
        <f>(('Regions &gt; Demand'!E13+'Regions &gt; Demand'!E22+'Regions &gt; Demand'!E24)+'Storage &gt; Index'!$C$16*('Storage &gt; Target Balance'!D$6-'Storage &gt; Target Balance'!C$6)/(24*Cycles!D$6))*0.7*2/5</f>
        <v>32.500438704472188</v>
      </c>
      <c r="H11" s="159">
        <f>(('Regions &gt; Demand'!F13+'Regions &gt; Demand'!F22+'Regions &gt; Demand'!F24)+'Storage &gt; Index'!$C$16*('Storage &gt; Target Balance'!E$6-'Storage &gt; Target Balance'!D$6)/(24*Cycles!E$6))*0.7*2/5</f>
        <v>37.949953171530538</v>
      </c>
      <c r="I11" s="159">
        <f>(('Regions &gt; Demand'!G13+'Regions &gt; Demand'!G22+'Regions &gt; Demand'!G24)+'Storage &gt; Index'!$C$16*('Storage &gt; Target Balance'!F$6-'Storage &gt; Target Balance'!E$6)/(24*Cycles!F$6))*0.7*2/5</f>
        <v>41.938343377390666</v>
      </c>
      <c r="J11" s="159">
        <f>(('Regions &gt; Demand'!H13+'Regions &gt; Demand'!H22+'Regions &gt; Demand'!H24)+'Storage &gt; Index'!$C$16*('Storage &gt; Target Balance'!G$6-'Storage &gt; Target Balance'!F$6)/(24*Cycles!G$6))*0.7*2/5</f>
        <v>49.010961222607122</v>
      </c>
      <c r="K11" s="159">
        <f>(('Regions &gt; Demand'!I13+'Regions &gt; Demand'!I22+'Regions &gt; Demand'!I24)+'Storage &gt; Index'!$C$16*('Storage &gt; Target Balance'!H$6-'Storage &gt; Target Balance'!G$6)/(24*Cycles!H$6))*0.7*2/5</f>
        <v>48.460066278837353</v>
      </c>
      <c r="L11" s="159">
        <f>(('Regions &gt; Demand'!J13+'Regions &gt; Demand'!J22+'Regions &gt; Demand'!J24)+'Storage &gt; Index'!$C$16*('Storage &gt; Target Balance'!I$6-'Storage &gt; Target Balance'!H$6)/(24*Cycles!I$6))*0.7*2/5</f>
        <v>40.863321809267084</v>
      </c>
      <c r="M11" s="159">
        <f>(('Regions &gt; Demand'!K13+'Regions &gt; Demand'!K22+'Regions &gt; Demand'!K24)+'Storage &gt; Index'!$C$16*('Storage &gt; Target Balance'!J$6-'Storage &gt; Target Balance'!I$6)/(24*Cycles!J$6))*0.7*2/5</f>
        <v>31.721446751323771</v>
      </c>
      <c r="N11" s="159">
        <f>(('Regions &gt; Demand'!L13+'Regions &gt; Demand'!L22+'Regions &gt; Demand'!L24)+'Storage &gt; Index'!$C$16*('Storage &gt; Target Balance'!K$6-'Storage &gt; Target Balance'!J$6)/(24*Cycles!K$6))*0.7*2/5</f>
        <v>22.014578617910733</v>
      </c>
      <c r="O11" s="159">
        <f>(('Regions &gt; Demand'!M13+'Regions &gt; Demand'!M22+'Regions &gt; Demand'!M24)+'Storage &gt; Index'!$C$16*('Storage &gt; Target Balance'!L$6-'Storage &gt; Target Balance'!K$6)/(24*Cycles!L$6))*0.7*2/5</f>
        <v>21.161720881134322</v>
      </c>
      <c r="P11" s="159">
        <f>(('Regions &gt; Demand'!N13+'Regions &gt; Demand'!N22+'Regions &gt; Demand'!N24)+'Storage &gt; Index'!$C$16*('Storage &gt; Target Balance'!M$6-'Storage &gt; Target Balance'!L$6)/(24*Cycles!M$6))*0.7*2/5</f>
        <v>18.500151193073794</v>
      </c>
      <c r="Q11" s="159">
        <f>(('Regions &gt; Demand'!O13+'Regions &gt; Demand'!O22+'Regions &gt; Demand'!O24)+'Storage &gt; Index'!$C$16*('Storage &gt; Target Balance'!N$6-'Storage &gt; Target Balance'!M$6)/(24*Cycles!N$6))*0.7*2/5</f>
        <v>20.415076144307612</v>
      </c>
      <c r="R11" s="159">
        <f>(('Regions &gt; Demand'!P13+'Regions &gt; Demand'!P22+'Regions &gt; Demand'!P24)+'Storage &gt; Index'!$C$16*('Storage &gt; Target Balance'!O$6-'Storage &gt; Target Balance'!N$6)/(24*Cycles!O$6))*0.7*2/5</f>
        <v>29.24010985765592</v>
      </c>
      <c r="S11" s="159">
        <f>(('Regions &gt; Demand'!Q13+'Regions &gt; Demand'!Q22+'Regions &gt; Demand'!Q24)+'Storage &gt; Index'!$C$16*('Storage &gt; Target Balance'!P$6-'Storage &gt; Target Balance'!O$6)/(24*Cycles!P$6))*0.7*2/5</f>
        <v>32.831149444447966</v>
      </c>
      <c r="T11" s="159">
        <f>(('Regions &gt; Demand'!R13+'Regions &gt; Demand'!R22+'Regions &gt; Demand'!R24)+'Storage &gt; Index'!$C$16*('Storage &gt; Target Balance'!Q$6-'Storage &gt; Target Balance'!P$6)/(24*Cycles!Q$6))*0.7*2/5</f>
        <v>38.41788528660674</v>
      </c>
      <c r="U11" s="159">
        <f>(('Regions &gt; Demand'!S13+'Regions &gt; Demand'!S22+'Regions &gt; Demand'!S24)+'Storage &gt; Index'!$C$16*('Storage &gt; Target Balance'!R$6-'Storage &gt; Target Balance'!Q$6)/(24*Cycles!R$6))*0.7*2/5</f>
        <v>42.344751714058134</v>
      </c>
      <c r="V11" s="25" t="s">
        <v>434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410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432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36.668969030739525</v>
      </c>
      <c r="F15" s="159">
        <f>0.7*TBL_DEMAND[[#This Row],[Sep-21]]</f>
        <v>43.920336980057002</v>
      </c>
      <c r="G15" s="159">
        <f>0.7*TBL_DEMAND[[#This Row],[Okt-21]]</f>
        <v>48.086149335418831</v>
      </c>
      <c r="H15" s="159">
        <f>0.7*TBL_DEMAND[[#This Row],[Nov-21]]</f>
        <v>54.228893428877683</v>
      </c>
      <c r="I15" s="159">
        <f>0.7*TBL_DEMAND[[#This Row],[Dez-21]]</f>
        <v>69.073357110489923</v>
      </c>
      <c r="J15" s="159">
        <f>0.7*TBL_DEMAND[[#This Row],[Jan-22]]</f>
        <v>90.821874141055162</v>
      </c>
      <c r="K15" s="159">
        <f>0.7*TBL_DEMAND[[#This Row],[Feb-22]]</f>
        <v>91.437819731707449</v>
      </c>
      <c r="L15" s="162">
        <f>0.9*TBL_DEMAND[[#This Row],[Mrz-22]]</f>
        <v>98.362328846099544</v>
      </c>
      <c r="M15" s="159">
        <f>0.7*TBL_DEMAND[[#This Row],[Apr-22]]</f>
        <v>48.918340795779486</v>
      </c>
      <c r="N15" s="159">
        <f>0.7*TBL_DEMAND[[#This Row],[Mai-22]]</f>
        <v>32.673511907389262</v>
      </c>
      <c r="O15" s="159">
        <f>0.7*TBL_DEMAND[[#This Row],[Jun-22]]</f>
        <v>30.628645861930135</v>
      </c>
      <c r="P15" s="159">
        <f>0.7*TBL_DEMAND[[#This Row],[Jul-22]]</f>
        <v>30.261401166010764</v>
      </c>
      <c r="Q15" s="159">
        <f>0.7*TBL_DEMAND[[#This Row],[Aug-22]]</f>
        <v>36.184957694555102</v>
      </c>
      <c r="R15" s="159">
        <f>0.7*TBL_DEMAND[[#This Row],[Sep-22]]</f>
        <v>43.191225276276292</v>
      </c>
      <c r="S15" s="159">
        <f>0.7*TBL_DEMAND[[#This Row],[Okt-22]]</f>
        <v>47.268053289908593</v>
      </c>
      <c r="T15" s="159">
        <f>0.7*TBL_DEMAND[[#This Row],[Nov-22]]</f>
        <v>53.241834824044169</v>
      </c>
      <c r="U15" s="159">
        <f>0.7*TBL_DEMAND[[#This Row],[Dez-22]]</f>
        <v>67.718017101511563</v>
      </c>
      <c r="V15" s="25" t="s">
        <v>433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410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385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379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410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404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379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410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386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407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410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405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379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410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432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30.727724311534509</v>
      </c>
      <c r="F35" s="159">
        <f>(('Regions &gt; Demand'!D13+'Regions &gt; Demand'!D22+'Regions &gt; Demand'!D24)+'Storage &gt; Index'!$C$16*('Storage &gt; Target Balance'!C$6-'Storage &gt; Target Balance'!B$6)/(24*Cycles!C$6))*0.7*3/5</f>
        <v>43.286560294707101</v>
      </c>
      <c r="G35" s="159">
        <f>(('Regions &gt; Demand'!E13+'Regions &gt; Demand'!E22+'Regions &gt; Demand'!E24)+'Storage &gt; Index'!$C$16*('Storage &gt; Target Balance'!D$6-'Storage &gt; Target Balance'!C$6)/(24*Cycles!D$6))*0.7*3/5</f>
        <v>48.750658056708289</v>
      </c>
      <c r="H35" s="159">
        <f>(('Regions &gt; Demand'!F13+'Regions &gt; Demand'!F22+'Regions &gt; Demand'!F24)+'Storage &gt; Index'!$C$16*('Storage &gt; Target Balance'!E$6-'Storage &gt; Target Balance'!D$6)/(24*Cycles!E$6))*0.7*3/5</f>
        <v>56.924929757295807</v>
      </c>
      <c r="I35" s="159">
        <f>(('Regions &gt; Demand'!G13+'Regions &gt; Demand'!G22+'Regions &gt; Demand'!G24)+'Storage &gt; Index'!$C$16*('Storage &gt; Target Balance'!F$6-'Storage &gt; Target Balance'!E$6)/(24*Cycles!F$6))*0.7*3/5</f>
        <v>62.907515066085992</v>
      </c>
      <c r="J35" s="159">
        <f>(('Regions &gt; Demand'!H13+'Regions &gt; Demand'!H22+'Regions &gt; Demand'!H24)+'Storage &gt; Index'!$C$16*('Storage &gt; Target Balance'!G$6-'Storage &gt; Target Balance'!F$6)/(24*Cycles!G$6))*0.7*3/5</f>
        <v>73.516441833910676</v>
      </c>
      <c r="K35" s="159">
        <f>(('Regions &gt; Demand'!I13+'Regions &gt; Demand'!I22+'Regions &gt; Demand'!I24)+'Storage &gt; Index'!$C$16*('Storage &gt; Target Balance'!H$6-'Storage &gt; Target Balance'!G$6)/(24*Cycles!H$6))*0.7*3/5</f>
        <v>72.69009941825604</v>
      </c>
      <c r="L35" s="159">
        <f>(('Regions &gt; Demand'!J13+'Regions &gt; Demand'!J22+'Regions &gt; Demand'!J24)+'Storage &gt; Index'!$C$16*('Storage &gt; Target Balance'!I$6-'Storage &gt; Target Balance'!H$6)/(24*Cycles!I$6))*0.7*3/5</f>
        <v>61.29498271390063</v>
      </c>
      <c r="M35" s="159">
        <f>(('Regions &gt; Demand'!K13+'Regions &gt; Demand'!K22+'Regions &gt; Demand'!K24)+'Storage &gt; Index'!$C$16*('Storage &gt; Target Balance'!J$6-'Storage &gt; Target Balance'!I$6)/(24*Cycles!J$6))*0.7*3/5</f>
        <v>47.582170126985659</v>
      </c>
      <c r="N35" s="159">
        <f>(('Regions &gt; Demand'!L13+'Regions &gt; Demand'!L22+'Regions &gt; Demand'!L24)+'Storage &gt; Index'!$C$16*('Storage &gt; Target Balance'!K$6-'Storage &gt; Target Balance'!J$6)/(24*Cycles!K$6))*0.7*3/5</f>
        <v>33.021867926866101</v>
      </c>
      <c r="O35" s="159">
        <f>(('Regions &gt; Demand'!M13+'Regions &gt; Demand'!M22+'Regions &gt; Demand'!M24)+'Storage &gt; Index'!$C$16*('Storage &gt; Target Balance'!L$6-'Storage &gt; Target Balance'!K$6)/(24*Cycles!L$6))*0.7*3/5</f>
        <v>31.742581321701483</v>
      </c>
      <c r="P35" s="159">
        <f>(('Regions &gt; Demand'!N13+'Regions &gt; Demand'!N22+'Regions &gt; Demand'!N24)+'Storage &gt; Index'!$C$16*('Storage &gt; Target Balance'!M$6-'Storage &gt; Target Balance'!L$6)/(24*Cycles!M$6))*0.7*3/5</f>
        <v>27.750226789610689</v>
      </c>
      <c r="Q35" s="159">
        <f>(('Regions &gt; Demand'!O13+'Regions &gt; Demand'!O22+'Regions &gt; Demand'!O24)+'Storage &gt; Index'!$C$16*('Storage &gt; Target Balance'!N$6-'Storage &gt; Target Balance'!M$6)/(24*Cycles!N$6))*0.7*3/5</f>
        <v>30.622614216461415</v>
      </c>
      <c r="R35" s="159">
        <f>(('Regions &gt; Demand'!P13+'Regions &gt; Demand'!P22+'Regions &gt; Demand'!P24)+'Storage &gt; Index'!$C$16*('Storage &gt; Target Balance'!O$6-'Storage &gt; Target Balance'!N$6)/(24*Cycles!O$6))*0.7*3/5</f>
        <v>43.860164786483878</v>
      </c>
      <c r="S35" s="159">
        <f>(('Regions &gt; Demand'!Q13+'Regions &gt; Demand'!Q22+'Regions &gt; Demand'!Q24)+'Storage &gt; Index'!$C$16*('Storage &gt; Target Balance'!P$6-'Storage &gt; Target Balance'!O$6)/(24*Cycles!P$6))*0.7*3/5</f>
        <v>49.246724166671946</v>
      </c>
      <c r="T35" s="159">
        <f>(('Regions &gt; Demand'!R13+'Regions &gt; Demand'!R22+'Regions &gt; Demand'!R24)+'Storage &gt; Index'!$C$16*('Storage &gt; Target Balance'!Q$6-'Storage &gt; Target Balance'!P$6)/(24*Cycles!Q$6))*0.7*3/5</f>
        <v>57.626827929910107</v>
      </c>
      <c r="U35" s="159">
        <f>(('Regions &gt; Demand'!S13+'Regions &gt; Demand'!S22+'Regions &gt; Demand'!S24)+'Storage &gt; Index'!$C$16*('Storage &gt; Target Balance'!R$6-'Storage &gt; Target Balance'!Q$6)/(24*Cycles!R$6))*0.7*3/5</f>
        <v>63.517127571087201</v>
      </c>
      <c r="V35" s="25" t="s">
        <v>435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410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387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379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410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396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379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410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406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407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410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388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411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410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412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412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410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403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379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410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390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379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410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391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379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410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392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379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410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386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379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410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430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431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1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2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410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386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379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410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393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379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410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394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379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410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389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407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410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395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379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410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386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407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410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424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425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429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424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425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428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424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425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427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424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425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426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417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380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397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417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380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397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417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380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397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417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380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397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417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380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397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417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380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397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417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380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397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417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380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397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417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380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397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417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380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397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417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380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397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417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380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397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417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380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397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417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380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397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417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380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397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417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382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397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417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382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397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417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382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397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417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382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397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417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382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397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417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382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397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417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381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397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417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381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397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417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381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397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417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383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397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417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383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397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417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383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397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417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383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397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400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401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402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377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374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375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379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376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379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376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379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376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379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376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379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376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379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376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379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376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379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376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407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376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379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376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379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376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379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376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379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376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379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376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379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376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379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376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379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376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379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376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379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376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379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376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379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376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379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376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379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376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379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376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379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376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379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376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379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376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379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376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379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376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379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376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379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376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379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376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379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376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379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376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379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376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379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376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379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376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379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376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379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376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379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376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379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376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379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376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379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376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379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376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379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376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379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376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379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376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423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379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376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423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379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376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423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379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376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423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379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376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407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376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423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379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376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379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376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379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376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360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361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360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362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361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363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360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371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361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372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/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373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409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409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409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409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409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409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409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409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409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409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409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409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409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409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409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409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409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409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128722.51701153953</v>
      </c>
      <c r="H24" s="163">
        <v>116689.17663030419</v>
      </c>
      <c r="I24" s="163">
        <v>98667.118979983934</v>
      </c>
      <c r="J24" s="163">
        <v>83350.534775501757</v>
      </c>
      <c r="K24" s="163">
        <v>76315.199999999997</v>
      </c>
      <c r="L24" s="163">
        <v>85306.679196194877</v>
      </c>
      <c r="M24" s="163">
        <v>102524.62828634426</v>
      </c>
      <c r="N24" s="163">
        <v>120926.76985804379</v>
      </c>
      <c r="O24" s="163">
        <v>138663.45813258903</v>
      </c>
      <c r="P24" s="163">
        <v>157055.12012480581</v>
      </c>
      <c r="Q24" s="163">
        <v>168414.98428410091</v>
      </c>
      <c r="R24" s="163">
        <v>169819.2479347887</v>
      </c>
      <c r="S24" s="163">
        <v>156761.69189928894</v>
      </c>
      <c r="T24" s="163">
        <v>136834.77151285007</v>
      </c>
      <c r="U24" s="120" t="s">
        <v>437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409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6" sqref="J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0.69860111866015262</v>
      </c>
      <c r="F6" s="98">
        <v>0.6047814648147074</v>
      </c>
      <c r="G6" s="98">
        <v>0.4642699229844478</v>
      </c>
      <c r="H6" s="98">
        <v>0.3448519905872251</v>
      </c>
      <c r="I6" s="98">
        <v>0.28999999999999998</v>
      </c>
      <c r="J6" s="164">
        <v>0.36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436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2021-12-03T11:34:34Z</dcterms:modified>
</cp:coreProperties>
</file>