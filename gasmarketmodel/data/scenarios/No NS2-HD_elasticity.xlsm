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1505E422-1A86-471D-8ED7-769CA9D12DF9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K15" i="10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 s="1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33" i="17" l="1"/>
  <c r="D23" i="17"/>
  <c r="D17" i="17"/>
  <c r="D16" i="17"/>
  <c r="D19" i="17"/>
  <c r="D10" i="17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E7" i="2" s="1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33" i="2" l="1"/>
  <c r="D32" i="9"/>
  <c r="B30" i="9"/>
  <c r="H30" i="9" s="1"/>
  <c r="B33" i="9"/>
  <c r="B31" i="9"/>
  <c r="B32" i="9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0" i="12" l="1"/>
  <c r="K32" i="9"/>
  <c r="H25" i="9"/>
  <c r="I28" i="12"/>
  <c r="H34" i="9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7" i="25"/>
  <c r="C6" i="25"/>
  <c r="C7" i="25"/>
  <c r="E6" i="25"/>
  <c r="B6" i="25"/>
  <c r="D7" i="25"/>
  <c r="D6" i="25"/>
  <c r="E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9" i="12"/>
  <c r="L13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6" i="25"/>
  <c r="I7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7" i="25"/>
  <c r="K6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O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7" i="25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55f779b0-ec08-4110-97af-e3c7e49c15a7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55f779b0-ec08-4110-97af-e3c7e49c15a7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55f779b0-ec08-4110-97af-e3c7e49c15a7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<sst xmlns="http://schemas.openxmlformats.org/spreadsheetml/2006/main" count="1395" uniqueCount="442">
  <si>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</si>
  <si>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</si>
  <si>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</si>
  <si>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</si>
  <si>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</si>
  <si>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</si>
  <si>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</si>
  <si>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</si>
  <si>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</si>
  <si>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</si>
  <si>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</si>
  <si>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</si>
  <si>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</si>
  <si>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</si>
  <si>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</si>
  <si>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</si>
  <si>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</si>
  <si>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</si>
  <si>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</si>
  <si>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</si>
  <si>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</si>
  <si>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</si>
  <si>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</si>
  <si>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</si>
  <si>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</si>
  <si>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</si>
  <si>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</si>
  <si>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</si>
  <si>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</si>
  <si>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</si>
  <si>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</si>
  <si>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</si>
  <si>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</si>
  <si>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</si>
  <si>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</si>
  <si>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</si>
  <si>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</si>
  <si>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</si>
  <si>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</si>
  <si>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</si>
  <si>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</si>
  <si>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</si>
  <si>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</si>
  <si>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</si>
  <si>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</si>
  <si>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</si>
  <si>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</si>
  <si>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</si>
  <si>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</si>
  <si>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</si>
  <si>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</si>
  <si>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</si>
  <si>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</si>
  <si>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</si>
  <si>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</si>
  <si>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</si>
  <si>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</si>
  <si>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</si>
  <si>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</si>
  <si>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</si>
  <si>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</si>
  <si>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</si>
  <si>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</si>
  <si>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</si>
  <si>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</si>
  <si>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</si>
  <si>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</si>
  <si>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</si>
  <si>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</si>
  <si>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</si>
  <si>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</si>
  <si>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</si>
  <si>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</si>
  <si>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</si>
  <si>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</si>
  <si>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</si>
  <si>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</si>
  <si>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</si>
  <si>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</si>
  <si>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</si>
  <si>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</si>
  <si>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</si>
  <si>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</si>
  <si>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</si>
  <si>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</si>
  <si>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</si>
  <si>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</si>
  <si>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</si>
  <si>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</si>
  <si>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</si>
  <si>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</si>
  <si>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</si>
  <si>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</si>
  <si>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</si>
  <si>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</si>
  <si>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</si>
  <si>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</si>
  <si>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</si>
  <si>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</si>
  <si>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</si>
  <si>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</si>
  <si>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</si>
  <si>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</si>
  <si>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</si>
  <si>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</si>
  <si>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</si>
  <si>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</si>
  <si>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</si>
  <si>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</si>
  <si>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</si>
  <si>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</si>
  <si>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</si>
  <si>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</si>
  <si>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</si>
  <si>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</si>
  <si>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</si>
  <si>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</si>
  <si>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</si>
  <si>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</si>
  <si>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</si>
  <si>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</si>
  <si>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</si>
  <si>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</si>
  <si>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</si>
  <si>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</si>
  <si>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</si>
  <si>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</si>
  <si>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</si>
  <si>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</si>
  <si>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</si>
  <si>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</si>
  <si>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</si>
  <si>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</si>
  <si>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</si>
  <si>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</si>
  <si>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</si>
  <si>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</si>
  <si>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</si>
  <si>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</si>
  <si>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</si>
  <si>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</si>
  <si>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</si>
  <si>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</si>
  <si>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</si>
  <si>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</si>
  <si>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</si>
  <si>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</si>
  <si>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</si>
  <si>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</si>
  <si>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</si>
  <si>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</si>
  <si>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</si>
  <si>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</si>
  <si>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</si>
  <si>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</si>
  <si>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</si>
  <si>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</si>
  <si>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</si>
  <si>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</si>
  <si>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</si>
  <si>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</si>
  <si>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</si>
  <si>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</si>
  <si>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</si>
  <si>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</si>
  <si>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</si>
  <si>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</si>
  <si>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</si>
  <si>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</si>
  <si>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</si>
  <si>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</si>
  <si>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</si>
  <si>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</si>
  <si>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</si>
  <si>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</si>
  <si>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</si>
  <si>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</si>
  <si>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</si>
  <si>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</si>
  <si>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</si>
  <si>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</si>
  <si>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</si>
  <si>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</si>
  <si>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</si>
  <si>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</si>
  <si>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</si>
  <si>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</si>
  <si>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</si>
  <si>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</si>
  <si>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</si>
  <si>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</si>
  <si>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</si>
  <si>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</si>
  <si>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</si>
  <si>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</si>
  <si>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</si>
  <si>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</si>
  <si>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</si>
  <si>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</si>
  <si>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</si>
  <si>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</si>
  <si>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</si>
  <si>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</si>
  <si>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</si>
  <si>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</si>
  <si>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</si>
  <si>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</si>
  <si>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</si>
  <si>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</si>
  <si>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</si>
  <si>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</si>
  <si>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</si>
  <si>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</si>
  <si>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</si>
  <si>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</si>
  <si>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</si>
  <si>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</si>
  <si>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</si>
  <si>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</si>
  <si>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</si>
  <si>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</si>
  <si>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</si>
  <si>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</si>
  <si>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</si>
  <si>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</si>
  <si>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</si>
  <si>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</si>
  <si>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</si>
  <si>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</si>
  <si>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</si>
  <si>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</si>
  <si>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</si>
  <si>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</si>
  <si>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</si>
  <si>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</si>
  <si>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</si>
  <si>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</si>
  <si>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</si>
  <si>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</si>
  <si>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</si>
  <si>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</si>
  <si>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</si>
  <si>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</si>
  <si>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</si>
  <si>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</si>
  <si>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</si>
  <si>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</si>
  <si>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</si>
  <si>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</si>
  <si>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</si>
  <si>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</si>
  <si>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</si>
  <si>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</si>
  <si>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</si>
  <si>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</si>
  <si>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</si>
  <si>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</si>
  <si>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</si>
  <si>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</si>
  <si>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</si>
  <si>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</si>
  <si>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</si>
  <si>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</si>
  <si>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</si>
  <si>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</si>
  <si>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</si>
  <si>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</si>
  <si>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</si>
  <si>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</si>
  <si>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</si>
  <si>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</si>
  <si>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</si>
  <si>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</si>
  <si>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</si>
  <si>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</si>
  <si>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</si>
  <si>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</si>
  <si>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</si>
  <si>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</si>
  <si>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</si>
  <si>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</si>
  <si>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</si>
  <si>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</si>
  <si>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</si>
  <si>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</si>
  <si>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</si>
  <si>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</si>
  <si>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</si>
  <si>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</si>
  <si>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</si>
  <si>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</si>
  <si>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</si>
  <si>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</si>
  <si>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</si>
  <si>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</si>
  <si>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</si>
  <si>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</si>
  <si>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</si>
  <si>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</si>
  <si>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</si>
  <si>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</si>
  <si>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</si>
  <si>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</si>
  <si>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</si>
  <si>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</si>
  <si>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</si>
  <si>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</si>
  <si>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</si>
  <si>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</si>
  <si>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</si>
  <si>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</si>
  <si>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</si>
  <si>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</si>
  <si>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</si>
  <si>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</si>
  <si>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</si>
  <si>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</si>
  <si>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</si>
  <si>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</si>
  <si>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</si>
  <si>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</si>
  <si>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</si>
  <si>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</si>
  <si>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</si>
  <si>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</si>
  <si>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</si>
  <si>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</si>
  <si>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</si>
  <si>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</si>
  <si>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</si>
  <si>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</si>
  <si>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</si>
  <si>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</si>
  <si>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</si>
  <si>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</si>
  <si>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</si>
  <si>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</si>
  <si>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</si>
  <si>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</si>
  <si>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</si>
  <si>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</si>
  <si>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</si>
  <si>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</si>
  <si>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</si>
  <si>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</si>
  <si>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</si>
  <si>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</si>
  <si>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</si>
  <si>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</si>
  <si>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</si>
  <si>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</si>
  <si>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</si>
  <si>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</si>
  <si>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</si>
  <si>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</si>
  <si>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</si>
  <si>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</si>
  <si>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</si>
  <si>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</si>
  <si>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</si>
  <si>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</si>
  <si>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</si>
  <si>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</si>
  <si>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</si>
  <si>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</si>
  <si>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</si>
  <si>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</si>
  <si>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</si>
  <si>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</si>
  <si>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</si>
  <si>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</si>
  <si>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</si>
  <si>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</si>
  <si>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</si>
  <si>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</si>
  <si>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</si>
  <si>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</si>
  <si>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</si>
  <si>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</si>
  <si>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</si>
  <si>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</si>
  <si>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</si>
  <si>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</si>
  <si>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</si>
  <si>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</si>
  <si>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</si>
  <si>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</si>
  <si>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</si>
  <si>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</si>
  <si>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</si>
  <si>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</si>
  <si>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</si>
  <si>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</si>
  <si>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</si>
  <si>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</si>
  <si>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</si>
  <si>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</si>
  <si>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</si>
  <si>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</si>
  <si>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</si>
  <si>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</si>
  <si>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</si>
  <si>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</si>
  <si>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</si>
  <si>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</si>
  <si>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</si>
  <si>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</si>
  <si>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</si>
  <si>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</si>
  <si>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</si>
  <si>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</si>
  <si>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</si>
  <si>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</si>
  <si>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</si>
  <si>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</si>
  <si>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</si>
  <si>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</si>
  <si>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</si>
  <si>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</si>
  <si>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</si>
  <si>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</si>
  <si>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</si>
  <si>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</si>
  <si>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</si>
  <si>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</si>
  <si>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</si>
  <si>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res_Produktionskapazitäten_v4.xlsx; Tab: w_3</t>
  </si>
  <si>
    <t>2021_Storage_DB_final_tc_v6h.xlsx; Tab: w_1 (Annahme: tatsächlicher Anfangsfüllstand Ukraine, gleicher Endfüllstand wie Markt, Verlauf gleichförmig, aber gestaucht im Vergleich zum Markt)</t>
  </si>
  <si>
    <t>SupplyCurveLNG_v11.xlsx; Tab: o1 (alle Zeilen)</t>
  </si>
  <si>
    <t>res_Demand-Production_v6_high-demand.xlsx; Tab: w_D</t>
  </si>
  <si>
    <t>res_Demand-Production_v6_high-demand.xlsx; Tab: w_D; Annahme: Monatsmengenstruktur wie Griechenland (für Endverbrauch und Stromerzeugung)</t>
  </si>
  <si>
    <t>res_Demand-Production_v6_high-demand.xlsx; Tab: w_D; Annahme: Monatsmengenstruktur wie Belgien (für Stromerzeugung)</t>
  </si>
  <si>
    <t>res_Demand-Production_v6_high-demand.xlsx; Tab: w_D; Annahme: Monatsmengenstruktur wie Bulgarien (für Stromerzeugung)</t>
  </si>
  <si>
    <t>res_Demand-Production_v6_high-demand.xlsx; Tab: w_D; Annahme: Monatsmengenstruktur wie Finnland (für Stromerzeugung)</t>
  </si>
  <si>
    <t>res_Demand-Production_v6_high-demand.xlsx; Tab: w_D; Annahme: Monatsmengenstruktur wie Tschechien (für Stromerzeugung)</t>
  </si>
  <si>
    <t>res_Demand-Production_v6_high-demand.xlsx; Tab: w_D; Annahme: Monatsmengenstruktur wie Österreich (für Endverbrauch und Stromerzeugung)</t>
  </si>
  <si>
    <t>res_Demand-Production_v6_high-demand.xlsx; Tab: w_D; Annahme: Monatsmengenstruktur wie Rumänien (Endverbrauch) bzw. Bulgarien (Stromerz.)</t>
  </si>
  <si>
    <t>2021_Storage_DB_final_tc_v6_high-demand.xlsx; Tab: w_1</t>
  </si>
  <si>
    <t>No Nord Stream 2
High Demand:
- Höherer FEC in den Regions
- Mengenmäßig gestauchte LNG-Kurve mit weiteren Stufen (Verdrängungswettbewerb der Nachfrager)
- Mehr Ausspeicherung im Winter (und Einspeicherung im Sommer)</t>
  </si>
  <si>
    <t>Annahme: null</t>
  </si>
  <si>
    <t>res_Demand-Production_v6_high-demand_sensitivity.xlsx; Tab: w_D</t>
  </si>
  <si>
    <t>No NS2-HD-elasticity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</si>
</sst>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0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6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7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A4" sqref="A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441</v>
      </c>
    </row>
    <row r="6" spans="1:3" x14ac:dyDescent="0.25">
      <c r="A6" s="168" t="s">
        <v>28</v>
      </c>
      <c r="B6" s="168"/>
      <c r="C6" s="168"/>
    </row>
    <row r="7" spans="1:3" x14ac:dyDescent="0.25">
      <c r="A7" s="169" t="s">
        <v>438</v>
      </c>
      <c r="B7" s="170"/>
      <c r="C7" s="171"/>
    </row>
    <row r="8" spans="1:3" x14ac:dyDescent="0.25">
      <c r="A8" s="172"/>
      <c r="B8" s="173"/>
      <c r="C8" s="174"/>
    </row>
    <row r="9" spans="1:3" x14ac:dyDescent="0.25">
      <c r="A9" s="172"/>
      <c r="B9" s="173"/>
      <c r="C9" s="174"/>
    </row>
    <row r="10" spans="1:3" x14ac:dyDescent="0.25">
      <c r="A10" s="172"/>
      <c r="B10" s="173"/>
      <c r="C10" s="174"/>
    </row>
    <row r="11" spans="1:3" x14ac:dyDescent="0.25">
      <c r="A11" s="172"/>
      <c r="B11" s="173"/>
      <c r="C11" s="174"/>
    </row>
    <row r="12" spans="1:3" x14ac:dyDescent="0.25">
      <c r="A12" s="172"/>
      <c r="B12" s="173"/>
      <c r="C12" s="174"/>
    </row>
    <row r="13" spans="1:3" x14ac:dyDescent="0.25">
      <c r="A13" s="172"/>
      <c r="B13" s="173"/>
      <c r="C13" s="174"/>
    </row>
    <row r="14" spans="1:3" x14ac:dyDescent="0.25">
      <c r="A14" s="172"/>
      <c r="B14" s="173"/>
      <c r="C14" s="174"/>
    </row>
    <row r="15" spans="1:3" x14ac:dyDescent="0.25">
      <c r="A15" s="175"/>
      <c r="B15" s="176"/>
      <c r="C15" s="177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/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428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2.9123317587198851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2.9123317587198851</v>
      </c>
      <c r="K260" s="26">
        <v>2.9123317587198851</v>
      </c>
      <c r="L260" s="26">
        <v>2.9123317587198851</v>
      </c>
      <c r="M260" s="26">
        <v>2.9123317587198851</v>
      </c>
      <c r="N260" s="26">
        <v>2.9123317587198851</v>
      </c>
      <c r="O260" s="26">
        <v>2.9123317587198851</v>
      </c>
      <c r="P260" s="26">
        <v>2.9123317587198851</v>
      </c>
      <c r="Q260" s="26">
        <v>2.9123317587198851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5.62012705634534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5.7486774140658703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5.62012705634534</v>
      </c>
      <c r="D332" s="26">
        <v>5.305592301154971</v>
      </c>
      <c r="E332" s="26">
        <v>5.62012705634534</v>
      </c>
      <c r="F332" s="26">
        <v>5.305592301154971</v>
      </c>
      <c r="G332" s="26">
        <v>5.1468442491173727</v>
      </c>
      <c r="H332" s="26">
        <v>5.7486774140658703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5.7486774140658703</v>
      </c>
      <c r="D333" s="30">
        <v>5.305592301154971</v>
      </c>
      <c r="E333" s="30">
        <v>5.7486774140658703</v>
      </c>
      <c r="F333" s="30">
        <v>5.305592301154971</v>
      </c>
      <c r="G333" s="30">
        <v>5.1468442491173727</v>
      </c>
      <c r="H333" s="30">
        <v>5.7486774140658703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5.7486774140658703</v>
      </c>
      <c r="D334" s="26">
        <v>5.305592301154971</v>
      </c>
      <c r="E334" s="26">
        <v>5.7486774140658703</v>
      </c>
      <c r="F334" s="26">
        <v>5.305592301154971</v>
      </c>
      <c r="G334" s="26">
        <v>5.1468442491173727</v>
      </c>
      <c r="H334" s="26">
        <v>5.7486774140658703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5.7486774140658703</v>
      </c>
      <c r="D335" s="30">
        <v>5.305592301154971</v>
      </c>
      <c r="E335" s="30">
        <v>5.7486774140658703</v>
      </c>
      <c r="F335" s="30">
        <v>5.305592301154971</v>
      </c>
      <c r="G335" s="30">
        <v>5.1468442491173727</v>
      </c>
      <c r="H335" s="30">
        <v>5.7486774140658703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5.7486774140658703</v>
      </c>
      <c r="D336" s="26">
        <v>5.305592301154971</v>
      </c>
      <c r="E336" s="26">
        <v>5.7486774140658703</v>
      </c>
      <c r="F336" s="26">
        <v>5.305592301154971</v>
      </c>
      <c r="G336" s="26">
        <v>5.1468442491173727</v>
      </c>
      <c r="H336" s="26">
        <v>5.7486774140658703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5.7486774140658703</v>
      </c>
      <c r="D337" s="30">
        <v>5.305592301154971</v>
      </c>
      <c r="E337" s="30">
        <v>5.7486774140658703</v>
      </c>
      <c r="F337" s="30">
        <v>5.305592301154971</v>
      </c>
      <c r="G337" s="30">
        <v>5.1468442491173727</v>
      </c>
      <c r="H337" s="30">
        <v>5.7486774140658703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5.7486774140658703</v>
      </c>
      <c r="D338" s="26">
        <v>5.305592301154971</v>
      </c>
      <c r="E338" s="26">
        <v>5.7486774140658703</v>
      </c>
      <c r="F338" s="26">
        <v>5.305592301154971</v>
      </c>
      <c r="G338" s="26">
        <v>5.1468442491173727</v>
      </c>
      <c r="H338" s="26">
        <v>5.7486774140658703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5.7486774140658703</v>
      </c>
      <c r="D339" s="30">
        <v>5.305592301154971</v>
      </c>
      <c r="E339" s="30">
        <v>5.7486774140658703</v>
      </c>
      <c r="F339" s="30">
        <v>5.305592301154971</v>
      </c>
      <c r="G339" s="30">
        <v>5.1468442491173727</v>
      </c>
      <c r="H339" s="30">
        <v>5.7486774140658703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5.7486774140658703</v>
      </c>
      <c r="D340" s="26">
        <v>5.305592301154971</v>
      </c>
      <c r="E340" s="26">
        <v>5.7486774140658703</v>
      </c>
      <c r="F340" s="26">
        <v>5.305592301154971</v>
      </c>
      <c r="G340" s="26">
        <v>5.1468442491173727</v>
      </c>
      <c r="H340" s="26">
        <v>5.7486774140658703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5.7486774140658703</v>
      </c>
      <c r="D341" s="30">
        <v>5.305592301154971</v>
      </c>
      <c r="E341" s="30">
        <v>5.7486774140658703</v>
      </c>
      <c r="F341" s="30">
        <v>5.305592301154971</v>
      </c>
      <c r="G341" s="30">
        <v>5.1468442491173727</v>
      </c>
      <c r="H341" s="30">
        <v>5.7486774140658703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5.7486774140658703</v>
      </c>
      <c r="D342" s="26">
        <v>5.305592301154971</v>
      </c>
      <c r="E342" s="26">
        <v>5.7486774140658703</v>
      </c>
      <c r="F342" s="26">
        <v>5.305592301154971</v>
      </c>
      <c r="G342" s="26">
        <v>5.1468442491173727</v>
      </c>
      <c r="H342" s="26">
        <v>5.7486774140658703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5.62012705634534</v>
      </c>
      <c r="C343" s="30">
        <v>5.7486774140658703</v>
      </c>
      <c r="D343" s="30">
        <v>5.62012705634534</v>
      </c>
      <c r="E343" s="30">
        <v>5.7486774140658703</v>
      </c>
      <c r="F343" s="30">
        <v>5.62012705634534</v>
      </c>
      <c r="G343" s="30">
        <v>5.1468442491173727</v>
      </c>
      <c r="H343" s="30">
        <v>5.7486774140658703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5.7486774140658703</v>
      </c>
      <c r="C344" s="26">
        <v>5.7486774140658703</v>
      </c>
      <c r="D344" s="26">
        <v>5.7486774140658703</v>
      </c>
      <c r="E344" s="26">
        <v>5.7486774140658703</v>
      </c>
      <c r="F344" s="26">
        <v>5.7486774140658703</v>
      </c>
      <c r="G344" s="26">
        <v>5.1468442491173727</v>
      </c>
      <c r="H344" s="26">
        <v>5.7486774140658703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5.7486774140658703</v>
      </c>
      <c r="C345" s="30">
        <v>5.7486774140658703</v>
      </c>
      <c r="D345" s="30">
        <v>5.7486774140658703</v>
      </c>
      <c r="E345" s="30">
        <v>5.7486774140658703</v>
      </c>
      <c r="F345" s="30">
        <v>5.7486774140658703</v>
      </c>
      <c r="G345" s="30">
        <v>5.1468442491173727</v>
      </c>
      <c r="H345" s="30">
        <v>5.7486774140658703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5.7486774140658703</v>
      </c>
      <c r="C346" s="26">
        <v>5.7486774140658703</v>
      </c>
      <c r="D346" s="26">
        <v>5.7486774140658703</v>
      </c>
      <c r="E346" s="26">
        <v>5.7486774140658703</v>
      </c>
      <c r="F346" s="26">
        <v>5.7486774140658703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5.7486774140658703</v>
      </c>
      <c r="C347" s="30">
        <v>5.7486774140658703</v>
      </c>
      <c r="D347" s="30">
        <v>5.7486774140658703</v>
      </c>
      <c r="E347" s="30">
        <v>5.7486774140658703</v>
      </c>
      <c r="F347" s="30">
        <v>5.7486774140658703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5.7486774140658703</v>
      </c>
      <c r="C348" s="26">
        <v>5.7486774140658703</v>
      </c>
      <c r="D348" s="26">
        <v>5.7486774140658703</v>
      </c>
      <c r="E348" s="26">
        <v>5.7486774140658703</v>
      </c>
      <c r="F348" s="26">
        <v>5.7486774140658703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5.7486774140658703</v>
      </c>
      <c r="C349" s="30">
        <v>5.7486774140658703</v>
      </c>
      <c r="D349" s="30">
        <v>5.7486774140658703</v>
      </c>
      <c r="E349" s="30">
        <v>5.7486774140658703</v>
      </c>
      <c r="F349" s="30">
        <v>5.7486774140658703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5.7486774140658703</v>
      </c>
      <c r="C350" s="26">
        <v>5.7486774140658703</v>
      </c>
      <c r="D350" s="26">
        <v>5.7486774140658703</v>
      </c>
      <c r="E350" s="26">
        <v>5.7486774140658703</v>
      </c>
      <c r="F350" s="26">
        <v>5.7486774140658703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5.7486774140658703</v>
      </c>
      <c r="C351" s="30">
        <v>5.7486774140658703</v>
      </c>
      <c r="D351" s="30">
        <v>5.7486774140658703</v>
      </c>
      <c r="E351" s="30">
        <v>5.7486774140658703</v>
      </c>
      <c r="F351" s="30">
        <v>5.7486774140658703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5.7486774140658703</v>
      </c>
      <c r="C352" s="26">
        <v>5.7486774140658703</v>
      </c>
      <c r="D352" s="26">
        <v>5.7486774140658703</v>
      </c>
      <c r="E352" s="26">
        <v>5.7486774140658703</v>
      </c>
      <c r="F352" s="26">
        <v>5.7486774140658703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5.7486774140658703</v>
      </c>
      <c r="C353" s="30">
        <v>5.7486774140658703</v>
      </c>
      <c r="D353" s="30">
        <v>5.7486774140658703</v>
      </c>
      <c r="E353" s="30">
        <v>5.7486774140658703</v>
      </c>
      <c r="F353" s="30">
        <v>5.7486774140658703</v>
      </c>
      <c r="G353" s="30">
        <v>5.305592301154971</v>
      </c>
      <c r="H353" s="30">
        <v>5.7486774140658703</v>
      </c>
      <c r="I353" s="30">
        <v>5.305592301154971</v>
      </c>
      <c r="J353" s="30">
        <v>5.62012705634534</v>
      </c>
      <c r="K353" s="30">
        <v>5.305592301154971</v>
      </c>
      <c r="L353" s="30">
        <v>5.62012705634534</v>
      </c>
      <c r="M353" s="30">
        <v>5.305592301154971</v>
      </c>
      <c r="N353" s="30">
        <v>5.305592301154971</v>
      </c>
      <c r="O353" s="30">
        <v>5.62012705634534</v>
      </c>
      <c r="P353" s="30">
        <v>5.305592301154971</v>
      </c>
      <c r="Q353" s="30">
        <v>5.62012705634534</v>
      </c>
      <c r="R353" s="30">
        <v>5.305592301154971</v>
      </c>
      <c r="S353" s="25"/>
    </row>
    <row r="354" spans="1:19" x14ac:dyDescent="0.25">
      <c r="A354" s="26">
        <v>3.49</v>
      </c>
      <c r="B354" s="26">
        <v>5.7486774140658703</v>
      </c>
      <c r="C354" s="26">
        <v>5.7486774140658703</v>
      </c>
      <c r="D354" s="26">
        <v>5.7486774140658703</v>
      </c>
      <c r="E354" s="26">
        <v>5.7486774140658703</v>
      </c>
      <c r="F354" s="26">
        <v>5.7486774140658703</v>
      </c>
      <c r="G354" s="26">
        <v>5.305592301154971</v>
      </c>
      <c r="H354" s="26">
        <v>5.7486774140658703</v>
      </c>
      <c r="I354" s="26">
        <v>5.305592301154971</v>
      </c>
      <c r="J354" s="26">
        <v>5.7486774140658703</v>
      </c>
      <c r="K354" s="26">
        <v>5.305592301154971</v>
      </c>
      <c r="L354" s="26">
        <v>5.7486774140658703</v>
      </c>
      <c r="M354" s="26">
        <v>5.305592301154971</v>
      </c>
      <c r="N354" s="26">
        <v>5.305592301154971</v>
      </c>
      <c r="O354" s="26">
        <v>5.7486774140658703</v>
      </c>
      <c r="P354" s="26">
        <v>5.305592301154971</v>
      </c>
      <c r="Q354" s="26">
        <v>5.7486774140658703</v>
      </c>
      <c r="R354" s="26">
        <v>5.305592301154971</v>
      </c>
      <c r="S354" s="24"/>
    </row>
    <row r="355" spans="1:19" x14ac:dyDescent="0.25">
      <c r="A355" s="30">
        <v>3.5</v>
      </c>
      <c r="B355" s="30">
        <v>5.7486774140658703</v>
      </c>
      <c r="C355" s="30">
        <v>5.7486774140658703</v>
      </c>
      <c r="D355" s="30">
        <v>5.7486774140658703</v>
      </c>
      <c r="E355" s="30">
        <v>5.7486774140658703</v>
      </c>
      <c r="F355" s="30">
        <v>5.7486774140658703</v>
      </c>
      <c r="G355" s="30">
        <v>5.305592301154971</v>
      </c>
      <c r="H355" s="30">
        <v>5.7486774140658703</v>
      </c>
      <c r="I355" s="30">
        <v>5.305592301154971</v>
      </c>
      <c r="J355" s="30">
        <v>5.7486774140658703</v>
      </c>
      <c r="K355" s="30">
        <v>5.305592301154971</v>
      </c>
      <c r="L355" s="30">
        <v>5.7486774140658703</v>
      </c>
      <c r="M355" s="30">
        <v>5.305592301154971</v>
      </c>
      <c r="N355" s="30">
        <v>5.305592301154971</v>
      </c>
      <c r="O355" s="30">
        <v>5.7486774140658703</v>
      </c>
      <c r="P355" s="30">
        <v>5.305592301154971</v>
      </c>
      <c r="Q355" s="30">
        <v>5.7486774140658703</v>
      </c>
      <c r="R355" s="30">
        <v>5.305592301154971</v>
      </c>
      <c r="S355" s="25"/>
    </row>
    <row r="356" spans="1:19" x14ac:dyDescent="0.25">
      <c r="A356" s="26">
        <v>3.51</v>
      </c>
      <c r="B356" s="26">
        <v>5.7486774140658703</v>
      </c>
      <c r="C356" s="26">
        <v>5.7486774140658703</v>
      </c>
      <c r="D356" s="26">
        <v>5.7486774140658703</v>
      </c>
      <c r="E356" s="26">
        <v>5.7486774140658703</v>
      </c>
      <c r="F356" s="26">
        <v>5.7486774140658703</v>
      </c>
      <c r="G356" s="26">
        <v>5.305592301154971</v>
      </c>
      <c r="H356" s="26">
        <v>5.7486774140658703</v>
      </c>
      <c r="I356" s="26">
        <v>5.305592301154971</v>
      </c>
      <c r="J356" s="26">
        <v>5.7486774140658703</v>
      </c>
      <c r="K356" s="26">
        <v>5.305592301154971</v>
      </c>
      <c r="L356" s="26">
        <v>5.7486774140658703</v>
      </c>
      <c r="M356" s="26">
        <v>5.305592301154971</v>
      </c>
      <c r="N356" s="26">
        <v>5.305592301154971</v>
      </c>
      <c r="O356" s="26">
        <v>5.7486774140658703</v>
      </c>
      <c r="P356" s="26">
        <v>5.305592301154971</v>
      </c>
      <c r="Q356" s="26">
        <v>5.7486774140658703</v>
      </c>
      <c r="R356" s="26">
        <v>5.305592301154971</v>
      </c>
      <c r="S356" s="24"/>
    </row>
    <row r="357" spans="1:19" x14ac:dyDescent="0.25">
      <c r="A357" s="30">
        <v>3.52</v>
      </c>
      <c r="B357" s="30">
        <v>5.7486774140658703</v>
      </c>
      <c r="C357" s="30">
        <v>5.7486774140658703</v>
      </c>
      <c r="D357" s="30">
        <v>5.7486774140658703</v>
      </c>
      <c r="E357" s="30">
        <v>5.7486774140658703</v>
      </c>
      <c r="F357" s="30">
        <v>5.7486774140658703</v>
      </c>
      <c r="G357" s="30">
        <v>5.305592301154971</v>
      </c>
      <c r="H357" s="30">
        <v>5.7486774140658703</v>
      </c>
      <c r="I357" s="30">
        <v>5.305592301154971</v>
      </c>
      <c r="J357" s="30">
        <v>5.7486774140658703</v>
      </c>
      <c r="K357" s="30">
        <v>5.305592301154971</v>
      </c>
      <c r="L357" s="30">
        <v>5.7486774140658703</v>
      </c>
      <c r="M357" s="30">
        <v>5.305592301154971</v>
      </c>
      <c r="N357" s="30">
        <v>5.305592301154971</v>
      </c>
      <c r="O357" s="30">
        <v>5.7486774140658703</v>
      </c>
      <c r="P357" s="30">
        <v>5.305592301154971</v>
      </c>
      <c r="Q357" s="30">
        <v>5.7486774140658703</v>
      </c>
      <c r="R357" s="30">
        <v>5.305592301154971</v>
      </c>
      <c r="S357" s="25"/>
    </row>
    <row r="358" spans="1:19" x14ac:dyDescent="0.25">
      <c r="A358" s="26">
        <v>3.53</v>
      </c>
      <c r="B358" s="26">
        <v>5.7486774140658703</v>
      </c>
      <c r="C358" s="26">
        <v>5.7486774140658703</v>
      </c>
      <c r="D358" s="26">
        <v>5.7486774140658703</v>
      </c>
      <c r="E358" s="26">
        <v>5.7486774140658703</v>
      </c>
      <c r="F358" s="26">
        <v>5.7486774140658703</v>
      </c>
      <c r="G358" s="26">
        <v>5.305592301154971</v>
      </c>
      <c r="H358" s="26">
        <v>5.7486774140658703</v>
      </c>
      <c r="I358" s="26">
        <v>5.305592301154971</v>
      </c>
      <c r="J358" s="26">
        <v>5.7486774140658703</v>
      </c>
      <c r="K358" s="26">
        <v>5.305592301154971</v>
      </c>
      <c r="L358" s="26">
        <v>5.7486774140658703</v>
      </c>
      <c r="M358" s="26">
        <v>5.305592301154971</v>
      </c>
      <c r="N358" s="26">
        <v>5.305592301154971</v>
      </c>
      <c r="O358" s="26">
        <v>5.7486774140658703</v>
      </c>
      <c r="P358" s="26">
        <v>5.305592301154971</v>
      </c>
      <c r="Q358" s="26">
        <v>5.7486774140658703</v>
      </c>
      <c r="R358" s="26">
        <v>5.305592301154971</v>
      </c>
      <c r="S358" s="24"/>
    </row>
    <row r="359" spans="1:19" x14ac:dyDescent="0.25">
      <c r="A359" s="30">
        <v>3.54</v>
      </c>
      <c r="B359" s="30">
        <v>5.7486774140658703</v>
      </c>
      <c r="C359" s="30">
        <v>5.7486774140658703</v>
      </c>
      <c r="D359" s="30">
        <v>5.7486774140658703</v>
      </c>
      <c r="E359" s="30">
        <v>5.7486774140658703</v>
      </c>
      <c r="F359" s="30">
        <v>5.7486774140658703</v>
      </c>
      <c r="G359" s="30">
        <v>5.305592301154971</v>
      </c>
      <c r="H359" s="30">
        <v>5.7486774140658703</v>
      </c>
      <c r="I359" s="30">
        <v>5.305592301154971</v>
      </c>
      <c r="J359" s="30">
        <v>5.7486774140658703</v>
      </c>
      <c r="K359" s="30">
        <v>5.305592301154971</v>
      </c>
      <c r="L359" s="30">
        <v>5.7486774140658703</v>
      </c>
      <c r="M359" s="30">
        <v>5.305592301154971</v>
      </c>
      <c r="N359" s="30">
        <v>5.305592301154971</v>
      </c>
      <c r="O359" s="30">
        <v>5.7486774140658703</v>
      </c>
      <c r="P359" s="30">
        <v>5.305592301154971</v>
      </c>
      <c r="Q359" s="30">
        <v>5.7486774140658703</v>
      </c>
      <c r="R359" s="30">
        <v>5.305592301154971</v>
      </c>
      <c r="S359" s="25"/>
    </row>
    <row r="360" spans="1:19" x14ac:dyDescent="0.25">
      <c r="A360" s="26">
        <v>3.55</v>
      </c>
      <c r="B360" s="26">
        <v>5.7486774140658703</v>
      </c>
      <c r="C360" s="26">
        <v>5.7486774140658703</v>
      </c>
      <c r="D360" s="26">
        <v>5.7486774140658703</v>
      </c>
      <c r="E360" s="26">
        <v>5.7486774140658703</v>
      </c>
      <c r="F360" s="26">
        <v>5.7486774140658703</v>
      </c>
      <c r="G360" s="26">
        <v>5.305592301154971</v>
      </c>
      <c r="H360" s="26">
        <v>5.7486774140658703</v>
      </c>
      <c r="I360" s="26">
        <v>5.305592301154971</v>
      </c>
      <c r="J360" s="26">
        <v>5.7486774140658703</v>
      </c>
      <c r="K360" s="26">
        <v>5.305592301154971</v>
      </c>
      <c r="L360" s="26">
        <v>5.7486774140658703</v>
      </c>
      <c r="M360" s="26">
        <v>5.305592301154971</v>
      </c>
      <c r="N360" s="26">
        <v>5.305592301154971</v>
      </c>
      <c r="O360" s="26">
        <v>5.7486774140658703</v>
      </c>
      <c r="P360" s="26">
        <v>5.305592301154971</v>
      </c>
      <c r="Q360" s="26">
        <v>5.7486774140658703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5.7486774140658703</v>
      </c>
      <c r="K361" s="30">
        <v>5.305592301154971</v>
      </c>
      <c r="L361" s="30">
        <v>5.7486774140658703</v>
      </c>
      <c r="M361" s="30">
        <v>5.305592301154971</v>
      </c>
      <c r="N361" s="30">
        <v>5.305592301154971</v>
      </c>
      <c r="O361" s="30">
        <v>5.7486774140658703</v>
      </c>
      <c r="P361" s="30">
        <v>5.305592301154971</v>
      </c>
      <c r="Q361" s="30">
        <v>5.7486774140658703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5.7486774140658703</v>
      </c>
      <c r="K362" s="26">
        <v>5.305592301154971</v>
      </c>
      <c r="L362" s="26">
        <v>5.7486774140658703</v>
      </c>
      <c r="M362" s="26">
        <v>5.305592301154971</v>
      </c>
      <c r="N362" s="26">
        <v>5.305592301154971</v>
      </c>
      <c r="O362" s="26">
        <v>5.7486774140658703</v>
      </c>
      <c r="P362" s="26">
        <v>5.305592301154971</v>
      </c>
      <c r="Q362" s="26">
        <v>5.7486774140658703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5.7486774140658703</v>
      </c>
      <c r="K363" s="30">
        <v>5.305592301154971</v>
      </c>
      <c r="L363" s="30">
        <v>5.7486774140658703</v>
      </c>
      <c r="M363" s="30">
        <v>5.305592301154971</v>
      </c>
      <c r="N363" s="30">
        <v>5.305592301154971</v>
      </c>
      <c r="O363" s="30">
        <v>5.7486774140658703</v>
      </c>
      <c r="P363" s="30">
        <v>5.305592301154971</v>
      </c>
      <c r="Q363" s="30">
        <v>5.7486774140658703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5.7486774140658703</v>
      </c>
      <c r="K364" s="26">
        <v>5.305592301154971</v>
      </c>
      <c r="L364" s="26">
        <v>5.7486774140658703</v>
      </c>
      <c r="M364" s="26">
        <v>5.305592301154971</v>
      </c>
      <c r="N364" s="26">
        <v>5.305592301154971</v>
      </c>
      <c r="O364" s="26">
        <v>5.7486774140658703</v>
      </c>
      <c r="P364" s="26">
        <v>5.305592301154971</v>
      </c>
      <c r="Q364" s="26">
        <v>5.7486774140658703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5.62012705634534</v>
      </c>
      <c r="H365" s="30">
        <v>5.7486774140658703</v>
      </c>
      <c r="I365" s="30">
        <v>5.62012705634534</v>
      </c>
      <c r="J365" s="30">
        <v>5.7486774140658703</v>
      </c>
      <c r="K365" s="30">
        <v>5.62012705634534</v>
      </c>
      <c r="L365" s="30">
        <v>5.7486774140658703</v>
      </c>
      <c r="M365" s="30">
        <v>5.62012705634534</v>
      </c>
      <c r="N365" s="30">
        <v>5.62012705634534</v>
      </c>
      <c r="O365" s="30">
        <v>5.7486774140658703</v>
      </c>
      <c r="P365" s="30">
        <v>5.62012705634534</v>
      </c>
      <c r="Q365" s="30">
        <v>5.7486774140658703</v>
      </c>
      <c r="R365" s="30">
        <v>5.62012705634534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5.7486774140658703</v>
      </c>
      <c r="H366" s="26">
        <v>5.7486774140658703</v>
      </c>
      <c r="I366" s="26">
        <v>5.7486774140658703</v>
      </c>
      <c r="J366" s="26">
        <v>5.7486774140658703</v>
      </c>
      <c r="K366" s="26">
        <v>5.7486774140658703</v>
      </c>
      <c r="L366" s="26">
        <v>5.7486774140658703</v>
      </c>
      <c r="M366" s="26">
        <v>5.7486774140658703</v>
      </c>
      <c r="N366" s="26">
        <v>5.7486774140658703</v>
      </c>
      <c r="O366" s="26">
        <v>5.7486774140658703</v>
      </c>
      <c r="P366" s="26">
        <v>5.7486774140658703</v>
      </c>
      <c r="Q366" s="26">
        <v>5.7486774140658703</v>
      </c>
      <c r="R366" s="26">
        <v>5.7486774140658703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5.7486774140658703</v>
      </c>
      <c r="H367" s="30">
        <v>5.7486774140658703</v>
      </c>
      <c r="I367" s="30">
        <v>5.7486774140658703</v>
      </c>
      <c r="J367" s="30">
        <v>5.7486774140658703</v>
      </c>
      <c r="K367" s="30">
        <v>5.7486774140658703</v>
      </c>
      <c r="L367" s="30">
        <v>5.7486774140658703</v>
      </c>
      <c r="M367" s="30">
        <v>5.7486774140658703</v>
      </c>
      <c r="N367" s="30">
        <v>5.7486774140658703</v>
      </c>
      <c r="O367" s="30">
        <v>5.7486774140658703</v>
      </c>
      <c r="P367" s="30">
        <v>5.7486774140658703</v>
      </c>
      <c r="Q367" s="30">
        <v>5.7486774140658703</v>
      </c>
      <c r="R367" s="30">
        <v>5.7486774140658703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5.7486774140658703</v>
      </c>
      <c r="H368" s="26">
        <v>5.7486774140658703</v>
      </c>
      <c r="I368" s="26">
        <v>5.7486774140658703</v>
      </c>
      <c r="J368" s="26">
        <v>5.7486774140658703</v>
      </c>
      <c r="K368" s="26">
        <v>5.7486774140658703</v>
      </c>
      <c r="L368" s="26">
        <v>5.7486774140658703</v>
      </c>
      <c r="M368" s="26">
        <v>5.7486774140658703</v>
      </c>
      <c r="N368" s="26">
        <v>5.7486774140658703</v>
      </c>
      <c r="O368" s="26">
        <v>5.7486774140658703</v>
      </c>
      <c r="P368" s="26">
        <v>5.7486774140658703</v>
      </c>
      <c r="Q368" s="26">
        <v>5.7486774140658703</v>
      </c>
      <c r="R368" s="26">
        <v>5.7486774140658703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5.7486774140658703</v>
      </c>
      <c r="H369" s="30">
        <v>5.7486774140658703</v>
      </c>
      <c r="I369" s="30">
        <v>5.7486774140658703</v>
      </c>
      <c r="J369" s="30">
        <v>5.7486774140658703</v>
      </c>
      <c r="K369" s="30">
        <v>5.7486774140658703</v>
      </c>
      <c r="L369" s="30">
        <v>5.7486774140658703</v>
      </c>
      <c r="M369" s="30">
        <v>5.7486774140658703</v>
      </c>
      <c r="N369" s="30">
        <v>5.7486774140658703</v>
      </c>
      <c r="O369" s="30">
        <v>5.7486774140658703</v>
      </c>
      <c r="P369" s="30">
        <v>5.7486774140658703</v>
      </c>
      <c r="Q369" s="30">
        <v>5.7486774140658703</v>
      </c>
      <c r="R369" s="30">
        <v>5.7486774140658703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5.7486774140658703</v>
      </c>
      <c r="H370" s="26">
        <v>5.7486774140658703</v>
      </c>
      <c r="I370" s="26">
        <v>5.7486774140658703</v>
      </c>
      <c r="J370" s="26">
        <v>5.7486774140658703</v>
      </c>
      <c r="K370" s="26">
        <v>5.7486774140658703</v>
      </c>
      <c r="L370" s="26">
        <v>5.7486774140658703</v>
      </c>
      <c r="M370" s="26">
        <v>5.7486774140658703</v>
      </c>
      <c r="N370" s="26">
        <v>5.7486774140658703</v>
      </c>
      <c r="O370" s="26">
        <v>5.7486774140658703</v>
      </c>
      <c r="P370" s="26">
        <v>5.7486774140658703</v>
      </c>
      <c r="Q370" s="26">
        <v>5.7486774140658703</v>
      </c>
      <c r="R370" s="26">
        <v>5.7486774140658703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5.7486774140658703</v>
      </c>
      <c r="H371" s="30">
        <v>5.7486774140658703</v>
      </c>
      <c r="I371" s="30">
        <v>5.7486774140658703</v>
      </c>
      <c r="J371" s="30">
        <v>5.7486774140658703</v>
      </c>
      <c r="K371" s="30">
        <v>5.7486774140658703</v>
      </c>
      <c r="L371" s="30">
        <v>5.7486774140658703</v>
      </c>
      <c r="M371" s="30">
        <v>5.7486774140658703</v>
      </c>
      <c r="N371" s="30">
        <v>5.7486774140658703</v>
      </c>
      <c r="O371" s="30">
        <v>5.7486774140658703</v>
      </c>
      <c r="P371" s="30">
        <v>5.7486774140658703</v>
      </c>
      <c r="Q371" s="30">
        <v>5.7486774140658703</v>
      </c>
      <c r="R371" s="30">
        <v>5.7486774140658703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5.7486774140658703</v>
      </c>
      <c r="H372" s="26">
        <v>5.7486774140658703</v>
      </c>
      <c r="I372" s="26">
        <v>5.7486774140658703</v>
      </c>
      <c r="J372" s="26">
        <v>5.7486774140658703</v>
      </c>
      <c r="K372" s="26">
        <v>5.7486774140658703</v>
      </c>
      <c r="L372" s="26">
        <v>5.7486774140658703</v>
      </c>
      <c r="M372" s="26">
        <v>5.7486774140658703</v>
      </c>
      <c r="N372" s="26">
        <v>5.7486774140658703</v>
      </c>
      <c r="O372" s="26">
        <v>5.7486774140658703</v>
      </c>
      <c r="P372" s="26">
        <v>5.7486774140658703</v>
      </c>
      <c r="Q372" s="26">
        <v>5.7486774140658703</v>
      </c>
      <c r="R372" s="26">
        <v>5.7486774140658703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5.7486774140658703</v>
      </c>
      <c r="H373" s="30">
        <v>5.7486774140658703</v>
      </c>
      <c r="I373" s="30">
        <v>5.7486774140658703</v>
      </c>
      <c r="J373" s="30">
        <v>5.7486774140658703</v>
      </c>
      <c r="K373" s="30">
        <v>5.7486774140658703</v>
      </c>
      <c r="L373" s="30">
        <v>5.7486774140658703</v>
      </c>
      <c r="M373" s="30">
        <v>5.7486774140658703</v>
      </c>
      <c r="N373" s="30">
        <v>5.7486774140658703</v>
      </c>
      <c r="O373" s="30">
        <v>5.7486774140658703</v>
      </c>
      <c r="P373" s="30">
        <v>5.7486774140658703</v>
      </c>
      <c r="Q373" s="30">
        <v>5.7486774140658703</v>
      </c>
      <c r="R373" s="30">
        <v>5.7486774140658703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5.7486774140658703</v>
      </c>
      <c r="H374" s="26">
        <v>5.7486774140658703</v>
      </c>
      <c r="I374" s="26">
        <v>5.7486774140658703</v>
      </c>
      <c r="J374" s="26">
        <v>5.7486774140658703</v>
      </c>
      <c r="K374" s="26">
        <v>5.7486774140658703</v>
      </c>
      <c r="L374" s="26">
        <v>5.7486774140658703</v>
      </c>
      <c r="M374" s="26">
        <v>5.7486774140658703</v>
      </c>
      <c r="N374" s="26">
        <v>5.7486774140658703</v>
      </c>
      <c r="O374" s="26">
        <v>5.7486774140658703</v>
      </c>
      <c r="P374" s="26">
        <v>5.7486774140658703</v>
      </c>
      <c r="Q374" s="26">
        <v>5.7486774140658703</v>
      </c>
      <c r="R374" s="26">
        <v>5.7486774140658703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5.7486774140658703</v>
      </c>
      <c r="H375" s="30">
        <v>5.9296819666963678</v>
      </c>
      <c r="I375" s="30">
        <v>5.7486774140658703</v>
      </c>
      <c r="J375" s="30">
        <v>5.7486774140658703</v>
      </c>
      <c r="K375" s="30">
        <v>5.7486774140658703</v>
      </c>
      <c r="L375" s="30">
        <v>5.7486774140658703</v>
      </c>
      <c r="M375" s="30">
        <v>5.7486774140658703</v>
      </c>
      <c r="N375" s="30">
        <v>5.7486774140658703</v>
      </c>
      <c r="O375" s="30">
        <v>5.7486774140658703</v>
      </c>
      <c r="P375" s="30">
        <v>5.7486774140658703</v>
      </c>
      <c r="Q375" s="30">
        <v>5.7486774140658703</v>
      </c>
      <c r="R375" s="30">
        <v>5.7486774140658703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5.7486774140658703</v>
      </c>
      <c r="H376" s="26">
        <v>5.9296819666963678</v>
      </c>
      <c r="I376" s="26">
        <v>5.7486774140658703</v>
      </c>
      <c r="J376" s="26">
        <v>5.7486774140658703</v>
      </c>
      <c r="K376" s="26">
        <v>5.7486774140658703</v>
      </c>
      <c r="L376" s="26">
        <v>5.7486774140658703</v>
      </c>
      <c r="M376" s="26">
        <v>5.7486774140658703</v>
      </c>
      <c r="N376" s="26">
        <v>5.7486774140658703</v>
      </c>
      <c r="O376" s="26">
        <v>5.7486774140658703</v>
      </c>
      <c r="P376" s="26">
        <v>5.7486774140658703</v>
      </c>
      <c r="Q376" s="26">
        <v>5.7486774140658703</v>
      </c>
      <c r="R376" s="26">
        <v>5.7486774140658703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5.7486774140658703</v>
      </c>
      <c r="H377" s="30">
        <v>5.9296819666963678</v>
      </c>
      <c r="I377" s="30">
        <v>5.7486774140658703</v>
      </c>
      <c r="J377" s="30">
        <v>5.7486774140658703</v>
      </c>
      <c r="K377" s="30">
        <v>5.7486774140658703</v>
      </c>
      <c r="L377" s="30">
        <v>5.7486774140658703</v>
      </c>
      <c r="M377" s="30">
        <v>5.7486774140658703</v>
      </c>
      <c r="N377" s="30">
        <v>5.7486774140658703</v>
      </c>
      <c r="O377" s="30">
        <v>5.7486774140658703</v>
      </c>
      <c r="P377" s="30">
        <v>5.7486774140658703</v>
      </c>
      <c r="Q377" s="30">
        <v>5.7486774140658703</v>
      </c>
      <c r="R377" s="30">
        <v>5.7486774140658703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5.7486774140658703</v>
      </c>
      <c r="H378" s="26">
        <v>7.2496673844221462</v>
      </c>
      <c r="I378" s="26">
        <v>5.7486774140658703</v>
      </c>
      <c r="J378" s="26">
        <v>5.7486774140658703</v>
      </c>
      <c r="K378" s="26">
        <v>5.7486774140658703</v>
      </c>
      <c r="L378" s="26">
        <v>5.7486774140658703</v>
      </c>
      <c r="M378" s="26">
        <v>5.7486774140658703</v>
      </c>
      <c r="N378" s="26">
        <v>5.7486774140658703</v>
      </c>
      <c r="O378" s="26">
        <v>5.7486774140658703</v>
      </c>
      <c r="P378" s="26">
        <v>5.7486774140658703</v>
      </c>
      <c r="Q378" s="26">
        <v>5.7486774140658703</v>
      </c>
      <c r="R378" s="26">
        <v>5.7486774140658703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5.7486774140658703</v>
      </c>
      <c r="H379" s="30">
        <v>7.2496673844221462</v>
      </c>
      <c r="I379" s="30">
        <v>5.7486774140658703</v>
      </c>
      <c r="J379" s="30">
        <v>5.7486774140658703</v>
      </c>
      <c r="K379" s="30">
        <v>5.7486774140658703</v>
      </c>
      <c r="L379" s="30">
        <v>5.7486774140658703</v>
      </c>
      <c r="M379" s="30">
        <v>5.7486774140658703</v>
      </c>
      <c r="N379" s="30">
        <v>5.7486774140658703</v>
      </c>
      <c r="O379" s="30">
        <v>5.7486774140658703</v>
      </c>
      <c r="P379" s="30">
        <v>5.7486774140658703</v>
      </c>
      <c r="Q379" s="30">
        <v>5.7486774140658703</v>
      </c>
      <c r="R379" s="30">
        <v>5.7486774140658703</v>
      </c>
      <c r="S379" s="25"/>
    </row>
    <row r="380" spans="1:19" x14ac:dyDescent="0.25">
      <c r="A380" s="26">
        <v>3.75</v>
      </c>
      <c r="B380" s="26">
        <v>5.7486774140658703</v>
      </c>
      <c r="C380" s="26">
        <v>5.9296819666963678</v>
      </c>
      <c r="D380" s="26">
        <v>5.7486774140658703</v>
      </c>
      <c r="E380" s="26">
        <v>5.9296819666963678</v>
      </c>
      <c r="F380" s="26">
        <v>5.7486774140658703</v>
      </c>
      <c r="G380" s="26">
        <v>5.7486774140658703</v>
      </c>
      <c r="H380" s="26">
        <v>7.2496673844221462</v>
      </c>
      <c r="I380" s="26">
        <v>5.7486774140658703</v>
      </c>
      <c r="J380" s="26">
        <v>5.7486774140658703</v>
      </c>
      <c r="K380" s="26">
        <v>5.7486774140658703</v>
      </c>
      <c r="L380" s="26">
        <v>5.7486774140658703</v>
      </c>
      <c r="M380" s="26">
        <v>5.7486774140658703</v>
      </c>
      <c r="N380" s="26">
        <v>5.7486774140658703</v>
      </c>
      <c r="O380" s="26">
        <v>5.7486774140658703</v>
      </c>
      <c r="P380" s="26">
        <v>5.7486774140658703</v>
      </c>
      <c r="Q380" s="26">
        <v>5.7486774140658703</v>
      </c>
      <c r="R380" s="26">
        <v>5.7486774140658703</v>
      </c>
      <c r="S380" s="24"/>
    </row>
    <row r="381" spans="1:19" x14ac:dyDescent="0.25">
      <c r="A381" s="30">
        <v>3.76</v>
      </c>
      <c r="B381" s="30">
        <v>5.7486774140658703</v>
      </c>
      <c r="C381" s="30">
        <v>5.9296819666963678</v>
      </c>
      <c r="D381" s="30">
        <v>5.7486774140658703</v>
      </c>
      <c r="E381" s="30">
        <v>5.9296819666963678</v>
      </c>
      <c r="F381" s="30">
        <v>5.7486774140658703</v>
      </c>
      <c r="G381" s="30">
        <v>5.7486774140658703</v>
      </c>
      <c r="H381" s="30">
        <v>7.2496673844221462</v>
      </c>
      <c r="I381" s="30">
        <v>5.7486774140658703</v>
      </c>
      <c r="J381" s="30">
        <v>5.7486774140658703</v>
      </c>
      <c r="K381" s="30">
        <v>5.7486774140658703</v>
      </c>
      <c r="L381" s="30">
        <v>5.7486774140658703</v>
      </c>
      <c r="M381" s="30">
        <v>5.7486774140658703</v>
      </c>
      <c r="N381" s="30">
        <v>5.7486774140658703</v>
      </c>
      <c r="O381" s="30">
        <v>5.7486774140658703</v>
      </c>
      <c r="P381" s="30">
        <v>5.7486774140658703</v>
      </c>
      <c r="Q381" s="30">
        <v>5.7486774140658703</v>
      </c>
      <c r="R381" s="30">
        <v>5.7486774140658703</v>
      </c>
      <c r="S381" s="25"/>
    </row>
    <row r="382" spans="1:19" x14ac:dyDescent="0.25">
      <c r="A382" s="26">
        <v>3.77</v>
      </c>
      <c r="B382" s="26">
        <v>5.7486774140658703</v>
      </c>
      <c r="C382" s="26">
        <v>5.9296819666963678</v>
      </c>
      <c r="D382" s="26">
        <v>5.7486774140658703</v>
      </c>
      <c r="E382" s="26">
        <v>5.9296819666963678</v>
      </c>
      <c r="F382" s="26">
        <v>5.7486774140658703</v>
      </c>
      <c r="G382" s="26">
        <v>5.7486774140658703</v>
      </c>
      <c r="H382" s="26">
        <v>7.2496673844221462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5.9296819666963678</v>
      </c>
      <c r="D383" s="30">
        <v>5.7486774140658703</v>
      </c>
      <c r="E383" s="30">
        <v>5.9296819666963678</v>
      </c>
      <c r="F383" s="30">
        <v>5.7486774140658703</v>
      </c>
      <c r="G383" s="30">
        <v>5.7486774140658703</v>
      </c>
      <c r="H383" s="30">
        <v>7.2496673844221462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7.2496673844221462</v>
      </c>
      <c r="D384" s="26">
        <v>5.7486774140658703</v>
      </c>
      <c r="E384" s="26">
        <v>7.2496673844221462</v>
      </c>
      <c r="F384" s="26">
        <v>5.7486774140658703</v>
      </c>
      <c r="G384" s="26">
        <v>5.7486774140658703</v>
      </c>
      <c r="H384" s="26">
        <v>7.2496673844221462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7.2496673844221462</v>
      </c>
      <c r="D385" s="30">
        <v>5.7486774140658703</v>
      </c>
      <c r="E385" s="30">
        <v>7.2496673844221462</v>
      </c>
      <c r="F385" s="30">
        <v>5.7486774140658703</v>
      </c>
      <c r="G385" s="30">
        <v>5.7486774140658703</v>
      </c>
      <c r="H385" s="30">
        <v>7.2496673844221462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7.2496673844221462</v>
      </c>
      <c r="D386" s="26">
        <v>5.7486774140658703</v>
      </c>
      <c r="E386" s="26">
        <v>7.2496673844221462</v>
      </c>
      <c r="F386" s="26">
        <v>5.7486774140658703</v>
      </c>
      <c r="G386" s="26">
        <v>5.7486774140658703</v>
      </c>
      <c r="H386" s="26">
        <v>7.2496673844221462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7.2496673844221462</v>
      </c>
      <c r="D387" s="30">
        <v>5.7486774140658703</v>
      </c>
      <c r="E387" s="30">
        <v>7.2496673844221462</v>
      </c>
      <c r="F387" s="30">
        <v>5.7486774140658703</v>
      </c>
      <c r="G387" s="30">
        <v>5.7486774140658703</v>
      </c>
      <c r="H387" s="30">
        <v>7.2496673844221462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7.2496673844221462</v>
      </c>
      <c r="D388" s="26">
        <v>5.7486774140658703</v>
      </c>
      <c r="E388" s="26">
        <v>7.2496673844221462</v>
      </c>
      <c r="F388" s="26">
        <v>5.7486774140658703</v>
      </c>
      <c r="G388" s="26">
        <v>5.7486774140658703</v>
      </c>
      <c r="H388" s="26">
        <v>7.2496673844221462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7.2496673844221462</v>
      </c>
      <c r="D389" s="30">
        <v>5.7486774140658703</v>
      </c>
      <c r="E389" s="30">
        <v>7.2496673844221462</v>
      </c>
      <c r="F389" s="30">
        <v>5.7486774140658703</v>
      </c>
      <c r="G389" s="30">
        <v>5.7486774140658703</v>
      </c>
      <c r="H389" s="30">
        <v>7.2496673844221462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7.2496673844221462</v>
      </c>
      <c r="D390" s="26">
        <v>5.7486774140658703</v>
      </c>
      <c r="E390" s="26">
        <v>7.2496673844221462</v>
      </c>
      <c r="F390" s="26">
        <v>5.7486774140658703</v>
      </c>
      <c r="G390" s="26">
        <v>5.7486774140658703</v>
      </c>
      <c r="H390" s="26">
        <v>7.4401405082909307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7.2496673844221462</v>
      </c>
      <c r="D391" s="30">
        <v>5.7486774140658703</v>
      </c>
      <c r="E391" s="30">
        <v>7.2496673844221462</v>
      </c>
      <c r="F391" s="30">
        <v>5.7486774140658703</v>
      </c>
      <c r="G391" s="30">
        <v>5.7486774140658703</v>
      </c>
      <c r="H391" s="30">
        <v>7.4401405082909307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5.9296819666963678</v>
      </c>
      <c r="C392" s="26">
        <v>7.2496673844221462</v>
      </c>
      <c r="D392" s="26">
        <v>5.9296819666963678</v>
      </c>
      <c r="E392" s="26">
        <v>7.2496673844221462</v>
      </c>
      <c r="F392" s="26">
        <v>5.9296819666963678</v>
      </c>
      <c r="G392" s="26">
        <v>5.7486774140658703</v>
      </c>
      <c r="H392" s="26">
        <v>7.4401405082909307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5.9296819666963678</v>
      </c>
      <c r="C393" s="30">
        <v>7.2496673844221462</v>
      </c>
      <c r="D393" s="30">
        <v>5.9296819666963678</v>
      </c>
      <c r="E393" s="30">
        <v>7.2496673844221462</v>
      </c>
      <c r="F393" s="30">
        <v>5.9296819666963678</v>
      </c>
      <c r="G393" s="30">
        <v>5.7486774140658703</v>
      </c>
      <c r="H393" s="30">
        <v>7.4401405082909307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5.9296819666963678</v>
      </c>
      <c r="C394" s="26">
        <v>7.2496673844221462</v>
      </c>
      <c r="D394" s="26">
        <v>5.9296819666963678</v>
      </c>
      <c r="E394" s="26">
        <v>7.2496673844221462</v>
      </c>
      <c r="F394" s="26">
        <v>5.9296819666963678</v>
      </c>
      <c r="G394" s="26">
        <v>5.7486774140658703</v>
      </c>
      <c r="H394" s="26">
        <v>7.4401405082909307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5.9296819666963678</v>
      </c>
      <c r="C395" s="30">
        <v>7.2496673844221462</v>
      </c>
      <c r="D395" s="30">
        <v>5.9296819666963678</v>
      </c>
      <c r="E395" s="30">
        <v>7.2496673844221462</v>
      </c>
      <c r="F395" s="30">
        <v>5.9296819666963678</v>
      </c>
      <c r="G395" s="30">
        <v>5.7486774140658703</v>
      </c>
      <c r="H395" s="30">
        <v>7.4401405082909307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5.9296819666963678</v>
      </c>
      <c r="C396" s="26">
        <v>7.4401405082909307</v>
      </c>
      <c r="D396" s="26">
        <v>5.9296819666963678</v>
      </c>
      <c r="E396" s="26">
        <v>7.4401405082909307</v>
      </c>
      <c r="F396" s="26">
        <v>5.9296819666963678</v>
      </c>
      <c r="G396" s="26">
        <v>5.7486774140658703</v>
      </c>
      <c r="H396" s="26">
        <v>7.4401405082909307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7.1206189521793286</v>
      </c>
      <c r="C397" s="30">
        <v>7.4401405082909307</v>
      </c>
      <c r="D397" s="30">
        <v>7.2496673844221462</v>
      </c>
      <c r="E397" s="30">
        <v>7.4401405082909307</v>
      </c>
      <c r="F397" s="30">
        <v>7.2496673844221462</v>
      </c>
      <c r="G397" s="30">
        <v>5.7486774140658703</v>
      </c>
      <c r="H397" s="30">
        <v>8.2301389521793276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7.1206189521793286</v>
      </c>
      <c r="C398" s="26">
        <v>7.4401405082909307</v>
      </c>
      <c r="D398" s="26">
        <v>7.2496673844221462</v>
      </c>
      <c r="E398" s="26">
        <v>7.4401405082909307</v>
      </c>
      <c r="F398" s="26">
        <v>7.2496673844221462</v>
      </c>
      <c r="G398" s="26">
        <v>5.7486774140658703</v>
      </c>
      <c r="H398" s="26">
        <v>8.2301389521793276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7.1206189521793286</v>
      </c>
      <c r="C399" s="30">
        <v>7.4401405082909307</v>
      </c>
      <c r="D399" s="30">
        <v>7.2496673844221462</v>
      </c>
      <c r="E399" s="30">
        <v>7.4401405082909307</v>
      </c>
      <c r="F399" s="30">
        <v>7.2496673844221462</v>
      </c>
      <c r="G399" s="30">
        <v>5.7486774140658703</v>
      </c>
      <c r="H399" s="30">
        <v>8.2301389521793276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7.1206189521793286</v>
      </c>
      <c r="C400" s="26">
        <v>7.4401405082909307</v>
      </c>
      <c r="D400" s="26">
        <v>7.2496673844221462</v>
      </c>
      <c r="E400" s="26">
        <v>7.4401405082909307</v>
      </c>
      <c r="F400" s="26">
        <v>7.2496673844221462</v>
      </c>
      <c r="G400" s="26">
        <v>5.7486774140658703</v>
      </c>
      <c r="H400" s="26">
        <v>8.2301389521793276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7.1206189521793286</v>
      </c>
      <c r="C401" s="30">
        <v>7.4401405082909307</v>
      </c>
      <c r="D401" s="30">
        <v>7.2496673844221462</v>
      </c>
      <c r="E401" s="30">
        <v>7.4401405082909307</v>
      </c>
      <c r="F401" s="30">
        <v>7.2496673844221462</v>
      </c>
      <c r="G401" s="30">
        <v>5.7486774140658703</v>
      </c>
      <c r="H401" s="30">
        <v>8.2301389521793276</v>
      </c>
      <c r="I401" s="30">
        <v>5.7486774140658703</v>
      </c>
      <c r="J401" s="30">
        <v>5.9296819666963678</v>
      </c>
      <c r="K401" s="30">
        <v>5.7486774140658703</v>
      </c>
      <c r="L401" s="30">
        <v>5.9296819666963678</v>
      </c>
      <c r="M401" s="30">
        <v>5.7486774140658703</v>
      </c>
      <c r="N401" s="30">
        <v>5.7486774140658703</v>
      </c>
      <c r="O401" s="30">
        <v>5.9296819666963678</v>
      </c>
      <c r="P401" s="30">
        <v>5.7486774140658703</v>
      </c>
      <c r="Q401" s="30">
        <v>5.9296819666963678</v>
      </c>
      <c r="R401" s="30">
        <v>5.7486774140658703</v>
      </c>
      <c r="S401" s="25"/>
    </row>
    <row r="402" spans="1:19" x14ac:dyDescent="0.25">
      <c r="A402" s="26">
        <v>3.97</v>
      </c>
      <c r="B402" s="26">
        <v>7.1206189521793286</v>
      </c>
      <c r="C402" s="26">
        <v>7.4401405082909307</v>
      </c>
      <c r="D402" s="26">
        <v>7.2496673844221462</v>
      </c>
      <c r="E402" s="26">
        <v>7.4401405082909307</v>
      </c>
      <c r="F402" s="26">
        <v>7.2496673844221462</v>
      </c>
      <c r="G402" s="26">
        <v>5.7486774140658703</v>
      </c>
      <c r="H402" s="26">
        <v>8.2301389521793276</v>
      </c>
      <c r="I402" s="26">
        <v>5.7486774140658703</v>
      </c>
      <c r="J402" s="26">
        <v>5.9296819666963678</v>
      </c>
      <c r="K402" s="26">
        <v>5.7486774140658703</v>
      </c>
      <c r="L402" s="26">
        <v>5.9296819666963678</v>
      </c>
      <c r="M402" s="26">
        <v>5.7486774140658703</v>
      </c>
      <c r="N402" s="26">
        <v>5.7486774140658703</v>
      </c>
      <c r="O402" s="26">
        <v>5.9296819666963678</v>
      </c>
      <c r="P402" s="26">
        <v>5.7486774140658703</v>
      </c>
      <c r="Q402" s="26">
        <v>5.9296819666963678</v>
      </c>
      <c r="R402" s="26">
        <v>5.7486774140658703</v>
      </c>
      <c r="S402" s="24"/>
    </row>
    <row r="403" spans="1:19" x14ac:dyDescent="0.25">
      <c r="A403" s="30">
        <v>3.98</v>
      </c>
      <c r="B403" s="30">
        <v>7.1206189521793286</v>
      </c>
      <c r="C403" s="30">
        <v>8.6248189521793286</v>
      </c>
      <c r="D403" s="30">
        <v>7.2496673844221462</v>
      </c>
      <c r="E403" s="30">
        <v>8.6751889521793295</v>
      </c>
      <c r="F403" s="30">
        <v>7.2496673844221462</v>
      </c>
      <c r="G403" s="30">
        <v>5.7486774140658703</v>
      </c>
      <c r="H403" s="30">
        <v>8.6840406709425046</v>
      </c>
      <c r="I403" s="30">
        <v>5.7486774140658703</v>
      </c>
      <c r="J403" s="30">
        <v>5.9296819666963678</v>
      </c>
      <c r="K403" s="30">
        <v>5.7486774140658703</v>
      </c>
      <c r="L403" s="30">
        <v>5.9296819666963678</v>
      </c>
      <c r="M403" s="30">
        <v>5.7486774140658703</v>
      </c>
      <c r="N403" s="30">
        <v>5.7486774140658703</v>
      </c>
      <c r="O403" s="30">
        <v>5.9296819666963678</v>
      </c>
      <c r="P403" s="30">
        <v>5.7486774140658703</v>
      </c>
      <c r="Q403" s="30">
        <v>5.9296819666963678</v>
      </c>
      <c r="R403" s="30">
        <v>5.7486774140658703</v>
      </c>
      <c r="S403" s="25"/>
    </row>
    <row r="404" spans="1:19" x14ac:dyDescent="0.25">
      <c r="A404" s="26">
        <v>3.99</v>
      </c>
      <c r="B404" s="26">
        <v>7.1206189521793286</v>
      </c>
      <c r="C404" s="26">
        <v>8.6248189521793286</v>
      </c>
      <c r="D404" s="26">
        <v>7.2496673844221462</v>
      </c>
      <c r="E404" s="26">
        <v>8.6751889521793295</v>
      </c>
      <c r="F404" s="26">
        <v>7.2496673844221462</v>
      </c>
      <c r="G404" s="26">
        <v>5.7486774140658703</v>
      </c>
      <c r="H404" s="26">
        <v>8.6840406709425046</v>
      </c>
      <c r="I404" s="26">
        <v>5.7486774140658703</v>
      </c>
      <c r="J404" s="26">
        <v>5.9296819666963678</v>
      </c>
      <c r="K404" s="26">
        <v>5.7486774140658703</v>
      </c>
      <c r="L404" s="26">
        <v>5.9296819666963678</v>
      </c>
      <c r="M404" s="26">
        <v>5.7486774140658703</v>
      </c>
      <c r="N404" s="26">
        <v>5.7486774140658703</v>
      </c>
      <c r="O404" s="26">
        <v>5.9296819666963678</v>
      </c>
      <c r="P404" s="26">
        <v>5.7486774140658703</v>
      </c>
      <c r="Q404" s="26">
        <v>5.9296819666963678</v>
      </c>
      <c r="R404" s="26">
        <v>5.7486774140658703</v>
      </c>
      <c r="S404" s="24"/>
    </row>
    <row r="405" spans="1:19" x14ac:dyDescent="0.25">
      <c r="A405" s="30">
        <v>4</v>
      </c>
      <c r="B405" s="30">
        <v>7.1206189521793286</v>
      </c>
      <c r="C405" s="30">
        <v>8.6248189521793286</v>
      </c>
      <c r="D405" s="30">
        <v>7.2496673844221462</v>
      </c>
      <c r="E405" s="30">
        <v>8.6751889521793295</v>
      </c>
      <c r="F405" s="30">
        <v>7.2496673844221462</v>
      </c>
      <c r="G405" s="30">
        <v>5.7486774140658703</v>
      </c>
      <c r="H405" s="30">
        <v>8.6840406709425046</v>
      </c>
      <c r="I405" s="30">
        <v>5.7486774140658703</v>
      </c>
      <c r="J405" s="30">
        <v>6.9384589521793281</v>
      </c>
      <c r="K405" s="30">
        <v>5.7486774140658703</v>
      </c>
      <c r="L405" s="30">
        <v>6.8860189521793274</v>
      </c>
      <c r="M405" s="30">
        <v>5.7486774140658703</v>
      </c>
      <c r="N405" s="30">
        <v>5.7486774140658703</v>
      </c>
      <c r="O405" s="30">
        <v>6.9260389521793284</v>
      </c>
      <c r="P405" s="30">
        <v>5.7486774140658703</v>
      </c>
      <c r="Q405" s="30">
        <v>7.0902589521793278</v>
      </c>
      <c r="R405" s="30">
        <v>5.7486774140658703</v>
      </c>
      <c r="S405" s="25"/>
    </row>
    <row r="406" spans="1:19" x14ac:dyDescent="0.25">
      <c r="A406" s="26">
        <v>4.01</v>
      </c>
      <c r="B406" s="26">
        <v>7.1206189521793286</v>
      </c>
      <c r="C406" s="26">
        <v>8.6248189521793286</v>
      </c>
      <c r="D406" s="26">
        <v>7.2496673844221462</v>
      </c>
      <c r="E406" s="26">
        <v>8.6751889521793295</v>
      </c>
      <c r="F406" s="26">
        <v>7.2496673844221462</v>
      </c>
      <c r="G406" s="26">
        <v>5.7486774140658703</v>
      </c>
      <c r="H406" s="26">
        <v>8.6840406709425046</v>
      </c>
      <c r="I406" s="26">
        <v>5.7486774140658703</v>
      </c>
      <c r="J406" s="26">
        <v>6.9384589521793281</v>
      </c>
      <c r="K406" s="26">
        <v>5.7486774140658703</v>
      </c>
      <c r="L406" s="26">
        <v>6.8860189521793274</v>
      </c>
      <c r="M406" s="26">
        <v>5.7486774140658703</v>
      </c>
      <c r="N406" s="26">
        <v>5.7486774140658703</v>
      </c>
      <c r="O406" s="26">
        <v>6.9260389521793284</v>
      </c>
      <c r="P406" s="26">
        <v>5.7486774140658703</v>
      </c>
      <c r="Q406" s="26">
        <v>7.0902589521793278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7.2496673844221462</v>
      </c>
      <c r="C407" s="30">
        <v>8.6248189521793286</v>
      </c>
      <c r="D407" s="30">
        <v>7.2496673844221462</v>
      </c>
      <c r="E407" s="30">
        <v>8.6751889521793295</v>
      </c>
      <c r="F407" s="30">
        <v>7.2496673844221462</v>
      </c>
      <c r="G407" s="30">
        <v>5.7486774140658703</v>
      </c>
      <c r="H407" s="30">
        <v>8.6840406709425046</v>
      </c>
      <c r="I407" s="30">
        <v>5.7486774140658703</v>
      </c>
      <c r="J407" s="30">
        <v>6.9384589521793281</v>
      </c>
      <c r="K407" s="30">
        <v>5.7486774140658703</v>
      </c>
      <c r="L407" s="30">
        <v>6.8860189521793274</v>
      </c>
      <c r="M407" s="30">
        <v>5.7486774140658703</v>
      </c>
      <c r="N407" s="30">
        <v>5.7486774140658703</v>
      </c>
      <c r="O407" s="30">
        <v>6.9260389521793284</v>
      </c>
      <c r="P407" s="30">
        <v>5.7486774140658703</v>
      </c>
      <c r="Q407" s="30">
        <v>7.0902589521793278</v>
      </c>
      <c r="R407" s="30">
        <v>5.7486774140658703</v>
      </c>
      <c r="S407" s="25"/>
    </row>
    <row r="408" spans="1:19" x14ac:dyDescent="0.25">
      <c r="A408" s="26">
        <v>4.03</v>
      </c>
      <c r="B408" s="26">
        <v>7.2496673844221462</v>
      </c>
      <c r="C408" s="26">
        <v>8.6248189521793286</v>
      </c>
      <c r="D408" s="26">
        <v>7.2496673844221462</v>
      </c>
      <c r="E408" s="26">
        <v>8.6751889521793295</v>
      </c>
      <c r="F408" s="26">
        <v>7.2496673844221462</v>
      </c>
      <c r="G408" s="26">
        <v>5.7486774140658703</v>
      </c>
      <c r="H408" s="26">
        <v>8.6840406709425046</v>
      </c>
      <c r="I408" s="26">
        <v>5.7486774140658703</v>
      </c>
      <c r="J408" s="26">
        <v>6.9384589521793281</v>
      </c>
      <c r="K408" s="26">
        <v>5.7486774140658703</v>
      </c>
      <c r="L408" s="26">
        <v>6.8860189521793274</v>
      </c>
      <c r="M408" s="26">
        <v>5.7486774140658703</v>
      </c>
      <c r="N408" s="26">
        <v>5.7486774140658703</v>
      </c>
      <c r="O408" s="26">
        <v>6.9260389521793284</v>
      </c>
      <c r="P408" s="26">
        <v>5.7486774140658703</v>
      </c>
      <c r="Q408" s="26">
        <v>7.0902589521793278</v>
      </c>
      <c r="R408" s="26">
        <v>5.7486774140658703</v>
      </c>
      <c r="S408" s="24"/>
    </row>
    <row r="409" spans="1:19" x14ac:dyDescent="0.25">
      <c r="A409" s="30">
        <v>4.04</v>
      </c>
      <c r="B409" s="30">
        <v>7.2496673844221462</v>
      </c>
      <c r="C409" s="30">
        <v>8.6248189521793286</v>
      </c>
      <c r="D409" s="30">
        <v>7.4401405082909307</v>
      </c>
      <c r="E409" s="30">
        <v>8.6751889521793295</v>
      </c>
      <c r="F409" s="30">
        <v>7.4401405082909307</v>
      </c>
      <c r="G409" s="30">
        <v>5.7486774140658703</v>
      </c>
      <c r="H409" s="30">
        <v>8.6840406709425046</v>
      </c>
      <c r="I409" s="30">
        <v>5.7486774140658703</v>
      </c>
      <c r="J409" s="30">
        <v>6.9384589521793281</v>
      </c>
      <c r="K409" s="30">
        <v>5.7486774140658703</v>
      </c>
      <c r="L409" s="30">
        <v>6.8860189521793274</v>
      </c>
      <c r="M409" s="30">
        <v>5.7486774140658703</v>
      </c>
      <c r="N409" s="30">
        <v>5.7486774140658703</v>
      </c>
      <c r="O409" s="30">
        <v>6.9260389521793284</v>
      </c>
      <c r="P409" s="30">
        <v>5.7486774140658703</v>
      </c>
      <c r="Q409" s="30">
        <v>7.0902589521793278</v>
      </c>
      <c r="R409" s="30">
        <v>5.7486774140658703</v>
      </c>
      <c r="S409" s="25"/>
    </row>
    <row r="410" spans="1:19" x14ac:dyDescent="0.25">
      <c r="A410" s="26">
        <v>4.05</v>
      </c>
      <c r="B410" s="26">
        <v>7.2496673844221462</v>
      </c>
      <c r="C410" s="26">
        <v>8.6248189521793286</v>
      </c>
      <c r="D410" s="26">
        <v>7.4401405082909307</v>
      </c>
      <c r="E410" s="26">
        <v>8.6751889521793295</v>
      </c>
      <c r="F410" s="26">
        <v>7.4401405082909307</v>
      </c>
      <c r="G410" s="26">
        <v>5.7486774140658703</v>
      </c>
      <c r="H410" s="26">
        <v>8.6840406709425046</v>
      </c>
      <c r="I410" s="26">
        <v>5.7486774140658703</v>
      </c>
      <c r="J410" s="26">
        <v>6.9384589521793281</v>
      </c>
      <c r="K410" s="26">
        <v>5.7486774140658703</v>
      </c>
      <c r="L410" s="26">
        <v>6.8860189521793274</v>
      </c>
      <c r="M410" s="26">
        <v>5.7486774140658703</v>
      </c>
      <c r="N410" s="26">
        <v>5.7486774140658703</v>
      </c>
      <c r="O410" s="26">
        <v>6.9260389521793284</v>
      </c>
      <c r="P410" s="26">
        <v>5.7486774140658703</v>
      </c>
      <c r="Q410" s="26">
        <v>7.0902589521793278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7.2496673844221462</v>
      </c>
      <c r="C411" s="30">
        <v>8.6248189521793286</v>
      </c>
      <c r="D411" s="30">
        <v>7.4401405082909307</v>
      </c>
      <c r="E411" s="30">
        <v>8.6751889521793295</v>
      </c>
      <c r="F411" s="30">
        <v>7.4401405082909307</v>
      </c>
      <c r="G411" s="30">
        <v>5.7486774140658703</v>
      </c>
      <c r="H411" s="30">
        <v>8.6840406709425046</v>
      </c>
      <c r="I411" s="30">
        <v>5.7486774140658703</v>
      </c>
      <c r="J411" s="30">
        <v>6.9384589521793281</v>
      </c>
      <c r="K411" s="30">
        <v>5.7486774140658703</v>
      </c>
      <c r="L411" s="30">
        <v>6.8860189521793274</v>
      </c>
      <c r="M411" s="30">
        <v>5.7486774140658703</v>
      </c>
      <c r="N411" s="30">
        <v>5.7486774140658703</v>
      </c>
      <c r="O411" s="30">
        <v>6.9260389521793284</v>
      </c>
      <c r="P411" s="30">
        <v>5.7486774140658703</v>
      </c>
      <c r="Q411" s="30">
        <v>7.0902589521793278</v>
      </c>
      <c r="R411" s="30">
        <v>5.7486774140658703</v>
      </c>
      <c r="S411" s="25"/>
    </row>
    <row r="412" spans="1:19" x14ac:dyDescent="0.25">
      <c r="A412" s="26">
        <v>4.07</v>
      </c>
      <c r="B412" s="26">
        <v>7.2496673844221462</v>
      </c>
      <c r="C412" s="26">
        <v>8.6248189521793286</v>
      </c>
      <c r="D412" s="26">
        <v>7.4401405082909307</v>
      </c>
      <c r="E412" s="26">
        <v>8.6751889521793295</v>
      </c>
      <c r="F412" s="26">
        <v>7.4401405082909307</v>
      </c>
      <c r="G412" s="26">
        <v>5.7486774140658703</v>
      </c>
      <c r="H412" s="26">
        <v>8.6840406709425046</v>
      </c>
      <c r="I412" s="26">
        <v>5.7486774140658703</v>
      </c>
      <c r="J412" s="26">
        <v>7.2496673844221462</v>
      </c>
      <c r="K412" s="26">
        <v>5.7486774140658703</v>
      </c>
      <c r="L412" s="26">
        <v>7.2496673844221462</v>
      </c>
      <c r="M412" s="26">
        <v>5.7486774140658703</v>
      </c>
      <c r="N412" s="26">
        <v>5.7486774140658703</v>
      </c>
      <c r="O412" s="26">
        <v>7.2496673844221462</v>
      </c>
      <c r="P412" s="26">
        <v>5.7486774140658703</v>
      </c>
      <c r="Q412" s="26">
        <v>7.2496673844221462</v>
      </c>
      <c r="R412" s="26">
        <v>5.7486774140658703</v>
      </c>
      <c r="S412" s="24"/>
    </row>
    <row r="413" spans="1:19" x14ac:dyDescent="0.25">
      <c r="A413" s="30">
        <v>4.08</v>
      </c>
      <c r="B413" s="30">
        <v>7.2496673844221462</v>
      </c>
      <c r="C413" s="30">
        <v>8.6248189521793286</v>
      </c>
      <c r="D413" s="30">
        <v>7.4401405082909307</v>
      </c>
      <c r="E413" s="30">
        <v>8.6751889521793295</v>
      </c>
      <c r="F413" s="30">
        <v>7.4401405082909307</v>
      </c>
      <c r="G413" s="30">
        <v>5.7486774140658703</v>
      </c>
      <c r="H413" s="30">
        <v>8.6840406709425046</v>
      </c>
      <c r="I413" s="30">
        <v>5.7486774140658703</v>
      </c>
      <c r="J413" s="30">
        <v>7.2496673844221462</v>
      </c>
      <c r="K413" s="30">
        <v>5.7486774140658703</v>
      </c>
      <c r="L413" s="30">
        <v>7.2496673844221462</v>
      </c>
      <c r="M413" s="30">
        <v>5.7486774140658703</v>
      </c>
      <c r="N413" s="30">
        <v>5.7486774140658703</v>
      </c>
      <c r="O413" s="30">
        <v>7.2496673844221462</v>
      </c>
      <c r="P413" s="30">
        <v>5.7486774140658703</v>
      </c>
      <c r="Q413" s="30">
        <v>7.2496673844221462</v>
      </c>
      <c r="R413" s="30">
        <v>5.7486774140658703</v>
      </c>
      <c r="S413" s="25"/>
    </row>
    <row r="414" spans="1:19" x14ac:dyDescent="0.25">
      <c r="A414" s="26">
        <v>4.09</v>
      </c>
      <c r="B414" s="26">
        <v>7.2496673844221462</v>
      </c>
      <c r="C414" s="26">
        <v>9.0787206709425057</v>
      </c>
      <c r="D414" s="26">
        <v>7.4401405082909307</v>
      </c>
      <c r="E414" s="26">
        <v>9.1290906709425066</v>
      </c>
      <c r="F414" s="26">
        <v>7.4401405082909307</v>
      </c>
      <c r="G414" s="26">
        <v>5.9296819666963678</v>
      </c>
      <c r="H414" s="26">
        <v>8.6840406709425046</v>
      </c>
      <c r="I414" s="26">
        <v>5.9296819666963678</v>
      </c>
      <c r="J414" s="26">
        <v>7.2496673844221462</v>
      </c>
      <c r="K414" s="26">
        <v>5.9296819666963678</v>
      </c>
      <c r="L414" s="26">
        <v>7.2496673844221462</v>
      </c>
      <c r="M414" s="26">
        <v>5.9296819666963678</v>
      </c>
      <c r="N414" s="26">
        <v>5.9296819666963678</v>
      </c>
      <c r="O414" s="26">
        <v>7.2496673844221462</v>
      </c>
      <c r="P414" s="26">
        <v>5.9296819666963678</v>
      </c>
      <c r="Q414" s="26">
        <v>7.2496673844221462</v>
      </c>
      <c r="R414" s="26">
        <v>5.9296819666963678</v>
      </c>
      <c r="S414" s="24"/>
    </row>
    <row r="415" spans="1:19" x14ac:dyDescent="0.25">
      <c r="A415" s="30">
        <v>4.0999999999999996</v>
      </c>
      <c r="B415" s="30">
        <v>7.2496673844221462</v>
      </c>
      <c r="C415" s="30">
        <v>9.0787206709425057</v>
      </c>
      <c r="D415" s="30">
        <v>7.4401405082909307</v>
      </c>
      <c r="E415" s="30">
        <v>9.1290906709425066</v>
      </c>
      <c r="F415" s="30">
        <v>7.4401405082909307</v>
      </c>
      <c r="G415" s="30">
        <v>5.9296819666963678</v>
      </c>
      <c r="H415" s="30">
        <v>8.6840406709425046</v>
      </c>
      <c r="I415" s="30">
        <v>5.9296819666963678</v>
      </c>
      <c r="J415" s="30">
        <v>7.2496673844221462</v>
      </c>
      <c r="K415" s="30">
        <v>5.9296819666963678</v>
      </c>
      <c r="L415" s="30">
        <v>7.2496673844221462</v>
      </c>
      <c r="M415" s="30">
        <v>5.9296819666963678</v>
      </c>
      <c r="N415" s="30">
        <v>5.9296819666963678</v>
      </c>
      <c r="O415" s="30">
        <v>7.2496673844221462</v>
      </c>
      <c r="P415" s="30">
        <v>5.9296819666963678</v>
      </c>
      <c r="Q415" s="30">
        <v>7.2496673844221462</v>
      </c>
      <c r="R415" s="30">
        <v>5.9296819666963678</v>
      </c>
      <c r="S415" s="25"/>
    </row>
    <row r="416" spans="1:19" x14ac:dyDescent="0.25">
      <c r="A416" s="26">
        <v>4.1100000000000003</v>
      </c>
      <c r="B416" s="26">
        <v>7.2496673844221462</v>
      </c>
      <c r="C416" s="26">
        <v>9.0787206709425057</v>
      </c>
      <c r="D416" s="26">
        <v>7.4401405082909307</v>
      </c>
      <c r="E416" s="26">
        <v>9.1290906709425066</v>
      </c>
      <c r="F416" s="26">
        <v>7.4401405082909307</v>
      </c>
      <c r="G416" s="26">
        <v>5.9296819666963678</v>
      </c>
      <c r="H416" s="26">
        <v>8.6840406709425046</v>
      </c>
      <c r="I416" s="26">
        <v>5.9296819666963678</v>
      </c>
      <c r="J416" s="26">
        <v>7.2496673844221462</v>
      </c>
      <c r="K416" s="26">
        <v>5.9296819666963678</v>
      </c>
      <c r="L416" s="26">
        <v>7.2496673844221462</v>
      </c>
      <c r="M416" s="26">
        <v>5.9296819666963678</v>
      </c>
      <c r="N416" s="26">
        <v>5.9296819666963678</v>
      </c>
      <c r="O416" s="26">
        <v>7.2496673844221462</v>
      </c>
      <c r="P416" s="26">
        <v>5.9296819666963678</v>
      </c>
      <c r="Q416" s="26">
        <v>7.2496673844221462</v>
      </c>
      <c r="R416" s="26">
        <v>5.9296819666963678</v>
      </c>
      <c r="S416" s="24"/>
    </row>
    <row r="417" spans="1:19" x14ac:dyDescent="0.25">
      <c r="A417" s="30">
        <v>4.12</v>
      </c>
      <c r="B417" s="30">
        <v>7.2496673844221462</v>
      </c>
      <c r="C417" s="30">
        <v>9.0787206709425057</v>
      </c>
      <c r="D417" s="30">
        <v>9.1078189521793274</v>
      </c>
      <c r="E417" s="30">
        <v>9.1290906709425066</v>
      </c>
      <c r="F417" s="30">
        <v>8.2425589521793281</v>
      </c>
      <c r="G417" s="30">
        <v>5.9296819666963678</v>
      </c>
      <c r="H417" s="30">
        <v>8.6840406709425046</v>
      </c>
      <c r="I417" s="30">
        <v>5.9296819666963678</v>
      </c>
      <c r="J417" s="30">
        <v>7.2496673844221462</v>
      </c>
      <c r="K417" s="30">
        <v>5.9296819666963678</v>
      </c>
      <c r="L417" s="30">
        <v>7.2496673844221462</v>
      </c>
      <c r="M417" s="30">
        <v>5.9296819666963678</v>
      </c>
      <c r="N417" s="30">
        <v>5.9296819666963678</v>
      </c>
      <c r="O417" s="30">
        <v>7.2496673844221462</v>
      </c>
      <c r="P417" s="30">
        <v>5.9296819666963678</v>
      </c>
      <c r="Q417" s="30">
        <v>7.2496673844221462</v>
      </c>
      <c r="R417" s="30">
        <v>5.9296819666963678</v>
      </c>
      <c r="S417" s="25"/>
    </row>
    <row r="418" spans="1:19" x14ac:dyDescent="0.25">
      <c r="A418" s="26">
        <v>4.13</v>
      </c>
      <c r="B418" s="26">
        <v>7.2496673844221462</v>
      </c>
      <c r="C418" s="26">
        <v>9.0787206709425057</v>
      </c>
      <c r="D418" s="26">
        <v>9.1078189521793274</v>
      </c>
      <c r="E418" s="26">
        <v>9.1290906709425066</v>
      </c>
      <c r="F418" s="26">
        <v>8.2425589521793281</v>
      </c>
      <c r="G418" s="26">
        <v>7.2496673844221462</v>
      </c>
      <c r="H418" s="26">
        <v>8.6840406709425046</v>
      </c>
      <c r="I418" s="26">
        <v>7.2496673844221462</v>
      </c>
      <c r="J418" s="26">
        <v>7.2496673844221462</v>
      </c>
      <c r="K418" s="26">
        <v>6.8446189521793279</v>
      </c>
      <c r="L418" s="26">
        <v>7.2496673844221462</v>
      </c>
      <c r="M418" s="26">
        <v>6.9274189521793286</v>
      </c>
      <c r="N418" s="26">
        <v>6.9356989521793277</v>
      </c>
      <c r="O418" s="26">
        <v>7.2496673844221462</v>
      </c>
      <c r="P418" s="26">
        <v>6.9508789521793277</v>
      </c>
      <c r="Q418" s="26">
        <v>7.2496673844221462</v>
      </c>
      <c r="R418" s="26">
        <v>7.2496673844221462</v>
      </c>
      <c r="S418" s="24"/>
    </row>
    <row r="419" spans="1:19" x14ac:dyDescent="0.25">
      <c r="A419" s="30">
        <v>4.1399999999999997</v>
      </c>
      <c r="B419" s="30">
        <v>7.2496673844221462</v>
      </c>
      <c r="C419" s="30">
        <v>9.0787206709425057</v>
      </c>
      <c r="D419" s="30">
        <v>9.1078189521793274</v>
      </c>
      <c r="E419" s="30">
        <v>9.1290906709425066</v>
      </c>
      <c r="F419" s="30">
        <v>8.2425589521793281</v>
      </c>
      <c r="G419" s="30">
        <v>7.2496673844221462</v>
      </c>
      <c r="H419" s="30">
        <v>8.6840406709425046</v>
      </c>
      <c r="I419" s="30">
        <v>7.2496673844221462</v>
      </c>
      <c r="J419" s="30">
        <v>7.2496673844221462</v>
      </c>
      <c r="K419" s="30">
        <v>6.8446189521793279</v>
      </c>
      <c r="L419" s="30">
        <v>7.2496673844221462</v>
      </c>
      <c r="M419" s="30">
        <v>6.9274189521793286</v>
      </c>
      <c r="N419" s="30">
        <v>6.9356989521793277</v>
      </c>
      <c r="O419" s="30">
        <v>7.2496673844221462</v>
      </c>
      <c r="P419" s="30">
        <v>6.9508789521793277</v>
      </c>
      <c r="Q419" s="30">
        <v>7.2496673844221462</v>
      </c>
      <c r="R419" s="30">
        <v>7.2496673844221462</v>
      </c>
      <c r="S419" s="25"/>
    </row>
    <row r="420" spans="1:19" x14ac:dyDescent="0.25">
      <c r="A420" s="26">
        <v>4.1500000000000004</v>
      </c>
      <c r="B420" s="26">
        <v>7.4401405082909307</v>
      </c>
      <c r="C420" s="26">
        <v>9.0787206709425057</v>
      </c>
      <c r="D420" s="26">
        <v>9.1078189521793274</v>
      </c>
      <c r="E420" s="26">
        <v>9.1290906709425066</v>
      </c>
      <c r="F420" s="26">
        <v>8.2425589521793281</v>
      </c>
      <c r="G420" s="26">
        <v>7.2496673844221462</v>
      </c>
      <c r="H420" s="26">
        <v>8.6840406709425046</v>
      </c>
      <c r="I420" s="26">
        <v>7.2496673844221462</v>
      </c>
      <c r="J420" s="26">
        <v>7.2496673844221462</v>
      </c>
      <c r="K420" s="26">
        <v>6.8446189521793279</v>
      </c>
      <c r="L420" s="26">
        <v>7.2496673844221462</v>
      </c>
      <c r="M420" s="26">
        <v>6.9274189521793286</v>
      </c>
      <c r="N420" s="26">
        <v>6.9356989521793277</v>
      </c>
      <c r="O420" s="26">
        <v>7.2496673844221462</v>
      </c>
      <c r="P420" s="26">
        <v>6.9508789521793277</v>
      </c>
      <c r="Q420" s="26">
        <v>7.2496673844221462</v>
      </c>
      <c r="R420" s="26">
        <v>7.2496673844221462</v>
      </c>
      <c r="S420" s="24"/>
    </row>
    <row r="421" spans="1:19" x14ac:dyDescent="0.25">
      <c r="A421" s="30">
        <v>4.16</v>
      </c>
      <c r="B421" s="30">
        <v>7.4401405082909307</v>
      </c>
      <c r="C421" s="30">
        <v>9.0787206709425057</v>
      </c>
      <c r="D421" s="30">
        <v>9.1078189521793274</v>
      </c>
      <c r="E421" s="30">
        <v>9.1290906709425066</v>
      </c>
      <c r="F421" s="30">
        <v>8.2425589521793281</v>
      </c>
      <c r="G421" s="30">
        <v>7.2496673844221462</v>
      </c>
      <c r="H421" s="30">
        <v>8.6840406709425046</v>
      </c>
      <c r="I421" s="30">
        <v>7.2496673844221462</v>
      </c>
      <c r="J421" s="30">
        <v>7.2496673844221462</v>
      </c>
      <c r="K421" s="30">
        <v>6.8446189521793279</v>
      </c>
      <c r="L421" s="30">
        <v>7.2496673844221462</v>
      </c>
      <c r="M421" s="30">
        <v>6.9274189521793286</v>
      </c>
      <c r="N421" s="30">
        <v>6.9356989521793277</v>
      </c>
      <c r="O421" s="30">
        <v>7.2496673844221462</v>
      </c>
      <c r="P421" s="30">
        <v>6.9508789521793277</v>
      </c>
      <c r="Q421" s="30">
        <v>7.2496673844221462</v>
      </c>
      <c r="R421" s="30">
        <v>7.2496673844221462</v>
      </c>
      <c r="S421" s="25"/>
    </row>
    <row r="422" spans="1:19" x14ac:dyDescent="0.25">
      <c r="A422" s="26">
        <v>4.17</v>
      </c>
      <c r="B422" s="26">
        <v>7.4401405082909307</v>
      </c>
      <c r="C422" s="26">
        <v>9.0787206709425057</v>
      </c>
      <c r="D422" s="26">
        <v>9.1078189521793274</v>
      </c>
      <c r="E422" s="26">
        <v>9.1290906709425066</v>
      </c>
      <c r="F422" s="26">
        <v>8.2425589521793281</v>
      </c>
      <c r="G422" s="26">
        <v>7.2496673844221462</v>
      </c>
      <c r="H422" s="26">
        <v>8.6840406709425046</v>
      </c>
      <c r="I422" s="26">
        <v>7.2496673844221462</v>
      </c>
      <c r="J422" s="26">
        <v>7.2496673844221462</v>
      </c>
      <c r="K422" s="26">
        <v>6.8446189521793279</v>
      </c>
      <c r="L422" s="26">
        <v>7.2496673844221462</v>
      </c>
      <c r="M422" s="26">
        <v>6.9274189521793286</v>
      </c>
      <c r="N422" s="26">
        <v>6.9356989521793277</v>
      </c>
      <c r="O422" s="26">
        <v>7.2496673844221462</v>
      </c>
      <c r="P422" s="26">
        <v>6.9508789521793277</v>
      </c>
      <c r="Q422" s="26">
        <v>7.2496673844221462</v>
      </c>
      <c r="R422" s="26">
        <v>7.2496673844221462</v>
      </c>
      <c r="S422" s="24"/>
    </row>
    <row r="423" spans="1:19" x14ac:dyDescent="0.25">
      <c r="A423" s="30">
        <v>4.18</v>
      </c>
      <c r="B423" s="30">
        <v>7.4401405082909307</v>
      </c>
      <c r="C423" s="30">
        <v>9.0787206709425057</v>
      </c>
      <c r="D423" s="30">
        <v>9.1078189521793274</v>
      </c>
      <c r="E423" s="30">
        <v>9.1290906709425066</v>
      </c>
      <c r="F423" s="30">
        <v>8.2425589521793281</v>
      </c>
      <c r="G423" s="30">
        <v>7.2496673844221462</v>
      </c>
      <c r="H423" s="30">
        <v>8.6840406709425046</v>
      </c>
      <c r="I423" s="30">
        <v>7.2496673844221462</v>
      </c>
      <c r="J423" s="30">
        <v>7.2496673844221462</v>
      </c>
      <c r="K423" s="30">
        <v>6.8446189521793279</v>
      </c>
      <c r="L423" s="30">
        <v>7.2496673844221462</v>
      </c>
      <c r="M423" s="30">
        <v>6.9274189521793286</v>
      </c>
      <c r="N423" s="30">
        <v>6.9356989521793277</v>
      </c>
      <c r="O423" s="30">
        <v>7.2496673844221462</v>
      </c>
      <c r="P423" s="30">
        <v>6.9508789521793277</v>
      </c>
      <c r="Q423" s="30">
        <v>7.2496673844221462</v>
      </c>
      <c r="R423" s="30">
        <v>7.2496673844221462</v>
      </c>
      <c r="S423" s="25"/>
    </row>
    <row r="424" spans="1:19" x14ac:dyDescent="0.25">
      <c r="A424" s="26">
        <v>4.1900000000000004</v>
      </c>
      <c r="B424" s="26">
        <v>7.4401405082909307</v>
      </c>
      <c r="C424" s="26">
        <v>9.0787206709425057</v>
      </c>
      <c r="D424" s="26">
        <v>9.1078189521793274</v>
      </c>
      <c r="E424" s="26">
        <v>9.1290906709425066</v>
      </c>
      <c r="F424" s="26">
        <v>8.2425589521793281</v>
      </c>
      <c r="G424" s="26">
        <v>7.2496673844221462</v>
      </c>
      <c r="H424" s="26">
        <v>8.6840406709425046</v>
      </c>
      <c r="I424" s="26">
        <v>7.2496673844221462</v>
      </c>
      <c r="J424" s="26">
        <v>7.3923606709425052</v>
      </c>
      <c r="K424" s="26">
        <v>6.8446189521793279</v>
      </c>
      <c r="L424" s="26">
        <v>7.3399206709425044</v>
      </c>
      <c r="M424" s="26">
        <v>6.9274189521793286</v>
      </c>
      <c r="N424" s="26">
        <v>6.9356989521793277</v>
      </c>
      <c r="O424" s="26">
        <v>7.3799406709425055</v>
      </c>
      <c r="P424" s="26">
        <v>6.9508789521793277</v>
      </c>
      <c r="Q424" s="26">
        <v>7.4401405082909307</v>
      </c>
      <c r="R424" s="26">
        <v>7.2496673844221462</v>
      </c>
      <c r="S424" s="24"/>
    </row>
    <row r="425" spans="1:19" x14ac:dyDescent="0.25">
      <c r="A425" s="30">
        <v>4.2</v>
      </c>
      <c r="B425" s="30">
        <v>7.4401405082909307</v>
      </c>
      <c r="C425" s="30">
        <v>9.0787206709425057</v>
      </c>
      <c r="D425" s="30">
        <v>9.1078189521793274</v>
      </c>
      <c r="E425" s="30">
        <v>9.1290906709425066</v>
      </c>
      <c r="F425" s="30">
        <v>8.2425589521793281</v>
      </c>
      <c r="G425" s="30">
        <v>7.2496673844221462</v>
      </c>
      <c r="H425" s="30">
        <v>8.6840406709425046</v>
      </c>
      <c r="I425" s="30">
        <v>7.2496673844221462</v>
      </c>
      <c r="J425" s="30">
        <v>7.3923606709425052</v>
      </c>
      <c r="K425" s="30">
        <v>7.2496673844221462</v>
      </c>
      <c r="L425" s="30">
        <v>7.3399206709425044</v>
      </c>
      <c r="M425" s="30">
        <v>7.2496673844221462</v>
      </c>
      <c r="N425" s="30">
        <v>7.2496673844221462</v>
      </c>
      <c r="O425" s="30">
        <v>7.3799406709425055</v>
      </c>
      <c r="P425" s="30">
        <v>7.2496673844221462</v>
      </c>
      <c r="Q425" s="30">
        <v>7.4401405082909307</v>
      </c>
      <c r="R425" s="30">
        <v>7.2496673844221462</v>
      </c>
      <c r="S425" s="25"/>
    </row>
    <row r="426" spans="1:19" x14ac:dyDescent="0.25">
      <c r="A426" s="26">
        <v>4.21</v>
      </c>
      <c r="B426" s="26">
        <v>7.4401405082909307</v>
      </c>
      <c r="C426" s="26">
        <v>9.0787206709425057</v>
      </c>
      <c r="D426" s="26">
        <v>9.1078189521793274</v>
      </c>
      <c r="E426" s="26">
        <v>9.1290906709425066</v>
      </c>
      <c r="F426" s="26">
        <v>8.2425589521793281</v>
      </c>
      <c r="G426" s="26">
        <v>7.2496673844221462</v>
      </c>
      <c r="H426" s="26">
        <v>8.6840406709425046</v>
      </c>
      <c r="I426" s="26">
        <v>7.2496673844221462</v>
      </c>
      <c r="J426" s="26">
        <v>7.3923606709425052</v>
      </c>
      <c r="K426" s="26">
        <v>7.2496673844221462</v>
      </c>
      <c r="L426" s="26">
        <v>7.3399206709425044</v>
      </c>
      <c r="M426" s="26">
        <v>7.2496673844221462</v>
      </c>
      <c r="N426" s="26">
        <v>7.2496673844221462</v>
      </c>
      <c r="O426" s="26">
        <v>7.3799406709425055</v>
      </c>
      <c r="P426" s="26">
        <v>7.2496673844221462</v>
      </c>
      <c r="Q426" s="26">
        <v>7.4401405082909307</v>
      </c>
      <c r="R426" s="26">
        <v>7.2496673844221462</v>
      </c>
      <c r="S426" s="24"/>
    </row>
    <row r="427" spans="1:19" x14ac:dyDescent="0.25">
      <c r="A427" s="30">
        <v>4.22</v>
      </c>
      <c r="B427" s="30">
        <v>7.5745206709425057</v>
      </c>
      <c r="C427" s="30">
        <v>9.0787206709425057</v>
      </c>
      <c r="D427" s="30">
        <v>9.5617206709425044</v>
      </c>
      <c r="E427" s="30">
        <v>9.1290906709425066</v>
      </c>
      <c r="F427" s="30">
        <v>8.6964606709425052</v>
      </c>
      <c r="G427" s="30">
        <v>7.2496673844221462</v>
      </c>
      <c r="H427" s="30">
        <v>8.6840406709425046</v>
      </c>
      <c r="I427" s="30">
        <v>7.2496673844221462</v>
      </c>
      <c r="J427" s="30">
        <v>7.3923606709425052</v>
      </c>
      <c r="K427" s="30">
        <v>7.2496673844221462</v>
      </c>
      <c r="L427" s="30">
        <v>7.3399206709425044</v>
      </c>
      <c r="M427" s="30">
        <v>7.2496673844221462</v>
      </c>
      <c r="N427" s="30">
        <v>7.2496673844221462</v>
      </c>
      <c r="O427" s="30">
        <v>7.3799406709425055</v>
      </c>
      <c r="P427" s="30">
        <v>7.2496673844221462</v>
      </c>
      <c r="Q427" s="30">
        <v>7.4401405082909307</v>
      </c>
      <c r="R427" s="30">
        <v>7.2496673844221462</v>
      </c>
      <c r="S427" s="25"/>
    </row>
    <row r="428" spans="1:19" x14ac:dyDescent="0.25">
      <c r="A428" s="26">
        <v>4.2300000000000004</v>
      </c>
      <c r="B428" s="26">
        <v>7.5745206709425057</v>
      </c>
      <c r="C428" s="26">
        <v>9.0787206709425057</v>
      </c>
      <c r="D428" s="26">
        <v>9.5617206709425044</v>
      </c>
      <c r="E428" s="26">
        <v>9.1290906709425066</v>
      </c>
      <c r="F428" s="26">
        <v>8.6964606709425052</v>
      </c>
      <c r="G428" s="26">
        <v>7.2496673844221462</v>
      </c>
      <c r="H428" s="26">
        <v>8.6840406709425046</v>
      </c>
      <c r="I428" s="26">
        <v>7.2496673844221462</v>
      </c>
      <c r="J428" s="26">
        <v>7.3923606709425052</v>
      </c>
      <c r="K428" s="26">
        <v>7.2496673844221462</v>
      </c>
      <c r="L428" s="26">
        <v>7.3399206709425044</v>
      </c>
      <c r="M428" s="26">
        <v>7.2496673844221462</v>
      </c>
      <c r="N428" s="26">
        <v>7.2496673844221462</v>
      </c>
      <c r="O428" s="26">
        <v>7.3799406709425055</v>
      </c>
      <c r="P428" s="26">
        <v>7.2496673844221462</v>
      </c>
      <c r="Q428" s="26">
        <v>7.4401405082909307</v>
      </c>
      <c r="R428" s="26">
        <v>7.2496673844221462</v>
      </c>
      <c r="S428" s="24"/>
    </row>
    <row r="429" spans="1:19" x14ac:dyDescent="0.25">
      <c r="A429" s="30">
        <v>4.24</v>
      </c>
      <c r="B429" s="30">
        <v>7.5745206709425057</v>
      </c>
      <c r="C429" s="30">
        <v>9.0787206709425057</v>
      </c>
      <c r="D429" s="30">
        <v>9.5617206709425044</v>
      </c>
      <c r="E429" s="30">
        <v>9.1290906709425066</v>
      </c>
      <c r="F429" s="30">
        <v>8.6964606709425052</v>
      </c>
      <c r="G429" s="30">
        <v>7.2496673844221462</v>
      </c>
      <c r="H429" s="30">
        <v>8.6840406709425046</v>
      </c>
      <c r="I429" s="30">
        <v>7.2496673844221462</v>
      </c>
      <c r="J429" s="30">
        <v>7.3923606709425052</v>
      </c>
      <c r="K429" s="30">
        <v>7.2496673844221462</v>
      </c>
      <c r="L429" s="30">
        <v>7.3399206709425044</v>
      </c>
      <c r="M429" s="30">
        <v>7.2496673844221462</v>
      </c>
      <c r="N429" s="30">
        <v>7.2496673844221462</v>
      </c>
      <c r="O429" s="30">
        <v>7.3799406709425055</v>
      </c>
      <c r="P429" s="30">
        <v>7.2496673844221462</v>
      </c>
      <c r="Q429" s="30">
        <v>7.4401405082909307</v>
      </c>
      <c r="R429" s="30">
        <v>7.2496673844221462</v>
      </c>
      <c r="S429" s="25"/>
    </row>
    <row r="430" spans="1:19" x14ac:dyDescent="0.25">
      <c r="A430" s="26">
        <v>4.25</v>
      </c>
      <c r="B430" s="26">
        <v>7.5745206709425057</v>
      </c>
      <c r="C430" s="26">
        <v>9.0787206709425057</v>
      </c>
      <c r="D430" s="26">
        <v>9.5617206709425044</v>
      </c>
      <c r="E430" s="26">
        <v>9.1290906709425066</v>
      </c>
      <c r="F430" s="26">
        <v>8.6964606709425052</v>
      </c>
      <c r="G430" s="26">
        <v>7.2496673844221462</v>
      </c>
      <c r="H430" s="26">
        <v>8.6840406709425046</v>
      </c>
      <c r="I430" s="26">
        <v>7.2496673844221462</v>
      </c>
      <c r="J430" s="26">
        <v>7.3923606709425052</v>
      </c>
      <c r="K430" s="26">
        <v>7.2496673844221462</v>
      </c>
      <c r="L430" s="26">
        <v>7.3399206709425044</v>
      </c>
      <c r="M430" s="26">
        <v>7.2496673844221462</v>
      </c>
      <c r="N430" s="26">
        <v>7.2496673844221462</v>
      </c>
      <c r="O430" s="26">
        <v>7.3799406709425055</v>
      </c>
      <c r="P430" s="26">
        <v>7.2496673844221462</v>
      </c>
      <c r="Q430" s="26">
        <v>7.4401405082909307</v>
      </c>
      <c r="R430" s="26">
        <v>7.2496673844221462</v>
      </c>
      <c r="S430" s="24"/>
    </row>
    <row r="431" spans="1:19" x14ac:dyDescent="0.25">
      <c r="A431" s="30">
        <v>4.26</v>
      </c>
      <c r="B431" s="30">
        <v>7.5745206709425057</v>
      </c>
      <c r="C431" s="30">
        <v>9.0787206709425057</v>
      </c>
      <c r="D431" s="30">
        <v>9.5617206709425044</v>
      </c>
      <c r="E431" s="30">
        <v>9.1290906709425066</v>
      </c>
      <c r="F431" s="30">
        <v>8.6964606709425052</v>
      </c>
      <c r="G431" s="30">
        <v>7.4401405082909307</v>
      </c>
      <c r="H431" s="30">
        <v>8.6840406709425046</v>
      </c>
      <c r="I431" s="30">
        <v>7.4401405082909307</v>
      </c>
      <c r="J431" s="30">
        <v>7.3923606709425052</v>
      </c>
      <c r="K431" s="30">
        <v>7.2496673844221462</v>
      </c>
      <c r="L431" s="30">
        <v>7.3399206709425044</v>
      </c>
      <c r="M431" s="30">
        <v>7.2496673844221462</v>
      </c>
      <c r="N431" s="30">
        <v>7.2496673844221462</v>
      </c>
      <c r="O431" s="30">
        <v>7.3799406709425055</v>
      </c>
      <c r="P431" s="30">
        <v>7.2496673844221462</v>
      </c>
      <c r="Q431" s="30">
        <v>7.5441606709425049</v>
      </c>
      <c r="R431" s="30">
        <v>7.3220989521793278</v>
      </c>
      <c r="S431" s="25"/>
    </row>
    <row r="432" spans="1:19" x14ac:dyDescent="0.25">
      <c r="A432" s="26">
        <v>4.2699999999999996</v>
      </c>
      <c r="B432" s="26">
        <v>7.5745206709425057</v>
      </c>
      <c r="C432" s="26">
        <v>9.0787206709425057</v>
      </c>
      <c r="D432" s="26">
        <v>9.5617206709425044</v>
      </c>
      <c r="E432" s="26">
        <v>9.1290906709425066</v>
      </c>
      <c r="F432" s="26">
        <v>8.6964606709425052</v>
      </c>
      <c r="G432" s="26">
        <v>7.4401405082909307</v>
      </c>
      <c r="H432" s="26">
        <v>8.6840406709425046</v>
      </c>
      <c r="I432" s="26">
        <v>7.4401405082909307</v>
      </c>
      <c r="J432" s="26">
        <v>7.3923606709425052</v>
      </c>
      <c r="K432" s="26">
        <v>7.2496673844221462</v>
      </c>
      <c r="L432" s="26">
        <v>7.3399206709425044</v>
      </c>
      <c r="M432" s="26">
        <v>7.2496673844221462</v>
      </c>
      <c r="N432" s="26">
        <v>7.2496673844221462</v>
      </c>
      <c r="O432" s="26">
        <v>7.3799406709425055</v>
      </c>
      <c r="P432" s="26">
        <v>7.2496673844221462</v>
      </c>
      <c r="Q432" s="26">
        <v>7.5441606709425049</v>
      </c>
      <c r="R432" s="26">
        <v>7.3220989521793278</v>
      </c>
      <c r="S432" s="24"/>
    </row>
    <row r="433" spans="1:19" x14ac:dyDescent="0.25">
      <c r="A433" s="30">
        <v>4.28</v>
      </c>
      <c r="B433" s="30">
        <v>7.5745206709425057</v>
      </c>
      <c r="C433" s="30">
        <v>9.0787206709425057</v>
      </c>
      <c r="D433" s="30">
        <v>9.5617206709425044</v>
      </c>
      <c r="E433" s="30">
        <v>9.1290906709425066</v>
      </c>
      <c r="F433" s="30">
        <v>8.6964606709425052</v>
      </c>
      <c r="G433" s="30">
        <v>7.4401405082909307</v>
      </c>
      <c r="H433" s="30">
        <v>8.6840406709425046</v>
      </c>
      <c r="I433" s="30">
        <v>7.4401405082909307</v>
      </c>
      <c r="J433" s="30">
        <v>7.3923606709425052</v>
      </c>
      <c r="K433" s="30">
        <v>7.2496673844221462</v>
      </c>
      <c r="L433" s="30">
        <v>7.3399206709425044</v>
      </c>
      <c r="M433" s="30">
        <v>7.2496673844221462</v>
      </c>
      <c r="N433" s="30">
        <v>7.2496673844221462</v>
      </c>
      <c r="O433" s="30">
        <v>7.3799406709425055</v>
      </c>
      <c r="P433" s="30">
        <v>7.2496673844221462</v>
      </c>
      <c r="Q433" s="30">
        <v>7.5441606709425049</v>
      </c>
      <c r="R433" s="30">
        <v>7.3220989521793278</v>
      </c>
      <c r="S433" s="25"/>
    </row>
    <row r="434" spans="1:19" x14ac:dyDescent="0.25">
      <c r="A434" s="26">
        <v>4.29</v>
      </c>
      <c r="B434" s="26">
        <v>7.5745206709425057</v>
      </c>
      <c r="C434" s="26">
        <v>9.0787206709425057</v>
      </c>
      <c r="D434" s="26">
        <v>9.5617206709425044</v>
      </c>
      <c r="E434" s="26">
        <v>9.1290906709425066</v>
      </c>
      <c r="F434" s="26">
        <v>8.6964606709425052</v>
      </c>
      <c r="G434" s="26">
        <v>7.4401405082909307</v>
      </c>
      <c r="H434" s="26">
        <v>8.6840406709425046</v>
      </c>
      <c r="I434" s="26">
        <v>7.4401405082909307</v>
      </c>
      <c r="J434" s="26">
        <v>7.3923606709425052</v>
      </c>
      <c r="K434" s="26">
        <v>7.2496673844221462</v>
      </c>
      <c r="L434" s="26">
        <v>7.3399206709425044</v>
      </c>
      <c r="M434" s="26">
        <v>7.2496673844221462</v>
      </c>
      <c r="N434" s="26">
        <v>7.2496673844221462</v>
      </c>
      <c r="O434" s="26">
        <v>7.3799406709425055</v>
      </c>
      <c r="P434" s="26">
        <v>7.2496673844221462</v>
      </c>
      <c r="Q434" s="26">
        <v>7.5441606709425049</v>
      </c>
      <c r="R434" s="26">
        <v>7.3220989521793278</v>
      </c>
      <c r="S434" s="24"/>
    </row>
    <row r="435" spans="1:19" x14ac:dyDescent="0.25">
      <c r="A435" s="30">
        <v>4.3</v>
      </c>
      <c r="B435" s="30">
        <v>7.5745206709425057</v>
      </c>
      <c r="C435" s="30">
        <v>9.0787206709425057</v>
      </c>
      <c r="D435" s="30">
        <v>9.5617206709425044</v>
      </c>
      <c r="E435" s="30">
        <v>9.1290906709425066</v>
      </c>
      <c r="F435" s="30">
        <v>8.6964606709425052</v>
      </c>
      <c r="G435" s="30">
        <v>7.4401405082909307</v>
      </c>
      <c r="H435" s="30">
        <v>8.6840406709425046</v>
      </c>
      <c r="I435" s="30">
        <v>7.4401405082909307</v>
      </c>
      <c r="J435" s="30">
        <v>7.3923606709425052</v>
      </c>
      <c r="K435" s="30">
        <v>7.2496673844221462</v>
      </c>
      <c r="L435" s="30">
        <v>7.3399206709425044</v>
      </c>
      <c r="M435" s="30">
        <v>7.2496673844221462</v>
      </c>
      <c r="N435" s="30">
        <v>7.2496673844221462</v>
      </c>
      <c r="O435" s="30">
        <v>7.3799406709425055</v>
      </c>
      <c r="P435" s="30">
        <v>7.2496673844221462</v>
      </c>
      <c r="Q435" s="30">
        <v>7.5441606709425049</v>
      </c>
      <c r="R435" s="30">
        <v>7.3220989521793278</v>
      </c>
      <c r="S435" s="25"/>
    </row>
    <row r="436" spans="1:19" x14ac:dyDescent="0.25">
      <c r="A436" s="26">
        <v>4.3099999999999996</v>
      </c>
      <c r="B436" s="26">
        <v>7.5745206709425057</v>
      </c>
      <c r="C436" s="26">
        <v>9.0787206709425057</v>
      </c>
      <c r="D436" s="26">
        <v>9.5617206709425044</v>
      </c>
      <c r="E436" s="26">
        <v>9.1290906709425066</v>
      </c>
      <c r="F436" s="26">
        <v>8.6964606709425052</v>
      </c>
      <c r="G436" s="26">
        <v>7.4401405082909307</v>
      </c>
      <c r="H436" s="26">
        <v>8.6840406709425046</v>
      </c>
      <c r="I436" s="26">
        <v>7.4401405082909307</v>
      </c>
      <c r="J436" s="26">
        <v>7.3923606709425052</v>
      </c>
      <c r="K436" s="26">
        <v>7.2496673844221462</v>
      </c>
      <c r="L436" s="26">
        <v>7.3399206709425044</v>
      </c>
      <c r="M436" s="26">
        <v>7.2496673844221462</v>
      </c>
      <c r="N436" s="26">
        <v>7.2496673844221462</v>
      </c>
      <c r="O436" s="26">
        <v>7.3799406709425055</v>
      </c>
      <c r="P436" s="26">
        <v>7.2496673844221462</v>
      </c>
      <c r="Q436" s="26">
        <v>7.5441606709425049</v>
      </c>
      <c r="R436" s="26">
        <v>7.3220989521793278</v>
      </c>
      <c r="S436" s="24"/>
    </row>
    <row r="437" spans="1:19" x14ac:dyDescent="0.25">
      <c r="A437" s="30">
        <v>4.32</v>
      </c>
      <c r="B437" s="30">
        <v>7.5745206709425057</v>
      </c>
      <c r="C437" s="30">
        <v>9.0787206709425057</v>
      </c>
      <c r="D437" s="30">
        <v>9.5617206709425044</v>
      </c>
      <c r="E437" s="30">
        <v>9.1290906709425066</v>
      </c>
      <c r="F437" s="30">
        <v>8.6964606709425052</v>
      </c>
      <c r="G437" s="30">
        <v>7.4401405082909307</v>
      </c>
      <c r="H437" s="30">
        <v>8.6840406709425046</v>
      </c>
      <c r="I437" s="30">
        <v>7.4401405082909307</v>
      </c>
      <c r="J437" s="30">
        <v>7.3923606709425052</v>
      </c>
      <c r="K437" s="30">
        <v>7.2496673844221462</v>
      </c>
      <c r="L437" s="30">
        <v>7.3399206709425044</v>
      </c>
      <c r="M437" s="30">
        <v>7.2496673844221462</v>
      </c>
      <c r="N437" s="30">
        <v>7.2496673844221462</v>
      </c>
      <c r="O437" s="30">
        <v>7.3799406709425055</v>
      </c>
      <c r="P437" s="30">
        <v>7.2496673844221462</v>
      </c>
      <c r="Q437" s="30">
        <v>7.5441606709425049</v>
      </c>
      <c r="R437" s="30">
        <v>7.3220989521793278</v>
      </c>
      <c r="S437" s="25"/>
    </row>
    <row r="438" spans="1:19" x14ac:dyDescent="0.25">
      <c r="A438" s="26">
        <v>4.33</v>
      </c>
      <c r="B438" s="26">
        <v>7.5745206709425057</v>
      </c>
      <c r="C438" s="26">
        <v>9.0787206709425057</v>
      </c>
      <c r="D438" s="26">
        <v>9.5617206709425044</v>
      </c>
      <c r="E438" s="26">
        <v>9.1290906709425066</v>
      </c>
      <c r="F438" s="26">
        <v>8.6964606709425052</v>
      </c>
      <c r="G438" s="26">
        <v>8.3695189521793285</v>
      </c>
      <c r="H438" s="26">
        <v>8.6840406709425046</v>
      </c>
      <c r="I438" s="26">
        <v>7.8906589521793276</v>
      </c>
      <c r="J438" s="26">
        <v>7.3923606709425052</v>
      </c>
      <c r="K438" s="26">
        <v>7.298520670942505</v>
      </c>
      <c r="L438" s="26">
        <v>7.3399206709425044</v>
      </c>
      <c r="M438" s="26">
        <v>7.3813206709425057</v>
      </c>
      <c r="N438" s="26">
        <v>7.3896006709425048</v>
      </c>
      <c r="O438" s="26">
        <v>7.3799406709425055</v>
      </c>
      <c r="P438" s="26">
        <v>7.4047806709425048</v>
      </c>
      <c r="Q438" s="26">
        <v>7.5441606709425049</v>
      </c>
      <c r="R438" s="26">
        <v>7.4401405082909307</v>
      </c>
      <c r="S438" s="24"/>
    </row>
    <row r="439" spans="1:19" x14ac:dyDescent="0.25">
      <c r="A439" s="30">
        <v>4.34</v>
      </c>
      <c r="B439" s="30">
        <v>7.5745206709425057</v>
      </c>
      <c r="C439" s="30">
        <v>9.0787206709425057</v>
      </c>
      <c r="D439" s="30">
        <v>9.5617206709425044</v>
      </c>
      <c r="E439" s="30">
        <v>9.1290906709425066</v>
      </c>
      <c r="F439" s="30">
        <v>8.6964606709425052</v>
      </c>
      <c r="G439" s="30">
        <v>8.3695189521793285</v>
      </c>
      <c r="H439" s="30">
        <v>8.6840406709425046</v>
      </c>
      <c r="I439" s="30">
        <v>7.8906589521793276</v>
      </c>
      <c r="J439" s="30">
        <v>7.3923606709425052</v>
      </c>
      <c r="K439" s="30">
        <v>7.298520670942505</v>
      </c>
      <c r="L439" s="30">
        <v>7.3399206709425044</v>
      </c>
      <c r="M439" s="30">
        <v>7.3813206709425057</v>
      </c>
      <c r="N439" s="30">
        <v>7.3896006709425048</v>
      </c>
      <c r="O439" s="30">
        <v>7.3799406709425055</v>
      </c>
      <c r="P439" s="30">
        <v>7.4047806709425048</v>
      </c>
      <c r="Q439" s="30">
        <v>7.5441606709425049</v>
      </c>
      <c r="R439" s="30">
        <v>7.4401405082909307</v>
      </c>
      <c r="S439" s="25"/>
    </row>
    <row r="440" spans="1:19" x14ac:dyDescent="0.25">
      <c r="A440" s="26">
        <v>4.3499999999999996</v>
      </c>
      <c r="B440" s="26">
        <v>7.5745206709425057</v>
      </c>
      <c r="C440" s="26">
        <v>9.0787206709425057</v>
      </c>
      <c r="D440" s="26">
        <v>9.5617206709425044</v>
      </c>
      <c r="E440" s="26">
        <v>9.1290906709425066</v>
      </c>
      <c r="F440" s="26">
        <v>8.6964606709425052</v>
      </c>
      <c r="G440" s="26">
        <v>8.3695189521793285</v>
      </c>
      <c r="H440" s="26">
        <v>8.6840406709425046</v>
      </c>
      <c r="I440" s="26">
        <v>7.8906589521793276</v>
      </c>
      <c r="J440" s="26">
        <v>7.3923606709425052</v>
      </c>
      <c r="K440" s="26">
        <v>7.298520670942505</v>
      </c>
      <c r="L440" s="26">
        <v>7.3399206709425044</v>
      </c>
      <c r="M440" s="26">
        <v>7.3813206709425057</v>
      </c>
      <c r="N440" s="26">
        <v>7.3896006709425048</v>
      </c>
      <c r="O440" s="26">
        <v>7.3799406709425055</v>
      </c>
      <c r="P440" s="26">
        <v>7.4047806709425048</v>
      </c>
      <c r="Q440" s="26">
        <v>7.5441606709425049</v>
      </c>
      <c r="R440" s="26">
        <v>7.4401405082909307</v>
      </c>
      <c r="S440" s="24"/>
    </row>
    <row r="441" spans="1:19" x14ac:dyDescent="0.25">
      <c r="A441" s="30">
        <v>4.3600000000000003</v>
      </c>
      <c r="B441" s="30">
        <v>7.5745206709425057</v>
      </c>
      <c r="C441" s="30">
        <v>9.0787206709425057</v>
      </c>
      <c r="D441" s="30">
        <v>9.5617206709425044</v>
      </c>
      <c r="E441" s="30">
        <v>9.1290906709425066</v>
      </c>
      <c r="F441" s="30">
        <v>8.6964606709425052</v>
      </c>
      <c r="G441" s="30">
        <v>8.3695189521793285</v>
      </c>
      <c r="H441" s="30">
        <v>8.6840406709425046</v>
      </c>
      <c r="I441" s="30">
        <v>7.8906589521793276</v>
      </c>
      <c r="J441" s="30">
        <v>7.3923606709425052</v>
      </c>
      <c r="K441" s="30">
        <v>7.298520670942505</v>
      </c>
      <c r="L441" s="30">
        <v>7.3399206709425044</v>
      </c>
      <c r="M441" s="30">
        <v>7.3813206709425057</v>
      </c>
      <c r="N441" s="30">
        <v>7.3896006709425048</v>
      </c>
      <c r="O441" s="30">
        <v>7.3799406709425055</v>
      </c>
      <c r="P441" s="30">
        <v>7.4047806709425048</v>
      </c>
      <c r="Q441" s="30">
        <v>7.5441606709425049</v>
      </c>
      <c r="R441" s="30">
        <v>7.4401405082909307</v>
      </c>
      <c r="S441" s="25"/>
    </row>
    <row r="442" spans="1:19" x14ac:dyDescent="0.25">
      <c r="A442" s="26">
        <v>4.37</v>
      </c>
      <c r="B442" s="26">
        <v>7.5745206709425057</v>
      </c>
      <c r="C442" s="26">
        <v>9.0787206709425057</v>
      </c>
      <c r="D442" s="26">
        <v>9.5617206709425044</v>
      </c>
      <c r="E442" s="26">
        <v>9.1290906709425066</v>
      </c>
      <c r="F442" s="26">
        <v>8.6964606709425052</v>
      </c>
      <c r="G442" s="26">
        <v>8.3695189521793285</v>
      </c>
      <c r="H442" s="26">
        <v>8.6840406709425046</v>
      </c>
      <c r="I442" s="26">
        <v>7.8906589521793276</v>
      </c>
      <c r="J442" s="26">
        <v>7.3923606709425052</v>
      </c>
      <c r="K442" s="26">
        <v>7.298520670942505</v>
      </c>
      <c r="L442" s="26">
        <v>7.3399206709425044</v>
      </c>
      <c r="M442" s="26">
        <v>7.3813206709425057</v>
      </c>
      <c r="N442" s="26">
        <v>7.3896006709425048</v>
      </c>
      <c r="O442" s="26">
        <v>7.3799406709425055</v>
      </c>
      <c r="P442" s="26">
        <v>7.4047806709425048</v>
      </c>
      <c r="Q442" s="26">
        <v>7.5441606709425049</v>
      </c>
      <c r="R442" s="26">
        <v>7.4401405082909307</v>
      </c>
      <c r="S442" s="24"/>
    </row>
    <row r="443" spans="1:19" x14ac:dyDescent="0.25">
      <c r="A443" s="30">
        <v>4.38</v>
      </c>
      <c r="B443" s="30">
        <v>7.5745206709425057</v>
      </c>
      <c r="C443" s="30">
        <v>9.0787206709425057</v>
      </c>
      <c r="D443" s="30">
        <v>9.5617206709425044</v>
      </c>
      <c r="E443" s="30">
        <v>9.1290906709425066</v>
      </c>
      <c r="F443" s="30">
        <v>8.6964606709425052</v>
      </c>
      <c r="G443" s="30">
        <v>8.3695189521793285</v>
      </c>
      <c r="H443" s="30">
        <v>8.6840406709425046</v>
      </c>
      <c r="I443" s="30">
        <v>7.8906589521793276</v>
      </c>
      <c r="J443" s="30">
        <v>7.3923606709425052</v>
      </c>
      <c r="K443" s="30">
        <v>7.298520670942505</v>
      </c>
      <c r="L443" s="30">
        <v>7.3399206709425044</v>
      </c>
      <c r="M443" s="30">
        <v>7.3813206709425057</v>
      </c>
      <c r="N443" s="30">
        <v>7.3896006709425048</v>
      </c>
      <c r="O443" s="30">
        <v>7.3799406709425055</v>
      </c>
      <c r="P443" s="30">
        <v>7.4047806709425048</v>
      </c>
      <c r="Q443" s="30">
        <v>7.5441606709425049</v>
      </c>
      <c r="R443" s="30">
        <v>7.4401405082909307</v>
      </c>
      <c r="S443" s="25"/>
    </row>
    <row r="444" spans="1:19" x14ac:dyDescent="0.25">
      <c r="A444" s="26">
        <v>4.3899999999999997</v>
      </c>
      <c r="B444" s="26">
        <v>7.5745206709425057</v>
      </c>
      <c r="C444" s="26">
        <v>9.0787206709425057</v>
      </c>
      <c r="D444" s="26">
        <v>9.5617206709425044</v>
      </c>
      <c r="E444" s="26">
        <v>9.1290906709425066</v>
      </c>
      <c r="F444" s="26">
        <v>8.6964606709425052</v>
      </c>
      <c r="G444" s="26">
        <v>8.3695189521793285</v>
      </c>
      <c r="H444" s="26">
        <v>8.6840406709425046</v>
      </c>
      <c r="I444" s="26">
        <v>7.8906589521793276</v>
      </c>
      <c r="J444" s="26">
        <v>7.3923606709425052</v>
      </c>
      <c r="K444" s="26">
        <v>7.298520670942505</v>
      </c>
      <c r="L444" s="26">
        <v>7.3399206709425044</v>
      </c>
      <c r="M444" s="26">
        <v>7.3813206709425057</v>
      </c>
      <c r="N444" s="26">
        <v>7.3896006709425048</v>
      </c>
      <c r="O444" s="26">
        <v>7.3799406709425055</v>
      </c>
      <c r="P444" s="26">
        <v>7.4047806709425048</v>
      </c>
      <c r="Q444" s="26">
        <v>7.5441606709425049</v>
      </c>
      <c r="R444" s="26">
        <v>7.4401405082909307</v>
      </c>
      <c r="S444" s="24"/>
    </row>
    <row r="445" spans="1:19" x14ac:dyDescent="0.25">
      <c r="A445" s="30">
        <v>4.4000000000000004</v>
      </c>
      <c r="B445" s="30">
        <v>7.5745206709425057</v>
      </c>
      <c r="C445" s="30">
        <v>9.0787206709425057</v>
      </c>
      <c r="D445" s="30">
        <v>9.5617206709425044</v>
      </c>
      <c r="E445" s="30">
        <v>9.1290906709425066</v>
      </c>
      <c r="F445" s="30">
        <v>8.6964606709425052</v>
      </c>
      <c r="G445" s="30">
        <v>8.8234206709425056</v>
      </c>
      <c r="H445" s="30">
        <v>8.6840406709425046</v>
      </c>
      <c r="I445" s="30">
        <v>8.3445606709425046</v>
      </c>
      <c r="J445" s="30">
        <v>7.3923606709425052</v>
      </c>
      <c r="K445" s="30">
        <v>7.298520670942505</v>
      </c>
      <c r="L445" s="30">
        <v>7.3399206709425044</v>
      </c>
      <c r="M445" s="30">
        <v>7.3813206709425057</v>
      </c>
      <c r="N445" s="30">
        <v>7.3896006709425048</v>
      </c>
      <c r="O445" s="30">
        <v>7.3799406709425055</v>
      </c>
      <c r="P445" s="30">
        <v>7.4047806709425048</v>
      </c>
      <c r="Q445" s="30">
        <v>7.5441606709425049</v>
      </c>
      <c r="R445" s="30">
        <v>7.7760006709425049</v>
      </c>
      <c r="S445" s="25"/>
    </row>
    <row r="446" spans="1:19" x14ac:dyDescent="0.25">
      <c r="A446" s="26">
        <v>4.41</v>
      </c>
      <c r="B446" s="26">
        <v>7.5745206709425057</v>
      </c>
      <c r="C446" s="26">
        <v>9.0787206709425057</v>
      </c>
      <c r="D446" s="26">
        <v>9.5617206709425044</v>
      </c>
      <c r="E446" s="26">
        <v>9.1290906709425066</v>
      </c>
      <c r="F446" s="26">
        <v>8.6964606709425052</v>
      </c>
      <c r="G446" s="26">
        <v>8.8234206709425056</v>
      </c>
      <c r="H446" s="26">
        <v>8.6840406709425046</v>
      </c>
      <c r="I446" s="26">
        <v>8.3445606709425046</v>
      </c>
      <c r="J446" s="26">
        <v>7.3923606709425052</v>
      </c>
      <c r="K446" s="26">
        <v>7.298520670942505</v>
      </c>
      <c r="L446" s="26">
        <v>7.3399206709425044</v>
      </c>
      <c r="M446" s="26">
        <v>7.3813206709425057</v>
      </c>
      <c r="N446" s="26">
        <v>7.3896006709425048</v>
      </c>
      <c r="O446" s="26">
        <v>7.3799406709425055</v>
      </c>
      <c r="P446" s="26">
        <v>7.4047806709425048</v>
      </c>
      <c r="Q446" s="26">
        <v>7.5441606709425049</v>
      </c>
      <c r="R446" s="26">
        <v>7.7760006709425049</v>
      </c>
      <c r="S446" s="24"/>
    </row>
    <row r="447" spans="1:19" x14ac:dyDescent="0.25">
      <c r="A447" s="30">
        <v>4.42</v>
      </c>
      <c r="B447" s="30">
        <v>7.5745206709425057</v>
      </c>
      <c r="C447" s="30">
        <v>9.0787206709425057</v>
      </c>
      <c r="D447" s="30">
        <v>9.5617206709425044</v>
      </c>
      <c r="E447" s="30">
        <v>9.1290906709425066</v>
      </c>
      <c r="F447" s="30">
        <v>8.6964606709425052</v>
      </c>
      <c r="G447" s="30">
        <v>8.8234206709425056</v>
      </c>
      <c r="H447" s="30">
        <v>8.6840406709425046</v>
      </c>
      <c r="I447" s="30">
        <v>8.3445606709425046</v>
      </c>
      <c r="J447" s="30">
        <v>7.3923606709425052</v>
      </c>
      <c r="K447" s="30">
        <v>7.298520670942505</v>
      </c>
      <c r="L447" s="30">
        <v>7.3399206709425044</v>
      </c>
      <c r="M447" s="30">
        <v>7.3813206709425057</v>
      </c>
      <c r="N447" s="30">
        <v>7.3896006709425048</v>
      </c>
      <c r="O447" s="30">
        <v>7.3799406709425055</v>
      </c>
      <c r="P447" s="30">
        <v>7.4047806709425048</v>
      </c>
      <c r="Q447" s="30">
        <v>7.5441606709425049</v>
      </c>
      <c r="R447" s="30">
        <v>7.7760006709425049</v>
      </c>
      <c r="S447" s="25"/>
    </row>
    <row r="448" spans="1:19" x14ac:dyDescent="0.25">
      <c r="A448" s="26">
        <v>4.43</v>
      </c>
      <c r="B448" s="26">
        <v>7.5745206709425057</v>
      </c>
      <c r="C448" s="26">
        <v>9.0787206709425057</v>
      </c>
      <c r="D448" s="26">
        <v>9.5617206709425044</v>
      </c>
      <c r="E448" s="26">
        <v>9.1290906709425066</v>
      </c>
      <c r="F448" s="26">
        <v>8.6964606709425052</v>
      </c>
      <c r="G448" s="26">
        <v>8.8234206709425056</v>
      </c>
      <c r="H448" s="26">
        <v>8.6840406709425046</v>
      </c>
      <c r="I448" s="26">
        <v>8.3445606709425046</v>
      </c>
      <c r="J448" s="26">
        <v>7.3923606709425052</v>
      </c>
      <c r="K448" s="26">
        <v>7.298520670942505</v>
      </c>
      <c r="L448" s="26">
        <v>7.3399206709425044</v>
      </c>
      <c r="M448" s="26">
        <v>7.3813206709425057</v>
      </c>
      <c r="N448" s="26">
        <v>7.3896006709425048</v>
      </c>
      <c r="O448" s="26">
        <v>7.3799406709425055</v>
      </c>
      <c r="P448" s="26">
        <v>7.4047806709425048</v>
      </c>
      <c r="Q448" s="26">
        <v>7.5441606709425049</v>
      </c>
      <c r="R448" s="26">
        <v>7.7760006709425049</v>
      </c>
      <c r="S448" s="24"/>
    </row>
    <row r="449" spans="1:19" x14ac:dyDescent="0.25">
      <c r="A449" s="30">
        <v>4.4400000000000004</v>
      </c>
      <c r="B449" s="30">
        <v>7.5745206709425057</v>
      </c>
      <c r="C449" s="30">
        <v>9.0787206709425057</v>
      </c>
      <c r="D449" s="30">
        <v>9.5617206709425044</v>
      </c>
      <c r="E449" s="30">
        <v>9.1290906709425066</v>
      </c>
      <c r="F449" s="30">
        <v>8.6964606709425052</v>
      </c>
      <c r="G449" s="30">
        <v>8.8234206709425056</v>
      </c>
      <c r="H449" s="30">
        <v>8.6840406709425046</v>
      </c>
      <c r="I449" s="30">
        <v>8.3445606709425046</v>
      </c>
      <c r="J449" s="30">
        <v>7.3923606709425052</v>
      </c>
      <c r="K449" s="30">
        <v>7.298520670942505</v>
      </c>
      <c r="L449" s="30">
        <v>7.3399206709425044</v>
      </c>
      <c r="M449" s="30">
        <v>7.3813206709425057</v>
      </c>
      <c r="N449" s="30">
        <v>7.3896006709425048</v>
      </c>
      <c r="O449" s="30">
        <v>7.3799406709425055</v>
      </c>
      <c r="P449" s="30">
        <v>7.4047806709425048</v>
      </c>
      <c r="Q449" s="30">
        <v>7.5441606709425049</v>
      </c>
      <c r="R449" s="30">
        <v>7.7760006709425049</v>
      </c>
      <c r="S449" s="25"/>
    </row>
    <row r="450" spans="1:19" x14ac:dyDescent="0.25">
      <c r="A450" s="26">
        <v>4.45</v>
      </c>
      <c r="B450" s="26">
        <v>7.5745206709425057</v>
      </c>
      <c r="C450" s="26">
        <v>9.0787206709425057</v>
      </c>
      <c r="D450" s="26">
        <v>9.5617206709425044</v>
      </c>
      <c r="E450" s="26">
        <v>9.1290906709425066</v>
      </c>
      <c r="F450" s="26">
        <v>8.6964606709425052</v>
      </c>
      <c r="G450" s="26">
        <v>8.8234206709425056</v>
      </c>
      <c r="H450" s="26">
        <v>8.6840406709425046</v>
      </c>
      <c r="I450" s="26">
        <v>8.3445606709425046</v>
      </c>
      <c r="J450" s="26">
        <v>7.3923606709425052</v>
      </c>
      <c r="K450" s="26">
        <v>7.298520670942505</v>
      </c>
      <c r="L450" s="26">
        <v>7.3399206709425044</v>
      </c>
      <c r="M450" s="26">
        <v>7.3813206709425057</v>
      </c>
      <c r="N450" s="26">
        <v>7.3896006709425048</v>
      </c>
      <c r="O450" s="26">
        <v>7.3799406709425055</v>
      </c>
      <c r="P450" s="26">
        <v>7.4047806709425048</v>
      </c>
      <c r="Q450" s="26">
        <v>7.5441606709425049</v>
      </c>
      <c r="R450" s="26">
        <v>7.7760006709425049</v>
      </c>
      <c r="S450" s="24"/>
    </row>
    <row r="451" spans="1:19" x14ac:dyDescent="0.25">
      <c r="A451" s="30">
        <v>4.46</v>
      </c>
      <c r="B451" s="30">
        <v>7.5745206709425057</v>
      </c>
      <c r="C451" s="30">
        <v>9.0787206709425057</v>
      </c>
      <c r="D451" s="30">
        <v>9.5617206709425044</v>
      </c>
      <c r="E451" s="30">
        <v>9.1290906709425066</v>
      </c>
      <c r="F451" s="30">
        <v>8.6964606709425052</v>
      </c>
      <c r="G451" s="30">
        <v>8.8234206709425056</v>
      </c>
      <c r="H451" s="30">
        <v>8.6840406709425046</v>
      </c>
      <c r="I451" s="30">
        <v>8.3445606709425046</v>
      </c>
      <c r="J451" s="30">
        <v>7.3923606709425052</v>
      </c>
      <c r="K451" s="30">
        <v>7.298520670942505</v>
      </c>
      <c r="L451" s="30">
        <v>7.3399206709425044</v>
      </c>
      <c r="M451" s="30">
        <v>7.3813206709425057</v>
      </c>
      <c r="N451" s="30">
        <v>7.3896006709425048</v>
      </c>
      <c r="O451" s="30">
        <v>7.3799406709425055</v>
      </c>
      <c r="P451" s="30">
        <v>7.4047806709425048</v>
      </c>
      <c r="Q451" s="30">
        <v>7.5441606709425049</v>
      </c>
      <c r="R451" s="30">
        <v>7.7760006709425049</v>
      </c>
      <c r="S451" s="25"/>
    </row>
    <row r="452" spans="1:19" x14ac:dyDescent="0.25">
      <c r="A452" s="26">
        <v>4.47</v>
      </c>
      <c r="B452" s="26">
        <v>7.5745206709425057</v>
      </c>
      <c r="C452" s="26">
        <v>9.0787206709425057</v>
      </c>
      <c r="D452" s="26">
        <v>9.5617206709425044</v>
      </c>
      <c r="E452" s="26">
        <v>9.1290906709425066</v>
      </c>
      <c r="F452" s="26">
        <v>8.6964606709425052</v>
      </c>
      <c r="G452" s="26">
        <v>8.8234206709425056</v>
      </c>
      <c r="H452" s="26">
        <v>8.6840406709425046</v>
      </c>
      <c r="I452" s="26">
        <v>8.3445606709425046</v>
      </c>
      <c r="J452" s="26">
        <v>7.3923606709425052</v>
      </c>
      <c r="K452" s="26">
        <v>7.298520670942505</v>
      </c>
      <c r="L452" s="26">
        <v>7.3399206709425044</v>
      </c>
      <c r="M452" s="26">
        <v>7.3813206709425057</v>
      </c>
      <c r="N452" s="26">
        <v>7.3896006709425048</v>
      </c>
      <c r="O452" s="26">
        <v>7.3799406709425055</v>
      </c>
      <c r="P452" s="26">
        <v>7.4047806709425048</v>
      </c>
      <c r="Q452" s="26">
        <v>7.5441606709425049</v>
      </c>
      <c r="R452" s="26">
        <v>7.7760006709425049</v>
      </c>
      <c r="S452" s="24"/>
    </row>
    <row r="453" spans="1:19" x14ac:dyDescent="0.25">
      <c r="A453" s="30">
        <v>4.4800000000000004</v>
      </c>
      <c r="B453" s="30">
        <v>7.5745206709425057</v>
      </c>
      <c r="C453" s="30">
        <v>9.0787206709425057</v>
      </c>
      <c r="D453" s="30">
        <v>9.5617206709425044</v>
      </c>
      <c r="E453" s="30">
        <v>9.1290906709425066</v>
      </c>
      <c r="F453" s="30">
        <v>8.6964606709425052</v>
      </c>
      <c r="G453" s="30">
        <v>8.8234206709425056</v>
      </c>
      <c r="H453" s="30">
        <v>8.6840406709425046</v>
      </c>
      <c r="I453" s="30">
        <v>8.3445606709425046</v>
      </c>
      <c r="J453" s="30">
        <v>7.3923606709425052</v>
      </c>
      <c r="K453" s="30">
        <v>7.298520670942505</v>
      </c>
      <c r="L453" s="30">
        <v>7.3399206709425044</v>
      </c>
      <c r="M453" s="30">
        <v>7.3813206709425057</v>
      </c>
      <c r="N453" s="30">
        <v>7.3896006709425048</v>
      </c>
      <c r="O453" s="30">
        <v>7.3799406709425055</v>
      </c>
      <c r="P453" s="30">
        <v>7.4047806709425048</v>
      </c>
      <c r="Q453" s="30">
        <v>7.5441606709425049</v>
      </c>
      <c r="R453" s="30">
        <v>7.7760006709425049</v>
      </c>
      <c r="S453" s="25"/>
    </row>
    <row r="454" spans="1:19" x14ac:dyDescent="0.25">
      <c r="A454" s="26">
        <v>4.49</v>
      </c>
      <c r="B454" s="26">
        <v>7.5745206709425057</v>
      </c>
      <c r="C454" s="26">
        <v>9.0787206709425057</v>
      </c>
      <c r="D454" s="26">
        <v>9.5617206709425044</v>
      </c>
      <c r="E454" s="26">
        <v>9.1290906709425066</v>
      </c>
      <c r="F454" s="26">
        <v>8.6964606709425052</v>
      </c>
      <c r="G454" s="26">
        <v>8.8234206709425056</v>
      </c>
      <c r="H454" s="26">
        <v>8.6840406709425046</v>
      </c>
      <c r="I454" s="26">
        <v>8.3445606709425046</v>
      </c>
      <c r="J454" s="26">
        <v>7.3923606709425052</v>
      </c>
      <c r="K454" s="26">
        <v>7.298520670942505</v>
      </c>
      <c r="L454" s="26">
        <v>7.3399206709425044</v>
      </c>
      <c r="M454" s="26">
        <v>7.3813206709425057</v>
      </c>
      <c r="N454" s="26">
        <v>7.3896006709425048</v>
      </c>
      <c r="O454" s="26">
        <v>7.3799406709425055</v>
      </c>
      <c r="P454" s="26">
        <v>7.4047806709425048</v>
      </c>
      <c r="Q454" s="26">
        <v>7.5441606709425049</v>
      </c>
      <c r="R454" s="26">
        <v>7.7760006709425049</v>
      </c>
      <c r="S454" s="24"/>
    </row>
    <row r="455" spans="1:19" x14ac:dyDescent="0.25">
      <c r="A455" s="30">
        <v>4.5</v>
      </c>
      <c r="B455" s="30">
        <v>7.5745206709425057</v>
      </c>
      <c r="C455" s="30">
        <v>9.0787206709425057</v>
      </c>
      <c r="D455" s="30">
        <v>9.5617206709425044</v>
      </c>
      <c r="E455" s="30">
        <v>9.1290906709425066</v>
      </c>
      <c r="F455" s="30">
        <v>8.6964606709425052</v>
      </c>
      <c r="G455" s="30">
        <v>8.8234206709425056</v>
      </c>
      <c r="H455" s="30">
        <v>8.6840406709425046</v>
      </c>
      <c r="I455" s="30">
        <v>8.3445606709425046</v>
      </c>
      <c r="J455" s="30">
        <v>7.3923606709425052</v>
      </c>
      <c r="K455" s="30">
        <v>7.298520670942505</v>
      </c>
      <c r="L455" s="30">
        <v>7.3399206709425044</v>
      </c>
      <c r="M455" s="30">
        <v>7.3813206709425057</v>
      </c>
      <c r="N455" s="30">
        <v>7.3896006709425048</v>
      </c>
      <c r="O455" s="30">
        <v>7.3799406709425055</v>
      </c>
      <c r="P455" s="30">
        <v>7.4047806709425048</v>
      </c>
      <c r="Q455" s="30">
        <v>7.5441606709425049</v>
      </c>
      <c r="R455" s="30">
        <v>7.7760006709425049</v>
      </c>
      <c r="S455" s="25"/>
    </row>
    <row r="456" spans="1:19" x14ac:dyDescent="0.25">
      <c r="A456" s="26">
        <v>4.51</v>
      </c>
      <c r="B456" s="26">
        <v>7.5745206709425057</v>
      </c>
      <c r="C456" s="26">
        <v>9.0787206709425057</v>
      </c>
      <c r="D456" s="26">
        <v>9.5617206709425044</v>
      </c>
      <c r="E456" s="26">
        <v>9.1290906709425066</v>
      </c>
      <c r="F456" s="26">
        <v>8.6964606709425052</v>
      </c>
      <c r="G456" s="26">
        <v>8.8234206709425056</v>
      </c>
      <c r="H456" s="26">
        <v>8.6840406709425046</v>
      </c>
      <c r="I456" s="26">
        <v>8.3445606709425046</v>
      </c>
      <c r="J456" s="26">
        <v>7.3923606709425052</v>
      </c>
      <c r="K456" s="26">
        <v>7.298520670942505</v>
      </c>
      <c r="L456" s="26">
        <v>7.3399206709425044</v>
      </c>
      <c r="M456" s="26">
        <v>7.3813206709425057</v>
      </c>
      <c r="N456" s="26">
        <v>7.3896006709425048</v>
      </c>
      <c r="O456" s="26">
        <v>7.3799406709425055</v>
      </c>
      <c r="P456" s="26">
        <v>7.4047806709425048</v>
      </c>
      <c r="Q456" s="26">
        <v>7.5441606709425049</v>
      </c>
      <c r="R456" s="26">
        <v>7.7760006709425049</v>
      </c>
      <c r="S456" s="24"/>
    </row>
    <row r="457" spans="1:19" x14ac:dyDescent="0.25">
      <c r="A457" s="30">
        <v>4.5199999999999996</v>
      </c>
      <c r="B457" s="30">
        <v>7.5745206709425057</v>
      </c>
      <c r="C457" s="30">
        <v>9.0787206709425057</v>
      </c>
      <c r="D457" s="30">
        <v>9.5617206709425044</v>
      </c>
      <c r="E457" s="30">
        <v>9.1290906709425066</v>
      </c>
      <c r="F457" s="30">
        <v>8.6964606709425052</v>
      </c>
      <c r="G457" s="30">
        <v>8.8234206709425056</v>
      </c>
      <c r="H457" s="30">
        <v>8.6840406709425046</v>
      </c>
      <c r="I457" s="30">
        <v>8.3445606709425046</v>
      </c>
      <c r="J457" s="30">
        <v>7.3923606709425052</v>
      </c>
      <c r="K457" s="30">
        <v>7.298520670942505</v>
      </c>
      <c r="L457" s="30">
        <v>7.3399206709425044</v>
      </c>
      <c r="M457" s="30">
        <v>7.3813206709425057</v>
      </c>
      <c r="N457" s="30">
        <v>7.3896006709425048</v>
      </c>
      <c r="O457" s="30">
        <v>7.3799406709425055</v>
      </c>
      <c r="P457" s="30">
        <v>7.4047806709425048</v>
      </c>
      <c r="Q457" s="30">
        <v>7.5441606709425049</v>
      </c>
      <c r="R457" s="30">
        <v>7.7760006709425049</v>
      </c>
      <c r="S457" s="25"/>
    </row>
    <row r="458" spans="1:19" x14ac:dyDescent="0.25">
      <c r="A458" s="26">
        <v>4.53</v>
      </c>
      <c r="B458" s="26">
        <v>7.5745206709425057</v>
      </c>
      <c r="C458" s="26">
        <v>9.0787206709425057</v>
      </c>
      <c r="D458" s="26">
        <v>9.5617206709425044</v>
      </c>
      <c r="E458" s="26">
        <v>9.1290906709425066</v>
      </c>
      <c r="F458" s="26">
        <v>8.6964606709425052</v>
      </c>
      <c r="G458" s="26">
        <v>8.8234206709425056</v>
      </c>
      <c r="H458" s="26">
        <v>8.6840406709425046</v>
      </c>
      <c r="I458" s="26">
        <v>8.3445606709425046</v>
      </c>
      <c r="J458" s="26">
        <v>7.3923606709425052</v>
      </c>
      <c r="K458" s="26">
        <v>7.298520670942505</v>
      </c>
      <c r="L458" s="26">
        <v>7.3399206709425044</v>
      </c>
      <c r="M458" s="26">
        <v>7.3813206709425057</v>
      </c>
      <c r="N458" s="26">
        <v>7.3896006709425048</v>
      </c>
      <c r="O458" s="26">
        <v>7.3799406709425055</v>
      </c>
      <c r="P458" s="26">
        <v>7.4047806709425048</v>
      </c>
      <c r="Q458" s="26">
        <v>7.5441606709425049</v>
      </c>
      <c r="R458" s="26">
        <v>7.7760006709425049</v>
      </c>
      <c r="S458" s="24"/>
    </row>
    <row r="459" spans="1:19" x14ac:dyDescent="0.25">
      <c r="A459" s="30">
        <v>4.54</v>
      </c>
      <c r="B459" s="30">
        <v>7.5745206709425057</v>
      </c>
      <c r="C459" s="30">
        <v>9.0787206709425057</v>
      </c>
      <c r="D459" s="30">
        <v>9.5617206709425044</v>
      </c>
      <c r="E459" s="30">
        <v>9.1290906709425066</v>
      </c>
      <c r="F459" s="30">
        <v>8.6964606709425052</v>
      </c>
      <c r="G459" s="30">
        <v>8.8234206709425056</v>
      </c>
      <c r="H459" s="30">
        <v>8.6840406709425046</v>
      </c>
      <c r="I459" s="30">
        <v>8.3445606709425046</v>
      </c>
      <c r="J459" s="30">
        <v>7.3923606709425052</v>
      </c>
      <c r="K459" s="30">
        <v>7.298520670942505</v>
      </c>
      <c r="L459" s="30">
        <v>7.3399206709425044</v>
      </c>
      <c r="M459" s="30">
        <v>7.3813206709425057</v>
      </c>
      <c r="N459" s="30">
        <v>7.3896006709425048</v>
      </c>
      <c r="O459" s="30">
        <v>7.3799406709425055</v>
      </c>
      <c r="P459" s="30">
        <v>7.4047806709425048</v>
      </c>
      <c r="Q459" s="30">
        <v>7.5441606709425049</v>
      </c>
      <c r="R459" s="30">
        <v>7.7760006709425049</v>
      </c>
      <c r="S459" s="25"/>
    </row>
    <row r="460" spans="1:19" x14ac:dyDescent="0.25">
      <c r="A460" s="26">
        <v>4.55</v>
      </c>
      <c r="B460" s="26">
        <v>7.5745206709425057</v>
      </c>
      <c r="C460" s="26">
        <v>9.0787206709425057</v>
      </c>
      <c r="D460" s="26">
        <v>9.5617206709425044</v>
      </c>
      <c r="E460" s="26">
        <v>9.1290906709425066</v>
      </c>
      <c r="F460" s="26">
        <v>8.6964606709425052</v>
      </c>
      <c r="G460" s="26">
        <v>8.8234206709425056</v>
      </c>
      <c r="H460" s="26">
        <v>8.6840406709425046</v>
      </c>
      <c r="I460" s="26">
        <v>8.3445606709425046</v>
      </c>
      <c r="J460" s="26">
        <v>7.3923606709425052</v>
      </c>
      <c r="K460" s="26">
        <v>7.298520670942505</v>
      </c>
      <c r="L460" s="26">
        <v>7.3399206709425044</v>
      </c>
      <c r="M460" s="26">
        <v>7.3813206709425057</v>
      </c>
      <c r="N460" s="26">
        <v>7.3896006709425048</v>
      </c>
      <c r="O460" s="26">
        <v>7.3799406709425055</v>
      </c>
      <c r="P460" s="26">
        <v>7.4047806709425048</v>
      </c>
      <c r="Q460" s="26">
        <v>7.5441606709425049</v>
      </c>
      <c r="R460" s="26">
        <v>7.7760006709425049</v>
      </c>
      <c r="S460" s="24"/>
    </row>
    <row r="461" spans="1:19" x14ac:dyDescent="0.25">
      <c r="A461" s="30">
        <v>4.5599999999999996</v>
      </c>
      <c r="B461" s="30">
        <v>7.5745206709425057</v>
      </c>
      <c r="C461" s="30">
        <v>9.0787206709425057</v>
      </c>
      <c r="D461" s="30">
        <v>9.5617206709425044</v>
      </c>
      <c r="E461" s="30">
        <v>9.1290906709425066</v>
      </c>
      <c r="F461" s="30">
        <v>8.6964606709425052</v>
      </c>
      <c r="G461" s="30">
        <v>8.8234206709425056</v>
      </c>
      <c r="H461" s="30">
        <v>8.6840406709425046</v>
      </c>
      <c r="I461" s="30">
        <v>8.3445606709425046</v>
      </c>
      <c r="J461" s="30">
        <v>7.3923606709425052</v>
      </c>
      <c r="K461" s="30">
        <v>7.298520670942505</v>
      </c>
      <c r="L461" s="30">
        <v>7.3399206709425044</v>
      </c>
      <c r="M461" s="30">
        <v>7.3813206709425057</v>
      </c>
      <c r="N461" s="30">
        <v>7.3896006709425048</v>
      </c>
      <c r="O461" s="30">
        <v>7.3799406709425055</v>
      </c>
      <c r="P461" s="30">
        <v>7.4047806709425048</v>
      </c>
      <c r="Q461" s="30">
        <v>7.5441606709425049</v>
      </c>
      <c r="R461" s="30">
        <v>7.7760006709425049</v>
      </c>
      <c r="S461" s="25"/>
    </row>
    <row r="462" spans="1:19" x14ac:dyDescent="0.25">
      <c r="A462" s="26">
        <v>4.57</v>
      </c>
      <c r="B462" s="26">
        <v>7.5745206709425057</v>
      </c>
      <c r="C462" s="26">
        <v>9.0787206709425057</v>
      </c>
      <c r="D462" s="26">
        <v>9.5617206709425044</v>
      </c>
      <c r="E462" s="26">
        <v>9.1290906709425066</v>
      </c>
      <c r="F462" s="26">
        <v>8.6964606709425052</v>
      </c>
      <c r="G462" s="26">
        <v>8.8234206709425056</v>
      </c>
      <c r="H462" s="26">
        <v>8.6840406709425046</v>
      </c>
      <c r="I462" s="26">
        <v>8.3445606709425046</v>
      </c>
      <c r="J462" s="26">
        <v>7.3923606709425052</v>
      </c>
      <c r="K462" s="26">
        <v>7.298520670942505</v>
      </c>
      <c r="L462" s="26">
        <v>7.3399206709425044</v>
      </c>
      <c r="M462" s="26">
        <v>7.3813206709425057</v>
      </c>
      <c r="N462" s="26">
        <v>7.3896006709425048</v>
      </c>
      <c r="O462" s="26">
        <v>7.3799406709425055</v>
      </c>
      <c r="P462" s="26">
        <v>7.4047806709425048</v>
      </c>
      <c r="Q462" s="26">
        <v>7.5441606709425049</v>
      </c>
      <c r="R462" s="26">
        <v>7.7760006709425049</v>
      </c>
      <c r="S462" s="24"/>
    </row>
    <row r="463" spans="1:19" x14ac:dyDescent="0.25">
      <c r="A463" s="30">
        <v>4.58</v>
      </c>
      <c r="B463" s="30">
        <v>7.5745206709425057</v>
      </c>
      <c r="C463" s="30">
        <v>9.0787206709425057</v>
      </c>
      <c r="D463" s="30">
        <v>9.5617206709425044</v>
      </c>
      <c r="E463" s="30">
        <v>9.1290906709425066</v>
      </c>
      <c r="F463" s="30">
        <v>8.6964606709425052</v>
      </c>
      <c r="G463" s="30">
        <v>8.8234206709425056</v>
      </c>
      <c r="H463" s="30">
        <v>8.6840406709425046</v>
      </c>
      <c r="I463" s="30">
        <v>8.3445606709425046</v>
      </c>
      <c r="J463" s="30">
        <v>7.3923606709425052</v>
      </c>
      <c r="K463" s="30">
        <v>7.298520670942505</v>
      </c>
      <c r="L463" s="30">
        <v>7.3399206709425044</v>
      </c>
      <c r="M463" s="30">
        <v>7.3813206709425057</v>
      </c>
      <c r="N463" s="30">
        <v>7.3896006709425048</v>
      </c>
      <c r="O463" s="30">
        <v>7.3799406709425055</v>
      </c>
      <c r="P463" s="30">
        <v>7.4047806709425048</v>
      </c>
      <c r="Q463" s="30">
        <v>7.5441606709425049</v>
      </c>
      <c r="R463" s="30">
        <v>7.7760006709425049</v>
      </c>
      <c r="S463" s="25"/>
    </row>
    <row r="464" spans="1:19" x14ac:dyDescent="0.25">
      <c r="A464" s="26">
        <v>4.59</v>
      </c>
      <c r="B464" s="26">
        <v>7.5745206709425057</v>
      </c>
      <c r="C464" s="26">
        <v>9.0787206709425057</v>
      </c>
      <c r="D464" s="26">
        <v>9.5617206709425044</v>
      </c>
      <c r="E464" s="26">
        <v>9.1290906709425066</v>
      </c>
      <c r="F464" s="26">
        <v>8.6964606709425052</v>
      </c>
      <c r="G464" s="26">
        <v>8.8234206709425056</v>
      </c>
      <c r="H464" s="26">
        <v>8.6840406709425046</v>
      </c>
      <c r="I464" s="26">
        <v>8.3445606709425046</v>
      </c>
      <c r="J464" s="26">
        <v>7.3923606709425052</v>
      </c>
      <c r="K464" s="26">
        <v>7.298520670942505</v>
      </c>
      <c r="L464" s="26">
        <v>7.3399206709425044</v>
      </c>
      <c r="M464" s="26">
        <v>7.3813206709425057</v>
      </c>
      <c r="N464" s="26">
        <v>7.3896006709425048</v>
      </c>
      <c r="O464" s="26">
        <v>7.3799406709425055</v>
      </c>
      <c r="P464" s="26">
        <v>7.4047806709425048</v>
      </c>
      <c r="Q464" s="26">
        <v>7.5441606709425049</v>
      </c>
      <c r="R464" s="26">
        <v>7.7760006709425049</v>
      </c>
      <c r="S464" s="24"/>
    </row>
    <row r="465" spans="1:19" x14ac:dyDescent="0.25">
      <c r="A465" s="30">
        <v>4.5999999999999996</v>
      </c>
      <c r="B465" s="30">
        <v>7.5745206709425057</v>
      </c>
      <c r="C465" s="30">
        <v>9.0787206709425057</v>
      </c>
      <c r="D465" s="30">
        <v>9.5617206709425044</v>
      </c>
      <c r="E465" s="30">
        <v>9.1290906709425066</v>
      </c>
      <c r="F465" s="30">
        <v>8.6964606709425052</v>
      </c>
      <c r="G465" s="30">
        <v>8.8234206709425056</v>
      </c>
      <c r="H465" s="30">
        <v>8.6840406709425046</v>
      </c>
      <c r="I465" s="30">
        <v>8.3445606709425046</v>
      </c>
      <c r="J465" s="30">
        <v>7.3923606709425052</v>
      </c>
      <c r="K465" s="30">
        <v>7.298520670942505</v>
      </c>
      <c r="L465" s="30">
        <v>7.3399206709425044</v>
      </c>
      <c r="M465" s="30">
        <v>7.3813206709425057</v>
      </c>
      <c r="N465" s="30">
        <v>7.3896006709425048</v>
      </c>
      <c r="O465" s="30">
        <v>7.3799406709425055</v>
      </c>
      <c r="P465" s="30">
        <v>7.4047806709425048</v>
      </c>
      <c r="Q465" s="30">
        <v>7.5441606709425049</v>
      </c>
      <c r="R465" s="30">
        <v>7.7760006709425049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9.5617206709425044</v>
      </c>
      <c r="E466" s="26">
        <v>9.1290906709425066</v>
      </c>
      <c r="F466" s="26">
        <v>8.6964606709425052</v>
      </c>
      <c r="G466" s="26">
        <v>8.8234206709425056</v>
      </c>
      <c r="H466" s="26">
        <v>8.6840406709425046</v>
      </c>
      <c r="I466" s="26">
        <v>8.3445606709425046</v>
      </c>
      <c r="J466" s="26">
        <v>7.3923606709425052</v>
      </c>
      <c r="K466" s="26">
        <v>7.298520670942505</v>
      </c>
      <c r="L466" s="26">
        <v>7.3399206709425044</v>
      </c>
      <c r="M466" s="26">
        <v>7.3813206709425057</v>
      </c>
      <c r="N466" s="26">
        <v>7.3896006709425048</v>
      </c>
      <c r="O466" s="26">
        <v>7.3799406709425055</v>
      </c>
      <c r="P466" s="26">
        <v>7.4047806709425048</v>
      </c>
      <c r="Q466" s="26">
        <v>7.5441606709425049</v>
      </c>
      <c r="R466" s="26">
        <v>7.7760006709425049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9.5617206709425044</v>
      </c>
      <c r="E467" s="30">
        <v>9.1290906709425066</v>
      </c>
      <c r="F467" s="30">
        <v>8.6964606709425052</v>
      </c>
      <c r="G467" s="30">
        <v>8.8234206709425056</v>
      </c>
      <c r="H467" s="30">
        <v>8.6840406709425046</v>
      </c>
      <c r="I467" s="30">
        <v>8.3445606709425046</v>
      </c>
      <c r="J467" s="30">
        <v>7.3923606709425052</v>
      </c>
      <c r="K467" s="30">
        <v>7.298520670942505</v>
      </c>
      <c r="L467" s="30">
        <v>7.3399206709425044</v>
      </c>
      <c r="M467" s="30">
        <v>7.3813206709425057</v>
      </c>
      <c r="N467" s="30">
        <v>7.3896006709425048</v>
      </c>
      <c r="O467" s="30">
        <v>7.3799406709425055</v>
      </c>
      <c r="P467" s="30">
        <v>7.4047806709425048</v>
      </c>
      <c r="Q467" s="30">
        <v>7.5441606709425049</v>
      </c>
      <c r="R467" s="30">
        <v>7.7760006709425049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9.5617206709425044</v>
      </c>
      <c r="E468" s="26">
        <v>9.1290906709425066</v>
      </c>
      <c r="F468" s="26">
        <v>8.6964606709425052</v>
      </c>
      <c r="G468" s="26">
        <v>8.8234206709425056</v>
      </c>
      <c r="H468" s="26">
        <v>8.6840406709425046</v>
      </c>
      <c r="I468" s="26">
        <v>8.3445606709425046</v>
      </c>
      <c r="J468" s="26">
        <v>7.3923606709425052</v>
      </c>
      <c r="K468" s="26">
        <v>7.298520670942505</v>
      </c>
      <c r="L468" s="26">
        <v>7.3399206709425044</v>
      </c>
      <c r="M468" s="26">
        <v>7.3813206709425057</v>
      </c>
      <c r="N468" s="26">
        <v>7.3896006709425048</v>
      </c>
      <c r="O468" s="26">
        <v>7.3799406709425055</v>
      </c>
      <c r="P468" s="26">
        <v>7.4047806709425048</v>
      </c>
      <c r="Q468" s="26">
        <v>7.5441606709425049</v>
      </c>
      <c r="R468" s="26">
        <v>7.7760006709425049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9.5617206709425044</v>
      </c>
      <c r="E469" s="30">
        <v>9.1290906709425066</v>
      </c>
      <c r="F469" s="30">
        <v>8.6964606709425052</v>
      </c>
      <c r="G469" s="30">
        <v>8.8234206709425056</v>
      </c>
      <c r="H469" s="30">
        <v>8.6840406709425046</v>
      </c>
      <c r="I469" s="30">
        <v>8.3445606709425046</v>
      </c>
      <c r="J469" s="30">
        <v>7.3923606709425052</v>
      </c>
      <c r="K469" s="30">
        <v>7.298520670942505</v>
      </c>
      <c r="L469" s="30">
        <v>7.3399206709425044</v>
      </c>
      <c r="M469" s="30">
        <v>7.3813206709425057</v>
      </c>
      <c r="N469" s="30">
        <v>7.3896006709425048</v>
      </c>
      <c r="O469" s="30">
        <v>7.3799406709425055</v>
      </c>
      <c r="P469" s="30">
        <v>7.4047806709425048</v>
      </c>
      <c r="Q469" s="30">
        <v>7.5441606709425049</v>
      </c>
      <c r="R469" s="30">
        <v>7.7760006709425049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8.8234206709425056</v>
      </c>
      <c r="H470" s="26">
        <v>8.6840406709425046</v>
      </c>
      <c r="I470" s="26">
        <v>8.3445606709425046</v>
      </c>
      <c r="J470" s="26">
        <v>7.3923606709425052</v>
      </c>
      <c r="K470" s="26">
        <v>7.298520670942505</v>
      </c>
      <c r="L470" s="26">
        <v>7.3399206709425044</v>
      </c>
      <c r="M470" s="26">
        <v>7.3813206709425057</v>
      </c>
      <c r="N470" s="26">
        <v>7.3896006709425048</v>
      </c>
      <c r="O470" s="26">
        <v>7.3799406709425055</v>
      </c>
      <c r="P470" s="26">
        <v>7.4047806709425048</v>
      </c>
      <c r="Q470" s="26">
        <v>7.5441606709425049</v>
      </c>
      <c r="R470" s="26">
        <v>7.7760006709425049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8.8234206709425056</v>
      </c>
      <c r="H471" s="30">
        <v>8.6840406709425046</v>
      </c>
      <c r="I471" s="30">
        <v>8.3445606709425046</v>
      </c>
      <c r="J471" s="30">
        <v>7.3923606709425052</v>
      </c>
      <c r="K471" s="30">
        <v>7.298520670942505</v>
      </c>
      <c r="L471" s="30">
        <v>7.3399206709425044</v>
      </c>
      <c r="M471" s="30">
        <v>7.3813206709425057</v>
      </c>
      <c r="N471" s="30">
        <v>7.3896006709425048</v>
      </c>
      <c r="O471" s="30">
        <v>7.3799406709425055</v>
      </c>
      <c r="P471" s="30">
        <v>7.4047806709425048</v>
      </c>
      <c r="Q471" s="30">
        <v>7.5441606709425049</v>
      </c>
      <c r="R471" s="30">
        <v>7.7760006709425049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8.8234206709425056</v>
      </c>
      <c r="H472" s="26">
        <v>8.6840406709425046</v>
      </c>
      <c r="I472" s="26">
        <v>8.3445606709425046</v>
      </c>
      <c r="J472" s="26">
        <v>7.3923606709425052</v>
      </c>
      <c r="K472" s="26">
        <v>7.298520670942505</v>
      </c>
      <c r="L472" s="26">
        <v>7.3399206709425044</v>
      </c>
      <c r="M472" s="26">
        <v>7.3813206709425057</v>
      </c>
      <c r="N472" s="26">
        <v>7.3896006709425048</v>
      </c>
      <c r="O472" s="26">
        <v>7.3799406709425055</v>
      </c>
      <c r="P472" s="26">
        <v>7.4047806709425048</v>
      </c>
      <c r="Q472" s="26">
        <v>7.5441606709425049</v>
      </c>
      <c r="R472" s="26">
        <v>7.7760006709425049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8.8234206709425056</v>
      </c>
      <c r="H473" s="30">
        <v>8.6840406709425046</v>
      </c>
      <c r="I473" s="30">
        <v>8.3445606709425046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7.7760006709425049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8.8234206709425056</v>
      </c>
      <c r="H474" s="26">
        <v>8.6840406709425046</v>
      </c>
      <c r="I474" s="26">
        <v>8.3445606709425046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7.7760006709425049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8.8234206709425056</v>
      </c>
      <c r="H475" s="30">
        <v>8.6840406709425046</v>
      </c>
      <c r="I475" s="30">
        <v>8.3445606709425046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7.7760006709425049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8.8234206709425056</v>
      </c>
      <c r="H476" s="26">
        <v>8.6840406709425046</v>
      </c>
      <c r="I476" s="26">
        <v>8.3445606709425046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7.7760006709425049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8.8234206709425056</v>
      </c>
      <c r="H477" s="30">
        <v>8.6840406709425046</v>
      </c>
      <c r="I477" s="30">
        <v>8.3445606709425046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7.7760006709425049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8.8234206709425056</v>
      </c>
      <c r="H478" s="26">
        <v>8.6840406709425046</v>
      </c>
      <c r="I478" s="26">
        <v>8.3445606709425046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7.7760006709425049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8.8234206709425056</v>
      </c>
      <c r="H479" s="30">
        <v>8.6840406709425046</v>
      </c>
      <c r="I479" s="30">
        <v>8.3445606709425046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7.7760006709425049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8.8234206709425056</v>
      </c>
      <c r="H480" s="26">
        <v>8.6840406709425046</v>
      </c>
      <c r="I480" s="26">
        <v>8.3445606709425046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7.7760006709425049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8.8234206709425056</v>
      </c>
      <c r="H481" s="30">
        <v>8.6840406709425046</v>
      </c>
      <c r="I481" s="30">
        <v>8.3445606709425046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7.7760006709425049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8.8234206709425056</v>
      </c>
      <c r="H482" s="26">
        <v>8.6840406709425046</v>
      </c>
      <c r="I482" s="26">
        <v>8.3445606709425046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7.7760006709425049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8.8234206709425056</v>
      </c>
      <c r="H483" s="30">
        <v>8.6840406709425046</v>
      </c>
      <c r="I483" s="30">
        <v>8.3445606709425046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7.7760006709425049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9.6119106344371197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11.283970319037465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11.283970319037465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11.283970319037465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11.283970319037465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11.283970319037465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11.283970319037465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11.283970319037465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11.283970319037465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11.283970319037465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11.283970319037465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11.283970319037465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11.283970319037465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11.283970319037465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11.383970319037465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11.383970319037465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9.6119106344371197</v>
      </c>
      <c r="D534" s="26">
        <v>9.5617206709425044</v>
      </c>
      <c r="E534" s="26">
        <v>9.6119106344371197</v>
      </c>
      <c r="F534" s="26">
        <v>8.6964606709425052</v>
      </c>
      <c r="G534" s="26">
        <v>8.8234206709425056</v>
      </c>
      <c r="H534" s="26">
        <v>11.383970319037465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11.283970319037465</v>
      </c>
      <c r="D535" s="30">
        <v>9.5617206709425044</v>
      </c>
      <c r="E535" s="30">
        <v>11.283970319037465</v>
      </c>
      <c r="F535" s="30">
        <v>8.6964606709425052</v>
      </c>
      <c r="G535" s="30">
        <v>8.8234206709425056</v>
      </c>
      <c r="H535" s="30">
        <v>11.383970319037465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11.283970319037465</v>
      </c>
      <c r="D536" s="26">
        <v>9.5617206709425044</v>
      </c>
      <c r="E536" s="26">
        <v>11.283970319037465</v>
      </c>
      <c r="F536" s="26">
        <v>8.6964606709425052</v>
      </c>
      <c r="G536" s="26">
        <v>8.8234206709425056</v>
      </c>
      <c r="H536" s="26">
        <v>11.383970319037465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11.283970319037465</v>
      </c>
      <c r="D537" s="30">
        <v>9.5617206709425044</v>
      </c>
      <c r="E537" s="30">
        <v>11.283970319037465</v>
      </c>
      <c r="F537" s="30">
        <v>8.6964606709425052</v>
      </c>
      <c r="G537" s="30">
        <v>8.8234206709425056</v>
      </c>
      <c r="H537" s="30">
        <v>11.383970319037465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11.283970319037465</v>
      </c>
      <c r="D538" s="26">
        <v>9.5617206709425044</v>
      </c>
      <c r="E538" s="26">
        <v>11.283970319037465</v>
      </c>
      <c r="F538" s="26">
        <v>8.6964606709425052</v>
      </c>
      <c r="G538" s="26">
        <v>8.8234206709425056</v>
      </c>
      <c r="H538" s="26">
        <v>11.383970319037465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11.283970319037465</v>
      </c>
      <c r="D539" s="30">
        <v>9.5617206709425044</v>
      </c>
      <c r="E539" s="30">
        <v>11.283970319037465</v>
      </c>
      <c r="F539" s="30">
        <v>8.6964606709425052</v>
      </c>
      <c r="G539" s="30">
        <v>8.8234206709425056</v>
      </c>
      <c r="H539" s="30">
        <v>11.383970319037465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11.283970319037465</v>
      </c>
      <c r="D540" s="26">
        <v>9.5617206709425044</v>
      </c>
      <c r="E540" s="26">
        <v>11.283970319037465</v>
      </c>
      <c r="F540" s="26">
        <v>8.6964606709425052</v>
      </c>
      <c r="G540" s="26">
        <v>8.8234206709425056</v>
      </c>
      <c r="H540" s="26">
        <v>11.383970319037465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11.283970319037465</v>
      </c>
      <c r="D541" s="30">
        <v>9.5617206709425044</v>
      </c>
      <c r="E541" s="30">
        <v>11.283970319037465</v>
      </c>
      <c r="F541" s="30">
        <v>8.6964606709425052</v>
      </c>
      <c r="G541" s="30">
        <v>8.8234206709425056</v>
      </c>
      <c r="H541" s="30">
        <v>11.383970319037465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11.283970319037465</v>
      </c>
      <c r="D542" s="26">
        <v>9.5617206709425044</v>
      </c>
      <c r="E542" s="26">
        <v>11.283970319037465</v>
      </c>
      <c r="F542" s="26">
        <v>8.6964606709425052</v>
      </c>
      <c r="G542" s="26">
        <v>8.8234206709425056</v>
      </c>
      <c r="H542" s="26">
        <v>11.383970319037465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11.283970319037465</v>
      </c>
      <c r="D543" s="30">
        <v>9.5617206709425044</v>
      </c>
      <c r="E543" s="30">
        <v>11.283970319037465</v>
      </c>
      <c r="F543" s="30">
        <v>8.6964606709425052</v>
      </c>
      <c r="G543" s="30">
        <v>8.8234206709425056</v>
      </c>
      <c r="H543" s="30">
        <v>11.383970319037465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11.283970319037465</v>
      </c>
      <c r="D544" s="26">
        <v>9.5617206709425044</v>
      </c>
      <c r="E544" s="26">
        <v>11.283970319037465</v>
      </c>
      <c r="F544" s="26">
        <v>8.6964606709425052</v>
      </c>
      <c r="G544" s="26">
        <v>8.8234206709425056</v>
      </c>
      <c r="H544" s="26">
        <v>11.383970319037465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11.283970319037465</v>
      </c>
      <c r="D545" s="30">
        <v>9.5617206709425044</v>
      </c>
      <c r="E545" s="30">
        <v>11.283970319037465</v>
      </c>
      <c r="F545" s="30">
        <v>8.6964606709425052</v>
      </c>
      <c r="G545" s="30">
        <v>8.8234206709425056</v>
      </c>
      <c r="H545" s="30">
        <v>11.483970319037466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11.283970319037465</v>
      </c>
      <c r="D546" s="26">
        <v>9.5617206709425044</v>
      </c>
      <c r="E546" s="26">
        <v>11.283970319037465</v>
      </c>
      <c r="F546" s="26">
        <v>8.6964606709425052</v>
      </c>
      <c r="G546" s="26">
        <v>8.8234206709425056</v>
      </c>
      <c r="H546" s="26">
        <v>11.483970319037466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11.283970319037465</v>
      </c>
      <c r="D547" s="30">
        <v>9.5617206709425044</v>
      </c>
      <c r="E547" s="30">
        <v>11.283970319037465</v>
      </c>
      <c r="F547" s="30">
        <v>8.6964606709425052</v>
      </c>
      <c r="G547" s="30">
        <v>8.8234206709425056</v>
      </c>
      <c r="H547" s="30">
        <v>11.483970319037466</v>
      </c>
      <c r="I547" s="30">
        <v>8.3445606709425046</v>
      </c>
      <c r="J547" s="30">
        <v>7.4401405082909307</v>
      </c>
      <c r="K547" s="30">
        <v>7.298520670942505</v>
      </c>
      <c r="L547" s="30">
        <v>7.4401405082909307</v>
      </c>
      <c r="M547" s="30">
        <v>7.3813206709425057</v>
      </c>
      <c r="N547" s="30">
        <v>7.3896006709425048</v>
      </c>
      <c r="O547" s="30">
        <v>7.4401405082909307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11.283970319037465</v>
      </c>
      <c r="D548" s="26">
        <v>9.5617206709425044</v>
      </c>
      <c r="E548" s="26">
        <v>11.283970319037465</v>
      </c>
      <c r="F548" s="26">
        <v>8.6964606709425052</v>
      </c>
      <c r="G548" s="26">
        <v>8.8234206709425056</v>
      </c>
      <c r="H548" s="26">
        <v>11.483970319037466</v>
      </c>
      <c r="I548" s="26">
        <v>8.3445606709425046</v>
      </c>
      <c r="J548" s="26">
        <v>7.4401405082909307</v>
      </c>
      <c r="K548" s="26">
        <v>7.298520670942505</v>
      </c>
      <c r="L548" s="26">
        <v>7.4401405082909307</v>
      </c>
      <c r="M548" s="26">
        <v>7.3813206709425057</v>
      </c>
      <c r="N548" s="26">
        <v>7.3896006709425048</v>
      </c>
      <c r="O548" s="26">
        <v>7.4401405082909307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11.383970319037465</v>
      </c>
      <c r="D549" s="30">
        <v>9.5617206709425044</v>
      </c>
      <c r="E549" s="30">
        <v>11.383970319037465</v>
      </c>
      <c r="F549" s="30">
        <v>8.6964606709425052</v>
      </c>
      <c r="G549" s="30">
        <v>8.8234206709425056</v>
      </c>
      <c r="H549" s="30">
        <v>11.483970319037466</v>
      </c>
      <c r="I549" s="30">
        <v>8.3445606709425046</v>
      </c>
      <c r="J549" s="30">
        <v>7.4401405082909307</v>
      </c>
      <c r="K549" s="30">
        <v>7.298520670942505</v>
      </c>
      <c r="L549" s="30">
        <v>7.4401405082909307</v>
      </c>
      <c r="M549" s="30">
        <v>7.3813206709425057</v>
      </c>
      <c r="N549" s="30">
        <v>7.3896006709425048</v>
      </c>
      <c r="O549" s="30">
        <v>7.4401405082909307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11.383970319037465</v>
      </c>
      <c r="D550" s="26">
        <v>9.5617206709425044</v>
      </c>
      <c r="E550" s="26">
        <v>11.383970319037465</v>
      </c>
      <c r="F550" s="26">
        <v>8.6964606709425052</v>
      </c>
      <c r="G550" s="26">
        <v>8.8234206709425056</v>
      </c>
      <c r="H550" s="26">
        <v>11.483970319037466</v>
      </c>
      <c r="I550" s="26">
        <v>8.3445606709425046</v>
      </c>
      <c r="J550" s="26">
        <v>7.4401405082909307</v>
      </c>
      <c r="K550" s="26">
        <v>7.298520670942505</v>
      </c>
      <c r="L550" s="26">
        <v>7.4401405082909307</v>
      </c>
      <c r="M550" s="26">
        <v>7.3813206709425057</v>
      </c>
      <c r="N550" s="26">
        <v>7.3896006709425048</v>
      </c>
      <c r="O550" s="26">
        <v>7.4401405082909307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9.6119106344371197</v>
      </c>
      <c r="C551" s="30">
        <v>11.383970319037465</v>
      </c>
      <c r="D551" s="30">
        <v>9.6119106344371197</v>
      </c>
      <c r="E551" s="30">
        <v>11.383970319037465</v>
      </c>
      <c r="F551" s="30">
        <v>9.6119106344371197</v>
      </c>
      <c r="G551" s="30">
        <v>8.8234206709425056</v>
      </c>
      <c r="H551" s="30">
        <v>11.483970319037466</v>
      </c>
      <c r="I551" s="30">
        <v>8.3445606709425046</v>
      </c>
      <c r="J551" s="30">
        <v>7.4401405082909307</v>
      </c>
      <c r="K551" s="30">
        <v>7.298520670942505</v>
      </c>
      <c r="L551" s="30">
        <v>7.4401405082909307</v>
      </c>
      <c r="M551" s="30">
        <v>7.3813206709425057</v>
      </c>
      <c r="N551" s="30">
        <v>7.3896006709425048</v>
      </c>
      <c r="O551" s="30">
        <v>7.4401405082909307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9.6119106344371197</v>
      </c>
      <c r="C552" s="26">
        <v>11.383970319037465</v>
      </c>
      <c r="D552" s="26">
        <v>9.6119106344371197</v>
      </c>
      <c r="E552" s="26">
        <v>11.383970319037465</v>
      </c>
      <c r="F552" s="26">
        <v>9.6119106344371197</v>
      </c>
      <c r="G552" s="26">
        <v>8.8234206709425056</v>
      </c>
      <c r="H552" s="26">
        <v>11.483970319037466</v>
      </c>
      <c r="I552" s="26">
        <v>8.3445606709425046</v>
      </c>
      <c r="J552" s="26">
        <v>7.4401405082909307</v>
      </c>
      <c r="K552" s="26">
        <v>7.298520670942505</v>
      </c>
      <c r="L552" s="26">
        <v>7.4401405082909307</v>
      </c>
      <c r="M552" s="26">
        <v>7.3813206709425057</v>
      </c>
      <c r="N552" s="26">
        <v>7.3896006709425048</v>
      </c>
      <c r="O552" s="26">
        <v>7.4401405082909307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10.436942173613275</v>
      </c>
      <c r="C553" s="30">
        <v>11.383970319037465</v>
      </c>
      <c r="D553" s="30">
        <v>11.283970319037465</v>
      </c>
      <c r="E553" s="30">
        <v>11.383970319037465</v>
      </c>
      <c r="F553" s="30">
        <v>11.283970319037465</v>
      </c>
      <c r="G553" s="30">
        <v>8.8234206709425056</v>
      </c>
      <c r="H553" s="30">
        <v>11.483970319037466</v>
      </c>
      <c r="I553" s="30">
        <v>8.3445606709425046</v>
      </c>
      <c r="J553" s="30">
        <v>7.4401405082909307</v>
      </c>
      <c r="K553" s="30">
        <v>7.298520670942505</v>
      </c>
      <c r="L553" s="30">
        <v>7.4401405082909307</v>
      </c>
      <c r="M553" s="30">
        <v>7.3813206709425057</v>
      </c>
      <c r="N553" s="30">
        <v>7.3896006709425048</v>
      </c>
      <c r="O553" s="30">
        <v>7.4401405082909307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10.436942173613275</v>
      </c>
      <c r="C554" s="26">
        <v>11.383970319037465</v>
      </c>
      <c r="D554" s="26">
        <v>11.283970319037465</v>
      </c>
      <c r="E554" s="26">
        <v>11.383970319037465</v>
      </c>
      <c r="F554" s="26">
        <v>11.283970319037465</v>
      </c>
      <c r="G554" s="26">
        <v>8.8234206709425056</v>
      </c>
      <c r="H554" s="26">
        <v>11.483970319037466</v>
      </c>
      <c r="I554" s="26">
        <v>8.3445606709425046</v>
      </c>
      <c r="J554" s="26">
        <v>9.6119106344371197</v>
      </c>
      <c r="K554" s="26">
        <v>7.298520670942505</v>
      </c>
      <c r="L554" s="26">
        <v>9.6119106344371197</v>
      </c>
      <c r="M554" s="26">
        <v>7.3813206709425057</v>
      </c>
      <c r="N554" s="26">
        <v>7.3896006709425048</v>
      </c>
      <c r="O554" s="26">
        <v>9.6119106344371197</v>
      </c>
      <c r="P554" s="26">
        <v>7.4047806709425048</v>
      </c>
      <c r="Q554" s="26">
        <v>9.6119106344371197</v>
      </c>
      <c r="R554" s="26">
        <v>7.7760006709425049</v>
      </c>
      <c r="S554" s="24"/>
    </row>
    <row r="555" spans="1:19" x14ac:dyDescent="0.25">
      <c r="A555" s="30">
        <v>5.5</v>
      </c>
      <c r="B555" s="30">
        <v>10.436942173613275</v>
      </c>
      <c r="C555" s="30">
        <v>11.383970319037465</v>
      </c>
      <c r="D555" s="30">
        <v>11.283970319037465</v>
      </c>
      <c r="E555" s="30">
        <v>11.383970319037465</v>
      </c>
      <c r="F555" s="30">
        <v>11.283970319037465</v>
      </c>
      <c r="G555" s="30">
        <v>8.8234206709425056</v>
      </c>
      <c r="H555" s="30">
        <v>11.483970319037466</v>
      </c>
      <c r="I555" s="30">
        <v>8.3445606709425046</v>
      </c>
      <c r="J555" s="30">
        <v>9.6119106344371197</v>
      </c>
      <c r="K555" s="30">
        <v>7.298520670942505</v>
      </c>
      <c r="L555" s="30">
        <v>9.6119106344371197</v>
      </c>
      <c r="M555" s="30">
        <v>7.3813206709425057</v>
      </c>
      <c r="N555" s="30">
        <v>7.3896006709425048</v>
      </c>
      <c r="O555" s="30">
        <v>9.6119106344371197</v>
      </c>
      <c r="P555" s="30">
        <v>7.4047806709425048</v>
      </c>
      <c r="Q555" s="30">
        <v>9.6119106344371197</v>
      </c>
      <c r="R555" s="30">
        <v>7.7760006709425049</v>
      </c>
      <c r="S555" s="25"/>
    </row>
    <row r="556" spans="1:19" x14ac:dyDescent="0.25">
      <c r="A556" s="26">
        <v>5.51</v>
      </c>
      <c r="B556" s="26">
        <v>10.436942173613275</v>
      </c>
      <c r="C556" s="26">
        <v>11.383970319037465</v>
      </c>
      <c r="D556" s="26">
        <v>11.283970319037465</v>
      </c>
      <c r="E556" s="26">
        <v>11.383970319037465</v>
      </c>
      <c r="F556" s="26">
        <v>11.283970319037465</v>
      </c>
      <c r="G556" s="26">
        <v>8.8234206709425056</v>
      </c>
      <c r="H556" s="26">
        <v>11.483970319037466</v>
      </c>
      <c r="I556" s="26">
        <v>8.3445606709425046</v>
      </c>
      <c r="J556" s="26">
        <v>11.283970319037465</v>
      </c>
      <c r="K556" s="26">
        <v>7.298520670942505</v>
      </c>
      <c r="L556" s="26">
        <v>11.283970319037465</v>
      </c>
      <c r="M556" s="26">
        <v>7.3813206709425057</v>
      </c>
      <c r="N556" s="26">
        <v>7.3896006709425048</v>
      </c>
      <c r="O556" s="26">
        <v>11.283970319037465</v>
      </c>
      <c r="P556" s="26">
        <v>7.4047806709425048</v>
      </c>
      <c r="Q556" s="26">
        <v>11.283970319037465</v>
      </c>
      <c r="R556" s="26">
        <v>7.7760006709425049</v>
      </c>
      <c r="S556" s="24"/>
    </row>
    <row r="557" spans="1:19" x14ac:dyDescent="0.25">
      <c r="A557" s="30">
        <v>5.52</v>
      </c>
      <c r="B557" s="30">
        <v>10.436942173613275</v>
      </c>
      <c r="C557" s="30">
        <v>11.383970319037465</v>
      </c>
      <c r="D557" s="30">
        <v>11.283970319037465</v>
      </c>
      <c r="E557" s="30">
        <v>11.383970319037465</v>
      </c>
      <c r="F557" s="30">
        <v>11.283970319037465</v>
      </c>
      <c r="G557" s="30">
        <v>8.8234206709425056</v>
      </c>
      <c r="H557" s="30">
        <v>11.483970319037466</v>
      </c>
      <c r="I557" s="30">
        <v>8.3445606709425046</v>
      </c>
      <c r="J557" s="30">
        <v>11.283970319037465</v>
      </c>
      <c r="K557" s="30">
        <v>7.298520670942505</v>
      </c>
      <c r="L557" s="30">
        <v>11.283970319037465</v>
      </c>
      <c r="M557" s="30">
        <v>7.3813206709425057</v>
      </c>
      <c r="N557" s="30">
        <v>7.3896006709425048</v>
      </c>
      <c r="O557" s="30">
        <v>11.283970319037465</v>
      </c>
      <c r="P557" s="30">
        <v>7.4047806709425048</v>
      </c>
      <c r="Q557" s="30">
        <v>11.283970319037465</v>
      </c>
      <c r="R557" s="30">
        <v>7.7760006709425049</v>
      </c>
      <c r="S557" s="25"/>
    </row>
    <row r="558" spans="1:19" x14ac:dyDescent="0.25">
      <c r="A558" s="26">
        <v>5.53</v>
      </c>
      <c r="B558" s="26">
        <v>10.436942173613275</v>
      </c>
      <c r="C558" s="26">
        <v>11.383970319037465</v>
      </c>
      <c r="D558" s="26">
        <v>11.283970319037465</v>
      </c>
      <c r="E558" s="26">
        <v>11.383970319037465</v>
      </c>
      <c r="F558" s="26">
        <v>11.283970319037465</v>
      </c>
      <c r="G558" s="26">
        <v>8.8234206709425056</v>
      </c>
      <c r="H558" s="26">
        <v>14.182438378092547</v>
      </c>
      <c r="I558" s="26">
        <v>8.3445606709425046</v>
      </c>
      <c r="J558" s="26">
        <v>11.283970319037465</v>
      </c>
      <c r="K558" s="26">
        <v>7.298520670942505</v>
      </c>
      <c r="L558" s="26">
        <v>11.283970319037465</v>
      </c>
      <c r="M558" s="26">
        <v>7.3813206709425057</v>
      </c>
      <c r="N558" s="26">
        <v>7.3896006709425048</v>
      </c>
      <c r="O558" s="26">
        <v>11.283970319037465</v>
      </c>
      <c r="P558" s="26">
        <v>7.4047806709425048</v>
      </c>
      <c r="Q558" s="26">
        <v>11.283970319037465</v>
      </c>
      <c r="R558" s="26">
        <v>7.7760006709425049</v>
      </c>
      <c r="S558" s="24"/>
    </row>
    <row r="559" spans="1:19" x14ac:dyDescent="0.25">
      <c r="A559" s="30">
        <v>5.54</v>
      </c>
      <c r="B559" s="30">
        <v>10.436942173613275</v>
      </c>
      <c r="C559" s="30">
        <v>11.383970319037465</v>
      </c>
      <c r="D559" s="30">
        <v>11.283970319037465</v>
      </c>
      <c r="E559" s="30">
        <v>11.383970319037465</v>
      </c>
      <c r="F559" s="30">
        <v>11.283970319037465</v>
      </c>
      <c r="G559" s="30">
        <v>8.8234206709425056</v>
      </c>
      <c r="H559" s="30">
        <v>14.182438378092547</v>
      </c>
      <c r="I559" s="30">
        <v>8.3445606709425046</v>
      </c>
      <c r="J559" s="30">
        <v>11.283970319037465</v>
      </c>
      <c r="K559" s="30">
        <v>7.298520670942505</v>
      </c>
      <c r="L559" s="30">
        <v>11.283970319037465</v>
      </c>
      <c r="M559" s="30">
        <v>7.3813206709425057</v>
      </c>
      <c r="N559" s="30">
        <v>7.3896006709425048</v>
      </c>
      <c r="O559" s="30">
        <v>11.283970319037465</v>
      </c>
      <c r="P559" s="30">
        <v>7.4047806709425048</v>
      </c>
      <c r="Q559" s="30">
        <v>11.283970319037465</v>
      </c>
      <c r="R559" s="30">
        <v>7.7760006709425049</v>
      </c>
      <c r="S559" s="25"/>
    </row>
    <row r="560" spans="1:19" x14ac:dyDescent="0.25">
      <c r="A560" s="26">
        <v>5.55</v>
      </c>
      <c r="B560" s="26">
        <v>10.436942173613275</v>
      </c>
      <c r="C560" s="26">
        <v>11.383970319037465</v>
      </c>
      <c r="D560" s="26">
        <v>11.283970319037465</v>
      </c>
      <c r="E560" s="26">
        <v>11.383970319037465</v>
      </c>
      <c r="F560" s="26">
        <v>11.283970319037465</v>
      </c>
      <c r="G560" s="26">
        <v>8.8234206709425056</v>
      </c>
      <c r="H560" s="26">
        <v>14.182438378092547</v>
      </c>
      <c r="I560" s="26">
        <v>8.3445606709425046</v>
      </c>
      <c r="J560" s="26">
        <v>11.283970319037465</v>
      </c>
      <c r="K560" s="26">
        <v>7.298520670942505</v>
      </c>
      <c r="L560" s="26">
        <v>11.283970319037465</v>
      </c>
      <c r="M560" s="26">
        <v>7.3813206709425057</v>
      </c>
      <c r="N560" s="26">
        <v>7.3896006709425048</v>
      </c>
      <c r="O560" s="26">
        <v>11.283970319037465</v>
      </c>
      <c r="P560" s="26">
        <v>7.4047806709425048</v>
      </c>
      <c r="Q560" s="26">
        <v>11.283970319037465</v>
      </c>
      <c r="R560" s="26">
        <v>7.7760006709425049</v>
      </c>
      <c r="S560" s="24"/>
    </row>
    <row r="561" spans="1:19" x14ac:dyDescent="0.25">
      <c r="A561" s="30">
        <v>5.56</v>
      </c>
      <c r="B561" s="30">
        <v>10.436942173613275</v>
      </c>
      <c r="C561" s="30">
        <v>11.383970319037465</v>
      </c>
      <c r="D561" s="30">
        <v>11.283970319037465</v>
      </c>
      <c r="E561" s="30">
        <v>11.383970319037465</v>
      </c>
      <c r="F561" s="30">
        <v>11.283970319037465</v>
      </c>
      <c r="G561" s="30">
        <v>8.8234206709425056</v>
      </c>
      <c r="H561" s="30">
        <v>14.182438378092547</v>
      </c>
      <c r="I561" s="30">
        <v>8.3445606709425046</v>
      </c>
      <c r="J561" s="30">
        <v>11.283970319037465</v>
      </c>
      <c r="K561" s="30">
        <v>7.298520670942505</v>
      </c>
      <c r="L561" s="30">
        <v>11.283970319037465</v>
      </c>
      <c r="M561" s="30">
        <v>7.3813206709425057</v>
      </c>
      <c r="N561" s="30">
        <v>7.3896006709425048</v>
      </c>
      <c r="O561" s="30">
        <v>11.283970319037465</v>
      </c>
      <c r="P561" s="30">
        <v>7.4047806709425048</v>
      </c>
      <c r="Q561" s="30">
        <v>11.283970319037465</v>
      </c>
      <c r="R561" s="30">
        <v>7.7760006709425049</v>
      </c>
      <c r="S561" s="25"/>
    </row>
    <row r="562" spans="1:19" x14ac:dyDescent="0.25">
      <c r="A562" s="26">
        <v>5.57</v>
      </c>
      <c r="B562" s="26">
        <v>10.436942173613275</v>
      </c>
      <c r="C562" s="26">
        <v>11.383970319037465</v>
      </c>
      <c r="D562" s="26">
        <v>11.283970319037465</v>
      </c>
      <c r="E562" s="26">
        <v>11.383970319037465</v>
      </c>
      <c r="F562" s="26">
        <v>11.283970319037465</v>
      </c>
      <c r="G562" s="26">
        <v>8.8234206709425056</v>
      </c>
      <c r="H562" s="26">
        <v>14.182438378092547</v>
      </c>
      <c r="I562" s="26">
        <v>8.3445606709425046</v>
      </c>
      <c r="J562" s="26">
        <v>11.283970319037465</v>
      </c>
      <c r="K562" s="26">
        <v>7.298520670942505</v>
      </c>
      <c r="L562" s="26">
        <v>11.283970319037465</v>
      </c>
      <c r="M562" s="26">
        <v>7.3813206709425057</v>
      </c>
      <c r="N562" s="26">
        <v>7.3896006709425048</v>
      </c>
      <c r="O562" s="26">
        <v>11.283970319037465</v>
      </c>
      <c r="P562" s="26">
        <v>7.4047806709425048</v>
      </c>
      <c r="Q562" s="26">
        <v>11.283970319037465</v>
      </c>
      <c r="R562" s="26">
        <v>7.7760006709425049</v>
      </c>
      <c r="S562" s="24"/>
    </row>
    <row r="563" spans="1:19" x14ac:dyDescent="0.25">
      <c r="A563" s="30">
        <v>5.58</v>
      </c>
      <c r="B563" s="30">
        <v>10.436942173613275</v>
      </c>
      <c r="C563" s="30">
        <v>11.483970319037466</v>
      </c>
      <c r="D563" s="30">
        <v>11.283970319037465</v>
      </c>
      <c r="E563" s="30">
        <v>11.483970319037466</v>
      </c>
      <c r="F563" s="30">
        <v>11.283970319037465</v>
      </c>
      <c r="G563" s="30">
        <v>8.8234206709425056</v>
      </c>
      <c r="H563" s="30">
        <v>14.182438378092547</v>
      </c>
      <c r="I563" s="30">
        <v>8.3445606709425046</v>
      </c>
      <c r="J563" s="30">
        <v>11.283970319037465</v>
      </c>
      <c r="K563" s="30">
        <v>7.298520670942505</v>
      </c>
      <c r="L563" s="30">
        <v>11.283970319037465</v>
      </c>
      <c r="M563" s="30">
        <v>7.3813206709425057</v>
      </c>
      <c r="N563" s="30">
        <v>7.3896006709425048</v>
      </c>
      <c r="O563" s="30">
        <v>11.283970319037465</v>
      </c>
      <c r="P563" s="30">
        <v>7.4047806709425048</v>
      </c>
      <c r="Q563" s="30">
        <v>11.283970319037465</v>
      </c>
      <c r="R563" s="30">
        <v>7.7760006709425049</v>
      </c>
      <c r="S563" s="25"/>
    </row>
    <row r="564" spans="1:19" x14ac:dyDescent="0.25">
      <c r="A564" s="26">
        <v>5.59</v>
      </c>
      <c r="B564" s="26">
        <v>10.436942173613275</v>
      </c>
      <c r="C564" s="26">
        <v>11.483970319037466</v>
      </c>
      <c r="D564" s="26">
        <v>11.283970319037465</v>
      </c>
      <c r="E564" s="26">
        <v>11.483970319037466</v>
      </c>
      <c r="F564" s="26">
        <v>11.283970319037465</v>
      </c>
      <c r="G564" s="26">
        <v>8.8234206709425056</v>
      </c>
      <c r="H564" s="26">
        <v>14.182438378092547</v>
      </c>
      <c r="I564" s="26">
        <v>8.3445606709425046</v>
      </c>
      <c r="J564" s="26">
        <v>11.283970319037465</v>
      </c>
      <c r="K564" s="26">
        <v>7.298520670942505</v>
      </c>
      <c r="L564" s="26">
        <v>11.283970319037465</v>
      </c>
      <c r="M564" s="26">
        <v>7.3813206709425057</v>
      </c>
      <c r="N564" s="26">
        <v>7.3896006709425048</v>
      </c>
      <c r="O564" s="26">
        <v>11.283970319037465</v>
      </c>
      <c r="P564" s="26">
        <v>7.4047806709425048</v>
      </c>
      <c r="Q564" s="26">
        <v>11.283970319037465</v>
      </c>
      <c r="R564" s="26">
        <v>7.7760006709425049</v>
      </c>
      <c r="S564" s="24"/>
    </row>
    <row r="565" spans="1:19" x14ac:dyDescent="0.25">
      <c r="A565" s="30">
        <v>5.6</v>
      </c>
      <c r="B565" s="30">
        <v>10.436942173613275</v>
      </c>
      <c r="C565" s="30">
        <v>11.483970319037466</v>
      </c>
      <c r="D565" s="30">
        <v>11.283970319037465</v>
      </c>
      <c r="E565" s="30">
        <v>11.483970319037466</v>
      </c>
      <c r="F565" s="30">
        <v>11.283970319037465</v>
      </c>
      <c r="G565" s="30">
        <v>8.8234206709425056</v>
      </c>
      <c r="H565" s="30">
        <v>14.182438378092547</v>
      </c>
      <c r="I565" s="30">
        <v>8.3445606709425046</v>
      </c>
      <c r="J565" s="30">
        <v>11.283970319037465</v>
      </c>
      <c r="K565" s="30">
        <v>7.4401405082909307</v>
      </c>
      <c r="L565" s="30">
        <v>11.283970319037465</v>
      </c>
      <c r="M565" s="30">
        <v>7.4401405082909307</v>
      </c>
      <c r="N565" s="30">
        <v>7.4401405082909307</v>
      </c>
      <c r="O565" s="30">
        <v>11.283970319037465</v>
      </c>
      <c r="P565" s="30">
        <v>7.4401405082909307</v>
      </c>
      <c r="Q565" s="30">
        <v>11.283970319037465</v>
      </c>
      <c r="R565" s="30">
        <v>7.7760006709425049</v>
      </c>
      <c r="S565" s="25"/>
    </row>
    <row r="566" spans="1:19" x14ac:dyDescent="0.25">
      <c r="A566" s="26">
        <v>5.61</v>
      </c>
      <c r="B566" s="26">
        <v>10.436942173613275</v>
      </c>
      <c r="C566" s="26">
        <v>11.483970319037466</v>
      </c>
      <c r="D566" s="26">
        <v>11.283970319037465</v>
      </c>
      <c r="E566" s="26">
        <v>11.483970319037466</v>
      </c>
      <c r="F566" s="26">
        <v>11.283970319037465</v>
      </c>
      <c r="G566" s="26">
        <v>8.8234206709425056</v>
      </c>
      <c r="H566" s="26">
        <v>14.182438378092547</v>
      </c>
      <c r="I566" s="26">
        <v>8.3445606709425046</v>
      </c>
      <c r="J566" s="26">
        <v>11.283970319037465</v>
      </c>
      <c r="K566" s="26">
        <v>7.4401405082909307</v>
      </c>
      <c r="L566" s="26">
        <v>11.283970319037465</v>
      </c>
      <c r="M566" s="26">
        <v>7.4401405082909307</v>
      </c>
      <c r="N566" s="26">
        <v>7.4401405082909307</v>
      </c>
      <c r="O566" s="26">
        <v>11.283970319037465</v>
      </c>
      <c r="P566" s="26">
        <v>7.4401405082909307</v>
      </c>
      <c r="Q566" s="26">
        <v>11.283970319037465</v>
      </c>
      <c r="R566" s="26">
        <v>7.7760006709425049</v>
      </c>
      <c r="S566" s="24"/>
    </row>
    <row r="567" spans="1:19" x14ac:dyDescent="0.25">
      <c r="A567" s="30">
        <v>5.62</v>
      </c>
      <c r="B567" s="30">
        <v>10.436942173613275</v>
      </c>
      <c r="C567" s="30">
        <v>11.483970319037466</v>
      </c>
      <c r="D567" s="30">
        <v>11.383970319037465</v>
      </c>
      <c r="E567" s="30">
        <v>11.483970319037466</v>
      </c>
      <c r="F567" s="30">
        <v>11.383970319037465</v>
      </c>
      <c r="G567" s="30">
        <v>8.8234206709425056</v>
      </c>
      <c r="H567" s="30">
        <v>14.182438378092547</v>
      </c>
      <c r="I567" s="30">
        <v>8.3445606709425046</v>
      </c>
      <c r="J567" s="30">
        <v>11.283970319037465</v>
      </c>
      <c r="K567" s="30">
        <v>7.4401405082909307</v>
      </c>
      <c r="L567" s="30">
        <v>11.283970319037465</v>
      </c>
      <c r="M567" s="30">
        <v>7.4401405082909307</v>
      </c>
      <c r="N567" s="30">
        <v>7.4401405082909307</v>
      </c>
      <c r="O567" s="30">
        <v>11.283970319037465</v>
      </c>
      <c r="P567" s="30">
        <v>7.4401405082909307</v>
      </c>
      <c r="Q567" s="30">
        <v>11.283970319037465</v>
      </c>
      <c r="R567" s="30">
        <v>7.7760006709425049</v>
      </c>
      <c r="S567" s="25"/>
    </row>
    <row r="568" spans="1:19" x14ac:dyDescent="0.25">
      <c r="A568" s="26">
        <v>5.63</v>
      </c>
      <c r="B568" s="26">
        <v>10.436942173613275</v>
      </c>
      <c r="C568" s="26">
        <v>11.483970319037466</v>
      </c>
      <c r="D568" s="26">
        <v>11.383970319037465</v>
      </c>
      <c r="E568" s="26">
        <v>11.483970319037466</v>
      </c>
      <c r="F568" s="26">
        <v>11.383970319037465</v>
      </c>
      <c r="G568" s="26">
        <v>8.8234206709425056</v>
      </c>
      <c r="H568" s="26">
        <v>14.182438378092547</v>
      </c>
      <c r="I568" s="26">
        <v>8.3445606709425046</v>
      </c>
      <c r="J568" s="26">
        <v>11.283970319037465</v>
      </c>
      <c r="K568" s="26">
        <v>7.4401405082909307</v>
      </c>
      <c r="L568" s="26">
        <v>11.283970319037465</v>
      </c>
      <c r="M568" s="26">
        <v>7.4401405082909307</v>
      </c>
      <c r="N568" s="26">
        <v>7.4401405082909307</v>
      </c>
      <c r="O568" s="26">
        <v>11.283970319037465</v>
      </c>
      <c r="P568" s="26">
        <v>7.4401405082909307</v>
      </c>
      <c r="Q568" s="26">
        <v>11.283970319037465</v>
      </c>
      <c r="R568" s="26">
        <v>7.7760006709425049</v>
      </c>
      <c r="S568" s="24"/>
    </row>
    <row r="569" spans="1:19" x14ac:dyDescent="0.25">
      <c r="A569" s="30">
        <v>5.64</v>
      </c>
      <c r="B569" s="30">
        <v>10.805027947912096</v>
      </c>
      <c r="C569" s="30">
        <v>11.483970319037466</v>
      </c>
      <c r="D569" s="30">
        <v>11.383970319037465</v>
      </c>
      <c r="E569" s="30">
        <v>11.483970319037466</v>
      </c>
      <c r="F569" s="30">
        <v>11.383970319037465</v>
      </c>
      <c r="G569" s="30">
        <v>8.8234206709425056</v>
      </c>
      <c r="H569" s="30">
        <v>14.182438378092547</v>
      </c>
      <c r="I569" s="30">
        <v>8.3445606709425046</v>
      </c>
      <c r="J569" s="30">
        <v>11.283970319037465</v>
      </c>
      <c r="K569" s="30">
        <v>7.4401405082909307</v>
      </c>
      <c r="L569" s="30">
        <v>11.283970319037465</v>
      </c>
      <c r="M569" s="30">
        <v>7.4401405082909307</v>
      </c>
      <c r="N569" s="30">
        <v>7.4401405082909307</v>
      </c>
      <c r="O569" s="30">
        <v>11.283970319037465</v>
      </c>
      <c r="P569" s="30">
        <v>7.4401405082909307</v>
      </c>
      <c r="Q569" s="30">
        <v>11.283970319037465</v>
      </c>
      <c r="R569" s="30">
        <v>7.7760006709425049</v>
      </c>
      <c r="S569" s="25"/>
    </row>
    <row r="570" spans="1:19" x14ac:dyDescent="0.25">
      <c r="A570" s="26">
        <v>5.65</v>
      </c>
      <c r="B570" s="26">
        <v>10.805027947912096</v>
      </c>
      <c r="C570" s="26">
        <v>11.483970319037466</v>
      </c>
      <c r="D570" s="26">
        <v>11.383970319037465</v>
      </c>
      <c r="E570" s="26">
        <v>11.483970319037466</v>
      </c>
      <c r="F570" s="26">
        <v>11.383970319037465</v>
      </c>
      <c r="G570" s="26">
        <v>8.8234206709425056</v>
      </c>
      <c r="H570" s="26">
        <v>14.182438378092547</v>
      </c>
      <c r="I570" s="26">
        <v>8.3445606709425046</v>
      </c>
      <c r="J570" s="26">
        <v>11.383970319037465</v>
      </c>
      <c r="K570" s="26">
        <v>7.4401405082909307</v>
      </c>
      <c r="L570" s="26">
        <v>11.383970319037465</v>
      </c>
      <c r="M570" s="26">
        <v>7.4401405082909307</v>
      </c>
      <c r="N570" s="26">
        <v>7.4401405082909307</v>
      </c>
      <c r="O570" s="26">
        <v>11.383970319037465</v>
      </c>
      <c r="P570" s="26">
        <v>7.4401405082909307</v>
      </c>
      <c r="Q570" s="26">
        <v>11.383970319037465</v>
      </c>
      <c r="R570" s="26">
        <v>7.7760006709425049</v>
      </c>
      <c r="S570" s="24"/>
    </row>
    <row r="571" spans="1:19" x14ac:dyDescent="0.25">
      <c r="A571" s="30">
        <v>5.66</v>
      </c>
      <c r="B571" s="30">
        <v>10.805027947912096</v>
      </c>
      <c r="C571" s="30">
        <v>11.483970319037466</v>
      </c>
      <c r="D571" s="30">
        <v>11.383970319037465</v>
      </c>
      <c r="E571" s="30">
        <v>11.483970319037466</v>
      </c>
      <c r="F571" s="30">
        <v>11.383970319037465</v>
      </c>
      <c r="G571" s="30">
        <v>8.8234206709425056</v>
      </c>
      <c r="H571" s="30">
        <v>14.182438378092547</v>
      </c>
      <c r="I571" s="30">
        <v>8.3445606709425046</v>
      </c>
      <c r="J571" s="30">
        <v>11.383970319037465</v>
      </c>
      <c r="K571" s="30">
        <v>7.4401405082909307</v>
      </c>
      <c r="L571" s="30">
        <v>11.383970319037465</v>
      </c>
      <c r="M571" s="30">
        <v>7.4401405082909307</v>
      </c>
      <c r="N571" s="30">
        <v>7.4401405082909307</v>
      </c>
      <c r="O571" s="30">
        <v>11.383970319037465</v>
      </c>
      <c r="P571" s="30">
        <v>7.4401405082909307</v>
      </c>
      <c r="Q571" s="30">
        <v>11.383970319037465</v>
      </c>
      <c r="R571" s="30">
        <v>7.7760006709425049</v>
      </c>
      <c r="S571" s="25"/>
    </row>
    <row r="572" spans="1:19" x14ac:dyDescent="0.25">
      <c r="A572" s="26">
        <v>5.67</v>
      </c>
      <c r="B572" s="26">
        <v>10.805027947912096</v>
      </c>
      <c r="C572" s="26">
        <v>11.483970319037466</v>
      </c>
      <c r="D572" s="26">
        <v>11.383970319037465</v>
      </c>
      <c r="E572" s="26">
        <v>11.483970319037466</v>
      </c>
      <c r="F572" s="26">
        <v>11.383970319037465</v>
      </c>
      <c r="G572" s="26">
        <v>8.8234206709425056</v>
      </c>
      <c r="H572" s="26">
        <v>14.182438378092547</v>
      </c>
      <c r="I572" s="26">
        <v>8.3445606709425046</v>
      </c>
      <c r="J572" s="26">
        <v>11.383970319037465</v>
      </c>
      <c r="K572" s="26">
        <v>7.4401405082909307</v>
      </c>
      <c r="L572" s="26">
        <v>11.383970319037465</v>
      </c>
      <c r="M572" s="26">
        <v>7.4401405082909307</v>
      </c>
      <c r="N572" s="26">
        <v>7.4401405082909307</v>
      </c>
      <c r="O572" s="26">
        <v>11.383970319037465</v>
      </c>
      <c r="P572" s="26">
        <v>7.4401405082909307</v>
      </c>
      <c r="Q572" s="26">
        <v>11.383970319037465</v>
      </c>
      <c r="R572" s="26">
        <v>7.7760006709425049</v>
      </c>
      <c r="S572" s="24"/>
    </row>
    <row r="573" spans="1:19" x14ac:dyDescent="0.25">
      <c r="A573" s="30">
        <v>5.68</v>
      </c>
      <c r="B573" s="30">
        <v>10.805027947912096</v>
      </c>
      <c r="C573" s="30">
        <v>11.483970319037466</v>
      </c>
      <c r="D573" s="30">
        <v>11.383970319037465</v>
      </c>
      <c r="E573" s="30">
        <v>11.483970319037466</v>
      </c>
      <c r="F573" s="30">
        <v>11.383970319037465</v>
      </c>
      <c r="G573" s="30">
        <v>9.6119106344371197</v>
      </c>
      <c r="H573" s="30">
        <v>14.182438378092547</v>
      </c>
      <c r="I573" s="30">
        <v>9.6119106344371197</v>
      </c>
      <c r="J573" s="30">
        <v>11.383970319037465</v>
      </c>
      <c r="K573" s="30">
        <v>9.6119106344371197</v>
      </c>
      <c r="L573" s="30">
        <v>11.383970319037465</v>
      </c>
      <c r="M573" s="30">
        <v>9.6119106344371197</v>
      </c>
      <c r="N573" s="30">
        <v>9.6119106344371197</v>
      </c>
      <c r="O573" s="30">
        <v>11.383970319037465</v>
      </c>
      <c r="P573" s="30">
        <v>9.6119106344371197</v>
      </c>
      <c r="Q573" s="30">
        <v>11.383970319037465</v>
      </c>
      <c r="R573" s="30">
        <v>9.6119106344371197</v>
      </c>
      <c r="S573" s="25"/>
    </row>
    <row r="574" spans="1:19" x14ac:dyDescent="0.25">
      <c r="A574" s="26">
        <v>5.69</v>
      </c>
      <c r="B574" s="26">
        <v>10.805027947912096</v>
      </c>
      <c r="C574" s="26">
        <v>11.483970319037466</v>
      </c>
      <c r="D574" s="26">
        <v>11.383970319037465</v>
      </c>
      <c r="E574" s="26">
        <v>11.483970319037466</v>
      </c>
      <c r="F574" s="26">
        <v>11.383970319037465</v>
      </c>
      <c r="G574" s="26">
        <v>11.283970319037465</v>
      </c>
      <c r="H574" s="26">
        <v>14.182438378092547</v>
      </c>
      <c r="I574" s="26">
        <v>11.283970319037465</v>
      </c>
      <c r="J574" s="26">
        <v>11.383970319037465</v>
      </c>
      <c r="K574" s="26">
        <v>11.283970319037465</v>
      </c>
      <c r="L574" s="26">
        <v>11.383970319037465</v>
      </c>
      <c r="M574" s="26">
        <v>11.283970319037465</v>
      </c>
      <c r="N574" s="26">
        <v>11.283970319037465</v>
      </c>
      <c r="O574" s="26">
        <v>11.383970319037465</v>
      </c>
      <c r="P574" s="26">
        <v>11.283970319037465</v>
      </c>
      <c r="Q574" s="26">
        <v>11.383970319037465</v>
      </c>
      <c r="R574" s="26">
        <v>11.283970319037465</v>
      </c>
      <c r="S574" s="24"/>
    </row>
    <row r="575" spans="1:19" x14ac:dyDescent="0.25">
      <c r="A575" s="30">
        <v>5.7</v>
      </c>
      <c r="B575" s="30">
        <v>10.805027947912096</v>
      </c>
      <c r="C575" s="30">
        <v>11.483970319037466</v>
      </c>
      <c r="D575" s="30">
        <v>11.383970319037465</v>
      </c>
      <c r="E575" s="30">
        <v>11.483970319037466</v>
      </c>
      <c r="F575" s="30">
        <v>11.383970319037465</v>
      </c>
      <c r="G575" s="30">
        <v>11.283970319037465</v>
      </c>
      <c r="H575" s="30">
        <v>14.182438378092547</v>
      </c>
      <c r="I575" s="30">
        <v>11.283970319037465</v>
      </c>
      <c r="J575" s="30">
        <v>11.383970319037465</v>
      </c>
      <c r="K575" s="30">
        <v>11.283970319037465</v>
      </c>
      <c r="L575" s="30">
        <v>11.383970319037465</v>
      </c>
      <c r="M575" s="30">
        <v>11.283970319037465</v>
      </c>
      <c r="N575" s="30">
        <v>11.283970319037465</v>
      </c>
      <c r="O575" s="30">
        <v>11.383970319037465</v>
      </c>
      <c r="P575" s="30">
        <v>11.283970319037465</v>
      </c>
      <c r="Q575" s="30">
        <v>11.383970319037465</v>
      </c>
      <c r="R575" s="30">
        <v>11.283970319037465</v>
      </c>
      <c r="S575" s="25"/>
    </row>
    <row r="576" spans="1:19" x14ac:dyDescent="0.25">
      <c r="A576" s="26">
        <v>5.71</v>
      </c>
      <c r="B576" s="26">
        <v>10.805027947912096</v>
      </c>
      <c r="C576" s="26">
        <v>11.483970319037466</v>
      </c>
      <c r="D576" s="26">
        <v>11.383970319037465</v>
      </c>
      <c r="E576" s="26">
        <v>11.483970319037466</v>
      </c>
      <c r="F576" s="26">
        <v>11.383970319037465</v>
      </c>
      <c r="G576" s="26">
        <v>11.283970319037465</v>
      </c>
      <c r="H576" s="26">
        <v>14.182438378092547</v>
      </c>
      <c r="I576" s="26">
        <v>11.283970319037465</v>
      </c>
      <c r="J576" s="26">
        <v>11.383970319037465</v>
      </c>
      <c r="K576" s="26">
        <v>11.283970319037465</v>
      </c>
      <c r="L576" s="26">
        <v>11.383970319037465</v>
      </c>
      <c r="M576" s="26">
        <v>11.283970319037465</v>
      </c>
      <c r="N576" s="26">
        <v>11.283970319037465</v>
      </c>
      <c r="O576" s="26">
        <v>11.383970319037465</v>
      </c>
      <c r="P576" s="26">
        <v>11.283970319037465</v>
      </c>
      <c r="Q576" s="26">
        <v>11.383970319037465</v>
      </c>
      <c r="R576" s="26">
        <v>11.283970319037465</v>
      </c>
      <c r="S576" s="24"/>
    </row>
    <row r="577" spans="1:19" x14ac:dyDescent="0.25">
      <c r="A577" s="30">
        <v>5.72</v>
      </c>
      <c r="B577" s="30">
        <v>10.805027947912096</v>
      </c>
      <c r="C577" s="30">
        <v>12.001159969001638</v>
      </c>
      <c r="D577" s="30">
        <v>11.383970319037465</v>
      </c>
      <c r="E577" s="30">
        <v>13.89544405991073</v>
      </c>
      <c r="F577" s="30">
        <v>11.383970319037465</v>
      </c>
      <c r="G577" s="30">
        <v>11.283970319037465</v>
      </c>
      <c r="H577" s="30">
        <v>14.182438378092547</v>
      </c>
      <c r="I577" s="30">
        <v>11.283970319037465</v>
      </c>
      <c r="J577" s="30">
        <v>11.383970319037465</v>
      </c>
      <c r="K577" s="30">
        <v>11.283970319037465</v>
      </c>
      <c r="L577" s="30">
        <v>11.383970319037465</v>
      </c>
      <c r="M577" s="30">
        <v>11.283970319037465</v>
      </c>
      <c r="N577" s="30">
        <v>11.283970319037465</v>
      </c>
      <c r="O577" s="30">
        <v>11.383970319037465</v>
      </c>
      <c r="P577" s="30">
        <v>11.283970319037465</v>
      </c>
      <c r="Q577" s="30">
        <v>11.383970319037465</v>
      </c>
      <c r="R577" s="30">
        <v>11.283970319037465</v>
      </c>
      <c r="S577" s="25"/>
    </row>
    <row r="578" spans="1:19" x14ac:dyDescent="0.25">
      <c r="A578" s="26">
        <v>5.73</v>
      </c>
      <c r="B578" s="26">
        <v>10.805027947912096</v>
      </c>
      <c r="C578" s="26">
        <v>12.001159969001638</v>
      </c>
      <c r="D578" s="26">
        <v>11.383970319037465</v>
      </c>
      <c r="E578" s="26">
        <v>13.89544405991073</v>
      </c>
      <c r="F578" s="26">
        <v>11.383970319037465</v>
      </c>
      <c r="G578" s="26">
        <v>11.283970319037465</v>
      </c>
      <c r="H578" s="26">
        <v>14.182438378092547</v>
      </c>
      <c r="I578" s="26">
        <v>11.283970319037465</v>
      </c>
      <c r="J578" s="26">
        <v>11.383970319037465</v>
      </c>
      <c r="K578" s="26">
        <v>11.283970319037465</v>
      </c>
      <c r="L578" s="26">
        <v>11.383970319037465</v>
      </c>
      <c r="M578" s="26">
        <v>11.283970319037465</v>
      </c>
      <c r="N578" s="26">
        <v>11.283970319037465</v>
      </c>
      <c r="O578" s="26">
        <v>11.383970319037465</v>
      </c>
      <c r="P578" s="26">
        <v>11.283970319037465</v>
      </c>
      <c r="Q578" s="26">
        <v>11.383970319037465</v>
      </c>
      <c r="R578" s="26">
        <v>11.283970319037465</v>
      </c>
      <c r="S578" s="24"/>
    </row>
    <row r="579" spans="1:19" x14ac:dyDescent="0.25">
      <c r="A579" s="30">
        <v>5.74</v>
      </c>
      <c r="B579" s="30">
        <v>10.805027947912096</v>
      </c>
      <c r="C579" s="30">
        <v>12.001159969001638</v>
      </c>
      <c r="D579" s="30">
        <v>11.383970319037465</v>
      </c>
      <c r="E579" s="30">
        <v>13.89544405991073</v>
      </c>
      <c r="F579" s="30">
        <v>11.383970319037465</v>
      </c>
      <c r="G579" s="30">
        <v>11.283970319037465</v>
      </c>
      <c r="H579" s="30">
        <v>14.182438378092547</v>
      </c>
      <c r="I579" s="30">
        <v>11.283970319037465</v>
      </c>
      <c r="J579" s="30">
        <v>11.383970319037465</v>
      </c>
      <c r="K579" s="30">
        <v>11.283970319037465</v>
      </c>
      <c r="L579" s="30">
        <v>11.383970319037465</v>
      </c>
      <c r="M579" s="30">
        <v>11.283970319037465</v>
      </c>
      <c r="N579" s="30">
        <v>11.283970319037465</v>
      </c>
      <c r="O579" s="30">
        <v>11.383970319037465</v>
      </c>
      <c r="P579" s="30">
        <v>11.283970319037465</v>
      </c>
      <c r="Q579" s="30">
        <v>11.383970319037465</v>
      </c>
      <c r="R579" s="30">
        <v>11.283970319037465</v>
      </c>
      <c r="S579" s="25"/>
    </row>
    <row r="580" spans="1:19" x14ac:dyDescent="0.25">
      <c r="A580" s="26">
        <v>5.75</v>
      </c>
      <c r="B580" s="26">
        <v>10.805027947912096</v>
      </c>
      <c r="C580" s="26">
        <v>12.001159969001638</v>
      </c>
      <c r="D580" s="26">
        <v>11.383970319037465</v>
      </c>
      <c r="E580" s="26">
        <v>13.89544405991073</v>
      </c>
      <c r="F580" s="26">
        <v>11.383970319037465</v>
      </c>
      <c r="G580" s="26">
        <v>11.283970319037465</v>
      </c>
      <c r="H580" s="26">
        <v>14.182438378092547</v>
      </c>
      <c r="I580" s="26">
        <v>11.283970319037465</v>
      </c>
      <c r="J580" s="26">
        <v>11.383970319037465</v>
      </c>
      <c r="K580" s="26">
        <v>11.283970319037465</v>
      </c>
      <c r="L580" s="26">
        <v>11.383970319037465</v>
      </c>
      <c r="M580" s="26">
        <v>11.283970319037465</v>
      </c>
      <c r="N580" s="26">
        <v>11.283970319037465</v>
      </c>
      <c r="O580" s="26">
        <v>11.383970319037465</v>
      </c>
      <c r="P580" s="26">
        <v>11.283970319037465</v>
      </c>
      <c r="Q580" s="26">
        <v>11.383970319037465</v>
      </c>
      <c r="R580" s="26">
        <v>11.283970319037465</v>
      </c>
      <c r="S580" s="24"/>
    </row>
    <row r="581" spans="1:19" x14ac:dyDescent="0.25">
      <c r="A581" s="30">
        <v>5.76</v>
      </c>
      <c r="B581" s="30">
        <v>10.805027947912096</v>
      </c>
      <c r="C581" s="30">
        <v>12.001159969001638</v>
      </c>
      <c r="D581" s="30">
        <v>11.383970319037465</v>
      </c>
      <c r="E581" s="30">
        <v>13.89544405991073</v>
      </c>
      <c r="F581" s="30">
        <v>11.383970319037465</v>
      </c>
      <c r="G581" s="30">
        <v>11.283970319037465</v>
      </c>
      <c r="H581" s="30">
        <v>14.182438378092547</v>
      </c>
      <c r="I581" s="30">
        <v>11.283970319037465</v>
      </c>
      <c r="J581" s="30">
        <v>11.383970319037465</v>
      </c>
      <c r="K581" s="30">
        <v>11.283970319037465</v>
      </c>
      <c r="L581" s="30">
        <v>11.383970319037465</v>
      </c>
      <c r="M581" s="30">
        <v>11.283970319037465</v>
      </c>
      <c r="N581" s="30">
        <v>11.283970319037465</v>
      </c>
      <c r="O581" s="30">
        <v>11.383970319037465</v>
      </c>
      <c r="P581" s="30">
        <v>11.283970319037465</v>
      </c>
      <c r="Q581" s="30">
        <v>11.383970319037465</v>
      </c>
      <c r="R581" s="30">
        <v>11.283970319037465</v>
      </c>
      <c r="S581" s="25"/>
    </row>
    <row r="582" spans="1:19" x14ac:dyDescent="0.25">
      <c r="A582" s="26">
        <v>5.77</v>
      </c>
      <c r="B582" s="26">
        <v>10.805027947912096</v>
      </c>
      <c r="C582" s="26">
        <v>12.001159969001638</v>
      </c>
      <c r="D582" s="26">
        <v>11.483970319037466</v>
      </c>
      <c r="E582" s="26">
        <v>13.89544405991073</v>
      </c>
      <c r="F582" s="26">
        <v>11.483970319037466</v>
      </c>
      <c r="G582" s="26">
        <v>11.283970319037465</v>
      </c>
      <c r="H582" s="26">
        <v>14.182438378092547</v>
      </c>
      <c r="I582" s="26">
        <v>11.283970319037465</v>
      </c>
      <c r="J582" s="26">
        <v>11.383970319037465</v>
      </c>
      <c r="K582" s="26">
        <v>11.283970319037465</v>
      </c>
      <c r="L582" s="26">
        <v>11.383970319037465</v>
      </c>
      <c r="M582" s="26">
        <v>11.283970319037465</v>
      </c>
      <c r="N582" s="26">
        <v>11.283970319037465</v>
      </c>
      <c r="O582" s="26">
        <v>11.383970319037465</v>
      </c>
      <c r="P582" s="26">
        <v>11.283970319037465</v>
      </c>
      <c r="Q582" s="26">
        <v>11.383970319037465</v>
      </c>
      <c r="R582" s="26">
        <v>11.283970319037465</v>
      </c>
      <c r="S582" s="24"/>
    </row>
    <row r="583" spans="1:19" x14ac:dyDescent="0.25">
      <c r="A583" s="30">
        <v>5.78</v>
      </c>
      <c r="B583" s="30">
        <v>10.805027947912096</v>
      </c>
      <c r="C583" s="30">
        <v>12.001159969001638</v>
      </c>
      <c r="D583" s="30">
        <v>11.483970319037466</v>
      </c>
      <c r="E583" s="30">
        <v>13.89544405991073</v>
      </c>
      <c r="F583" s="30">
        <v>11.483970319037466</v>
      </c>
      <c r="G583" s="30">
        <v>11.283970319037465</v>
      </c>
      <c r="H583" s="30">
        <v>14.182438378092547</v>
      </c>
      <c r="I583" s="30">
        <v>11.283970319037465</v>
      </c>
      <c r="J583" s="30">
        <v>11.383970319037465</v>
      </c>
      <c r="K583" s="30">
        <v>11.283970319037465</v>
      </c>
      <c r="L583" s="30">
        <v>11.383970319037465</v>
      </c>
      <c r="M583" s="30">
        <v>11.283970319037465</v>
      </c>
      <c r="N583" s="30">
        <v>11.283970319037465</v>
      </c>
      <c r="O583" s="30">
        <v>11.383970319037465</v>
      </c>
      <c r="P583" s="30">
        <v>11.283970319037465</v>
      </c>
      <c r="Q583" s="30">
        <v>11.383970319037465</v>
      </c>
      <c r="R583" s="30">
        <v>11.283970319037465</v>
      </c>
      <c r="S583" s="25"/>
    </row>
    <row r="584" spans="1:19" x14ac:dyDescent="0.25">
      <c r="A584" s="26">
        <v>5.79</v>
      </c>
      <c r="B584" s="26">
        <v>10.805027947912096</v>
      </c>
      <c r="C584" s="26">
        <v>12.001159969001638</v>
      </c>
      <c r="D584" s="26">
        <v>11.483970319037466</v>
      </c>
      <c r="E584" s="26">
        <v>13.89544405991073</v>
      </c>
      <c r="F584" s="26">
        <v>11.483970319037466</v>
      </c>
      <c r="G584" s="26">
        <v>11.283970319037465</v>
      </c>
      <c r="H584" s="26">
        <v>14.182438378092547</v>
      </c>
      <c r="I584" s="26">
        <v>11.283970319037465</v>
      </c>
      <c r="J584" s="26">
        <v>11.483970319037466</v>
      </c>
      <c r="K584" s="26">
        <v>11.283970319037465</v>
      </c>
      <c r="L584" s="26">
        <v>11.483970319037466</v>
      </c>
      <c r="M584" s="26">
        <v>11.283970319037465</v>
      </c>
      <c r="N584" s="26">
        <v>11.283970319037465</v>
      </c>
      <c r="O584" s="26">
        <v>11.483970319037466</v>
      </c>
      <c r="P584" s="26">
        <v>11.283970319037465</v>
      </c>
      <c r="Q584" s="26">
        <v>11.483970319037466</v>
      </c>
      <c r="R584" s="26">
        <v>11.283970319037465</v>
      </c>
      <c r="S584" s="24"/>
    </row>
    <row r="585" spans="1:19" x14ac:dyDescent="0.25">
      <c r="A585" s="30">
        <v>5.8</v>
      </c>
      <c r="B585" s="30">
        <v>10.805027947912096</v>
      </c>
      <c r="C585" s="30">
        <v>12.001159969001638</v>
      </c>
      <c r="D585" s="30">
        <v>11.483970319037466</v>
      </c>
      <c r="E585" s="30">
        <v>13.89544405991073</v>
      </c>
      <c r="F585" s="30">
        <v>11.483970319037466</v>
      </c>
      <c r="G585" s="30">
        <v>11.283970319037465</v>
      </c>
      <c r="H585" s="30">
        <v>14.182438378092547</v>
      </c>
      <c r="I585" s="30">
        <v>11.283970319037465</v>
      </c>
      <c r="J585" s="30">
        <v>11.483970319037466</v>
      </c>
      <c r="K585" s="30">
        <v>11.283970319037465</v>
      </c>
      <c r="L585" s="30">
        <v>11.483970319037466</v>
      </c>
      <c r="M585" s="30">
        <v>11.283970319037465</v>
      </c>
      <c r="N585" s="30">
        <v>11.283970319037465</v>
      </c>
      <c r="O585" s="30">
        <v>11.483970319037466</v>
      </c>
      <c r="P585" s="30">
        <v>11.283970319037465</v>
      </c>
      <c r="Q585" s="30">
        <v>11.483970319037466</v>
      </c>
      <c r="R585" s="30">
        <v>11.283970319037465</v>
      </c>
      <c r="S585" s="25"/>
    </row>
    <row r="586" spans="1:19" x14ac:dyDescent="0.25">
      <c r="A586" s="26">
        <v>5.81</v>
      </c>
      <c r="B586" s="26">
        <v>10.805027947912096</v>
      </c>
      <c r="C586" s="26">
        <v>12.001159969001638</v>
      </c>
      <c r="D586" s="26">
        <v>11.483970319037466</v>
      </c>
      <c r="E586" s="26">
        <v>13.89544405991073</v>
      </c>
      <c r="F586" s="26">
        <v>11.483970319037466</v>
      </c>
      <c r="G586" s="26">
        <v>11.283970319037465</v>
      </c>
      <c r="H586" s="26">
        <v>16.88090643714763</v>
      </c>
      <c r="I586" s="26">
        <v>11.283970319037465</v>
      </c>
      <c r="J586" s="26">
        <v>11.483970319037466</v>
      </c>
      <c r="K586" s="26">
        <v>11.283970319037465</v>
      </c>
      <c r="L586" s="26">
        <v>11.483970319037466</v>
      </c>
      <c r="M586" s="26">
        <v>11.283970319037465</v>
      </c>
      <c r="N586" s="26">
        <v>11.283970319037465</v>
      </c>
      <c r="O586" s="26">
        <v>11.483970319037466</v>
      </c>
      <c r="P586" s="26">
        <v>11.283970319037465</v>
      </c>
      <c r="Q586" s="26">
        <v>11.483970319037466</v>
      </c>
      <c r="R586" s="26">
        <v>11.283970319037465</v>
      </c>
      <c r="S586" s="24"/>
    </row>
    <row r="587" spans="1:19" x14ac:dyDescent="0.25">
      <c r="A587" s="30">
        <v>5.82</v>
      </c>
      <c r="B587" s="30">
        <v>10.805027947912096</v>
      </c>
      <c r="C587" s="30">
        <v>12.001159969001638</v>
      </c>
      <c r="D587" s="30">
        <v>11.483970319037466</v>
      </c>
      <c r="E587" s="30">
        <v>13.89544405991073</v>
      </c>
      <c r="F587" s="30">
        <v>11.483970319037466</v>
      </c>
      <c r="G587" s="30">
        <v>11.283970319037465</v>
      </c>
      <c r="H587" s="30">
        <v>16.88090643714763</v>
      </c>
      <c r="I587" s="30">
        <v>11.283970319037465</v>
      </c>
      <c r="J587" s="30">
        <v>11.483970319037466</v>
      </c>
      <c r="K587" s="30">
        <v>11.283970319037465</v>
      </c>
      <c r="L587" s="30">
        <v>11.483970319037466</v>
      </c>
      <c r="M587" s="30">
        <v>11.283970319037465</v>
      </c>
      <c r="N587" s="30">
        <v>11.283970319037465</v>
      </c>
      <c r="O587" s="30">
        <v>11.483970319037466</v>
      </c>
      <c r="P587" s="30">
        <v>11.283970319037465</v>
      </c>
      <c r="Q587" s="30">
        <v>11.483970319037466</v>
      </c>
      <c r="R587" s="30">
        <v>11.283970319037465</v>
      </c>
      <c r="S587" s="25"/>
    </row>
    <row r="588" spans="1:19" x14ac:dyDescent="0.25">
      <c r="A588" s="26">
        <v>5.83</v>
      </c>
      <c r="B588" s="26">
        <v>10.805027947912096</v>
      </c>
      <c r="C588" s="26">
        <v>12.001159969001638</v>
      </c>
      <c r="D588" s="26">
        <v>11.483970319037466</v>
      </c>
      <c r="E588" s="26">
        <v>13.89544405991073</v>
      </c>
      <c r="F588" s="26">
        <v>11.483970319037466</v>
      </c>
      <c r="G588" s="26">
        <v>11.283970319037465</v>
      </c>
      <c r="H588" s="26">
        <v>16.88090643714763</v>
      </c>
      <c r="I588" s="26">
        <v>11.283970319037465</v>
      </c>
      <c r="J588" s="26">
        <v>11.483970319037466</v>
      </c>
      <c r="K588" s="26">
        <v>11.283970319037465</v>
      </c>
      <c r="L588" s="26">
        <v>11.483970319037466</v>
      </c>
      <c r="M588" s="26">
        <v>11.283970319037465</v>
      </c>
      <c r="N588" s="26">
        <v>11.283970319037465</v>
      </c>
      <c r="O588" s="26">
        <v>11.483970319037466</v>
      </c>
      <c r="P588" s="26">
        <v>11.283970319037465</v>
      </c>
      <c r="Q588" s="26">
        <v>11.483970319037466</v>
      </c>
      <c r="R588" s="26">
        <v>11.283970319037465</v>
      </c>
      <c r="S588" s="24"/>
    </row>
    <row r="589" spans="1:19" x14ac:dyDescent="0.25">
      <c r="A589" s="30">
        <v>5.84</v>
      </c>
      <c r="B589" s="30">
        <v>10.805027947912096</v>
      </c>
      <c r="C589" s="30">
        <v>12.001159969001638</v>
      </c>
      <c r="D589" s="30">
        <v>11.483970319037466</v>
      </c>
      <c r="E589" s="30">
        <v>13.89544405991073</v>
      </c>
      <c r="F589" s="30">
        <v>11.483970319037466</v>
      </c>
      <c r="G589" s="30">
        <v>11.383970319037465</v>
      </c>
      <c r="H589" s="30">
        <v>16.88090643714763</v>
      </c>
      <c r="I589" s="30">
        <v>11.383970319037465</v>
      </c>
      <c r="J589" s="30">
        <v>11.483970319037466</v>
      </c>
      <c r="K589" s="30">
        <v>11.383970319037465</v>
      </c>
      <c r="L589" s="30">
        <v>11.483970319037466</v>
      </c>
      <c r="M589" s="30">
        <v>11.383970319037465</v>
      </c>
      <c r="N589" s="30">
        <v>11.383970319037465</v>
      </c>
      <c r="O589" s="30">
        <v>11.483970319037466</v>
      </c>
      <c r="P589" s="30">
        <v>11.383970319037465</v>
      </c>
      <c r="Q589" s="30">
        <v>11.483970319037466</v>
      </c>
      <c r="R589" s="30">
        <v>11.383970319037465</v>
      </c>
      <c r="S589" s="25"/>
    </row>
    <row r="590" spans="1:19" x14ac:dyDescent="0.25">
      <c r="A590" s="26">
        <v>5.85</v>
      </c>
      <c r="B590" s="26">
        <v>10.805027947912096</v>
      </c>
      <c r="C590" s="26">
        <v>12.001159969001638</v>
      </c>
      <c r="D590" s="26">
        <v>11.483970319037466</v>
      </c>
      <c r="E590" s="26">
        <v>13.89544405991073</v>
      </c>
      <c r="F590" s="26">
        <v>11.483970319037466</v>
      </c>
      <c r="G590" s="26">
        <v>11.383970319037465</v>
      </c>
      <c r="H590" s="26">
        <v>16.88090643714763</v>
      </c>
      <c r="I590" s="26">
        <v>11.383970319037465</v>
      </c>
      <c r="J590" s="26">
        <v>11.483970319037466</v>
      </c>
      <c r="K590" s="26">
        <v>11.383970319037465</v>
      </c>
      <c r="L590" s="26">
        <v>11.483970319037466</v>
      </c>
      <c r="M590" s="26">
        <v>11.383970319037465</v>
      </c>
      <c r="N590" s="26">
        <v>11.383970319037465</v>
      </c>
      <c r="O590" s="26">
        <v>11.483970319037466</v>
      </c>
      <c r="P590" s="26">
        <v>11.383970319037465</v>
      </c>
      <c r="Q590" s="26">
        <v>11.483970319037466</v>
      </c>
      <c r="R590" s="26">
        <v>11.383970319037465</v>
      </c>
      <c r="S590" s="24"/>
    </row>
    <row r="591" spans="1:19" x14ac:dyDescent="0.25">
      <c r="A591" s="30">
        <v>5.86</v>
      </c>
      <c r="B591" s="30">
        <v>10.805027947912096</v>
      </c>
      <c r="C591" s="30">
        <v>12.001159969001638</v>
      </c>
      <c r="D591" s="30">
        <v>11.483970319037466</v>
      </c>
      <c r="E591" s="30">
        <v>13.89544405991073</v>
      </c>
      <c r="F591" s="30">
        <v>11.483970319037466</v>
      </c>
      <c r="G591" s="30">
        <v>11.383970319037465</v>
      </c>
      <c r="H591" s="30">
        <v>16.88090643714763</v>
      </c>
      <c r="I591" s="30">
        <v>11.383970319037465</v>
      </c>
      <c r="J591" s="30">
        <v>11.483970319037466</v>
      </c>
      <c r="K591" s="30">
        <v>11.383970319037465</v>
      </c>
      <c r="L591" s="30">
        <v>11.483970319037466</v>
      </c>
      <c r="M591" s="30">
        <v>11.383970319037465</v>
      </c>
      <c r="N591" s="30">
        <v>11.383970319037465</v>
      </c>
      <c r="O591" s="30">
        <v>11.483970319037466</v>
      </c>
      <c r="P591" s="30">
        <v>11.383970319037465</v>
      </c>
      <c r="Q591" s="30">
        <v>11.483970319037466</v>
      </c>
      <c r="R591" s="30">
        <v>11.383970319037465</v>
      </c>
      <c r="S591" s="25"/>
    </row>
    <row r="592" spans="1:19" x14ac:dyDescent="0.25">
      <c r="A592" s="26">
        <v>5.87</v>
      </c>
      <c r="B592" s="26">
        <v>10.805027947912096</v>
      </c>
      <c r="C592" s="26">
        <v>12.001159969001638</v>
      </c>
      <c r="D592" s="26">
        <v>11.483970319037466</v>
      </c>
      <c r="E592" s="26">
        <v>13.89544405991073</v>
      </c>
      <c r="F592" s="26">
        <v>11.483970319037466</v>
      </c>
      <c r="G592" s="26">
        <v>11.383970319037465</v>
      </c>
      <c r="H592" s="26">
        <v>16.88090643714763</v>
      </c>
      <c r="I592" s="26">
        <v>11.383970319037465</v>
      </c>
      <c r="J592" s="26">
        <v>11.483970319037466</v>
      </c>
      <c r="K592" s="26">
        <v>11.383970319037465</v>
      </c>
      <c r="L592" s="26">
        <v>11.483970319037466</v>
      </c>
      <c r="M592" s="26">
        <v>11.383970319037465</v>
      </c>
      <c r="N592" s="26">
        <v>11.383970319037465</v>
      </c>
      <c r="O592" s="26">
        <v>11.483970319037466</v>
      </c>
      <c r="P592" s="26">
        <v>11.383970319037465</v>
      </c>
      <c r="Q592" s="26">
        <v>11.483970319037466</v>
      </c>
      <c r="R592" s="26">
        <v>11.383970319037465</v>
      </c>
      <c r="S592" s="24"/>
    </row>
    <row r="593" spans="1:19" x14ac:dyDescent="0.25">
      <c r="A593" s="30">
        <v>5.88</v>
      </c>
      <c r="B593" s="30">
        <v>10.805027947912096</v>
      </c>
      <c r="C593" s="30">
        <v>12.001159969001638</v>
      </c>
      <c r="D593" s="30">
        <v>11.483970319037466</v>
      </c>
      <c r="E593" s="30">
        <v>13.89544405991073</v>
      </c>
      <c r="F593" s="30">
        <v>11.483970319037466</v>
      </c>
      <c r="G593" s="30">
        <v>11.383970319037465</v>
      </c>
      <c r="H593" s="30">
        <v>16.88090643714763</v>
      </c>
      <c r="I593" s="30">
        <v>11.383970319037465</v>
      </c>
      <c r="J593" s="30">
        <v>11.483970319037466</v>
      </c>
      <c r="K593" s="30">
        <v>11.383970319037465</v>
      </c>
      <c r="L593" s="30">
        <v>11.483970319037466</v>
      </c>
      <c r="M593" s="30">
        <v>11.383970319037465</v>
      </c>
      <c r="N593" s="30">
        <v>11.383970319037465</v>
      </c>
      <c r="O593" s="30">
        <v>11.483970319037466</v>
      </c>
      <c r="P593" s="30">
        <v>11.383970319037465</v>
      </c>
      <c r="Q593" s="30">
        <v>11.483970319037466</v>
      </c>
      <c r="R593" s="30">
        <v>11.383970319037465</v>
      </c>
      <c r="S593" s="25"/>
    </row>
    <row r="594" spans="1:19" x14ac:dyDescent="0.25">
      <c r="A594" s="26">
        <v>5.89</v>
      </c>
      <c r="B594" s="26">
        <v>10.805027947912096</v>
      </c>
      <c r="C594" s="26">
        <v>12.001159969001638</v>
      </c>
      <c r="D594" s="26">
        <v>11.483970319037466</v>
      </c>
      <c r="E594" s="26">
        <v>13.89544405991073</v>
      </c>
      <c r="F594" s="26">
        <v>11.483970319037466</v>
      </c>
      <c r="G594" s="26">
        <v>11.383970319037465</v>
      </c>
      <c r="H594" s="26">
        <v>16.88090643714763</v>
      </c>
      <c r="I594" s="26">
        <v>11.383970319037465</v>
      </c>
      <c r="J594" s="26">
        <v>11.483970319037466</v>
      </c>
      <c r="K594" s="26">
        <v>11.383970319037465</v>
      </c>
      <c r="L594" s="26">
        <v>11.483970319037466</v>
      </c>
      <c r="M594" s="26">
        <v>11.383970319037465</v>
      </c>
      <c r="N594" s="26">
        <v>11.383970319037465</v>
      </c>
      <c r="O594" s="26">
        <v>11.483970319037466</v>
      </c>
      <c r="P594" s="26">
        <v>11.383970319037465</v>
      </c>
      <c r="Q594" s="26">
        <v>11.483970319037466</v>
      </c>
      <c r="R594" s="26">
        <v>11.383970319037465</v>
      </c>
      <c r="S594" s="24"/>
    </row>
    <row r="595" spans="1:19" x14ac:dyDescent="0.25">
      <c r="A595" s="30">
        <v>5.9</v>
      </c>
      <c r="B595" s="30">
        <v>10.805027947912096</v>
      </c>
      <c r="C595" s="30">
        <v>12.001159969001638</v>
      </c>
      <c r="D595" s="30">
        <v>11.483970319037466</v>
      </c>
      <c r="E595" s="30">
        <v>13.89544405991073</v>
      </c>
      <c r="F595" s="30">
        <v>11.483970319037466</v>
      </c>
      <c r="G595" s="30">
        <v>11.383970319037465</v>
      </c>
      <c r="H595" s="30">
        <v>16.88090643714763</v>
      </c>
      <c r="I595" s="30">
        <v>11.383970319037465</v>
      </c>
      <c r="J595" s="30">
        <v>11.483970319037466</v>
      </c>
      <c r="K595" s="30">
        <v>11.383970319037465</v>
      </c>
      <c r="L595" s="30">
        <v>11.483970319037466</v>
      </c>
      <c r="M595" s="30">
        <v>11.383970319037465</v>
      </c>
      <c r="N595" s="30">
        <v>11.383970319037465</v>
      </c>
      <c r="O595" s="30">
        <v>11.483970319037466</v>
      </c>
      <c r="P595" s="30">
        <v>11.383970319037465</v>
      </c>
      <c r="Q595" s="30">
        <v>11.483970319037466</v>
      </c>
      <c r="R595" s="30">
        <v>11.383970319037465</v>
      </c>
      <c r="S595" s="25"/>
    </row>
    <row r="596" spans="1:19" x14ac:dyDescent="0.25">
      <c r="A596" s="26">
        <v>5.91</v>
      </c>
      <c r="B596" s="26">
        <v>10.805027947912096</v>
      </c>
      <c r="C596" s="26">
        <v>12.001159969001638</v>
      </c>
      <c r="D596" s="26">
        <v>12.324932425711596</v>
      </c>
      <c r="E596" s="26">
        <v>13.89544405991073</v>
      </c>
      <c r="F596" s="26">
        <v>14.162926473330643</v>
      </c>
      <c r="G596" s="26">
        <v>11.383970319037465</v>
      </c>
      <c r="H596" s="26">
        <v>16.88090643714763</v>
      </c>
      <c r="I596" s="26">
        <v>11.383970319037465</v>
      </c>
      <c r="J596" s="26">
        <v>11.483970319037466</v>
      </c>
      <c r="K596" s="26">
        <v>11.383970319037465</v>
      </c>
      <c r="L596" s="26">
        <v>11.483970319037466</v>
      </c>
      <c r="M596" s="26">
        <v>11.383970319037465</v>
      </c>
      <c r="N596" s="26">
        <v>11.383970319037465</v>
      </c>
      <c r="O596" s="26">
        <v>11.483970319037466</v>
      </c>
      <c r="P596" s="26">
        <v>11.383970319037465</v>
      </c>
      <c r="Q596" s="26">
        <v>11.483970319037466</v>
      </c>
      <c r="R596" s="26">
        <v>11.383970319037465</v>
      </c>
      <c r="S596" s="24"/>
    </row>
    <row r="597" spans="1:19" x14ac:dyDescent="0.25">
      <c r="A597" s="30">
        <v>5.92</v>
      </c>
      <c r="B597" s="30">
        <v>10.805027947912096</v>
      </c>
      <c r="C597" s="30">
        <v>12.001159969001638</v>
      </c>
      <c r="D597" s="30">
        <v>12.324932425711596</v>
      </c>
      <c r="E597" s="30">
        <v>13.89544405991073</v>
      </c>
      <c r="F597" s="30">
        <v>14.162926473330643</v>
      </c>
      <c r="G597" s="30">
        <v>11.383970319037465</v>
      </c>
      <c r="H597" s="30">
        <v>16.88090643714763</v>
      </c>
      <c r="I597" s="30">
        <v>11.383970319037465</v>
      </c>
      <c r="J597" s="30">
        <v>12.414938378092547</v>
      </c>
      <c r="K597" s="30">
        <v>11.383970319037465</v>
      </c>
      <c r="L597" s="30">
        <v>11.989313378092547</v>
      </c>
      <c r="M597" s="30">
        <v>11.383970319037465</v>
      </c>
      <c r="N597" s="30">
        <v>11.383970319037465</v>
      </c>
      <c r="O597" s="30">
        <v>12.001188378092547</v>
      </c>
      <c r="P597" s="30">
        <v>11.383970319037465</v>
      </c>
      <c r="Q597" s="30">
        <v>12.066188378092548</v>
      </c>
      <c r="R597" s="30">
        <v>11.383970319037465</v>
      </c>
      <c r="S597" s="25"/>
    </row>
    <row r="598" spans="1:19" x14ac:dyDescent="0.25">
      <c r="A598" s="26">
        <v>5.93</v>
      </c>
      <c r="B598" s="26">
        <v>10.805027947912096</v>
      </c>
      <c r="C598" s="26">
        <v>12.001159969001638</v>
      </c>
      <c r="D598" s="26">
        <v>12.324932425711596</v>
      </c>
      <c r="E598" s="26">
        <v>13.89544405991073</v>
      </c>
      <c r="F598" s="26">
        <v>14.162926473330643</v>
      </c>
      <c r="G598" s="26">
        <v>11.383970319037465</v>
      </c>
      <c r="H598" s="26">
        <v>16.88090643714763</v>
      </c>
      <c r="I598" s="26">
        <v>11.383970319037465</v>
      </c>
      <c r="J598" s="26">
        <v>12.414938378092547</v>
      </c>
      <c r="K598" s="26">
        <v>11.383970319037465</v>
      </c>
      <c r="L598" s="26">
        <v>11.989313378092547</v>
      </c>
      <c r="M598" s="26">
        <v>11.383970319037465</v>
      </c>
      <c r="N598" s="26">
        <v>11.383970319037465</v>
      </c>
      <c r="O598" s="26">
        <v>12.001188378092547</v>
      </c>
      <c r="P598" s="26">
        <v>11.383970319037465</v>
      </c>
      <c r="Q598" s="26">
        <v>12.066188378092548</v>
      </c>
      <c r="R598" s="26">
        <v>11.383970319037465</v>
      </c>
      <c r="S598" s="24"/>
    </row>
    <row r="599" spans="1:19" x14ac:dyDescent="0.25">
      <c r="A599" s="30">
        <v>5.94</v>
      </c>
      <c r="B599" s="30">
        <v>10.805027947912096</v>
      </c>
      <c r="C599" s="30">
        <v>12.001159969001638</v>
      </c>
      <c r="D599" s="30">
        <v>12.324932425711596</v>
      </c>
      <c r="E599" s="30">
        <v>13.89544405991073</v>
      </c>
      <c r="F599" s="30">
        <v>14.162926473330643</v>
      </c>
      <c r="G599" s="30">
        <v>11.383970319037465</v>
      </c>
      <c r="H599" s="30">
        <v>16.88090643714763</v>
      </c>
      <c r="I599" s="30">
        <v>11.383970319037465</v>
      </c>
      <c r="J599" s="30">
        <v>12.414938378092547</v>
      </c>
      <c r="K599" s="30">
        <v>11.383970319037465</v>
      </c>
      <c r="L599" s="30">
        <v>11.989313378092547</v>
      </c>
      <c r="M599" s="30">
        <v>11.383970319037465</v>
      </c>
      <c r="N599" s="30">
        <v>11.383970319037465</v>
      </c>
      <c r="O599" s="30">
        <v>12.001188378092547</v>
      </c>
      <c r="P599" s="30">
        <v>11.383970319037465</v>
      </c>
      <c r="Q599" s="30">
        <v>12.066188378092548</v>
      </c>
      <c r="R599" s="30">
        <v>11.383970319037465</v>
      </c>
      <c r="S599" s="25"/>
    </row>
    <row r="600" spans="1:19" x14ac:dyDescent="0.25">
      <c r="A600" s="26">
        <v>5.95</v>
      </c>
      <c r="B600" s="26">
        <v>10.805027947912096</v>
      </c>
      <c r="C600" s="26">
        <v>12.001159969001638</v>
      </c>
      <c r="D600" s="26">
        <v>12.324932425711596</v>
      </c>
      <c r="E600" s="26">
        <v>13.89544405991073</v>
      </c>
      <c r="F600" s="26">
        <v>14.162926473330643</v>
      </c>
      <c r="G600" s="26">
        <v>11.383970319037465</v>
      </c>
      <c r="H600" s="26">
        <v>16.88090643714763</v>
      </c>
      <c r="I600" s="26">
        <v>11.383970319037465</v>
      </c>
      <c r="J600" s="26">
        <v>12.414938378092547</v>
      </c>
      <c r="K600" s="26">
        <v>11.383970319037465</v>
      </c>
      <c r="L600" s="26">
        <v>11.989313378092547</v>
      </c>
      <c r="M600" s="26">
        <v>11.383970319037465</v>
      </c>
      <c r="N600" s="26">
        <v>11.383970319037465</v>
      </c>
      <c r="O600" s="26">
        <v>12.001188378092547</v>
      </c>
      <c r="P600" s="26">
        <v>11.383970319037465</v>
      </c>
      <c r="Q600" s="26">
        <v>12.066188378092548</v>
      </c>
      <c r="R600" s="26">
        <v>11.383970319037465</v>
      </c>
      <c r="S600" s="24"/>
    </row>
    <row r="601" spans="1:19" x14ac:dyDescent="0.25">
      <c r="A601" s="30">
        <v>5.96</v>
      </c>
      <c r="B601" s="30">
        <v>10.805027947912096</v>
      </c>
      <c r="C601" s="30">
        <v>12.001159969001638</v>
      </c>
      <c r="D601" s="30">
        <v>12.324932425711596</v>
      </c>
      <c r="E601" s="30">
        <v>13.89544405991073</v>
      </c>
      <c r="F601" s="30">
        <v>14.162926473330643</v>
      </c>
      <c r="G601" s="30">
        <v>11.383970319037465</v>
      </c>
      <c r="H601" s="30">
        <v>16.88090643714763</v>
      </c>
      <c r="I601" s="30">
        <v>11.383970319037465</v>
      </c>
      <c r="J601" s="30">
        <v>12.414938378092547</v>
      </c>
      <c r="K601" s="30">
        <v>11.383970319037465</v>
      </c>
      <c r="L601" s="30">
        <v>11.989313378092547</v>
      </c>
      <c r="M601" s="30">
        <v>11.383970319037465</v>
      </c>
      <c r="N601" s="30">
        <v>11.383970319037465</v>
      </c>
      <c r="O601" s="30">
        <v>12.001188378092547</v>
      </c>
      <c r="P601" s="30">
        <v>11.383970319037465</v>
      </c>
      <c r="Q601" s="30">
        <v>12.066188378092548</v>
      </c>
      <c r="R601" s="30">
        <v>11.383970319037465</v>
      </c>
      <c r="S601" s="25"/>
    </row>
    <row r="602" spans="1:19" x14ac:dyDescent="0.25">
      <c r="A602" s="26">
        <v>5.97</v>
      </c>
      <c r="B602" s="26">
        <v>10.805027947912096</v>
      </c>
      <c r="C602" s="26">
        <v>12.001159969001638</v>
      </c>
      <c r="D602" s="26">
        <v>12.324932425711596</v>
      </c>
      <c r="E602" s="26">
        <v>13.89544405991073</v>
      </c>
      <c r="F602" s="26">
        <v>14.162926473330643</v>
      </c>
      <c r="G602" s="26">
        <v>11.383970319037465</v>
      </c>
      <c r="H602" s="26">
        <v>16.88090643714763</v>
      </c>
      <c r="I602" s="26">
        <v>11.383970319037465</v>
      </c>
      <c r="J602" s="26">
        <v>12.414938378092547</v>
      </c>
      <c r="K602" s="26">
        <v>11.383970319037465</v>
      </c>
      <c r="L602" s="26">
        <v>11.989313378092547</v>
      </c>
      <c r="M602" s="26">
        <v>11.383970319037465</v>
      </c>
      <c r="N602" s="26">
        <v>11.383970319037465</v>
      </c>
      <c r="O602" s="26">
        <v>12.001188378092547</v>
      </c>
      <c r="P602" s="26">
        <v>11.383970319037465</v>
      </c>
      <c r="Q602" s="26">
        <v>12.066188378092548</v>
      </c>
      <c r="R602" s="26">
        <v>11.383970319037465</v>
      </c>
      <c r="S602" s="24"/>
    </row>
    <row r="603" spans="1:19" x14ac:dyDescent="0.25">
      <c r="A603" s="30">
        <v>5.98</v>
      </c>
      <c r="B603" s="30">
        <v>10.805027947912096</v>
      </c>
      <c r="C603" s="30">
        <v>12.001159969001638</v>
      </c>
      <c r="D603" s="30">
        <v>12.324932425711596</v>
      </c>
      <c r="E603" s="30">
        <v>13.89544405991073</v>
      </c>
      <c r="F603" s="30">
        <v>14.162926473330643</v>
      </c>
      <c r="G603" s="30">
        <v>11.483970319037466</v>
      </c>
      <c r="H603" s="30">
        <v>16.88090643714763</v>
      </c>
      <c r="I603" s="30">
        <v>11.483970319037466</v>
      </c>
      <c r="J603" s="30">
        <v>12.414938378092547</v>
      </c>
      <c r="K603" s="30">
        <v>11.483970319037466</v>
      </c>
      <c r="L603" s="30">
        <v>11.989313378092547</v>
      </c>
      <c r="M603" s="30">
        <v>11.483970319037466</v>
      </c>
      <c r="N603" s="30">
        <v>11.483970319037466</v>
      </c>
      <c r="O603" s="30">
        <v>12.001188378092547</v>
      </c>
      <c r="P603" s="30">
        <v>11.483970319037466</v>
      </c>
      <c r="Q603" s="30">
        <v>12.066188378092548</v>
      </c>
      <c r="R603" s="30">
        <v>11.483970319037466</v>
      </c>
      <c r="S603" s="25"/>
    </row>
    <row r="604" spans="1:19" x14ac:dyDescent="0.25">
      <c r="A604" s="26">
        <v>5.99</v>
      </c>
      <c r="B604" s="26">
        <v>10.805027947912096</v>
      </c>
      <c r="C604" s="26">
        <v>12.001159969001638</v>
      </c>
      <c r="D604" s="26">
        <v>12.324932425711596</v>
      </c>
      <c r="E604" s="26">
        <v>13.89544405991073</v>
      </c>
      <c r="F604" s="26">
        <v>14.162926473330643</v>
      </c>
      <c r="G604" s="26">
        <v>11.483970319037466</v>
      </c>
      <c r="H604" s="26">
        <v>16.88090643714763</v>
      </c>
      <c r="I604" s="26">
        <v>11.483970319037466</v>
      </c>
      <c r="J604" s="26">
        <v>12.414938378092547</v>
      </c>
      <c r="K604" s="26">
        <v>11.483970319037466</v>
      </c>
      <c r="L604" s="26">
        <v>11.989313378092547</v>
      </c>
      <c r="M604" s="26">
        <v>11.483970319037466</v>
      </c>
      <c r="N604" s="26">
        <v>11.483970319037466</v>
      </c>
      <c r="O604" s="26">
        <v>12.001188378092547</v>
      </c>
      <c r="P604" s="26">
        <v>11.483970319037466</v>
      </c>
      <c r="Q604" s="26">
        <v>12.066188378092548</v>
      </c>
      <c r="R604" s="26">
        <v>11.483970319037466</v>
      </c>
      <c r="S604" s="24"/>
    </row>
    <row r="605" spans="1:19" x14ac:dyDescent="0.25">
      <c r="A605" s="30">
        <v>6</v>
      </c>
      <c r="B605" s="30">
        <v>10.805027947912096</v>
      </c>
      <c r="C605" s="30">
        <v>12.001159969001638</v>
      </c>
      <c r="D605" s="30">
        <v>12.324932425711596</v>
      </c>
      <c r="E605" s="30">
        <v>13.89544405991073</v>
      </c>
      <c r="F605" s="30">
        <v>14.162926473330643</v>
      </c>
      <c r="G605" s="30">
        <v>11.483970319037466</v>
      </c>
      <c r="H605" s="30">
        <v>16.88090643714763</v>
      </c>
      <c r="I605" s="30">
        <v>11.483970319037466</v>
      </c>
      <c r="J605" s="30">
        <v>12.414938378092547</v>
      </c>
      <c r="K605" s="30">
        <v>11.483970319037466</v>
      </c>
      <c r="L605" s="30">
        <v>11.989313378092547</v>
      </c>
      <c r="M605" s="30">
        <v>11.483970319037466</v>
      </c>
      <c r="N605" s="30">
        <v>11.483970319037466</v>
      </c>
      <c r="O605" s="30">
        <v>12.001188378092547</v>
      </c>
      <c r="P605" s="30">
        <v>11.483970319037466</v>
      </c>
      <c r="Q605" s="30">
        <v>12.066188378092548</v>
      </c>
      <c r="R605" s="30">
        <v>11.483970319037466</v>
      </c>
      <c r="S605" s="25"/>
    </row>
    <row r="606" spans="1:19" x14ac:dyDescent="0.25">
      <c r="A606" s="26">
        <v>6.01</v>
      </c>
      <c r="B606" s="26">
        <v>10.805027947912096</v>
      </c>
      <c r="C606" s="26">
        <v>12.518349618965811</v>
      </c>
      <c r="D606" s="26">
        <v>12.324932425711596</v>
      </c>
      <c r="E606" s="26">
        <v>16.306917800783992</v>
      </c>
      <c r="F606" s="26">
        <v>14.162926473330643</v>
      </c>
      <c r="G606" s="26">
        <v>11.483970319037466</v>
      </c>
      <c r="H606" s="26">
        <v>16.88090643714763</v>
      </c>
      <c r="I606" s="26">
        <v>11.483970319037466</v>
      </c>
      <c r="J606" s="26">
        <v>12.414938378092547</v>
      </c>
      <c r="K606" s="26">
        <v>11.483970319037466</v>
      </c>
      <c r="L606" s="26">
        <v>11.989313378092547</v>
      </c>
      <c r="M606" s="26">
        <v>11.483970319037466</v>
      </c>
      <c r="N606" s="26">
        <v>11.483970319037466</v>
      </c>
      <c r="O606" s="26">
        <v>12.001188378092547</v>
      </c>
      <c r="P606" s="26">
        <v>11.483970319037466</v>
      </c>
      <c r="Q606" s="26">
        <v>12.066188378092548</v>
      </c>
      <c r="R606" s="26">
        <v>11.483970319037466</v>
      </c>
      <c r="S606" s="24"/>
    </row>
    <row r="607" spans="1:19" x14ac:dyDescent="0.25">
      <c r="A607" s="30">
        <v>6.02</v>
      </c>
      <c r="B607" s="30">
        <v>10.805027947912096</v>
      </c>
      <c r="C607" s="30">
        <v>12.518349618965811</v>
      </c>
      <c r="D607" s="30">
        <v>12.324932425711596</v>
      </c>
      <c r="E607" s="30">
        <v>16.306917800783992</v>
      </c>
      <c r="F607" s="30">
        <v>14.162926473330643</v>
      </c>
      <c r="G607" s="30">
        <v>11.483970319037466</v>
      </c>
      <c r="H607" s="30">
        <v>16.88090643714763</v>
      </c>
      <c r="I607" s="30">
        <v>11.483970319037466</v>
      </c>
      <c r="J607" s="30">
        <v>12.414938378092547</v>
      </c>
      <c r="K607" s="30">
        <v>11.483970319037466</v>
      </c>
      <c r="L607" s="30">
        <v>11.989313378092547</v>
      </c>
      <c r="M607" s="30">
        <v>11.483970319037466</v>
      </c>
      <c r="N607" s="30">
        <v>11.483970319037466</v>
      </c>
      <c r="O607" s="30">
        <v>12.001188378092547</v>
      </c>
      <c r="P607" s="30">
        <v>11.483970319037466</v>
      </c>
      <c r="Q607" s="30">
        <v>12.066188378092548</v>
      </c>
      <c r="R607" s="30">
        <v>11.483970319037466</v>
      </c>
      <c r="S607" s="25"/>
    </row>
    <row r="608" spans="1:19" x14ac:dyDescent="0.25">
      <c r="A608" s="26">
        <v>6.03</v>
      </c>
      <c r="B608" s="26">
        <v>10.805027947912096</v>
      </c>
      <c r="C608" s="26">
        <v>12.518349618965811</v>
      </c>
      <c r="D608" s="26">
        <v>12.324932425711596</v>
      </c>
      <c r="E608" s="26">
        <v>16.306917800783992</v>
      </c>
      <c r="F608" s="26">
        <v>14.162926473330643</v>
      </c>
      <c r="G608" s="26">
        <v>11.483970319037466</v>
      </c>
      <c r="H608" s="26">
        <v>16.88090643714763</v>
      </c>
      <c r="I608" s="26">
        <v>11.483970319037466</v>
      </c>
      <c r="J608" s="26">
        <v>12.414938378092547</v>
      </c>
      <c r="K608" s="26">
        <v>11.483970319037466</v>
      </c>
      <c r="L608" s="26">
        <v>11.989313378092547</v>
      </c>
      <c r="M608" s="26">
        <v>11.483970319037466</v>
      </c>
      <c r="N608" s="26">
        <v>11.483970319037466</v>
      </c>
      <c r="O608" s="26">
        <v>12.001188378092547</v>
      </c>
      <c r="P608" s="26">
        <v>11.483970319037466</v>
      </c>
      <c r="Q608" s="26">
        <v>12.066188378092548</v>
      </c>
      <c r="R608" s="26">
        <v>11.483970319037466</v>
      </c>
      <c r="S608" s="24"/>
    </row>
    <row r="609" spans="1:19" x14ac:dyDescent="0.25">
      <c r="A609" s="30">
        <v>6.04</v>
      </c>
      <c r="B609" s="30">
        <v>10.805027947912096</v>
      </c>
      <c r="C609" s="30">
        <v>12.518349618965811</v>
      </c>
      <c r="D609" s="30">
        <v>12.324932425711596</v>
      </c>
      <c r="E609" s="30">
        <v>16.306917800783992</v>
      </c>
      <c r="F609" s="30">
        <v>14.162926473330643</v>
      </c>
      <c r="G609" s="30">
        <v>11.483970319037466</v>
      </c>
      <c r="H609" s="30">
        <v>16.88090643714763</v>
      </c>
      <c r="I609" s="30">
        <v>11.483970319037466</v>
      </c>
      <c r="J609" s="30">
        <v>12.414938378092547</v>
      </c>
      <c r="K609" s="30">
        <v>11.483970319037466</v>
      </c>
      <c r="L609" s="30">
        <v>11.989313378092547</v>
      </c>
      <c r="M609" s="30">
        <v>11.483970319037466</v>
      </c>
      <c r="N609" s="30">
        <v>11.483970319037466</v>
      </c>
      <c r="O609" s="30">
        <v>12.001188378092547</v>
      </c>
      <c r="P609" s="30">
        <v>11.483970319037466</v>
      </c>
      <c r="Q609" s="30">
        <v>12.066188378092548</v>
      </c>
      <c r="R609" s="30">
        <v>11.483970319037466</v>
      </c>
      <c r="S609" s="25"/>
    </row>
    <row r="610" spans="1:19" x14ac:dyDescent="0.25">
      <c r="A610" s="26">
        <v>6.05</v>
      </c>
      <c r="B610" s="26">
        <v>10.805027947912096</v>
      </c>
      <c r="C610" s="26">
        <v>12.518349618965811</v>
      </c>
      <c r="D610" s="26">
        <v>12.324932425711596</v>
      </c>
      <c r="E610" s="26">
        <v>16.306917800783992</v>
      </c>
      <c r="F610" s="26">
        <v>14.162926473330643</v>
      </c>
      <c r="G610" s="26">
        <v>11.483970319037466</v>
      </c>
      <c r="H610" s="26">
        <v>16.88090643714763</v>
      </c>
      <c r="I610" s="26">
        <v>11.483970319037466</v>
      </c>
      <c r="J610" s="26">
        <v>12.414938378092547</v>
      </c>
      <c r="K610" s="26">
        <v>11.483970319037466</v>
      </c>
      <c r="L610" s="26">
        <v>11.989313378092547</v>
      </c>
      <c r="M610" s="26">
        <v>11.483970319037466</v>
      </c>
      <c r="N610" s="26">
        <v>11.483970319037466</v>
      </c>
      <c r="O610" s="26">
        <v>12.001188378092547</v>
      </c>
      <c r="P610" s="26">
        <v>11.483970319037466</v>
      </c>
      <c r="Q610" s="26">
        <v>12.066188378092548</v>
      </c>
      <c r="R610" s="26">
        <v>11.483970319037466</v>
      </c>
      <c r="S610" s="24"/>
    </row>
    <row r="611" spans="1:19" x14ac:dyDescent="0.25">
      <c r="A611" s="30">
        <v>6.06</v>
      </c>
      <c r="B611" s="30">
        <v>10.805027947912096</v>
      </c>
      <c r="C611" s="30">
        <v>12.518349618965811</v>
      </c>
      <c r="D611" s="30">
        <v>12.324932425711596</v>
      </c>
      <c r="E611" s="30">
        <v>16.306917800783992</v>
      </c>
      <c r="F611" s="30">
        <v>14.162926473330643</v>
      </c>
      <c r="G611" s="30">
        <v>11.483970319037466</v>
      </c>
      <c r="H611" s="30">
        <v>16.88090643714763</v>
      </c>
      <c r="I611" s="30">
        <v>11.483970319037466</v>
      </c>
      <c r="J611" s="30">
        <v>12.414938378092547</v>
      </c>
      <c r="K611" s="30">
        <v>11.483970319037466</v>
      </c>
      <c r="L611" s="30">
        <v>11.989313378092547</v>
      </c>
      <c r="M611" s="30">
        <v>11.483970319037466</v>
      </c>
      <c r="N611" s="30">
        <v>11.483970319037466</v>
      </c>
      <c r="O611" s="30">
        <v>12.001188378092547</v>
      </c>
      <c r="P611" s="30">
        <v>11.483970319037466</v>
      </c>
      <c r="Q611" s="30">
        <v>12.066188378092548</v>
      </c>
      <c r="R611" s="30">
        <v>11.483970319037466</v>
      </c>
      <c r="S611" s="25"/>
    </row>
    <row r="612" spans="1:19" x14ac:dyDescent="0.25">
      <c r="A612" s="26">
        <v>6.07</v>
      </c>
      <c r="B612" s="26">
        <v>10.805027947912096</v>
      </c>
      <c r="C612" s="26">
        <v>12.518349618965811</v>
      </c>
      <c r="D612" s="26">
        <v>12.324932425711596</v>
      </c>
      <c r="E612" s="26">
        <v>16.306917800783992</v>
      </c>
      <c r="F612" s="26">
        <v>14.162926473330643</v>
      </c>
      <c r="G612" s="26">
        <v>11.483970319037466</v>
      </c>
      <c r="H612" s="26">
        <v>16.88090643714763</v>
      </c>
      <c r="I612" s="26">
        <v>11.483970319037466</v>
      </c>
      <c r="J612" s="26">
        <v>12.414938378092547</v>
      </c>
      <c r="K612" s="26">
        <v>11.483970319037466</v>
      </c>
      <c r="L612" s="26">
        <v>11.989313378092547</v>
      </c>
      <c r="M612" s="26">
        <v>11.483970319037466</v>
      </c>
      <c r="N612" s="26">
        <v>11.483970319037466</v>
      </c>
      <c r="O612" s="26">
        <v>12.001188378092547</v>
      </c>
      <c r="P612" s="26">
        <v>11.483970319037466</v>
      </c>
      <c r="Q612" s="26">
        <v>12.066188378092548</v>
      </c>
      <c r="R612" s="26">
        <v>11.483970319037466</v>
      </c>
      <c r="S612" s="24"/>
    </row>
    <row r="613" spans="1:19" x14ac:dyDescent="0.25">
      <c r="A613" s="30">
        <v>6.08</v>
      </c>
      <c r="B613" s="30">
        <v>10.805027947912096</v>
      </c>
      <c r="C613" s="30">
        <v>12.518349618965811</v>
      </c>
      <c r="D613" s="30">
        <v>12.324932425711596</v>
      </c>
      <c r="E613" s="30">
        <v>16.306917800783992</v>
      </c>
      <c r="F613" s="30">
        <v>14.162926473330643</v>
      </c>
      <c r="G613" s="30">
        <v>11.483970319037466</v>
      </c>
      <c r="H613" s="30">
        <v>16.88090643714763</v>
      </c>
      <c r="I613" s="30">
        <v>11.483970319037466</v>
      </c>
      <c r="J613" s="30">
        <v>12.414938378092547</v>
      </c>
      <c r="K613" s="30">
        <v>11.483970319037466</v>
      </c>
      <c r="L613" s="30">
        <v>11.989313378092547</v>
      </c>
      <c r="M613" s="30">
        <v>11.483970319037466</v>
      </c>
      <c r="N613" s="30">
        <v>11.483970319037466</v>
      </c>
      <c r="O613" s="30">
        <v>12.001188378092547</v>
      </c>
      <c r="P613" s="30">
        <v>11.483970319037466</v>
      </c>
      <c r="Q613" s="30">
        <v>12.066188378092548</v>
      </c>
      <c r="R613" s="30">
        <v>11.483970319037466</v>
      </c>
      <c r="S613" s="25"/>
    </row>
    <row r="614" spans="1:19" x14ac:dyDescent="0.25">
      <c r="A614" s="26">
        <v>6.09</v>
      </c>
      <c r="B614" s="26">
        <v>10.805027947912096</v>
      </c>
      <c r="C614" s="26">
        <v>12.518349618965811</v>
      </c>
      <c r="D614" s="26">
        <v>12.324932425711596</v>
      </c>
      <c r="E614" s="26">
        <v>16.306917800783992</v>
      </c>
      <c r="F614" s="26">
        <v>14.162926473330643</v>
      </c>
      <c r="G614" s="26">
        <v>11.483970319037466</v>
      </c>
      <c r="H614" s="26">
        <v>19.579374496202711</v>
      </c>
      <c r="I614" s="26">
        <v>11.483970319037466</v>
      </c>
      <c r="J614" s="26">
        <v>12.414938378092547</v>
      </c>
      <c r="K614" s="26">
        <v>11.483970319037466</v>
      </c>
      <c r="L614" s="26">
        <v>11.989313378092547</v>
      </c>
      <c r="M614" s="26">
        <v>11.483970319037466</v>
      </c>
      <c r="N614" s="26">
        <v>11.483970319037466</v>
      </c>
      <c r="O614" s="26">
        <v>12.001188378092547</v>
      </c>
      <c r="P614" s="26">
        <v>11.483970319037466</v>
      </c>
      <c r="Q614" s="26">
        <v>12.066188378092548</v>
      </c>
      <c r="R614" s="26">
        <v>11.483970319037466</v>
      </c>
      <c r="S614" s="24"/>
    </row>
    <row r="615" spans="1:19" x14ac:dyDescent="0.25">
      <c r="A615" s="30">
        <v>6.1</v>
      </c>
      <c r="B615" s="30">
        <v>10.805027947912096</v>
      </c>
      <c r="C615" s="30">
        <v>12.518349618965811</v>
      </c>
      <c r="D615" s="30">
        <v>12.324932425711596</v>
      </c>
      <c r="E615" s="30">
        <v>16.306917800783992</v>
      </c>
      <c r="F615" s="30">
        <v>14.162926473330643</v>
      </c>
      <c r="G615" s="30">
        <v>11.483970319037466</v>
      </c>
      <c r="H615" s="30">
        <v>19.579374496202711</v>
      </c>
      <c r="I615" s="30">
        <v>11.483970319037466</v>
      </c>
      <c r="J615" s="30">
        <v>12.414938378092547</v>
      </c>
      <c r="K615" s="30">
        <v>11.483970319037466</v>
      </c>
      <c r="L615" s="30">
        <v>11.989313378092547</v>
      </c>
      <c r="M615" s="30">
        <v>11.483970319037466</v>
      </c>
      <c r="N615" s="30">
        <v>11.483970319037466</v>
      </c>
      <c r="O615" s="30">
        <v>12.001188378092547</v>
      </c>
      <c r="P615" s="30">
        <v>11.483970319037466</v>
      </c>
      <c r="Q615" s="30">
        <v>12.066188378092548</v>
      </c>
      <c r="R615" s="30">
        <v>11.483970319037466</v>
      </c>
      <c r="S615" s="25"/>
    </row>
    <row r="616" spans="1:19" x14ac:dyDescent="0.25">
      <c r="A616" s="26">
        <v>6.11</v>
      </c>
      <c r="B616" s="26">
        <v>10.805027947912096</v>
      </c>
      <c r="C616" s="26">
        <v>12.518349618965811</v>
      </c>
      <c r="D616" s="26">
        <v>12.324932425711596</v>
      </c>
      <c r="E616" s="26">
        <v>16.306917800783992</v>
      </c>
      <c r="F616" s="26">
        <v>14.162926473330643</v>
      </c>
      <c r="G616" s="26">
        <v>11.483970319037466</v>
      </c>
      <c r="H616" s="26">
        <v>19.579374496202711</v>
      </c>
      <c r="I616" s="26">
        <v>11.483970319037466</v>
      </c>
      <c r="J616" s="26">
        <v>12.414938378092547</v>
      </c>
      <c r="K616" s="26">
        <v>11.483970319037466</v>
      </c>
      <c r="L616" s="26">
        <v>11.989313378092547</v>
      </c>
      <c r="M616" s="26">
        <v>11.483970319037466</v>
      </c>
      <c r="N616" s="26">
        <v>11.483970319037466</v>
      </c>
      <c r="O616" s="26">
        <v>12.001188378092547</v>
      </c>
      <c r="P616" s="26">
        <v>11.483970319037466</v>
      </c>
      <c r="Q616" s="26">
        <v>12.066188378092548</v>
      </c>
      <c r="R616" s="26">
        <v>11.483970319037466</v>
      </c>
      <c r="S616" s="24"/>
    </row>
    <row r="617" spans="1:19" x14ac:dyDescent="0.25">
      <c r="A617" s="30">
        <v>6.12</v>
      </c>
      <c r="B617" s="30">
        <v>10.805027947912096</v>
      </c>
      <c r="C617" s="30">
        <v>12.518349618965811</v>
      </c>
      <c r="D617" s="30">
        <v>12.324932425711596</v>
      </c>
      <c r="E617" s="30">
        <v>16.306917800783992</v>
      </c>
      <c r="F617" s="30">
        <v>14.162926473330643</v>
      </c>
      <c r="G617" s="30">
        <v>14.354313378092547</v>
      </c>
      <c r="H617" s="30">
        <v>19.579374496202711</v>
      </c>
      <c r="I617" s="30">
        <v>13.575563378092546</v>
      </c>
      <c r="J617" s="30">
        <v>12.414938378092547</v>
      </c>
      <c r="K617" s="30">
        <v>12.006813378092547</v>
      </c>
      <c r="L617" s="30">
        <v>11.989313378092547</v>
      </c>
      <c r="M617" s="30">
        <v>12.005563378092548</v>
      </c>
      <c r="N617" s="30">
        <v>11.995563378092548</v>
      </c>
      <c r="O617" s="30">
        <v>12.001188378092547</v>
      </c>
      <c r="P617" s="30">
        <v>12.033063378092548</v>
      </c>
      <c r="Q617" s="30">
        <v>12.066188378092548</v>
      </c>
      <c r="R617" s="30">
        <v>11.691355044759213</v>
      </c>
      <c r="S617" s="25"/>
    </row>
    <row r="618" spans="1:19" x14ac:dyDescent="0.25">
      <c r="A618" s="26">
        <v>6.13</v>
      </c>
      <c r="B618" s="26">
        <v>10.805027947912096</v>
      </c>
      <c r="C618" s="26">
        <v>12.518349618965811</v>
      </c>
      <c r="D618" s="26">
        <v>12.324932425711596</v>
      </c>
      <c r="E618" s="26">
        <v>16.306917800783992</v>
      </c>
      <c r="F618" s="26">
        <v>14.162926473330643</v>
      </c>
      <c r="G618" s="26">
        <v>14.354313378092547</v>
      </c>
      <c r="H618" s="26">
        <v>19.579374496202711</v>
      </c>
      <c r="I618" s="26">
        <v>13.575563378092546</v>
      </c>
      <c r="J618" s="26">
        <v>12.414938378092547</v>
      </c>
      <c r="K618" s="26">
        <v>12.006813378092547</v>
      </c>
      <c r="L618" s="26">
        <v>11.989313378092547</v>
      </c>
      <c r="M618" s="26">
        <v>12.005563378092548</v>
      </c>
      <c r="N618" s="26">
        <v>11.995563378092548</v>
      </c>
      <c r="O618" s="26">
        <v>12.001188378092547</v>
      </c>
      <c r="P618" s="26">
        <v>12.033063378092548</v>
      </c>
      <c r="Q618" s="26">
        <v>12.066188378092548</v>
      </c>
      <c r="R618" s="26">
        <v>11.691355044759213</v>
      </c>
      <c r="S618" s="24"/>
    </row>
    <row r="619" spans="1:19" x14ac:dyDescent="0.25">
      <c r="A619" s="30">
        <v>6.14</v>
      </c>
      <c r="B619" s="30">
        <v>10.805027947912096</v>
      </c>
      <c r="C619" s="30">
        <v>12.518349618965811</v>
      </c>
      <c r="D619" s="30">
        <v>12.324932425711596</v>
      </c>
      <c r="E619" s="30">
        <v>16.306917800783992</v>
      </c>
      <c r="F619" s="30">
        <v>14.162926473330643</v>
      </c>
      <c r="G619" s="30">
        <v>14.354313378092547</v>
      </c>
      <c r="H619" s="30">
        <v>19.579374496202711</v>
      </c>
      <c r="I619" s="30">
        <v>13.575563378092546</v>
      </c>
      <c r="J619" s="30">
        <v>12.414938378092547</v>
      </c>
      <c r="K619" s="30">
        <v>12.006813378092547</v>
      </c>
      <c r="L619" s="30">
        <v>11.989313378092547</v>
      </c>
      <c r="M619" s="30">
        <v>12.005563378092548</v>
      </c>
      <c r="N619" s="30">
        <v>11.995563378092548</v>
      </c>
      <c r="O619" s="30">
        <v>12.001188378092547</v>
      </c>
      <c r="P619" s="30">
        <v>12.033063378092548</v>
      </c>
      <c r="Q619" s="30">
        <v>12.066188378092548</v>
      </c>
      <c r="R619" s="30">
        <v>11.691355044759213</v>
      </c>
      <c r="S619" s="25"/>
    </row>
    <row r="620" spans="1:19" x14ac:dyDescent="0.25">
      <c r="A620" s="26">
        <v>6.15</v>
      </c>
      <c r="B620" s="26">
        <v>10.805027947912096</v>
      </c>
      <c r="C620" s="26">
        <v>12.518349618965811</v>
      </c>
      <c r="D620" s="26">
        <v>12.324932425711596</v>
      </c>
      <c r="E620" s="26">
        <v>16.306917800783992</v>
      </c>
      <c r="F620" s="26">
        <v>14.162926473330643</v>
      </c>
      <c r="G620" s="26">
        <v>14.354313378092547</v>
      </c>
      <c r="H620" s="26">
        <v>19.579374496202711</v>
      </c>
      <c r="I620" s="26">
        <v>13.575563378092546</v>
      </c>
      <c r="J620" s="26">
        <v>12.414938378092547</v>
      </c>
      <c r="K620" s="26">
        <v>12.006813378092547</v>
      </c>
      <c r="L620" s="26">
        <v>11.989313378092547</v>
      </c>
      <c r="M620" s="26">
        <v>12.005563378092548</v>
      </c>
      <c r="N620" s="26">
        <v>11.995563378092548</v>
      </c>
      <c r="O620" s="26">
        <v>12.001188378092547</v>
      </c>
      <c r="P620" s="26">
        <v>12.033063378092548</v>
      </c>
      <c r="Q620" s="26">
        <v>12.066188378092548</v>
      </c>
      <c r="R620" s="26">
        <v>11.691355044759213</v>
      </c>
      <c r="S620" s="24"/>
    </row>
    <row r="621" spans="1:19" x14ac:dyDescent="0.25">
      <c r="A621" s="30">
        <v>6.16</v>
      </c>
      <c r="B621" s="30">
        <v>10.805027947912096</v>
      </c>
      <c r="C621" s="30">
        <v>12.518349618965811</v>
      </c>
      <c r="D621" s="30">
        <v>12.324932425711596</v>
      </c>
      <c r="E621" s="30">
        <v>16.306917800783992</v>
      </c>
      <c r="F621" s="30">
        <v>14.162926473330643</v>
      </c>
      <c r="G621" s="30">
        <v>14.354313378092547</v>
      </c>
      <c r="H621" s="30">
        <v>19.579374496202711</v>
      </c>
      <c r="I621" s="30">
        <v>13.575563378092546</v>
      </c>
      <c r="J621" s="30">
        <v>12.414938378092547</v>
      </c>
      <c r="K621" s="30">
        <v>12.006813378092547</v>
      </c>
      <c r="L621" s="30">
        <v>11.989313378092547</v>
      </c>
      <c r="M621" s="30">
        <v>12.005563378092548</v>
      </c>
      <c r="N621" s="30">
        <v>11.995563378092548</v>
      </c>
      <c r="O621" s="30">
        <v>12.001188378092547</v>
      </c>
      <c r="P621" s="30">
        <v>12.033063378092548</v>
      </c>
      <c r="Q621" s="30">
        <v>12.066188378092548</v>
      </c>
      <c r="R621" s="30">
        <v>11.691355044759213</v>
      </c>
      <c r="S621" s="25"/>
    </row>
    <row r="622" spans="1:19" x14ac:dyDescent="0.25">
      <c r="A622" s="26">
        <v>6.17</v>
      </c>
      <c r="B622" s="26">
        <v>10.805027947912096</v>
      </c>
      <c r="C622" s="26">
        <v>12.518349618965811</v>
      </c>
      <c r="D622" s="26">
        <v>12.324932425711596</v>
      </c>
      <c r="E622" s="26">
        <v>16.306917800783992</v>
      </c>
      <c r="F622" s="26">
        <v>14.162926473330643</v>
      </c>
      <c r="G622" s="26">
        <v>14.354313378092547</v>
      </c>
      <c r="H622" s="26">
        <v>19.579374496202711</v>
      </c>
      <c r="I622" s="26">
        <v>13.575563378092546</v>
      </c>
      <c r="J622" s="26">
        <v>12.414938378092547</v>
      </c>
      <c r="K622" s="26">
        <v>12.006813378092547</v>
      </c>
      <c r="L622" s="26">
        <v>11.989313378092547</v>
      </c>
      <c r="M622" s="26">
        <v>12.005563378092548</v>
      </c>
      <c r="N622" s="26">
        <v>11.995563378092548</v>
      </c>
      <c r="O622" s="26">
        <v>12.001188378092547</v>
      </c>
      <c r="P622" s="26">
        <v>12.033063378092548</v>
      </c>
      <c r="Q622" s="26">
        <v>12.066188378092548</v>
      </c>
      <c r="R622" s="26">
        <v>11.691355044759213</v>
      </c>
      <c r="S622" s="24"/>
    </row>
    <row r="623" spans="1:19" x14ac:dyDescent="0.25">
      <c r="A623" s="30">
        <v>6.18</v>
      </c>
      <c r="B623" s="30">
        <v>10.805027947912096</v>
      </c>
      <c r="C623" s="30">
        <v>12.518349618965811</v>
      </c>
      <c r="D623" s="30">
        <v>12.324932425711596</v>
      </c>
      <c r="E623" s="30">
        <v>16.306917800783992</v>
      </c>
      <c r="F623" s="30">
        <v>14.162926473330643</v>
      </c>
      <c r="G623" s="30">
        <v>14.354313378092547</v>
      </c>
      <c r="H623" s="30">
        <v>19.579374496202711</v>
      </c>
      <c r="I623" s="30">
        <v>13.575563378092546</v>
      </c>
      <c r="J623" s="30">
        <v>12.414938378092547</v>
      </c>
      <c r="K623" s="30">
        <v>12.006813378092547</v>
      </c>
      <c r="L623" s="30">
        <v>11.989313378092547</v>
      </c>
      <c r="M623" s="30">
        <v>12.005563378092548</v>
      </c>
      <c r="N623" s="30">
        <v>11.995563378092548</v>
      </c>
      <c r="O623" s="30">
        <v>12.001188378092547</v>
      </c>
      <c r="P623" s="30">
        <v>12.033063378092548</v>
      </c>
      <c r="Q623" s="30">
        <v>12.066188378092548</v>
      </c>
      <c r="R623" s="30">
        <v>11.691355044759213</v>
      </c>
      <c r="S623" s="25"/>
    </row>
    <row r="624" spans="1:19" x14ac:dyDescent="0.25">
      <c r="A624" s="26">
        <v>6.19</v>
      </c>
      <c r="B624" s="26">
        <v>10.805027947912096</v>
      </c>
      <c r="C624" s="26">
        <v>12.518349618965811</v>
      </c>
      <c r="D624" s="26">
        <v>12.324932425711596</v>
      </c>
      <c r="E624" s="26">
        <v>16.306917800783992</v>
      </c>
      <c r="F624" s="26">
        <v>14.162926473330643</v>
      </c>
      <c r="G624" s="26">
        <v>14.354313378092547</v>
      </c>
      <c r="H624" s="26">
        <v>19.579374496202711</v>
      </c>
      <c r="I624" s="26">
        <v>13.575563378092546</v>
      </c>
      <c r="J624" s="26">
        <v>12.414938378092547</v>
      </c>
      <c r="K624" s="26">
        <v>12.006813378092547</v>
      </c>
      <c r="L624" s="26">
        <v>11.989313378092547</v>
      </c>
      <c r="M624" s="26">
        <v>12.005563378092548</v>
      </c>
      <c r="N624" s="26">
        <v>11.995563378092548</v>
      </c>
      <c r="O624" s="26">
        <v>12.001188378092547</v>
      </c>
      <c r="P624" s="26">
        <v>12.033063378092548</v>
      </c>
      <c r="Q624" s="26">
        <v>12.066188378092548</v>
      </c>
      <c r="R624" s="26">
        <v>11.691355044759213</v>
      </c>
      <c r="S624" s="24"/>
    </row>
    <row r="625" spans="1:19" x14ac:dyDescent="0.25">
      <c r="A625" s="30">
        <v>6.2</v>
      </c>
      <c r="B625" s="30">
        <v>10.805027947912096</v>
      </c>
      <c r="C625" s="30">
        <v>12.518349618965811</v>
      </c>
      <c r="D625" s="30">
        <v>12.324932425711596</v>
      </c>
      <c r="E625" s="30">
        <v>16.306917800783992</v>
      </c>
      <c r="F625" s="30">
        <v>14.162926473330643</v>
      </c>
      <c r="G625" s="30">
        <v>14.354313378092547</v>
      </c>
      <c r="H625" s="30">
        <v>19.579374496202711</v>
      </c>
      <c r="I625" s="30">
        <v>13.575563378092546</v>
      </c>
      <c r="J625" s="30">
        <v>12.414938378092547</v>
      </c>
      <c r="K625" s="30">
        <v>12.006813378092547</v>
      </c>
      <c r="L625" s="30">
        <v>11.989313378092547</v>
      </c>
      <c r="M625" s="30">
        <v>12.005563378092548</v>
      </c>
      <c r="N625" s="30">
        <v>11.995563378092548</v>
      </c>
      <c r="O625" s="30">
        <v>12.001188378092547</v>
      </c>
      <c r="P625" s="30">
        <v>12.033063378092548</v>
      </c>
      <c r="Q625" s="30">
        <v>12.066188378092548</v>
      </c>
      <c r="R625" s="30">
        <v>11.691355044759213</v>
      </c>
      <c r="S625" s="25"/>
    </row>
    <row r="626" spans="1:19" x14ac:dyDescent="0.25">
      <c r="A626" s="26">
        <v>6.21</v>
      </c>
      <c r="B626" s="26">
        <v>10.805027947912096</v>
      </c>
      <c r="C626" s="26">
        <v>12.518349618965811</v>
      </c>
      <c r="D626" s="26">
        <v>13.165894532385726</v>
      </c>
      <c r="E626" s="26">
        <v>16.306917800783992</v>
      </c>
      <c r="F626" s="26">
        <v>16.841882627623818</v>
      </c>
      <c r="G626" s="26">
        <v>14.354313378092547</v>
      </c>
      <c r="H626" s="26">
        <v>19.579374496202711</v>
      </c>
      <c r="I626" s="26">
        <v>13.575563378092546</v>
      </c>
      <c r="J626" s="26">
        <v>12.414938378092547</v>
      </c>
      <c r="K626" s="26">
        <v>12.006813378092547</v>
      </c>
      <c r="L626" s="26">
        <v>11.989313378092547</v>
      </c>
      <c r="M626" s="26">
        <v>12.005563378092548</v>
      </c>
      <c r="N626" s="26">
        <v>11.995563378092548</v>
      </c>
      <c r="O626" s="26">
        <v>12.001188378092547</v>
      </c>
      <c r="P626" s="26">
        <v>12.033063378092548</v>
      </c>
      <c r="Q626" s="26">
        <v>12.066188378092548</v>
      </c>
      <c r="R626" s="26">
        <v>11.691355044759213</v>
      </c>
      <c r="S626" s="24"/>
    </row>
    <row r="627" spans="1:19" x14ac:dyDescent="0.25">
      <c r="A627" s="30">
        <v>6.22</v>
      </c>
      <c r="B627" s="30">
        <v>10.805027947912096</v>
      </c>
      <c r="C627" s="30">
        <v>12.518349618965811</v>
      </c>
      <c r="D627" s="30">
        <v>13.165894532385726</v>
      </c>
      <c r="E627" s="30">
        <v>16.306917800783992</v>
      </c>
      <c r="F627" s="30">
        <v>16.841882627623818</v>
      </c>
      <c r="G627" s="30">
        <v>14.354313378092547</v>
      </c>
      <c r="H627" s="30">
        <v>19.579374496202711</v>
      </c>
      <c r="I627" s="30">
        <v>13.575563378092546</v>
      </c>
      <c r="J627" s="30">
        <v>13.345906437147628</v>
      </c>
      <c r="K627" s="30">
        <v>12.006813378092547</v>
      </c>
      <c r="L627" s="30">
        <v>12.494656437147629</v>
      </c>
      <c r="M627" s="30">
        <v>12.005563378092548</v>
      </c>
      <c r="N627" s="30">
        <v>11.995563378092548</v>
      </c>
      <c r="O627" s="30">
        <v>12.518406437147629</v>
      </c>
      <c r="P627" s="30">
        <v>12.033063378092548</v>
      </c>
      <c r="Q627" s="30">
        <v>12.64840643714763</v>
      </c>
      <c r="R627" s="30">
        <v>11.691355044759213</v>
      </c>
      <c r="S627" s="25"/>
    </row>
    <row r="628" spans="1:19" x14ac:dyDescent="0.25">
      <c r="A628" s="26">
        <v>6.23</v>
      </c>
      <c r="B628" s="26">
        <v>10.805027947912096</v>
      </c>
      <c r="C628" s="26">
        <v>12.518349618965811</v>
      </c>
      <c r="D628" s="26">
        <v>13.165894532385726</v>
      </c>
      <c r="E628" s="26">
        <v>16.306917800783992</v>
      </c>
      <c r="F628" s="26">
        <v>16.841882627623818</v>
      </c>
      <c r="G628" s="26">
        <v>14.354313378092547</v>
      </c>
      <c r="H628" s="26">
        <v>19.579374496202711</v>
      </c>
      <c r="I628" s="26">
        <v>13.575563378092546</v>
      </c>
      <c r="J628" s="26">
        <v>13.345906437147628</v>
      </c>
      <c r="K628" s="26">
        <v>12.006813378092547</v>
      </c>
      <c r="L628" s="26">
        <v>12.494656437147629</v>
      </c>
      <c r="M628" s="26">
        <v>12.005563378092548</v>
      </c>
      <c r="N628" s="26">
        <v>11.995563378092548</v>
      </c>
      <c r="O628" s="26">
        <v>12.518406437147629</v>
      </c>
      <c r="P628" s="26">
        <v>12.033063378092548</v>
      </c>
      <c r="Q628" s="26">
        <v>12.64840643714763</v>
      </c>
      <c r="R628" s="26">
        <v>11.691355044759213</v>
      </c>
      <c r="S628" s="24"/>
    </row>
    <row r="629" spans="1:19" x14ac:dyDescent="0.25">
      <c r="A629" s="30">
        <v>6.24</v>
      </c>
      <c r="B629" s="30">
        <v>10.805027947912096</v>
      </c>
      <c r="C629" s="30">
        <v>12.518349618965811</v>
      </c>
      <c r="D629" s="30">
        <v>13.165894532385726</v>
      </c>
      <c r="E629" s="30">
        <v>16.306917800783992</v>
      </c>
      <c r="F629" s="30">
        <v>16.841882627623818</v>
      </c>
      <c r="G629" s="30">
        <v>14.354313378092547</v>
      </c>
      <c r="H629" s="30">
        <v>19.579374496202711</v>
      </c>
      <c r="I629" s="30">
        <v>13.575563378092546</v>
      </c>
      <c r="J629" s="30">
        <v>13.345906437147628</v>
      </c>
      <c r="K629" s="30">
        <v>12.006813378092547</v>
      </c>
      <c r="L629" s="30">
        <v>12.494656437147629</v>
      </c>
      <c r="M629" s="30">
        <v>12.005563378092548</v>
      </c>
      <c r="N629" s="30">
        <v>11.995563378092548</v>
      </c>
      <c r="O629" s="30">
        <v>12.518406437147629</v>
      </c>
      <c r="P629" s="30">
        <v>12.033063378092548</v>
      </c>
      <c r="Q629" s="30">
        <v>12.64840643714763</v>
      </c>
      <c r="R629" s="30">
        <v>11.691355044759213</v>
      </c>
      <c r="S629" s="25"/>
    </row>
    <row r="630" spans="1:19" x14ac:dyDescent="0.25">
      <c r="A630" s="26">
        <v>6.25</v>
      </c>
      <c r="B630" s="26">
        <v>10.805027947912096</v>
      </c>
      <c r="C630" s="26">
        <v>12.518349618965811</v>
      </c>
      <c r="D630" s="26">
        <v>13.165894532385726</v>
      </c>
      <c r="E630" s="26">
        <v>16.306917800783992</v>
      </c>
      <c r="F630" s="26">
        <v>16.841882627623818</v>
      </c>
      <c r="G630" s="26">
        <v>14.354313378092547</v>
      </c>
      <c r="H630" s="26">
        <v>19.579374496202711</v>
      </c>
      <c r="I630" s="26">
        <v>13.575563378092546</v>
      </c>
      <c r="J630" s="26">
        <v>13.345906437147628</v>
      </c>
      <c r="K630" s="26">
        <v>12.006813378092547</v>
      </c>
      <c r="L630" s="26">
        <v>12.494656437147629</v>
      </c>
      <c r="M630" s="26">
        <v>12.005563378092548</v>
      </c>
      <c r="N630" s="26">
        <v>11.995563378092548</v>
      </c>
      <c r="O630" s="26">
        <v>12.518406437147629</v>
      </c>
      <c r="P630" s="26">
        <v>12.033063378092548</v>
      </c>
      <c r="Q630" s="26">
        <v>12.64840643714763</v>
      </c>
      <c r="R630" s="26">
        <v>11.691355044759213</v>
      </c>
      <c r="S630" s="24"/>
    </row>
    <row r="631" spans="1:19" x14ac:dyDescent="0.25">
      <c r="A631" s="30">
        <v>6.26</v>
      </c>
      <c r="B631" s="30">
        <v>10.805027947912096</v>
      </c>
      <c r="C631" s="30">
        <v>12.518349618965811</v>
      </c>
      <c r="D631" s="30">
        <v>13.165894532385726</v>
      </c>
      <c r="E631" s="30">
        <v>16.306917800783992</v>
      </c>
      <c r="F631" s="30">
        <v>16.841882627623818</v>
      </c>
      <c r="G631" s="30">
        <v>14.354313378092547</v>
      </c>
      <c r="H631" s="30">
        <v>19.579374496202711</v>
      </c>
      <c r="I631" s="30">
        <v>13.575563378092546</v>
      </c>
      <c r="J631" s="30">
        <v>13.345906437147628</v>
      </c>
      <c r="K631" s="30">
        <v>12.006813378092547</v>
      </c>
      <c r="L631" s="30">
        <v>12.494656437147629</v>
      </c>
      <c r="M631" s="30">
        <v>12.005563378092548</v>
      </c>
      <c r="N631" s="30">
        <v>11.995563378092548</v>
      </c>
      <c r="O631" s="30">
        <v>12.518406437147629</v>
      </c>
      <c r="P631" s="30">
        <v>12.033063378092548</v>
      </c>
      <c r="Q631" s="30">
        <v>12.64840643714763</v>
      </c>
      <c r="R631" s="30">
        <v>11.691355044759213</v>
      </c>
      <c r="S631" s="25"/>
    </row>
    <row r="632" spans="1:19" x14ac:dyDescent="0.25">
      <c r="A632" s="26">
        <v>6.27</v>
      </c>
      <c r="B632" s="26">
        <v>10.805027947912096</v>
      </c>
      <c r="C632" s="26">
        <v>12.518349618965811</v>
      </c>
      <c r="D632" s="26">
        <v>13.165894532385726</v>
      </c>
      <c r="E632" s="26">
        <v>16.306917800783992</v>
      </c>
      <c r="F632" s="26">
        <v>16.841882627623818</v>
      </c>
      <c r="G632" s="26">
        <v>14.354313378092547</v>
      </c>
      <c r="H632" s="26">
        <v>19.579374496202711</v>
      </c>
      <c r="I632" s="26">
        <v>13.575563378092546</v>
      </c>
      <c r="J632" s="26">
        <v>13.345906437147628</v>
      </c>
      <c r="K632" s="26">
        <v>12.006813378092547</v>
      </c>
      <c r="L632" s="26">
        <v>12.494656437147629</v>
      </c>
      <c r="M632" s="26">
        <v>12.005563378092548</v>
      </c>
      <c r="N632" s="26">
        <v>11.995563378092548</v>
      </c>
      <c r="O632" s="26">
        <v>12.518406437147629</v>
      </c>
      <c r="P632" s="26">
        <v>12.033063378092548</v>
      </c>
      <c r="Q632" s="26">
        <v>12.64840643714763</v>
      </c>
      <c r="R632" s="26">
        <v>11.691355044759213</v>
      </c>
      <c r="S632" s="24"/>
    </row>
    <row r="633" spans="1:19" x14ac:dyDescent="0.25">
      <c r="A633" s="30">
        <v>6.28</v>
      </c>
      <c r="B633" s="30">
        <v>10.805027947912096</v>
      </c>
      <c r="C633" s="30">
        <v>12.518349618965811</v>
      </c>
      <c r="D633" s="30">
        <v>13.165894532385726</v>
      </c>
      <c r="E633" s="30">
        <v>16.306917800783992</v>
      </c>
      <c r="F633" s="30">
        <v>16.841882627623818</v>
      </c>
      <c r="G633" s="30">
        <v>14.354313378092547</v>
      </c>
      <c r="H633" s="30">
        <v>19.579374496202711</v>
      </c>
      <c r="I633" s="30">
        <v>13.575563378092546</v>
      </c>
      <c r="J633" s="30">
        <v>13.345906437147628</v>
      </c>
      <c r="K633" s="30">
        <v>12.006813378092547</v>
      </c>
      <c r="L633" s="30">
        <v>12.494656437147629</v>
      </c>
      <c r="M633" s="30">
        <v>12.005563378092548</v>
      </c>
      <c r="N633" s="30">
        <v>11.995563378092548</v>
      </c>
      <c r="O633" s="30">
        <v>12.518406437147629</v>
      </c>
      <c r="P633" s="30">
        <v>12.033063378092548</v>
      </c>
      <c r="Q633" s="30">
        <v>12.64840643714763</v>
      </c>
      <c r="R633" s="30">
        <v>11.691355044759213</v>
      </c>
      <c r="S633" s="25"/>
    </row>
    <row r="634" spans="1:19" x14ac:dyDescent="0.25">
      <c r="A634" s="26">
        <v>6.29</v>
      </c>
      <c r="B634" s="26">
        <v>10.805027947912096</v>
      </c>
      <c r="C634" s="26">
        <v>12.518349618965811</v>
      </c>
      <c r="D634" s="26">
        <v>13.165894532385726</v>
      </c>
      <c r="E634" s="26">
        <v>16.306917800783992</v>
      </c>
      <c r="F634" s="26">
        <v>16.841882627623818</v>
      </c>
      <c r="G634" s="26">
        <v>14.354313378092547</v>
      </c>
      <c r="H634" s="26">
        <v>19.579374496202711</v>
      </c>
      <c r="I634" s="26">
        <v>13.575563378092546</v>
      </c>
      <c r="J634" s="26">
        <v>13.345906437147628</v>
      </c>
      <c r="K634" s="26">
        <v>12.006813378092547</v>
      </c>
      <c r="L634" s="26">
        <v>12.494656437147629</v>
      </c>
      <c r="M634" s="26">
        <v>12.005563378092548</v>
      </c>
      <c r="N634" s="26">
        <v>11.995563378092548</v>
      </c>
      <c r="O634" s="26">
        <v>12.518406437147629</v>
      </c>
      <c r="P634" s="26">
        <v>12.033063378092548</v>
      </c>
      <c r="Q634" s="26">
        <v>12.64840643714763</v>
      </c>
      <c r="R634" s="26">
        <v>11.691355044759213</v>
      </c>
      <c r="S634" s="24"/>
    </row>
    <row r="635" spans="1:19" x14ac:dyDescent="0.25">
      <c r="A635" s="30">
        <v>6.3</v>
      </c>
      <c r="B635" s="30">
        <v>10.805027947912096</v>
      </c>
      <c r="C635" s="30">
        <v>13.035539268929984</v>
      </c>
      <c r="D635" s="30">
        <v>13.165894532385726</v>
      </c>
      <c r="E635" s="30">
        <v>18.718391541657255</v>
      </c>
      <c r="F635" s="30">
        <v>16.841882627623818</v>
      </c>
      <c r="G635" s="30">
        <v>14.354313378092547</v>
      </c>
      <c r="H635" s="30">
        <v>19.579374496202711</v>
      </c>
      <c r="I635" s="30">
        <v>13.575563378092546</v>
      </c>
      <c r="J635" s="30">
        <v>13.345906437147628</v>
      </c>
      <c r="K635" s="30">
        <v>12.006813378092547</v>
      </c>
      <c r="L635" s="30">
        <v>12.494656437147629</v>
      </c>
      <c r="M635" s="30">
        <v>12.005563378092548</v>
      </c>
      <c r="N635" s="30">
        <v>11.995563378092548</v>
      </c>
      <c r="O635" s="30">
        <v>12.518406437147629</v>
      </c>
      <c r="P635" s="30">
        <v>12.033063378092548</v>
      </c>
      <c r="Q635" s="30">
        <v>12.64840643714763</v>
      </c>
      <c r="R635" s="30">
        <v>11.691355044759213</v>
      </c>
      <c r="S635" s="25"/>
    </row>
    <row r="636" spans="1:19" x14ac:dyDescent="0.25">
      <c r="A636" s="26">
        <v>6.31</v>
      </c>
      <c r="B636" s="26">
        <v>10.805027947912096</v>
      </c>
      <c r="C636" s="26">
        <v>13.035539268929984</v>
      </c>
      <c r="D636" s="26">
        <v>13.165894532385726</v>
      </c>
      <c r="E636" s="26">
        <v>18.718391541657255</v>
      </c>
      <c r="F636" s="26">
        <v>16.841882627623818</v>
      </c>
      <c r="G636" s="26">
        <v>14.354313378092547</v>
      </c>
      <c r="H636" s="26">
        <v>19.579374496202711</v>
      </c>
      <c r="I636" s="26">
        <v>13.575563378092546</v>
      </c>
      <c r="J636" s="26">
        <v>13.345906437147628</v>
      </c>
      <c r="K636" s="26">
        <v>12.006813378092547</v>
      </c>
      <c r="L636" s="26">
        <v>12.494656437147629</v>
      </c>
      <c r="M636" s="26">
        <v>12.005563378092548</v>
      </c>
      <c r="N636" s="26">
        <v>11.995563378092548</v>
      </c>
      <c r="O636" s="26">
        <v>12.518406437147629</v>
      </c>
      <c r="P636" s="26">
        <v>12.033063378092548</v>
      </c>
      <c r="Q636" s="26">
        <v>12.64840643714763</v>
      </c>
      <c r="R636" s="26">
        <v>11.691355044759213</v>
      </c>
      <c r="S636" s="24"/>
    </row>
    <row r="637" spans="1:19" x14ac:dyDescent="0.25">
      <c r="A637" s="30">
        <v>6.32</v>
      </c>
      <c r="B637" s="30">
        <v>10.805027947912096</v>
      </c>
      <c r="C637" s="30">
        <v>13.035539268929984</v>
      </c>
      <c r="D637" s="30">
        <v>13.165894532385726</v>
      </c>
      <c r="E637" s="30">
        <v>18.718391541657255</v>
      </c>
      <c r="F637" s="30">
        <v>16.841882627623818</v>
      </c>
      <c r="G637" s="30">
        <v>14.354313378092547</v>
      </c>
      <c r="H637" s="30">
        <v>19.579374496202711</v>
      </c>
      <c r="I637" s="30">
        <v>13.575563378092546</v>
      </c>
      <c r="J637" s="30">
        <v>13.345906437147628</v>
      </c>
      <c r="K637" s="30">
        <v>12.006813378092547</v>
      </c>
      <c r="L637" s="30">
        <v>12.494656437147629</v>
      </c>
      <c r="M637" s="30">
        <v>12.005563378092548</v>
      </c>
      <c r="N637" s="30">
        <v>11.995563378092548</v>
      </c>
      <c r="O637" s="30">
        <v>12.518406437147629</v>
      </c>
      <c r="P637" s="30">
        <v>12.033063378092548</v>
      </c>
      <c r="Q637" s="30">
        <v>12.64840643714763</v>
      </c>
      <c r="R637" s="30">
        <v>11.691355044759213</v>
      </c>
      <c r="S637" s="25"/>
    </row>
    <row r="638" spans="1:19" x14ac:dyDescent="0.25">
      <c r="A638" s="26">
        <v>6.33</v>
      </c>
      <c r="B638" s="26">
        <v>10.805027947912096</v>
      </c>
      <c r="C638" s="26">
        <v>13.035539268929984</v>
      </c>
      <c r="D638" s="26">
        <v>13.165894532385726</v>
      </c>
      <c r="E638" s="26">
        <v>18.718391541657255</v>
      </c>
      <c r="F638" s="26">
        <v>16.841882627623818</v>
      </c>
      <c r="G638" s="26">
        <v>14.354313378092547</v>
      </c>
      <c r="H638" s="26">
        <v>19.579374496202711</v>
      </c>
      <c r="I638" s="26">
        <v>13.575563378092546</v>
      </c>
      <c r="J638" s="26">
        <v>13.345906437147628</v>
      </c>
      <c r="K638" s="26">
        <v>12.006813378092547</v>
      </c>
      <c r="L638" s="26">
        <v>12.494656437147629</v>
      </c>
      <c r="M638" s="26">
        <v>12.005563378092548</v>
      </c>
      <c r="N638" s="26">
        <v>11.995563378092548</v>
      </c>
      <c r="O638" s="26">
        <v>12.518406437147629</v>
      </c>
      <c r="P638" s="26">
        <v>12.033063378092548</v>
      </c>
      <c r="Q638" s="26">
        <v>12.64840643714763</v>
      </c>
      <c r="R638" s="26">
        <v>11.691355044759213</v>
      </c>
      <c r="S638" s="24"/>
    </row>
    <row r="639" spans="1:19" x14ac:dyDescent="0.25">
      <c r="A639" s="30">
        <v>6.34</v>
      </c>
      <c r="B639" s="30">
        <v>10.805027947912096</v>
      </c>
      <c r="C639" s="30">
        <v>13.035539268929984</v>
      </c>
      <c r="D639" s="30">
        <v>13.165894532385726</v>
      </c>
      <c r="E639" s="30">
        <v>18.718391541657255</v>
      </c>
      <c r="F639" s="30">
        <v>16.841882627623818</v>
      </c>
      <c r="G639" s="30">
        <v>14.354313378092547</v>
      </c>
      <c r="H639" s="30">
        <v>19.579374496202711</v>
      </c>
      <c r="I639" s="30">
        <v>13.575563378092546</v>
      </c>
      <c r="J639" s="30">
        <v>13.345906437147628</v>
      </c>
      <c r="K639" s="30">
        <v>12.006813378092547</v>
      </c>
      <c r="L639" s="30">
        <v>12.494656437147629</v>
      </c>
      <c r="M639" s="30">
        <v>12.005563378092548</v>
      </c>
      <c r="N639" s="30">
        <v>11.995563378092548</v>
      </c>
      <c r="O639" s="30">
        <v>12.518406437147629</v>
      </c>
      <c r="P639" s="30">
        <v>12.033063378092548</v>
      </c>
      <c r="Q639" s="30">
        <v>12.64840643714763</v>
      </c>
      <c r="R639" s="30">
        <v>11.691355044759213</v>
      </c>
      <c r="S639" s="25"/>
    </row>
    <row r="640" spans="1:19" x14ac:dyDescent="0.25">
      <c r="A640" s="26">
        <v>6.35</v>
      </c>
      <c r="B640" s="26">
        <v>10.805027947912096</v>
      </c>
      <c r="C640" s="26">
        <v>13.035539268929984</v>
      </c>
      <c r="D640" s="26">
        <v>13.165894532385726</v>
      </c>
      <c r="E640" s="26">
        <v>18.718391541657255</v>
      </c>
      <c r="F640" s="26">
        <v>16.841882627623818</v>
      </c>
      <c r="G640" s="26">
        <v>14.354313378092547</v>
      </c>
      <c r="H640" s="26">
        <v>19.579374496202711</v>
      </c>
      <c r="I640" s="26">
        <v>13.575563378092546</v>
      </c>
      <c r="J640" s="26">
        <v>13.345906437147628</v>
      </c>
      <c r="K640" s="26">
        <v>12.006813378092547</v>
      </c>
      <c r="L640" s="26">
        <v>12.494656437147629</v>
      </c>
      <c r="M640" s="26">
        <v>12.005563378092548</v>
      </c>
      <c r="N640" s="26">
        <v>11.995563378092548</v>
      </c>
      <c r="O640" s="26">
        <v>12.518406437147629</v>
      </c>
      <c r="P640" s="26">
        <v>12.033063378092548</v>
      </c>
      <c r="Q640" s="26">
        <v>12.64840643714763</v>
      </c>
      <c r="R640" s="26">
        <v>11.691355044759213</v>
      </c>
      <c r="S640" s="24"/>
    </row>
    <row r="641" spans="1:19" x14ac:dyDescent="0.25">
      <c r="A641" s="30">
        <v>6.36</v>
      </c>
      <c r="B641" s="30">
        <v>10.805027947912096</v>
      </c>
      <c r="C641" s="30">
        <v>13.035539268929984</v>
      </c>
      <c r="D641" s="30">
        <v>13.165894532385726</v>
      </c>
      <c r="E641" s="30">
        <v>18.718391541657255</v>
      </c>
      <c r="F641" s="30">
        <v>16.841882627623818</v>
      </c>
      <c r="G641" s="30">
        <v>14.354313378092547</v>
      </c>
      <c r="H641" s="30">
        <v>19.579374496202711</v>
      </c>
      <c r="I641" s="30">
        <v>13.575563378092546</v>
      </c>
      <c r="J641" s="30">
        <v>13.345906437147628</v>
      </c>
      <c r="K641" s="30">
        <v>12.006813378092547</v>
      </c>
      <c r="L641" s="30">
        <v>12.494656437147629</v>
      </c>
      <c r="M641" s="30">
        <v>12.005563378092548</v>
      </c>
      <c r="N641" s="30">
        <v>11.995563378092548</v>
      </c>
      <c r="O641" s="30">
        <v>12.518406437147629</v>
      </c>
      <c r="P641" s="30">
        <v>12.033063378092548</v>
      </c>
      <c r="Q641" s="30">
        <v>12.64840643714763</v>
      </c>
      <c r="R641" s="30">
        <v>11.691355044759213</v>
      </c>
      <c r="S641" s="25"/>
    </row>
    <row r="642" spans="1:19" x14ac:dyDescent="0.25">
      <c r="A642" s="26">
        <v>6.37</v>
      </c>
      <c r="B642" s="26">
        <v>10.805027947912096</v>
      </c>
      <c r="C642" s="26">
        <v>13.035539268929984</v>
      </c>
      <c r="D642" s="26">
        <v>13.165894532385726</v>
      </c>
      <c r="E642" s="26">
        <v>18.718391541657255</v>
      </c>
      <c r="F642" s="26">
        <v>16.841882627623818</v>
      </c>
      <c r="G642" s="26">
        <v>14.354313378092547</v>
      </c>
      <c r="H642" s="26">
        <v>22.277842555257791</v>
      </c>
      <c r="I642" s="26">
        <v>13.575563378092546</v>
      </c>
      <c r="J642" s="26">
        <v>13.345906437147628</v>
      </c>
      <c r="K642" s="26">
        <v>12.006813378092547</v>
      </c>
      <c r="L642" s="26">
        <v>12.494656437147629</v>
      </c>
      <c r="M642" s="26">
        <v>12.005563378092548</v>
      </c>
      <c r="N642" s="26">
        <v>11.995563378092548</v>
      </c>
      <c r="O642" s="26">
        <v>12.518406437147629</v>
      </c>
      <c r="P642" s="26">
        <v>12.033063378092548</v>
      </c>
      <c r="Q642" s="26">
        <v>12.64840643714763</v>
      </c>
      <c r="R642" s="26">
        <v>11.691355044759213</v>
      </c>
      <c r="S642" s="24"/>
    </row>
    <row r="643" spans="1:19" x14ac:dyDescent="0.25">
      <c r="A643" s="30">
        <v>6.38</v>
      </c>
      <c r="B643" s="30">
        <v>10.805027947912096</v>
      </c>
      <c r="C643" s="30">
        <v>13.035539268929984</v>
      </c>
      <c r="D643" s="30">
        <v>13.165894532385726</v>
      </c>
      <c r="E643" s="30">
        <v>18.718391541657255</v>
      </c>
      <c r="F643" s="30">
        <v>16.841882627623818</v>
      </c>
      <c r="G643" s="30">
        <v>14.354313378092547</v>
      </c>
      <c r="H643" s="30">
        <v>22.277842555257791</v>
      </c>
      <c r="I643" s="30">
        <v>13.575563378092546</v>
      </c>
      <c r="J643" s="30">
        <v>13.345906437147628</v>
      </c>
      <c r="K643" s="30">
        <v>12.006813378092547</v>
      </c>
      <c r="L643" s="30">
        <v>12.494656437147629</v>
      </c>
      <c r="M643" s="30">
        <v>12.005563378092548</v>
      </c>
      <c r="N643" s="30">
        <v>11.995563378092548</v>
      </c>
      <c r="O643" s="30">
        <v>12.518406437147629</v>
      </c>
      <c r="P643" s="30">
        <v>12.033063378092548</v>
      </c>
      <c r="Q643" s="30">
        <v>12.64840643714763</v>
      </c>
      <c r="R643" s="30">
        <v>11.691355044759213</v>
      </c>
      <c r="S643" s="25"/>
    </row>
    <row r="644" spans="1:19" x14ac:dyDescent="0.25">
      <c r="A644" s="26">
        <v>6.39</v>
      </c>
      <c r="B644" s="26">
        <v>10.805027947912096</v>
      </c>
      <c r="C644" s="26">
        <v>13.035539268929984</v>
      </c>
      <c r="D644" s="26">
        <v>13.165894532385726</v>
      </c>
      <c r="E644" s="26">
        <v>18.718391541657255</v>
      </c>
      <c r="F644" s="26">
        <v>16.841882627623818</v>
      </c>
      <c r="G644" s="26">
        <v>14.354313378092547</v>
      </c>
      <c r="H644" s="26">
        <v>22.277842555257791</v>
      </c>
      <c r="I644" s="26">
        <v>13.575563378092546</v>
      </c>
      <c r="J644" s="26">
        <v>13.345906437147628</v>
      </c>
      <c r="K644" s="26">
        <v>12.006813378092547</v>
      </c>
      <c r="L644" s="26">
        <v>12.494656437147629</v>
      </c>
      <c r="M644" s="26">
        <v>12.005563378092548</v>
      </c>
      <c r="N644" s="26">
        <v>11.995563378092548</v>
      </c>
      <c r="O644" s="26">
        <v>12.518406437147629</v>
      </c>
      <c r="P644" s="26">
        <v>12.033063378092548</v>
      </c>
      <c r="Q644" s="26">
        <v>12.64840643714763</v>
      </c>
      <c r="R644" s="26">
        <v>11.691355044759213</v>
      </c>
      <c r="S644" s="24"/>
    </row>
    <row r="645" spans="1:19" x14ac:dyDescent="0.25">
      <c r="A645" s="30">
        <v>6.4</v>
      </c>
      <c r="B645" s="30">
        <v>10.805027947912096</v>
      </c>
      <c r="C645" s="30">
        <v>13.035539268929984</v>
      </c>
      <c r="D645" s="30">
        <v>13.165894532385726</v>
      </c>
      <c r="E645" s="30">
        <v>18.718391541657255</v>
      </c>
      <c r="F645" s="30">
        <v>16.841882627623818</v>
      </c>
      <c r="G645" s="30">
        <v>14.354313378092547</v>
      </c>
      <c r="H645" s="30">
        <v>22.277842555257791</v>
      </c>
      <c r="I645" s="30">
        <v>13.575563378092546</v>
      </c>
      <c r="J645" s="30">
        <v>13.345906437147628</v>
      </c>
      <c r="K645" s="30">
        <v>12.006813378092547</v>
      </c>
      <c r="L645" s="30">
        <v>12.494656437147629</v>
      </c>
      <c r="M645" s="30">
        <v>12.005563378092548</v>
      </c>
      <c r="N645" s="30">
        <v>11.995563378092548</v>
      </c>
      <c r="O645" s="30">
        <v>12.518406437147629</v>
      </c>
      <c r="P645" s="30">
        <v>12.033063378092548</v>
      </c>
      <c r="Q645" s="30">
        <v>12.64840643714763</v>
      </c>
      <c r="R645" s="30">
        <v>11.691355044759213</v>
      </c>
      <c r="S645" s="25"/>
    </row>
    <row r="646" spans="1:19" x14ac:dyDescent="0.25">
      <c r="A646" s="26">
        <v>6.41</v>
      </c>
      <c r="B646" s="26">
        <v>10.805027947912096</v>
      </c>
      <c r="C646" s="26">
        <v>13.035539268929984</v>
      </c>
      <c r="D646" s="26">
        <v>13.165894532385726</v>
      </c>
      <c r="E646" s="26">
        <v>18.718391541657255</v>
      </c>
      <c r="F646" s="26">
        <v>16.841882627623818</v>
      </c>
      <c r="G646" s="26">
        <v>14.354313378092547</v>
      </c>
      <c r="H646" s="26">
        <v>22.277842555257791</v>
      </c>
      <c r="I646" s="26">
        <v>13.575563378092546</v>
      </c>
      <c r="J646" s="26">
        <v>13.345906437147628</v>
      </c>
      <c r="K646" s="26">
        <v>12.006813378092547</v>
      </c>
      <c r="L646" s="26">
        <v>12.494656437147629</v>
      </c>
      <c r="M646" s="26">
        <v>12.005563378092548</v>
      </c>
      <c r="N646" s="26">
        <v>11.995563378092548</v>
      </c>
      <c r="O646" s="26">
        <v>12.518406437147629</v>
      </c>
      <c r="P646" s="26">
        <v>12.033063378092548</v>
      </c>
      <c r="Q646" s="26">
        <v>12.64840643714763</v>
      </c>
      <c r="R646" s="26">
        <v>11.691355044759213</v>
      </c>
      <c r="S646" s="24"/>
    </row>
    <row r="647" spans="1:19" x14ac:dyDescent="0.25">
      <c r="A647" s="30">
        <v>6.42</v>
      </c>
      <c r="B647" s="30">
        <v>10.805027947912096</v>
      </c>
      <c r="C647" s="30">
        <v>13.035539268929984</v>
      </c>
      <c r="D647" s="30">
        <v>13.165894532385726</v>
      </c>
      <c r="E647" s="30">
        <v>18.718391541657255</v>
      </c>
      <c r="F647" s="30">
        <v>16.841882627623818</v>
      </c>
      <c r="G647" s="30">
        <v>14.354313378092547</v>
      </c>
      <c r="H647" s="30">
        <v>22.277842555257791</v>
      </c>
      <c r="I647" s="30">
        <v>13.575563378092546</v>
      </c>
      <c r="J647" s="30">
        <v>13.345906437147628</v>
      </c>
      <c r="K647" s="30">
        <v>12.006813378092547</v>
      </c>
      <c r="L647" s="30">
        <v>12.494656437147629</v>
      </c>
      <c r="M647" s="30">
        <v>12.005563378092548</v>
      </c>
      <c r="N647" s="30">
        <v>11.995563378092548</v>
      </c>
      <c r="O647" s="30">
        <v>12.518406437147629</v>
      </c>
      <c r="P647" s="30">
        <v>12.033063378092548</v>
      </c>
      <c r="Q647" s="30">
        <v>12.64840643714763</v>
      </c>
      <c r="R647" s="30">
        <v>11.691355044759213</v>
      </c>
      <c r="S647" s="25"/>
    </row>
    <row r="648" spans="1:19" x14ac:dyDescent="0.25">
      <c r="A648" s="26">
        <v>6.43</v>
      </c>
      <c r="B648" s="26">
        <v>10.805027947912096</v>
      </c>
      <c r="C648" s="26">
        <v>13.035539268929984</v>
      </c>
      <c r="D648" s="26">
        <v>13.165894532385726</v>
      </c>
      <c r="E648" s="26">
        <v>18.718391541657255</v>
      </c>
      <c r="F648" s="26">
        <v>16.841882627623818</v>
      </c>
      <c r="G648" s="26">
        <v>17.22465643714763</v>
      </c>
      <c r="H648" s="26">
        <v>22.277842555257791</v>
      </c>
      <c r="I648" s="26">
        <v>15.667156437147629</v>
      </c>
      <c r="J648" s="26">
        <v>13.345906437147628</v>
      </c>
      <c r="K648" s="26">
        <v>12.529656437147628</v>
      </c>
      <c r="L648" s="26">
        <v>12.494656437147629</v>
      </c>
      <c r="M648" s="26">
        <v>12.52715643714763</v>
      </c>
      <c r="N648" s="26">
        <v>12.50715643714763</v>
      </c>
      <c r="O648" s="26">
        <v>12.518406437147629</v>
      </c>
      <c r="P648" s="26">
        <v>12.58215643714763</v>
      </c>
      <c r="Q648" s="26">
        <v>12.64840643714763</v>
      </c>
      <c r="R648" s="26">
        <v>11.898739770480962</v>
      </c>
      <c r="S648" s="24"/>
    </row>
    <row r="649" spans="1:19" x14ac:dyDescent="0.25">
      <c r="A649" s="30">
        <v>6.44</v>
      </c>
      <c r="B649" s="30">
        <v>10.805027947912096</v>
      </c>
      <c r="C649" s="30">
        <v>13.035539268929984</v>
      </c>
      <c r="D649" s="30">
        <v>13.165894532385726</v>
      </c>
      <c r="E649" s="30">
        <v>18.718391541657255</v>
      </c>
      <c r="F649" s="30">
        <v>16.841882627623818</v>
      </c>
      <c r="G649" s="30">
        <v>17.22465643714763</v>
      </c>
      <c r="H649" s="30">
        <v>22.277842555257791</v>
      </c>
      <c r="I649" s="30">
        <v>15.667156437147629</v>
      </c>
      <c r="J649" s="30">
        <v>13.345906437147628</v>
      </c>
      <c r="K649" s="30">
        <v>12.529656437147628</v>
      </c>
      <c r="L649" s="30">
        <v>12.494656437147629</v>
      </c>
      <c r="M649" s="30">
        <v>12.52715643714763</v>
      </c>
      <c r="N649" s="30">
        <v>12.50715643714763</v>
      </c>
      <c r="O649" s="30">
        <v>12.518406437147629</v>
      </c>
      <c r="P649" s="30">
        <v>12.58215643714763</v>
      </c>
      <c r="Q649" s="30">
        <v>12.64840643714763</v>
      </c>
      <c r="R649" s="30">
        <v>11.898739770480962</v>
      </c>
      <c r="S649" s="25"/>
    </row>
    <row r="650" spans="1:19" x14ac:dyDescent="0.25">
      <c r="A650" s="26">
        <v>6.45</v>
      </c>
      <c r="B650" s="26">
        <v>10.805027947912096</v>
      </c>
      <c r="C650" s="26">
        <v>13.035539268929984</v>
      </c>
      <c r="D650" s="26">
        <v>13.165894532385726</v>
      </c>
      <c r="E650" s="26">
        <v>18.718391541657255</v>
      </c>
      <c r="F650" s="26">
        <v>16.841882627623818</v>
      </c>
      <c r="G650" s="26">
        <v>17.22465643714763</v>
      </c>
      <c r="H650" s="26">
        <v>22.277842555257791</v>
      </c>
      <c r="I650" s="26">
        <v>15.667156437147629</v>
      </c>
      <c r="J650" s="26">
        <v>13.345906437147628</v>
      </c>
      <c r="K650" s="26">
        <v>12.529656437147628</v>
      </c>
      <c r="L650" s="26">
        <v>12.494656437147629</v>
      </c>
      <c r="M650" s="26">
        <v>12.52715643714763</v>
      </c>
      <c r="N650" s="26">
        <v>12.50715643714763</v>
      </c>
      <c r="O650" s="26">
        <v>12.518406437147629</v>
      </c>
      <c r="P650" s="26">
        <v>12.58215643714763</v>
      </c>
      <c r="Q650" s="26">
        <v>12.64840643714763</v>
      </c>
      <c r="R650" s="26">
        <v>11.898739770480962</v>
      </c>
      <c r="S650" s="24"/>
    </row>
    <row r="651" spans="1:19" x14ac:dyDescent="0.25">
      <c r="A651" s="30">
        <v>6.46</v>
      </c>
      <c r="B651" s="30">
        <v>10.805027947912096</v>
      </c>
      <c r="C651" s="30">
        <v>13.035539268929984</v>
      </c>
      <c r="D651" s="30">
        <v>13.165894532385726</v>
      </c>
      <c r="E651" s="30">
        <v>18.718391541657255</v>
      </c>
      <c r="F651" s="30">
        <v>16.841882627623818</v>
      </c>
      <c r="G651" s="30">
        <v>17.22465643714763</v>
      </c>
      <c r="H651" s="30">
        <v>22.277842555257791</v>
      </c>
      <c r="I651" s="30">
        <v>15.667156437147629</v>
      </c>
      <c r="J651" s="30">
        <v>13.345906437147628</v>
      </c>
      <c r="K651" s="30">
        <v>12.529656437147628</v>
      </c>
      <c r="L651" s="30">
        <v>12.494656437147629</v>
      </c>
      <c r="M651" s="30">
        <v>12.52715643714763</v>
      </c>
      <c r="N651" s="30">
        <v>12.50715643714763</v>
      </c>
      <c r="O651" s="30">
        <v>12.518406437147629</v>
      </c>
      <c r="P651" s="30">
        <v>12.58215643714763</v>
      </c>
      <c r="Q651" s="30">
        <v>12.64840643714763</v>
      </c>
      <c r="R651" s="30">
        <v>11.898739770480962</v>
      </c>
      <c r="S651" s="25"/>
    </row>
    <row r="652" spans="1:19" x14ac:dyDescent="0.25">
      <c r="A652" s="26">
        <v>6.47</v>
      </c>
      <c r="B652" s="26">
        <v>10.805027947912096</v>
      </c>
      <c r="C652" s="26">
        <v>13.035539268929984</v>
      </c>
      <c r="D652" s="26">
        <v>13.165894532385726</v>
      </c>
      <c r="E652" s="26">
        <v>18.718391541657255</v>
      </c>
      <c r="F652" s="26">
        <v>16.841882627623818</v>
      </c>
      <c r="G652" s="26">
        <v>17.22465643714763</v>
      </c>
      <c r="H652" s="26">
        <v>22.277842555257791</v>
      </c>
      <c r="I652" s="26">
        <v>15.667156437147629</v>
      </c>
      <c r="J652" s="26">
        <v>13.345906437147628</v>
      </c>
      <c r="K652" s="26">
        <v>12.529656437147628</v>
      </c>
      <c r="L652" s="26">
        <v>12.494656437147629</v>
      </c>
      <c r="M652" s="26">
        <v>12.52715643714763</v>
      </c>
      <c r="N652" s="26">
        <v>12.50715643714763</v>
      </c>
      <c r="O652" s="26">
        <v>12.518406437147629</v>
      </c>
      <c r="P652" s="26">
        <v>12.58215643714763</v>
      </c>
      <c r="Q652" s="26">
        <v>12.64840643714763</v>
      </c>
      <c r="R652" s="26">
        <v>11.898739770480962</v>
      </c>
      <c r="S652" s="24"/>
    </row>
    <row r="653" spans="1:19" x14ac:dyDescent="0.25">
      <c r="A653" s="30">
        <v>6.48</v>
      </c>
      <c r="B653" s="30">
        <v>10.805027947912096</v>
      </c>
      <c r="C653" s="30">
        <v>13.035539268929984</v>
      </c>
      <c r="D653" s="30">
        <v>13.165894532385726</v>
      </c>
      <c r="E653" s="30">
        <v>18.718391541657255</v>
      </c>
      <c r="F653" s="30">
        <v>16.841882627623818</v>
      </c>
      <c r="G653" s="30">
        <v>17.22465643714763</v>
      </c>
      <c r="H653" s="30">
        <v>22.277842555257791</v>
      </c>
      <c r="I653" s="30">
        <v>15.667156437147629</v>
      </c>
      <c r="J653" s="30">
        <v>13.345906437147628</v>
      </c>
      <c r="K653" s="30">
        <v>12.529656437147628</v>
      </c>
      <c r="L653" s="30">
        <v>12.494656437147629</v>
      </c>
      <c r="M653" s="30">
        <v>12.52715643714763</v>
      </c>
      <c r="N653" s="30">
        <v>12.50715643714763</v>
      </c>
      <c r="O653" s="30">
        <v>12.518406437147629</v>
      </c>
      <c r="P653" s="30">
        <v>12.58215643714763</v>
      </c>
      <c r="Q653" s="30">
        <v>12.64840643714763</v>
      </c>
      <c r="R653" s="30">
        <v>11.898739770480962</v>
      </c>
      <c r="S653" s="25"/>
    </row>
    <row r="654" spans="1:19" x14ac:dyDescent="0.25">
      <c r="A654" s="26">
        <v>6.49</v>
      </c>
      <c r="B654" s="26">
        <v>10.805027947912096</v>
      </c>
      <c r="C654" s="26">
        <v>13.035539268929984</v>
      </c>
      <c r="D654" s="26">
        <v>13.165894532385726</v>
      </c>
      <c r="E654" s="26">
        <v>18.718391541657255</v>
      </c>
      <c r="F654" s="26">
        <v>16.841882627623818</v>
      </c>
      <c r="G654" s="26">
        <v>17.22465643714763</v>
      </c>
      <c r="H654" s="26">
        <v>22.277842555257791</v>
      </c>
      <c r="I654" s="26">
        <v>15.667156437147629</v>
      </c>
      <c r="J654" s="26">
        <v>13.345906437147628</v>
      </c>
      <c r="K654" s="26">
        <v>12.529656437147628</v>
      </c>
      <c r="L654" s="26">
        <v>12.494656437147629</v>
      </c>
      <c r="M654" s="26">
        <v>12.52715643714763</v>
      </c>
      <c r="N654" s="26">
        <v>12.50715643714763</v>
      </c>
      <c r="O654" s="26">
        <v>12.518406437147629</v>
      </c>
      <c r="P654" s="26">
        <v>12.58215643714763</v>
      </c>
      <c r="Q654" s="26">
        <v>12.64840643714763</v>
      </c>
      <c r="R654" s="26">
        <v>11.898739770480962</v>
      </c>
      <c r="S654" s="24"/>
    </row>
    <row r="655" spans="1:19" x14ac:dyDescent="0.25">
      <c r="A655" s="30">
        <v>6.5</v>
      </c>
      <c r="B655" s="30">
        <v>10.805027947912096</v>
      </c>
      <c r="C655" s="30">
        <v>13.035539268929984</v>
      </c>
      <c r="D655" s="30">
        <v>13.165894532385726</v>
      </c>
      <c r="E655" s="30">
        <v>18.718391541657255</v>
      </c>
      <c r="F655" s="30">
        <v>16.841882627623818</v>
      </c>
      <c r="G655" s="30">
        <v>17.22465643714763</v>
      </c>
      <c r="H655" s="30">
        <v>22.277842555257791</v>
      </c>
      <c r="I655" s="30">
        <v>15.667156437147629</v>
      </c>
      <c r="J655" s="30">
        <v>13.345906437147628</v>
      </c>
      <c r="K655" s="30">
        <v>12.529656437147628</v>
      </c>
      <c r="L655" s="30">
        <v>12.494656437147629</v>
      </c>
      <c r="M655" s="30">
        <v>12.52715643714763</v>
      </c>
      <c r="N655" s="30">
        <v>12.50715643714763</v>
      </c>
      <c r="O655" s="30">
        <v>12.518406437147629</v>
      </c>
      <c r="P655" s="30">
        <v>12.58215643714763</v>
      </c>
      <c r="Q655" s="30">
        <v>12.64840643714763</v>
      </c>
      <c r="R655" s="30">
        <v>11.898739770480962</v>
      </c>
      <c r="S655" s="25"/>
    </row>
    <row r="656" spans="1:19" x14ac:dyDescent="0.25">
      <c r="A656" s="26">
        <v>6.51</v>
      </c>
      <c r="B656" s="26">
        <v>10.805027947912096</v>
      </c>
      <c r="C656" s="26">
        <v>13.035539268929984</v>
      </c>
      <c r="D656" s="26">
        <v>14.006856639059857</v>
      </c>
      <c r="E656" s="26">
        <v>18.718391541657255</v>
      </c>
      <c r="F656" s="26">
        <v>19.520838781916993</v>
      </c>
      <c r="G656" s="26">
        <v>17.22465643714763</v>
      </c>
      <c r="H656" s="26">
        <v>22.277842555257791</v>
      </c>
      <c r="I656" s="26">
        <v>15.667156437147629</v>
      </c>
      <c r="J656" s="26">
        <v>13.345906437147628</v>
      </c>
      <c r="K656" s="26">
        <v>12.529656437147628</v>
      </c>
      <c r="L656" s="26">
        <v>12.494656437147629</v>
      </c>
      <c r="M656" s="26">
        <v>12.52715643714763</v>
      </c>
      <c r="N656" s="26">
        <v>12.50715643714763</v>
      </c>
      <c r="O656" s="26">
        <v>12.518406437147629</v>
      </c>
      <c r="P656" s="26">
        <v>12.58215643714763</v>
      </c>
      <c r="Q656" s="26">
        <v>12.64840643714763</v>
      </c>
      <c r="R656" s="26">
        <v>11.898739770480962</v>
      </c>
      <c r="S656" s="24"/>
    </row>
    <row r="657" spans="1:19" x14ac:dyDescent="0.25">
      <c r="A657" s="30">
        <v>6.52</v>
      </c>
      <c r="B657" s="30">
        <v>10.805027947912096</v>
      </c>
      <c r="C657" s="30">
        <v>13.035539268929984</v>
      </c>
      <c r="D657" s="30">
        <v>14.006856639059857</v>
      </c>
      <c r="E657" s="30">
        <v>18.718391541657255</v>
      </c>
      <c r="F657" s="30">
        <v>19.520838781916993</v>
      </c>
      <c r="G657" s="30">
        <v>17.22465643714763</v>
      </c>
      <c r="H657" s="30">
        <v>22.277842555257791</v>
      </c>
      <c r="I657" s="30">
        <v>15.667156437147629</v>
      </c>
      <c r="J657" s="30">
        <v>14.276874496202709</v>
      </c>
      <c r="K657" s="30">
        <v>12.529656437147628</v>
      </c>
      <c r="L657" s="30">
        <v>12.999999496202712</v>
      </c>
      <c r="M657" s="30">
        <v>12.52715643714763</v>
      </c>
      <c r="N657" s="30">
        <v>12.50715643714763</v>
      </c>
      <c r="O657" s="30">
        <v>13.035624496202711</v>
      </c>
      <c r="P657" s="30">
        <v>12.58215643714763</v>
      </c>
      <c r="Q657" s="30">
        <v>13.230624496202712</v>
      </c>
      <c r="R657" s="30">
        <v>11.898739770480962</v>
      </c>
      <c r="S657" s="25"/>
    </row>
    <row r="658" spans="1:19" x14ac:dyDescent="0.25">
      <c r="A658" s="26">
        <v>6.53</v>
      </c>
      <c r="B658" s="26">
        <v>10.805027947912096</v>
      </c>
      <c r="C658" s="26">
        <v>13.035539268929984</v>
      </c>
      <c r="D658" s="26">
        <v>14.006856639059857</v>
      </c>
      <c r="E658" s="26">
        <v>18.718391541657255</v>
      </c>
      <c r="F658" s="26">
        <v>19.520838781916993</v>
      </c>
      <c r="G658" s="26">
        <v>17.22465643714763</v>
      </c>
      <c r="H658" s="26">
        <v>22.277842555257791</v>
      </c>
      <c r="I658" s="26">
        <v>15.667156437147629</v>
      </c>
      <c r="J658" s="26">
        <v>14.276874496202709</v>
      </c>
      <c r="K658" s="26">
        <v>12.529656437147628</v>
      </c>
      <c r="L658" s="26">
        <v>12.999999496202712</v>
      </c>
      <c r="M658" s="26">
        <v>12.52715643714763</v>
      </c>
      <c r="N658" s="26">
        <v>12.50715643714763</v>
      </c>
      <c r="O658" s="26">
        <v>13.035624496202711</v>
      </c>
      <c r="P658" s="26">
        <v>12.58215643714763</v>
      </c>
      <c r="Q658" s="26">
        <v>13.230624496202712</v>
      </c>
      <c r="R658" s="26">
        <v>11.898739770480962</v>
      </c>
      <c r="S658" s="24"/>
    </row>
    <row r="659" spans="1:19" x14ac:dyDescent="0.25">
      <c r="A659" s="30">
        <v>6.54</v>
      </c>
      <c r="B659" s="30">
        <v>10.805027947912096</v>
      </c>
      <c r="C659" s="30">
        <v>13.035539268929984</v>
      </c>
      <c r="D659" s="30">
        <v>14.006856639059857</v>
      </c>
      <c r="E659" s="30">
        <v>18.718391541657255</v>
      </c>
      <c r="F659" s="30">
        <v>19.520838781916993</v>
      </c>
      <c r="G659" s="30">
        <v>17.22465643714763</v>
      </c>
      <c r="H659" s="30">
        <v>22.277842555257791</v>
      </c>
      <c r="I659" s="30">
        <v>15.667156437147629</v>
      </c>
      <c r="J659" s="30">
        <v>14.276874496202709</v>
      </c>
      <c r="K659" s="30">
        <v>12.529656437147628</v>
      </c>
      <c r="L659" s="30">
        <v>12.999999496202712</v>
      </c>
      <c r="M659" s="30">
        <v>12.52715643714763</v>
      </c>
      <c r="N659" s="30">
        <v>12.50715643714763</v>
      </c>
      <c r="O659" s="30">
        <v>13.035624496202711</v>
      </c>
      <c r="P659" s="30">
        <v>12.58215643714763</v>
      </c>
      <c r="Q659" s="30">
        <v>13.230624496202712</v>
      </c>
      <c r="R659" s="30">
        <v>11.898739770480962</v>
      </c>
      <c r="S659" s="25"/>
    </row>
    <row r="660" spans="1:19" x14ac:dyDescent="0.25">
      <c r="A660" s="26">
        <v>6.55</v>
      </c>
      <c r="B660" s="26">
        <v>10.805027947912096</v>
      </c>
      <c r="C660" s="26">
        <v>13.035539268929984</v>
      </c>
      <c r="D660" s="26">
        <v>14.006856639059857</v>
      </c>
      <c r="E660" s="26">
        <v>18.718391541657255</v>
      </c>
      <c r="F660" s="26">
        <v>19.520838781916993</v>
      </c>
      <c r="G660" s="26">
        <v>17.22465643714763</v>
      </c>
      <c r="H660" s="26">
        <v>22.277842555257791</v>
      </c>
      <c r="I660" s="26">
        <v>15.667156437147629</v>
      </c>
      <c r="J660" s="26">
        <v>14.276874496202709</v>
      </c>
      <c r="K660" s="26">
        <v>12.529656437147628</v>
      </c>
      <c r="L660" s="26">
        <v>12.999999496202712</v>
      </c>
      <c r="M660" s="26">
        <v>12.52715643714763</v>
      </c>
      <c r="N660" s="26">
        <v>12.50715643714763</v>
      </c>
      <c r="O660" s="26">
        <v>13.035624496202711</v>
      </c>
      <c r="P660" s="26">
        <v>12.58215643714763</v>
      </c>
      <c r="Q660" s="26">
        <v>13.230624496202712</v>
      </c>
      <c r="R660" s="26">
        <v>11.898739770480962</v>
      </c>
      <c r="S660" s="24"/>
    </row>
    <row r="661" spans="1:19" x14ac:dyDescent="0.25">
      <c r="A661" s="30">
        <v>6.56</v>
      </c>
      <c r="B661" s="30">
        <v>10.805027947912096</v>
      </c>
      <c r="C661" s="30">
        <v>13.035539268929984</v>
      </c>
      <c r="D661" s="30">
        <v>14.006856639059857</v>
      </c>
      <c r="E661" s="30">
        <v>18.718391541657255</v>
      </c>
      <c r="F661" s="30">
        <v>19.520838781916993</v>
      </c>
      <c r="G661" s="30">
        <v>17.22465643714763</v>
      </c>
      <c r="H661" s="30">
        <v>22.277842555257791</v>
      </c>
      <c r="I661" s="30">
        <v>15.667156437147629</v>
      </c>
      <c r="J661" s="30">
        <v>14.276874496202709</v>
      </c>
      <c r="K661" s="30">
        <v>12.529656437147628</v>
      </c>
      <c r="L661" s="30">
        <v>12.999999496202712</v>
      </c>
      <c r="M661" s="30">
        <v>12.52715643714763</v>
      </c>
      <c r="N661" s="30">
        <v>12.50715643714763</v>
      </c>
      <c r="O661" s="30">
        <v>13.035624496202711</v>
      </c>
      <c r="P661" s="30">
        <v>12.58215643714763</v>
      </c>
      <c r="Q661" s="30">
        <v>13.230624496202712</v>
      </c>
      <c r="R661" s="30">
        <v>11.898739770480962</v>
      </c>
      <c r="S661" s="25"/>
    </row>
    <row r="662" spans="1:19" x14ac:dyDescent="0.25">
      <c r="A662" s="26">
        <v>6.57</v>
      </c>
      <c r="B662" s="26">
        <v>10.805027947912096</v>
      </c>
      <c r="C662" s="26">
        <v>13.035539268929984</v>
      </c>
      <c r="D662" s="26">
        <v>14.006856639059857</v>
      </c>
      <c r="E662" s="26">
        <v>18.718391541657255</v>
      </c>
      <c r="F662" s="26">
        <v>19.520838781916993</v>
      </c>
      <c r="G662" s="26">
        <v>17.22465643714763</v>
      </c>
      <c r="H662" s="26">
        <v>22.277842555257791</v>
      </c>
      <c r="I662" s="26">
        <v>15.667156437147629</v>
      </c>
      <c r="J662" s="26">
        <v>14.276874496202709</v>
      </c>
      <c r="K662" s="26">
        <v>12.529656437147628</v>
      </c>
      <c r="L662" s="26">
        <v>12.999999496202712</v>
      </c>
      <c r="M662" s="26">
        <v>12.52715643714763</v>
      </c>
      <c r="N662" s="26">
        <v>12.50715643714763</v>
      </c>
      <c r="O662" s="26">
        <v>13.035624496202711</v>
      </c>
      <c r="P662" s="26">
        <v>12.58215643714763</v>
      </c>
      <c r="Q662" s="26">
        <v>13.230624496202712</v>
      </c>
      <c r="R662" s="26">
        <v>11.898739770480962</v>
      </c>
      <c r="S662" s="24"/>
    </row>
    <row r="663" spans="1:19" x14ac:dyDescent="0.25">
      <c r="A663" s="30">
        <v>6.58</v>
      </c>
      <c r="B663" s="30">
        <v>10.805027947912096</v>
      </c>
      <c r="C663" s="30">
        <v>13.035539268929984</v>
      </c>
      <c r="D663" s="30">
        <v>14.006856639059857</v>
      </c>
      <c r="E663" s="30">
        <v>18.718391541657255</v>
      </c>
      <c r="F663" s="30">
        <v>19.520838781916993</v>
      </c>
      <c r="G663" s="30">
        <v>17.22465643714763</v>
      </c>
      <c r="H663" s="30">
        <v>22.277842555257791</v>
      </c>
      <c r="I663" s="30">
        <v>15.667156437147629</v>
      </c>
      <c r="J663" s="30">
        <v>14.276874496202709</v>
      </c>
      <c r="K663" s="30">
        <v>12.529656437147628</v>
      </c>
      <c r="L663" s="30">
        <v>12.999999496202712</v>
      </c>
      <c r="M663" s="30">
        <v>12.52715643714763</v>
      </c>
      <c r="N663" s="30">
        <v>12.50715643714763</v>
      </c>
      <c r="O663" s="30">
        <v>13.035624496202711</v>
      </c>
      <c r="P663" s="30">
        <v>12.58215643714763</v>
      </c>
      <c r="Q663" s="30">
        <v>13.230624496202712</v>
      </c>
      <c r="R663" s="30">
        <v>11.898739770480962</v>
      </c>
      <c r="S663" s="25"/>
    </row>
    <row r="664" spans="1:19" x14ac:dyDescent="0.25">
      <c r="A664" s="26">
        <v>6.59</v>
      </c>
      <c r="B664" s="26">
        <v>10.805027947912096</v>
      </c>
      <c r="C664" s="26">
        <v>13.035539268929984</v>
      </c>
      <c r="D664" s="26">
        <v>14.006856639059857</v>
      </c>
      <c r="E664" s="26">
        <v>18.718391541657255</v>
      </c>
      <c r="F664" s="26">
        <v>19.520838781916993</v>
      </c>
      <c r="G664" s="26">
        <v>17.22465643714763</v>
      </c>
      <c r="H664" s="26">
        <v>22.277842555257791</v>
      </c>
      <c r="I664" s="26">
        <v>15.667156437147629</v>
      </c>
      <c r="J664" s="26">
        <v>14.276874496202709</v>
      </c>
      <c r="K664" s="26">
        <v>12.529656437147628</v>
      </c>
      <c r="L664" s="26">
        <v>12.999999496202712</v>
      </c>
      <c r="M664" s="26">
        <v>12.52715643714763</v>
      </c>
      <c r="N664" s="26">
        <v>12.50715643714763</v>
      </c>
      <c r="O664" s="26">
        <v>13.035624496202711</v>
      </c>
      <c r="P664" s="26">
        <v>12.58215643714763</v>
      </c>
      <c r="Q664" s="26">
        <v>13.230624496202712</v>
      </c>
      <c r="R664" s="26">
        <v>11.898739770480962</v>
      </c>
      <c r="S664" s="24"/>
    </row>
    <row r="665" spans="1:19" x14ac:dyDescent="0.25">
      <c r="A665" s="30">
        <v>6.6</v>
      </c>
      <c r="B665" s="30">
        <v>10.805027947912096</v>
      </c>
      <c r="C665" s="30">
        <v>13.552728918894157</v>
      </c>
      <c r="D665" s="30">
        <v>14.006856639059857</v>
      </c>
      <c r="E665" s="30">
        <v>21.129865282530517</v>
      </c>
      <c r="F665" s="30">
        <v>19.520838781916993</v>
      </c>
      <c r="G665" s="30">
        <v>17.22465643714763</v>
      </c>
      <c r="H665" s="30">
        <v>22.277842555257791</v>
      </c>
      <c r="I665" s="30">
        <v>15.667156437147629</v>
      </c>
      <c r="J665" s="30">
        <v>14.276874496202709</v>
      </c>
      <c r="K665" s="30">
        <v>12.529656437147628</v>
      </c>
      <c r="L665" s="30">
        <v>12.999999496202712</v>
      </c>
      <c r="M665" s="30">
        <v>12.52715643714763</v>
      </c>
      <c r="N665" s="30">
        <v>12.50715643714763</v>
      </c>
      <c r="O665" s="30">
        <v>13.035624496202711</v>
      </c>
      <c r="P665" s="30">
        <v>12.58215643714763</v>
      </c>
      <c r="Q665" s="30">
        <v>13.230624496202712</v>
      </c>
      <c r="R665" s="30">
        <v>11.898739770480962</v>
      </c>
      <c r="S665" s="25"/>
    </row>
    <row r="666" spans="1:19" x14ac:dyDescent="0.25">
      <c r="A666" s="26">
        <v>6.61</v>
      </c>
      <c r="B666" s="26">
        <v>10.805027947912096</v>
      </c>
      <c r="C666" s="26">
        <v>13.552728918894157</v>
      </c>
      <c r="D666" s="26">
        <v>14.006856639059857</v>
      </c>
      <c r="E666" s="26">
        <v>21.129865282530517</v>
      </c>
      <c r="F666" s="26">
        <v>19.520838781916993</v>
      </c>
      <c r="G666" s="26">
        <v>17.22465643714763</v>
      </c>
      <c r="H666" s="26">
        <v>22.277842555257791</v>
      </c>
      <c r="I666" s="26">
        <v>15.667156437147629</v>
      </c>
      <c r="J666" s="26">
        <v>14.276874496202709</v>
      </c>
      <c r="K666" s="26">
        <v>12.529656437147628</v>
      </c>
      <c r="L666" s="26">
        <v>12.999999496202712</v>
      </c>
      <c r="M666" s="26">
        <v>12.52715643714763</v>
      </c>
      <c r="N666" s="26">
        <v>12.50715643714763</v>
      </c>
      <c r="O666" s="26">
        <v>13.035624496202711</v>
      </c>
      <c r="P666" s="26">
        <v>12.58215643714763</v>
      </c>
      <c r="Q666" s="26">
        <v>13.230624496202712</v>
      </c>
      <c r="R666" s="26">
        <v>11.898739770480962</v>
      </c>
      <c r="S666" s="24"/>
    </row>
    <row r="667" spans="1:19" x14ac:dyDescent="0.25">
      <c r="A667" s="30">
        <v>6.62</v>
      </c>
      <c r="B667" s="30">
        <v>10.805027947912096</v>
      </c>
      <c r="C667" s="30">
        <v>13.552728918894157</v>
      </c>
      <c r="D667" s="30">
        <v>14.006856639059857</v>
      </c>
      <c r="E667" s="30">
        <v>21.129865282530517</v>
      </c>
      <c r="F667" s="30">
        <v>19.520838781916993</v>
      </c>
      <c r="G667" s="30">
        <v>17.22465643714763</v>
      </c>
      <c r="H667" s="30">
        <v>22.277842555257791</v>
      </c>
      <c r="I667" s="30">
        <v>15.667156437147629</v>
      </c>
      <c r="J667" s="30">
        <v>14.276874496202709</v>
      </c>
      <c r="K667" s="30">
        <v>12.529656437147628</v>
      </c>
      <c r="L667" s="30">
        <v>12.999999496202712</v>
      </c>
      <c r="M667" s="30">
        <v>12.52715643714763</v>
      </c>
      <c r="N667" s="30">
        <v>12.50715643714763</v>
      </c>
      <c r="O667" s="30">
        <v>13.035624496202711</v>
      </c>
      <c r="P667" s="30">
        <v>12.58215643714763</v>
      </c>
      <c r="Q667" s="30">
        <v>13.230624496202712</v>
      </c>
      <c r="R667" s="30">
        <v>11.898739770480962</v>
      </c>
      <c r="S667" s="25"/>
    </row>
    <row r="668" spans="1:19" x14ac:dyDescent="0.25">
      <c r="A668" s="26">
        <v>6.63</v>
      </c>
      <c r="B668" s="26">
        <v>10.805027947912096</v>
      </c>
      <c r="C668" s="26">
        <v>13.552728918894157</v>
      </c>
      <c r="D668" s="26">
        <v>14.006856639059857</v>
      </c>
      <c r="E668" s="26">
        <v>21.129865282530517</v>
      </c>
      <c r="F668" s="26">
        <v>19.520838781916993</v>
      </c>
      <c r="G668" s="26">
        <v>17.22465643714763</v>
      </c>
      <c r="H668" s="26">
        <v>22.277842555257791</v>
      </c>
      <c r="I668" s="26">
        <v>15.667156437147629</v>
      </c>
      <c r="J668" s="26">
        <v>14.276874496202709</v>
      </c>
      <c r="K668" s="26">
        <v>12.529656437147628</v>
      </c>
      <c r="L668" s="26">
        <v>12.999999496202712</v>
      </c>
      <c r="M668" s="26">
        <v>12.52715643714763</v>
      </c>
      <c r="N668" s="26">
        <v>12.50715643714763</v>
      </c>
      <c r="O668" s="26">
        <v>13.035624496202711</v>
      </c>
      <c r="P668" s="26">
        <v>12.58215643714763</v>
      </c>
      <c r="Q668" s="26">
        <v>13.230624496202712</v>
      </c>
      <c r="R668" s="26">
        <v>11.898739770480962</v>
      </c>
      <c r="S668" s="24"/>
    </row>
    <row r="669" spans="1:19" x14ac:dyDescent="0.25">
      <c r="A669" s="30">
        <v>6.64</v>
      </c>
      <c r="B669" s="30">
        <v>10.805027947912096</v>
      </c>
      <c r="C669" s="30">
        <v>13.552728918894157</v>
      </c>
      <c r="D669" s="30">
        <v>14.006856639059857</v>
      </c>
      <c r="E669" s="30">
        <v>21.129865282530517</v>
      </c>
      <c r="F669" s="30">
        <v>19.520838781916993</v>
      </c>
      <c r="G669" s="30">
        <v>17.22465643714763</v>
      </c>
      <c r="H669" s="30">
        <v>24.976310614312872</v>
      </c>
      <c r="I669" s="30">
        <v>15.667156437147629</v>
      </c>
      <c r="J669" s="30">
        <v>14.276874496202709</v>
      </c>
      <c r="K669" s="30">
        <v>12.529656437147628</v>
      </c>
      <c r="L669" s="30">
        <v>12.999999496202712</v>
      </c>
      <c r="M669" s="30">
        <v>12.52715643714763</v>
      </c>
      <c r="N669" s="30">
        <v>12.50715643714763</v>
      </c>
      <c r="O669" s="30">
        <v>13.035624496202711</v>
      </c>
      <c r="P669" s="30">
        <v>12.58215643714763</v>
      </c>
      <c r="Q669" s="30">
        <v>13.230624496202712</v>
      </c>
      <c r="R669" s="30">
        <v>11.898739770480962</v>
      </c>
      <c r="S669" s="25"/>
    </row>
    <row r="670" spans="1:19" x14ac:dyDescent="0.25">
      <c r="A670" s="26">
        <v>6.65</v>
      </c>
      <c r="B670" s="26">
        <v>10.805027947912096</v>
      </c>
      <c r="C670" s="26">
        <v>13.552728918894157</v>
      </c>
      <c r="D670" s="26">
        <v>14.006856639059857</v>
      </c>
      <c r="E670" s="26">
        <v>21.129865282530517</v>
      </c>
      <c r="F670" s="26">
        <v>19.520838781916993</v>
      </c>
      <c r="G670" s="26">
        <v>17.22465643714763</v>
      </c>
      <c r="H670" s="26">
        <v>24.976310614312872</v>
      </c>
      <c r="I670" s="26">
        <v>15.667156437147629</v>
      </c>
      <c r="J670" s="26">
        <v>14.276874496202709</v>
      </c>
      <c r="K670" s="26">
        <v>12.529656437147628</v>
      </c>
      <c r="L670" s="26">
        <v>12.999999496202712</v>
      </c>
      <c r="M670" s="26">
        <v>12.52715643714763</v>
      </c>
      <c r="N670" s="26">
        <v>12.50715643714763</v>
      </c>
      <c r="O670" s="26">
        <v>13.035624496202711</v>
      </c>
      <c r="P670" s="26">
        <v>12.58215643714763</v>
      </c>
      <c r="Q670" s="26">
        <v>13.230624496202712</v>
      </c>
      <c r="R670" s="26">
        <v>11.898739770480962</v>
      </c>
      <c r="S670" s="24"/>
    </row>
    <row r="671" spans="1:19" x14ac:dyDescent="0.25">
      <c r="A671" s="30">
        <v>6.66</v>
      </c>
      <c r="B671" s="30">
        <v>10.805027947912096</v>
      </c>
      <c r="C671" s="30">
        <v>13.552728918894157</v>
      </c>
      <c r="D671" s="30">
        <v>14.006856639059857</v>
      </c>
      <c r="E671" s="30">
        <v>21.129865282530517</v>
      </c>
      <c r="F671" s="30">
        <v>19.520838781916993</v>
      </c>
      <c r="G671" s="30">
        <v>17.22465643714763</v>
      </c>
      <c r="H671" s="30">
        <v>24.976310614312872</v>
      </c>
      <c r="I671" s="30">
        <v>15.667156437147629</v>
      </c>
      <c r="J671" s="30">
        <v>14.276874496202709</v>
      </c>
      <c r="K671" s="30">
        <v>12.529656437147628</v>
      </c>
      <c r="L671" s="30">
        <v>12.999999496202712</v>
      </c>
      <c r="M671" s="30">
        <v>12.52715643714763</v>
      </c>
      <c r="N671" s="30">
        <v>12.50715643714763</v>
      </c>
      <c r="O671" s="30">
        <v>13.035624496202711</v>
      </c>
      <c r="P671" s="30">
        <v>12.58215643714763</v>
      </c>
      <c r="Q671" s="30">
        <v>13.230624496202712</v>
      </c>
      <c r="R671" s="30">
        <v>11.898739770480962</v>
      </c>
      <c r="S671" s="25"/>
    </row>
    <row r="672" spans="1:19" x14ac:dyDescent="0.25">
      <c r="A672" s="26">
        <v>6.67</v>
      </c>
      <c r="B672" s="26">
        <v>10.805027947912096</v>
      </c>
      <c r="C672" s="26">
        <v>13.552728918894157</v>
      </c>
      <c r="D672" s="26">
        <v>14.006856639059857</v>
      </c>
      <c r="E672" s="26">
        <v>21.129865282530517</v>
      </c>
      <c r="F672" s="26">
        <v>19.520838781916993</v>
      </c>
      <c r="G672" s="26">
        <v>17.22465643714763</v>
      </c>
      <c r="H672" s="26">
        <v>24.976310614312872</v>
      </c>
      <c r="I672" s="26">
        <v>15.667156437147629</v>
      </c>
      <c r="J672" s="26">
        <v>14.276874496202709</v>
      </c>
      <c r="K672" s="26">
        <v>12.529656437147628</v>
      </c>
      <c r="L672" s="26">
        <v>12.999999496202712</v>
      </c>
      <c r="M672" s="26">
        <v>12.52715643714763</v>
      </c>
      <c r="N672" s="26">
        <v>12.50715643714763</v>
      </c>
      <c r="O672" s="26">
        <v>13.035624496202711</v>
      </c>
      <c r="P672" s="26">
        <v>12.58215643714763</v>
      </c>
      <c r="Q672" s="26">
        <v>13.230624496202712</v>
      </c>
      <c r="R672" s="26">
        <v>11.898739770480962</v>
      </c>
      <c r="S672" s="24"/>
    </row>
    <row r="673" spans="1:19" x14ac:dyDescent="0.25">
      <c r="A673" s="30">
        <v>6.68</v>
      </c>
      <c r="B673" s="30">
        <v>10.805027947912096</v>
      </c>
      <c r="C673" s="30">
        <v>13.552728918894157</v>
      </c>
      <c r="D673" s="30">
        <v>14.006856639059857</v>
      </c>
      <c r="E673" s="30">
        <v>21.129865282530517</v>
      </c>
      <c r="F673" s="30">
        <v>19.520838781916993</v>
      </c>
      <c r="G673" s="30">
        <v>17.22465643714763</v>
      </c>
      <c r="H673" s="30">
        <v>24.976310614312872</v>
      </c>
      <c r="I673" s="30">
        <v>15.667156437147629</v>
      </c>
      <c r="J673" s="30">
        <v>14.276874496202709</v>
      </c>
      <c r="K673" s="30">
        <v>12.529656437147628</v>
      </c>
      <c r="L673" s="30">
        <v>12.999999496202712</v>
      </c>
      <c r="M673" s="30">
        <v>12.52715643714763</v>
      </c>
      <c r="N673" s="30">
        <v>12.50715643714763</v>
      </c>
      <c r="O673" s="30">
        <v>13.035624496202711</v>
      </c>
      <c r="P673" s="30">
        <v>12.58215643714763</v>
      </c>
      <c r="Q673" s="30">
        <v>13.230624496202712</v>
      </c>
      <c r="R673" s="30">
        <v>11.898739770480962</v>
      </c>
      <c r="S673" s="25"/>
    </row>
    <row r="674" spans="1:19" x14ac:dyDescent="0.25">
      <c r="A674" s="26">
        <v>6.69</v>
      </c>
      <c r="B674" s="26">
        <v>10.805027947912096</v>
      </c>
      <c r="C674" s="26">
        <v>13.552728918894157</v>
      </c>
      <c r="D674" s="26">
        <v>14.006856639059857</v>
      </c>
      <c r="E674" s="26">
        <v>21.129865282530517</v>
      </c>
      <c r="F674" s="26">
        <v>19.520838781916993</v>
      </c>
      <c r="G674" s="26">
        <v>17.22465643714763</v>
      </c>
      <c r="H674" s="26">
        <v>24.976310614312872</v>
      </c>
      <c r="I674" s="26">
        <v>15.667156437147629</v>
      </c>
      <c r="J674" s="26">
        <v>14.276874496202709</v>
      </c>
      <c r="K674" s="26">
        <v>12.529656437147628</v>
      </c>
      <c r="L674" s="26">
        <v>12.999999496202712</v>
      </c>
      <c r="M674" s="26">
        <v>12.52715643714763</v>
      </c>
      <c r="N674" s="26">
        <v>12.50715643714763</v>
      </c>
      <c r="O674" s="26">
        <v>13.035624496202711</v>
      </c>
      <c r="P674" s="26">
        <v>12.58215643714763</v>
      </c>
      <c r="Q674" s="26">
        <v>13.230624496202712</v>
      </c>
      <c r="R674" s="26">
        <v>11.898739770480962</v>
      </c>
      <c r="S674" s="24"/>
    </row>
    <row r="675" spans="1:19" x14ac:dyDescent="0.25">
      <c r="A675" s="30">
        <v>6.7</v>
      </c>
      <c r="B675" s="30">
        <v>10.805027947912096</v>
      </c>
      <c r="C675" s="30">
        <v>13.552728918894157</v>
      </c>
      <c r="D675" s="30">
        <v>14.006856639059857</v>
      </c>
      <c r="E675" s="30">
        <v>21.129865282530517</v>
      </c>
      <c r="F675" s="30">
        <v>19.520838781916993</v>
      </c>
      <c r="G675" s="30">
        <v>17.22465643714763</v>
      </c>
      <c r="H675" s="30">
        <v>24.976310614312872</v>
      </c>
      <c r="I675" s="30">
        <v>15.667156437147629</v>
      </c>
      <c r="J675" s="30">
        <v>14.276874496202709</v>
      </c>
      <c r="K675" s="30">
        <v>12.529656437147628</v>
      </c>
      <c r="L675" s="30">
        <v>12.999999496202712</v>
      </c>
      <c r="M675" s="30">
        <v>12.52715643714763</v>
      </c>
      <c r="N675" s="30">
        <v>12.50715643714763</v>
      </c>
      <c r="O675" s="30">
        <v>13.035624496202711</v>
      </c>
      <c r="P675" s="30">
        <v>12.58215643714763</v>
      </c>
      <c r="Q675" s="30">
        <v>13.230624496202712</v>
      </c>
      <c r="R675" s="30">
        <v>11.898739770480962</v>
      </c>
      <c r="S675" s="25"/>
    </row>
    <row r="676" spans="1:19" x14ac:dyDescent="0.25">
      <c r="A676" s="26">
        <v>6.71</v>
      </c>
      <c r="B676" s="26">
        <v>10.805027947912096</v>
      </c>
      <c r="C676" s="26">
        <v>13.552728918894157</v>
      </c>
      <c r="D676" s="26">
        <v>14.006856639059857</v>
      </c>
      <c r="E676" s="26">
        <v>21.129865282530517</v>
      </c>
      <c r="F676" s="26">
        <v>19.520838781916993</v>
      </c>
      <c r="G676" s="26">
        <v>17.22465643714763</v>
      </c>
      <c r="H676" s="26">
        <v>24.976310614312872</v>
      </c>
      <c r="I676" s="26">
        <v>15.667156437147629</v>
      </c>
      <c r="J676" s="26">
        <v>14.276874496202709</v>
      </c>
      <c r="K676" s="26">
        <v>12.529656437147628</v>
      </c>
      <c r="L676" s="26">
        <v>12.999999496202712</v>
      </c>
      <c r="M676" s="26">
        <v>12.52715643714763</v>
      </c>
      <c r="N676" s="26">
        <v>12.50715643714763</v>
      </c>
      <c r="O676" s="26">
        <v>13.035624496202711</v>
      </c>
      <c r="P676" s="26">
        <v>12.58215643714763</v>
      </c>
      <c r="Q676" s="26">
        <v>13.230624496202712</v>
      </c>
      <c r="R676" s="26">
        <v>11.898739770480962</v>
      </c>
      <c r="S676" s="24"/>
    </row>
    <row r="677" spans="1:19" x14ac:dyDescent="0.25">
      <c r="A677" s="30">
        <v>6.72</v>
      </c>
      <c r="B677" s="30">
        <v>10.805027947912096</v>
      </c>
      <c r="C677" s="30">
        <v>13.552728918894157</v>
      </c>
      <c r="D677" s="30">
        <v>14.006856639059857</v>
      </c>
      <c r="E677" s="30">
        <v>21.129865282530517</v>
      </c>
      <c r="F677" s="30">
        <v>19.520838781916993</v>
      </c>
      <c r="G677" s="30">
        <v>17.22465643714763</v>
      </c>
      <c r="H677" s="30">
        <v>24.976310614312872</v>
      </c>
      <c r="I677" s="30">
        <v>15.667156437147629</v>
      </c>
      <c r="J677" s="30">
        <v>14.276874496202709</v>
      </c>
      <c r="K677" s="30">
        <v>12.529656437147628</v>
      </c>
      <c r="L677" s="30">
        <v>12.999999496202712</v>
      </c>
      <c r="M677" s="30">
        <v>12.52715643714763</v>
      </c>
      <c r="N677" s="30">
        <v>12.50715643714763</v>
      </c>
      <c r="O677" s="30">
        <v>13.035624496202711</v>
      </c>
      <c r="P677" s="30">
        <v>12.58215643714763</v>
      </c>
      <c r="Q677" s="30">
        <v>13.230624496202712</v>
      </c>
      <c r="R677" s="30">
        <v>11.898739770480962</v>
      </c>
      <c r="S677" s="25"/>
    </row>
    <row r="678" spans="1:19" x14ac:dyDescent="0.25">
      <c r="A678" s="26">
        <v>6.73</v>
      </c>
      <c r="B678" s="26">
        <v>10.805027947912096</v>
      </c>
      <c r="C678" s="26">
        <v>13.552728918894157</v>
      </c>
      <c r="D678" s="26">
        <v>14.006856639059857</v>
      </c>
      <c r="E678" s="26">
        <v>21.129865282530517</v>
      </c>
      <c r="F678" s="26">
        <v>19.520838781916993</v>
      </c>
      <c r="G678" s="26">
        <v>17.22465643714763</v>
      </c>
      <c r="H678" s="26">
        <v>24.976310614312872</v>
      </c>
      <c r="I678" s="26">
        <v>15.667156437147629</v>
      </c>
      <c r="J678" s="26">
        <v>14.276874496202709</v>
      </c>
      <c r="K678" s="26">
        <v>12.529656437147628</v>
      </c>
      <c r="L678" s="26">
        <v>12.999999496202712</v>
      </c>
      <c r="M678" s="26">
        <v>12.52715643714763</v>
      </c>
      <c r="N678" s="26">
        <v>12.50715643714763</v>
      </c>
      <c r="O678" s="26">
        <v>13.035624496202711</v>
      </c>
      <c r="P678" s="26">
        <v>12.58215643714763</v>
      </c>
      <c r="Q678" s="26">
        <v>13.230624496202712</v>
      </c>
      <c r="R678" s="26">
        <v>11.898739770480962</v>
      </c>
      <c r="S678" s="24"/>
    </row>
    <row r="679" spans="1:19" x14ac:dyDescent="0.25">
      <c r="A679" s="30">
        <v>6.74</v>
      </c>
      <c r="B679" s="30">
        <v>10.805027947912096</v>
      </c>
      <c r="C679" s="30">
        <v>13.552728918894157</v>
      </c>
      <c r="D679" s="30">
        <v>14.006856639059857</v>
      </c>
      <c r="E679" s="30">
        <v>21.129865282530517</v>
      </c>
      <c r="F679" s="30">
        <v>19.520838781916993</v>
      </c>
      <c r="G679" s="30">
        <v>20.094999496202711</v>
      </c>
      <c r="H679" s="30">
        <v>24.976310614312872</v>
      </c>
      <c r="I679" s="30">
        <v>17.758749496202711</v>
      </c>
      <c r="J679" s="30">
        <v>14.276874496202709</v>
      </c>
      <c r="K679" s="30">
        <v>13.052499496202708</v>
      </c>
      <c r="L679" s="30">
        <v>12.999999496202712</v>
      </c>
      <c r="M679" s="30">
        <v>13.048749496202712</v>
      </c>
      <c r="N679" s="30">
        <v>13.018749496202712</v>
      </c>
      <c r="O679" s="30">
        <v>13.035624496202711</v>
      </c>
      <c r="P679" s="30">
        <v>13.131249496202711</v>
      </c>
      <c r="Q679" s="30">
        <v>13.230624496202712</v>
      </c>
      <c r="R679" s="30">
        <v>12.10612449620271</v>
      </c>
      <c r="S679" s="25"/>
    </row>
    <row r="680" spans="1:19" x14ac:dyDescent="0.25">
      <c r="A680" s="26">
        <v>6.75</v>
      </c>
      <c r="B680" s="26">
        <v>10.805027947912096</v>
      </c>
      <c r="C680" s="26">
        <v>13.552728918894157</v>
      </c>
      <c r="D680" s="26">
        <v>14.006856639059857</v>
      </c>
      <c r="E680" s="26">
        <v>21.129865282530517</v>
      </c>
      <c r="F680" s="26">
        <v>19.520838781916993</v>
      </c>
      <c r="G680" s="26">
        <v>20.094999496202711</v>
      </c>
      <c r="H680" s="26">
        <v>24.976310614312872</v>
      </c>
      <c r="I680" s="26">
        <v>17.758749496202711</v>
      </c>
      <c r="J680" s="26">
        <v>14.276874496202709</v>
      </c>
      <c r="K680" s="26">
        <v>13.052499496202708</v>
      </c>
      <c r="L680" s="26">
        <v>12.999999496202712</v>
      </c>
      <c r="M680" s="26">
        <v>13.048749496202712</v>
      </c>
      <c r="N680" s="26">
        <v>13.018749496202712</v>
      </c>
      <c r="O680" s="26">
        <v>13.035624496202711</v>
      </c>
      <c r="P680" s="26">
        <v>13.131249496202711</v>
      </c>
      <c r="Q680" s="26">
        <v>13.230624496202712</v>
      </c>
      <c r="R680" s="26">
        <v>12.10612449620271</v>
      </c>
      <c r="S680" s="24"/>
    </row>
    <row r="681" spans="1:19" x14ac:dyDescent="0.25">
      <c r="A681" s="30">
        <v>6.76</v>
      </c>
      <c r="B681" s="30">
        <v>10.805027947912096</v>
      </c>
      <c r="C681" s="30">
        <v>13.552728918894157</v>
      </c>
      <c r="D681" s="30">
        <v>14.006856639059857</v>
      </c>
      <c r="E681" s="30">
        <v>21.129865282530517</v>
      </c>
      <c r="F681" s="30">
        <v>19.520838781916993</v>
      </c>
      <c r="G681" s="30">
        <v>20.094999496202711</v>
      </c>
      <c r="H681" s="30">
        <v>24.976310614312872</v>
      </c>
      <c r="I681" s="30">
        <v>17.758749496202711</v>
      </c>
      <c r="J681" s="30">
        <v>14.276874496202709</v>
      </c>
      <c r="K681" s="30">
        <v>13.052499496202708</v>
      </c>
      <c r="L681" s="30">
        <v>12.999999496202712</v>
      </c>
      <c r="M681" s="30">
        <v>13.048749496202712</v>
      </c>
      <c r="N681" s="30">
        <v>13.018749496202712</v>
      </c>
      <c r="O681" s="30">
        <v>13.035624496202711</v>
      </c>
      <c r="P681" s="30">
        <v>13.131249496202711</v>
      </c>
      <c r="Q681" s="30">
        <v>13.230624496202712</v>
      </c>
      <c r="R681" s="30">
        <v>12.10612449620271</v>
      </c>
      <c r="S681" s="25"/>
    </row>
    <row r="682" spans="1:19" x14ac:dyDescent="0.25">
      <c r="A682" s="26">
        <v>6.77</v>
      </c>
      <c r="B682" s="26">
        <v>10.805027947912096</v>
      </c>
      <c r="C682" s="26">
        <v>13.552728918894157</v>
      </c>
      <c r="D682" s="26">
        <v>14.006856639059857</v>
      </c>
      <c r="E682" s="26">
        <v>21.129865282530517</v>
      </c>
      <c r="F682" s="26">
        <v>19.520838781916993</v>
      </c>
      <c r="G682" s="26">
        <v>20.094999496202711</v>
      </c>
      <c r="H682" s="26">
        <v>24.976310614312872</v>
      </c>
      <c r="I682" s="26">
        <v>17.758749496202711</v>
      </c>
      <c r="J682" s="26">
        <v>14.276874496202709</v>
      </c>
      <c r="K682" s="26">
        <v>13.052499496202708</v>
      </c>
      <c r="L682" s="26">
        <v>12.999999496202712</v>
      </c>
      <c r="M682" s="26">
        <v>13.048749496202712</v>
      </c>
      <c r="N682" s="26">
        <v>13.018749496202712</v>
      </c>
      <c r="O682" s="26">
        <v>13.035624496202711</v>
      </c>
      <c r="P682" s="26">
        <v>13.131249496202711</v>
      </c>
      <c r="Q682" s="26">
        <v>13.230624496202712</v>
      </c>
      <c r="R682" s="26">
        <v>12.10612449620271</v>
      </c>
      <c r="S682" s="24"/>
    </row>
    <row r="683" spans="1:19" x14ac:dyDescent="0.25">
      <c r="A683" s="30">
        <v>6.78</v>
      </c>
      <c r="B683" s="30">
        <v>10.805027947912096</v>
      </c>
      <c r="C683" s="30">
        <v>13.552728918894157</v>
      </c>
      <c r="D683" s="30">
        <v>14.006856639059857</v>
      </c>
      <c r="E683" s="30">
        <v>21.129865282530517</v>
      </c>
      <c r="F683" s="30">
        <v>19.520838781916993</v>
      </c>
      <c r="G683" s="30">
        <v>20.094999496202711</v>
      </c>
      <c r="H683" s="30">
        <v>24.976310614312872</v>
      </c>
      <c r="I683" s="30">
        <v>17.758749496202711</v>
      </c>
      <c r="J683" s="30">
        <v>14.276874496202709</v>
      </c>
      <c r="K683" s="30">
        <v>13.052499496202708</v>
      </c>
      <c r="L683" s="30">
        <v>12.999999496202712</v>
      </c>
      <c r="M683" s="30">
        <v>13.048749496202712</v>
      </c>
      <c r="N683" s="30">
        <v>13.018749496202712</v>
      </c>
      <c r="O683" s="30">
        <v>13.035624496202711</v>
      </c>
      <c r="P683" s="30">
        <v>13.131249496202711</v>
      </c>
      <c r="Q683" s="30">
        <v>13.230624496202712</v>
      </c>
      <c r="R683" s="30">
        <v>12.10612449620271</v>
      </c>
      <c r="S683" s="25"/>
    </row>
    <row r="684" spans="1:19" x14ac:dyDescent="0.25">
      <c r="A684" s="26">
        <v>6.79</v>
      </c>
      <c r="B684" s="26">
        <v>10.805027947912096</v>
      </c>
      <c r="C684" s="26">
        <v>13.552728918894157</v>
      </c>
      <c r="D684" s="26">
        <v>14.006856639059857</v>
      </c>
      <c r="E684" s="26">
        <v>21.129865282530517</v>
      </c>
      <c r="F684" s="26">
        <v>19.520838781916993</v>
      </c>
      <c r="G684" s="26">
        <v>20.094999496202711</v>
      </c>
      <c r="H684" s="26">
        <v>24.976310614312872</v>
      </c>
      <c r="I684" s="26">
        <v>17.758749496202711</v>
      </c>
      <c r="J684" s="26">
        <v>14.276874496202709</v>
      </c>
      <c r="K684" s="26">
        <v>13.052499496202708</v>
      </c>
      <c r="L684" s="26">
        <v>12.999999496202712</v>
      </c>
      <c r="M684" s="26">
        <v>13.048749496202712</v>
      </c>
      <c r="N684" s="26">
        <v>13.018749496202712</v>
      </c>
      <c r="O684" s="26">
        <v>13.035624496202711</v>
      </c>
      <c r="P684" s="26">
        <v>13.131249496202711</v>
      </c>
      <c r="Q684" s="26">
        <v>13.230624496202712</v>
      </c>
      <c r="R684" s="26">
        <v>12.10612449620271</v>
      </c>
      <c r="S684" s="24"/>
    </row>
    <row r="685" spans="1:19" x14ac:dyDescent="0.25">
      <c r="A685" s="30">
        <v>6.8</v>
      </c>
      <c r="B685" s="30">
        <v>10.805027947912096</v>
      </c>
      <c r="C685" s="30">
        <v>13.552728918894157</v>
      </c>
      <c r="D685" s="30">
        <v>14.006856639059857</v>
      </c>
      <c r="E685" s="30">
        <v>21.129865282530517</v>
      </c>
      <c r="F685" s="30">
        <v>19.520838781916993</v>
      </c>
      <c r="G685" s="30">
        <v>20.094999496202711</v>
      </c>
      <c r="H685" s="30">
        <v>24.976310614312872</v>
      </c>
      <c r="I685" s="30">
        <v>17.758749496202711</v>
      </c>
      <c r="J685" s="30">
        <v>14.276874496202709</v>
      </c>
      <c r="K685" s="30">
        <v>13.052499496202708</v>
      </c>
      <c r="L685" s="30">
        <v>12.999999496202712</v>
      </c>
      <c r="M685" s="30">
        <v>13.048749496202712</v>
      </c>
      <c r="N685" s="30">
        <v>13.018749496202712</v>
      </c>
      <c r="O685" s="30">
        <v>13.035624496202711</v>
      </c>
      <c r="P685" s="30">
        <v>13.131249496202711</v>
      </c>
      <c r="Q685" s="30">
        <v>13.230624496202712</v>
      </c>
      <c r="R685" s="30">
        <v>12.10612449620271</v>
      </c>
      <c r="S685" s="25"/>
    </row>
    <row r="686" spans="1:19" x14ac:dyDescent="0.25">
      <c r="A686" s="26">
        <v>6.81</v>
      </c>
      <c r="B686" s="26">
        <v>10.805027947912096</v>
      </c>
      <c r="C686" s="26">
        <v>13.552728918894157</v>
      </c>
      <c r="D686" s="26">
        <v>14.006856639059857</v>
      </c>
      <c r="E686" s="26">
        <v>21.129865282530517</v>
      </c>
      <c r="F686" s="26">
        <v>19.520838781916993</v>
      </c>
      <c r="G686" s="26">
        <v>20.094999496202711</v>
      </c>
      <c r="H686" s="26">
        <v>24.976310614312872</v>
      </c>
      <c r="I686" s="26">
        <v>17.758749496202711</v>
      </c>
      <c r="J686" s="26">
        <v>14.276874496202709</v>
      </c>
      <c r="K686" s="26">
        <v>13.052499496202708</v>
      </c>
      <c r="L686" s="26">
        <v>12.999999496202712</v>
      </c>
      <c r="M686" s="26">
        <v>13.048749496202712</v>
      </c>
      <c r="N686" s="26">
        <v>13.018749496202712</v>
      </c>
      <c r="O686" s="26">
        <v>13.035624496202711</v>
      </c>
      <c r="P686" s="26">
        <v>13.131249496202711</v>
      </c>
      <c r="Q686" s="26">
        <v>13.230624496202712</v>
      </c>
      <c r="R686" s="26">
        <v>12.10612449620271</v>
      </c>
      <c r="S686" s="24"/>
    </row>
    <row r="687" spans="1:19" x14ac:dyDescent="0.25">
      <c r="A687" s="30">
        <v>6.82</v>
      </c>
      <c r="B687" s="30">
        <v>10.805027947912096</v>
      </c>
      <c r="C687" s="30">
        <v>13.552728918894157</v>
      </c>
      <c r="D687" s="30">
        <v>14.847818745733987</v>
      </c>
      <c r="E687" s="30">
        <v>21.129865282530517</v>
      </c>
      <c r="F687" s="30">
        <v>22.199794936210168</v>
      </c>
      <c r="G687" s="30">
        <v>20.094999496202711</v>
      </c>
      <c r="H687" s="30">
        <v>24.976310614312872</v>
      </c>
      <c r="I687" s="30">
        <v>17.758749496202711</v>
      </c>
      <c r="J687" s="30">
        <v>15.207842555257789</v>
      </c>
      <c r="K687" s="30">
        <v>13.052499496202708</v>
      </c>
      <c r="L687" s="30">
        <v>13.505342555257794</v>
      </c>
      <c r="M687" s="30">
        <v>13.048749496202712</v>
      </c>
      <c r="N687" s="30">
        <v>13.018749496202712</v>
      </c>
      <c r="O687" s="30">
        <v>13.552842555257794</v>
      </c>
      <c r="P687" s="30">
        <v>13.131249496202711</v>
      </c>
      <c r="Q687" s="30">
        <v>13.812842555257793</v>
      </c>
      <c r="R687" s="30">
        <v>12.10612449620271</v>
      </c>
      <c r="S687" s="25"/>
    </row>
    <row r="688" spans="1:19" x14ac:dyDescent="0.25">
      <c r="A688" s="26">
        <v>6.83</v>
      </c>
      <c r="B688" s="26">
        <v>10.805027947912096</v>
      </c>
      <c r="C688" s="26">
        <v>13.552728918894157</v>
      </c>
      <c r="D688" s="26">
        <v>14.847818745733987</v>
      </c>
      <c r="E688" s="26">
        <v>21.129865282530517</v>
      </c>
      <c r="F688" s="26">
        <v>22.199794936210168</v>
      </c>
      <c r="G688" s="26">
        <v>20.094999496202711</v>
      </c>
      <c r="H688" s="26">
        <v>24.976310614312872</v>
      </c>
      <c r="I688" s="26">
        <v>17.758749496202711</v>
      </c>
      <c r="J688" s="26">
        <v>15.207842555257789</v>
      </c>
      <c r="K688" s="26">
        <v>13.052499496202708</v>
      </c>
      <c r="L688" s="26">
        <v>13.505342555257794</v>
      </c>
      <c r="M688" s="26">
        <v>13.048749496202712</v>
      </c>
      <c r="N688" s="26">
        <v>13.018749496202712</v>
      </c>
      <c r="O688" s="26">
        <v>13.552842555257794</v>
      </c>
      <c r="P688" s="26">
        <v>13.131249496202711</v>
      </c>
      <c r="Q688" s="26">
        <v>13.812842555257793</v>
      </c>
      <c r="R688" s="26">
        <v>12.10612449620271</v>
      </c>
      <c r="S688" s="24"/>
    </row>
    <row r="689" spans="1:19" x14ac:dyDescent="0.25">
      <c r="A689" s="30">
        <v>6.84</v>
      </c>
      <c r="B689" s="30">
        <v>10.805027947912096</v>
      </c>
      <c r="C689" s="30">
        <v>13.552728918894157</v>
      </c>
      <c r="D689" s="30">
        <v>14.847818745733987</v>
      </c>
      <c r="E689" s="30">
        <v>21.129865282530517</v>
      </c>
      <c r="F689" s="30">
        <v>22.199794936210168</v>
      </c>
      <c r="G689" s="30">
        <v>20.094999496202711</v>
      </c>
      <c r="H689" s="30">
        <v>24.976310614312872</v>
      </c>
      <c r="I689" s="30">
        <v>17.758749496202711</v>
      </c>
      <c r="J689" s="30">
        <v>15.207842555257789</v>
      </c>
      <c r="K689" s="30">
        <v>13.052499496202708</v>
      </c>
      <c r="L689" s="30">
        <v>13.505342555257794</v>
      </c>
      <c r="M689" s="30">
        <v>13.048749496202712</v>
      </c>
      <c r="N689" s="30">
        <v>13.018749496202712</v>
      </c>
      <c r="O689" s="30">
        <v>13.552842555257794</v>
      </c>
      <c r="P689" s="30">
        <v>13.131249496202711</v>
      </c>
      <c r="Q689" s="30">
        <v>13.812842555257793</v>
      </c>
      <c r="R689" s="30">
        <v>12.10612449620271</v>
      </c>
      <c r="S689" s="25"/>
    </row>
    <row r="690" spans="1:19" x14ac:dyDescent="0.25">
      <c r="A690" s="26">
        <v>6.85</v>
      </c>
      <c r="B690" s="26">
        <v>10.805027947912096</v>
      </c>
      <c r="C690" s="26">
        <v>13.552728918894157</v>
      </c>
      <c r="D690" s="26">
        <v>14.847818745733987</v>
      </c>
      <c r="E690" s="26">
        <v>21.129865282530517</v>
      </c>
      <c r="F690" s="26">
        <v>22.199794936210168</v>
      </c>
      <c r="G690" s="26">
        <v>20.094999496202711</v>
      </c>
      <c r="H690" s="26">
        <v>24.976310614312872</v>
      </c>
      <c r="I690" s="26">
        <v>17.758749496202711</v>
      </c>
      <c r="J690" s="26">
        <v>15.207842555257789</v>
      </c>
      <c r="K690" s="26">
        <v>13.052499496202708</v>
      </c>
      <c r="L690" s="26">
        <v>13.505342555257794</v>
      </c>
      <c r="M690" s="26">
        <v>13.048749496202712</v>
      </c>
      <c r="N690" s="26">
        <v>13.018749496202712</v>
      </c>
      <c r="O690" s="26">
        <v>13.552842555257794</v>
      </c>
      <c r="P690" s="26">
        <v>13.131249496202711</v>
      </c>
      <c r="Q690" s="26">
        <v>13.812842555257793</v>
      </c>
      <c r="R690" s="26">
        <v>12.10612449620271</v>
      </c>
      <c r="S690" s="24"/>
    </row>
    <row r="691" spans="1:19" x14ac:dyDescent="0.25">
      <c r="A691" s="30">
        <v>6.86</v>
      </c>
      <c r="B691" s="30">
        <v>10.805027947912096</v>
      </c>
      <c r="C691" s="30">
        <v>13.552728918894157</v>
      </c>
      <c r="D691" s="30">
        <v>14.847818745733987</v>
      </c>
      <c r="E691" s="30">
        <v>21.129865282530517</v>
      </c>
      <c r="F691" s="30">
        <v>22.199794936210168</v>
      </c>
      <c r="G691" s="30">
        <v>20.094999496202711</v>
      </c>
      <c r="H691" s="30">
        <v>24.976310614312872</v>
      </c>
      <c r="I691" s="30">
        <v>17.758749496202711</v>
      </c>
      <c r="J691" s="30">
        <v>15.207842555257789</v>
      </c>
      <c r="K691" s="30">
        <v>13.052499496202708</v>
      </c>
      <c r="L691" s="30">
        <v>13.505342555257794</v>
      </c>
      <c r="M691" s="30">
        <v>13.048749496202712</v>
      </c>
      <c r="N691" s="30">
        <v>13.018749496202712</v>
      </c>
      <c r="O691" s="30">
        <v>13.552842555257794</v>
      </c>
      <c r="P691" s="30">
        <v>13.131249496202711</v>
      </c>
      <c r="Q691" s="30">
        <v>13.812842555257793</v>
      </c>
      <c r="R691" s="30">
        <v>12.10612449620271</v>
      </c>
      <c r="S691" s="25"/>
    </row>
    <row r="692" spans="1:19" x14ac:dyDescent="0.25">
      <c r="A692" s="26">
        <v>6.87</v>
      </c>
      <c r="B692" s="26">
        <v>10.805027947912096</v>
      </c>
      <c r="C692" s="26">
        <v>13.552728918894157</v>
      </c>
      <c r="D692" s="26">
        <v>14.847818745733987</v>
      </c>
      <c r="E692" s="26">
        <v>21.129865282530517</v>
      </c>
      <c r="F692" s="26">
        <v>22.199794936210168</v>
      </c>
      <c r="G692" s="26">
        <v>20.094999496202711</v>
      </c>
      <c r="H692" s="26">
        <v>24.976310614312872</v>
      </c>
      <c r="I692" s="26">
        <v>17.758749496202711</v>
      </c>
      <c r="J692" s="26">
        <v>15.207842555257789</v>
      </c>
      <c r="K692" s="26">
        <v>13.052499496202708</v>
      </c>
      <c r="L692" s="26">
        <v>13.505342555257794</v>
      </c>
      <c r="M692" s="26">
        <v>13.048749496202712</v>
      </c>
      <c r="N692" s="26">
        <v>13.018749496202712</v>
      </c>
      <c r="O692" s="26">
        <v>13.552842555257794</v>
      </c>
      <c r="P692" s="26">
        <v>13.131249496202711</v>
      </c>
      <c r="Q692" s="26">
        <v>13.812842555257793</v>
      </c>
      <c r="R692" s="26">
        <v>12.10612449620271</v>
      </c>
      <c r="S692" s="24"/>
    </row>
    <row r="693" spans="1:19" x14ac:dyDescent="0.25">
      <c r="A693" s="30">
        <v>6.88</v>
      </c>
      <c r="B693" s="30">
        <v>10.805027947912096</v>
      </c>
      <c r="C693" s="30">
        <v>13.552728918894157</v>
      </c>
      <c r="D693" s="30">
        <v>14.847818745733987</v>
      </c>
      <c r="E693" s="30">
        <v>21.129865282530517</v>
      </c>
      <c r="F693" s="30">
        <v>22.199794936210168</v>
      </c>
      <c r="G693" s="30">
        <v>20.094999496202711</v>
      </c>
      <c r="H693" s="30">
        <v>24.976310614312872</v>
      </c>
      <c r="I693" s="30">
        <v>17.758749496202711</v>
      </c>
      <c r="J693" s="30">
        <v>15.207842555257789</v>
      </c>
      <c r="K693" s="30">
        <v>13.052499496202708</v>
      </c>
      <c r="L693" s="30">
        <v>13.505342555257794</v>
      </c>
      <c r="M693" s="30">
        <v>13.048749496202712</v>
      </c>
      <c r="N693" s="30">
        <v>13.018749496202712</v>
      </c>
      <c r="O693" s="30">
        <v>13.552842555257794</v>
      </c>
      <c r="P693" s="30">
        <v>13.131249496202711</v>
      </c>
      <c r="Q693" s="30">
        <v>13.812842555257793</v>
      </c>
      <c r="R693" s="30">
        <v>12.10612449620271</v>
      </c>
      <c r="S693" s="25"/>
    </row>
    <row r="694" spans="1:19" x14ac:dyDescent="0.25">
      <c r="A694" s="26">
        <v>6.89</v>
      </c>
      <c r="B694" s="26">
        <v>10.805027947912096</v>
      </c>
      <c r="C694" s="26">
        <v>14.069918568858331</v>
      </c>
      <c r="D694" s="26">
        <v>14.847818745733987</v>
      </c>
      <c r="E694" s="26">
        <v>23.541339023403779</v>
      </c>
      <c r="F694" s="26">
        <v>22.199794936210168</v>
      </c>
      <c r="G694" s="26">
        <v>20.094999496202711</v>
      </c>
      <c r="H694" s="26">
        <v>24.976310614312872</v>
      </c>
      <c r="I694" s="26">
        <v>17.758749496202711</v>
      </c>
      <c r="J694" s="26">
        <v>15.207842555257789</v>
      </c>
      <c r="K694" s="26">
        <v>13.052499496202708</v>
      </c>
      <c r="L694" s="26">
        <v>13.505342555257794</v>
      </c>
      <c r="M694" s="26">
        <v>13.048749496202712</v>
      </c>
      <c r="N694" s="26">
        <v>13.018749496202712</v>
      </c>
      <c r="O694" s="26">
        <v>13.552842555257794</v>
      </c>
      <c r="P694" s="26">
        <v>13.131249496202711</v>
      </c>
      <c r="Q694" s="26">
        <v>13.812842555257793</v>
      </c>
      <c r="R694" s="26">
        <v>12.10612449620271</v>
      </c>
      <c r="S694" s="24"/>
    </row>
    <row r="695" spans="1:19" x14ac:dyDescent="0.25">
      <c r="A695" s="30">
        <v>6.9</v>
      </c>
      <c r="B695" s="30">
        <v>10.805027947912096</v>
      </c>
      <c r="C695" s="30">
        <v>14.069918568858331</v>
      </c>
      <c r="D695" s="30">
        <v>14.847818745733987</v>
      </c>
      <c r="E695" s="30">
        <v>23.541339023403779</v>
      </c>
      <c r="F695" s="30">
        <v>22.199794936210168</v>
      </c>
      <c r="G695" s="30">
        <v>20.094999496202711</v>
      </c>
      <c r="H695" s="30">
        <v>24.976310614312872</v>
      </c>
      <c r="I695" s="30">
        <v>17.758749496202711</v>
      </c>
      <c r="J695" s="30">
        <v>15.207842555257789</v>
      </c>
      <c r="K695" s="30">
        <v>13.052499496202708</v>
      </c>
      <c r="L695" s="30">
        <v>13.505342555257794</v>
      </c>
      <c r="M695" s="30">
        <v>13.048749496202712</v>
      </c>
      <c r="N695" s="30">
        <v>13.018749496202712</v>
      </c>
      <c r="O695" s="30">
        <v>13.552842555257794</v>
      </c>
      <c r="P695" s="30">
        <v>13.131249496202711</v>
      </c>
      <c r="Q695" s="30">
        <v>13.812842555257793</v>
      </c>
      <c r="R695" s="30">
        <v>12.10612449620271</v>
      </c>
      <c r="S695" s="25"/>
    </row>
    <row r="696" spans="1:19" x14ac:dyDescent="0.25">
      <c r="A696" s="26">
        <v>6.91</v>
      </c>
      <c r="B696" s="26">
        <v>10.805027947912096</v>
      </c>
      <c r="C696" s="26">
        <v>14.069918568858331</v>
      </c>
      <c r="D696" s="26">
        <v>14.847818745733987</v>
      </c>
      <c r="E696" s="26">
        <v>23.541339023403779</v>
      </c>
      <c r="F696" s="26">
        <v>22.199794936210168</v>
      </c>
      <c r="G696" s="26">
        <v>20.094999496202711</v>
      </c>
      <c r="H696" s="26">
        <v>24.976310614312872</v>
      </c>
      <c r="I696" s="26">
        <v>17.758749496202711</v>
      </c>
      <c r="J696" s="26">
        <v>15.207842555257789</v>
      </c>
      <c r="K696" s="26">
        <v>13.052499496202708</v>
      </c>
      <c r="L696" s="26">
        <v>13.505342555257794</v>
      </c>
      <c r="M696" s="26">
        <v>13.048749496202712</v>
      </c>
      <c r="N696" s="26">
        <v>13.018749496202712</v>
      </c>
      <c r="O696" s="26">
        <v>13.552842555257794</v>
      </c>
      <c r="P696" s="26">
        <v>13.131249496202711</v>
      </c>
      <c r="Q696" s="26">
        <v>13.812842555257793</v>
      </c>
      <c r="R696" s="26">
        <v>12.10612449620271</v>
      </c>
      <c r="S696" s="24"/>
    </row>
    <row r="697" spans="1:19" x14ac:dyDescent="0.25">
      <c r="A697" s="30">
        <v>6.92</v>
      </c>
      <c r="B697" s="30">
        <v>10.805027947912096</v>
      </c>
      <c r="C697" s="30">
        <v>14.069918568858331</v>
      </c>
      <c r="D697" s="30">
        <v>14.847818745733987</v>
      </c>
      <c r="E697" s="30">
        <v>23.541339023403779</v>
      </c>
      <c r="F697" s="30">
        <v>22.199794936210168</v>
      </c>
      <c r="G697" s="30">
        <v>20.094999496202711</v>
      </c>
      <c r="H697" s="30">
        <v>27.674778673367953</v>
      </c>
      <c r="I697" s="30">
        <v>17.758749496202711</v>
      </c>
      <c r="J697" s="30">
        <v>15.207842555257789</v>
      </c>
      <c r="K697" s="30">
        <v>13.052499496202708</v>
      </c>
      <c r="L697" s="30">
        <v>13.505342555257794</v>
      </c>
      <c r="M697" s="30">
        <v>13.048749496202712</v>
      </c>
      <c r="N697" s="30">
        <v>13.018749496202712</v>
      </c>
      <c r="O697" s="30">
        <v>13.552842555257794</v>
      </c>
      <c r="P697" s="30">
        <v>13.131249496202711</v>
      </c>
      <c r="Q697" s="30">
        <v>13.812842555257793</v>
      </c>
      <c r="R697" s="30">
        <v>12.10612449620271</v>
      </c>
      <c r="S697" s="25"/>
    </row>
    <row r="698" spans="1:19" x14ac:dyDescent="0.25">
      <c r="A698" s="26">
        <v>6.93</v>
      </c>
      <c r="B698" s="26">
        <v>10.805027947912096</v>
      </c>
      <c r="C698" s="26">
        <v>14.069918568858331</v>
      </c>
      <c r="D698" s="26">
        <v>14.847818745733987</v>
      </c>
      <c r="E698" s="26">
        <v>23.541339023403779</v>
      </c>
      <c r="F698" s="26">
        <v>22.199794936210168</v>
      </c>
      <c r="G698" s="26">
        <v>20.094999496202711</v>
      </c>
      <c r="H698" s="26">
        <v>27.674778673367953</v>
      </c>
      <c r="I698" s="26">
        <v>17.758749496202711</v>
      </c>
      <c r="J698" s="26">
        <v>15.207842555257789</v>
      </c>
      <c r="K698" s="26">
        <v>13.052499496202708</v>
      </c>
      <c r="L698" s="26">
        <v>13.505342555257794</v>
      </c>
      <c r="M698" s="26">
        <v>13.048749496202712</v>
      </c>
      <c r="N698" s="26">
        <v>13.018749496202712</v>
      </c>
      <c r="O698" s="26">
        <v>13.552842555257794</v>
      </c>
      <c r="P698" s="26">
        <v>13.131249496202711</v>
      </c>
      <c r="Q698" s="26">
        <v>13.812842555257793</v>
      </c>
      <c r="R698" s="26">
        <v>12.10612449620271</v>
      </c>
      <c r="S698" s="24"/>
    </row>
    <row r="699" spans="1:19" x14ac:dyDescent="0.25">
      <c r="A699" s="30">
        <v>6.94</v>
      </c>
      <c r="B699" s="30">
        <v>10.805027947912096</v>
      </c>
      <c r="C699" s="30">
        <v>14.069918568858331</v>
      </c>
      <c r="D699" s="30">
        <v>14.847818745733987</v>
      </c>
      <c r="E699" s="30">
        <v>23.541339023403779</v>
      </c>
      <c r="F699" s="30">
        <v>22.199794936210168</v>
      </c>
      <c r="G699" s="30">
        <v>20.094999496202711</v>
      </c>
      <c r="H699" s="30">
        <v>27.674778673367953</v>
      </c>
      <c r="I699" s="30">
        <v>17.758749496202711</v>
      </c>
      <c r="J699" s="30">
        <v>15.207842555257789</v>
      </c>
      <c r="K699" s="30">
        <v>13.052499496202708</v>
      </c>
      <c r="L699" s="30">
        <v>13.505342555257794</v>
      </c>
      <c r="M699" s="30">
        <v>13.048749496202712</v>
      </c>
      <c r="N699" s="30">
        <v>13.018749496202712</v>
      </c>
      <c r="O699" s="30">
        <v>13.552842555257794</v>
      </c>
      <c r="P699" s="30">
        <v>13.131249496202711</v>
      </c>
      <c r="Q699" s="30">
        <v>13.812842555257793</v>
      </c>
      <c r="R699" s="30">
        <v>12.10612449620271</v>
      </c>
      <c r="S699" s="25"/>
    </row>
    <row r="700" spans="1:19" x14ac:dyDescent="0.25">
      <c r="A700" s="26">
        <v>6.95</v>
      </c>
      <c r="B700" s="26">
        <v>10.805027947912096</v>
      </c>
      <c r="C700" s="26">
        <v>14.069918568858331</v>
      </c>
      <c r="D700" s="26">
        <v>14.847818745733987</v>
      </c>
      <c r="E700" s="26">
        <v>23.541339023403779</v>
      </c>
      <c r="F700" s="26">
        <v>22.199794936210168</v>
      </c>
      <c r="G700" s="26">
        <v>20.094999496202711</v>
      </c>
      <c r="H700" s="26">
        <v>27.674778673367953</v>
      </c>
      <c r="I700" s="26">
        <v>17.758749496202711</v>
      </c>
      <c r="J700" s="26">
        <v>15.207842555257789</v>
      </c>
      <c r="K700" s="26">
        <v>13.052499496202708</v>
      </c>
      <c r="L700" s="26">
        <v>13.505342555257794</v>
      </c>
      <c r="M700" s="26">
        <v>13.048749496202712</v>
      </c>
      <c r="N700" s="26">
        <v>13.018749496202712</v>
      </c>
      <c r="O700" s="26">
        <v>13.552842555257794</v>
      </c>
      <c r="P700" s="26">
        <v>13.131249496202711</v>
      </c>
      <c r="Q700" s="26">
        <v>13.812842555257793</v>
      </c>
      <c r="R700" s="26">
        <v>12.10612449620271</v>
      </c>
      <c r="S700" s="24"/>
    </row>
    <row r="701" spans="1:19" x14ac:dyDescent="0.25">
      <c r="A701" s="30">
        <v>6.96</v>
      </c>
      <c r="B701" s="30">
        <v>10.805027947912096</v>
      </c>
      <c r="C701" s="30">
        <v>14.069918568858331</v>
      </c>
      <c r="D701" s="30">
        <v>14.847818745733987</v>
      </c>
      <c r="E701" s="30">
        <v>23.541339023403779</v>
      </c>
      <c r="F701" s="30">
        <v>22.199794936210168</v>
      </c>
      <c r="G701" s="30">
        <v>20.094999496202711</v>
      </c>
      <c r="H701" s="30">
        <v>27.674778673367953</v>
      </c>
      <c r="I701" s="30">
        <v>17.758749496202711</v>
      </c>
      <c r="J701" s="30">
        <v>15.207842555257789</v>
      </c>
      <c r="K701" s="30">
        <v>13.052499496202708</v>
      </c>
      <c r="L701" s="30">
        <v>13.505342555257794</v>
      </c>
      <c r="M701" s="30">
        <v>13.048749496202712</v>
      </c>
      <c r="N701" s="30">
        <v>13.018749496202712</v>
      </c>
      <c r="O701" s="30">
        <v>13.552842555257794</v>
      </c>
      <c r="P701" s="30">
        <v>13.131249496202711</v>
      </c>
      <c r="Q701" s="30">
        <v>13.812842555257793</v>
      </c>
      <c r="R701" s="30">
        <v>12.10612449620271</v>
      </c>
      <c r="S701" s="25"/>
    </row>
    <row r="702" spans="1:19" x14ac:dyDescent="0.25">
      <c r="A702" s="26">
        <v>6.97</v>
      </c>
      <c r="B702" s="26">
        <v>10.805027947912096</v>
      </c>
      <c r="C702" s="26">
        <v>14.069918568858331</v>
      </c>
      <c r="D702" s="26">
        <v>14.847818745733987</v>
      </c>
      <c r="E702" s="26">
        <v>23.541339023403779</v>
      </c>
      <c r="F702" s="26">
        <v>22.199794936210168</v>
      </c>
      <c r="G702" s="26">
        <v>20.094999496202711</v>
      </c>
      <c r="H702" s="26">
        <v>27.674778673367953</v>
      </c>
      <c r="I702" s="26">
        <v>17.758749496202711</v>
      </c>
      <c r="J702" s="26">
        <v>15.207842555257789</v>
      </c>
      <c r="K702" s="26">
        <v>13.052499496202708</v>
      </c>
      <c r="L702" s="26">
        <v>13.505342555257794</v>
      </c>
      <c r="M702" s="26">
        <v>13.048749496202712</v>
      </c>
      <c r="N702" s="26">
        <v>13.018749496202712</v>
      </c>
      <c r="O702" s="26">
        <v>13.552842555257794</v>
      </c>
      <c r="P702" s="26">
        <v>13.131249496202711</v>
      </c>
      <c r="Q702" s="26">
        <v>13.812842555257793</v>
      </c>
      <c r="R702" s="26">
        <v>12.10612449620271</v>
      </c>
      <c r="S702" s="24"/>
    </row>
    <row r="703" spans="1:19" x14ac:dyDescent="0.25">
      <c r="A703" s="30">
        <v>6.98</v>
      </c>
      <c r="B703" s="30">
        <v>10.805027947912096</v>
      </c>
      <c r="C703" s="30">
        <v>14.069918568858331</v>
      </c>
      <c r="D703" s="30">
        <v>14.847818745733987</v>
      </c>
      <c r="E703" s="30">
        <v>23.541339023403779</v>
      </c>
      <c r="F703" s="30">
        <v>22.199794936210168</v>
      </c>
      <c r="G703" s="30">
        <v>20.094999496202711</v>
      </c>
      <c r="H703" s="30">
        <v>27.674778673367953</v>
      </c>
      <c r="I703" s="30">
        <v>17.758749496202711</v>
      </c>
      <c r="J703" s="30">
        <v>15.207842555257789</v>
      </c>
      <c r="K703" s="30">
        <v>13.052499496202708</v>
      </c>
      <c r="L703" s="30">
        <v>13.505342555257794</v>
      </c>
      <c r="M703" s="30">
        <v>13.048749496202712</v>
      </c>
      <c r="N703" s="30">
        <v>13.018749496202712</v>
      </c>
      <c r="O703" s="30">
        <v>13.552842555257794</v>
      </c>
      <c r="P703" s="30">
        <v>13.131249496202711</v>
      </c>
      <c r="Q703" s="30">
        <v>13.812842555257793</v>
      </c>
      <c r="R703" s="30">
        <v>12.10612449620271</v>
      </c>
      <c r="S703" s="25"/>
    </row>
    <row r="704" spans="1:19" x14ac:dyDescent="0.25">
      <c r="A704" s="26">
        <v>6.99</v>
      </c>
      <c r="B704" s="26">
        <v>10.805027947912096</v>
      </c>
      <c r="C704" s="26">
        <v>14.069918568858331</v>
      </c>
      <c r="D704" s="26">
        <v>14.847818745733987</v>
      </c>
      <c r="E704" s="26">
        <v>23.541339023403779</v>
      </c>
      <c r="F704" s="26">
        <v>22.199794936210168</v>
      </c>
      <c r="G704" s="26">
        <v>20.094999496202711</v>
      </c>
      <c r="H704" s="26">
        <v>27.674778673367953</v>
      </c>
      <c r="I704" s="26">
        <v>17.758749496202711</v>
      </c>
      <c r="J704" s="26">
        <v>15.207842555257789</v>
      </c>
      <c r="K704" s="26">
        <v>13.052499496202708</v>
      </c>
      <c r="L704" s="26">
        <v>13.505342555257794</v>
      </c>
      <c r="M704" s="26">
        <v>13.048749496202712</v>
      </c>
      <c r="N704" s="26">
        <v>13.018749496202712</v>
      </c>
      <c r="O704" s="26">
        <v>13.552842555257794</v>
      </c>
      <c r="P704" s="26">
        <v>13.131249496202711</v>
      </c>
      <c r="Q704" s="26">
        <v>13.812842555257793</v>
      </c>
      <c r="R704" s="26">
        <v>12.10612449620271</v>
      </c>
      <c r="S704" s="24"/>
    </row>
    <row r="705" spans="1:19" x14ac:dyDescent="0.25">
      <c r="A705" s="30">
        <v>7</v>
      </c>
      <c r="B705" s="30">
        <v>10.805027947912096</v>
      </c>
      <c r="C705" s="30">
        <v>14.069918568858331</v>
      </c>
      <c r="D705" s="30">
        <v>14.847818745733987</v>
      </c>
      <c r="E705" s="30">
        <v>23.541339023403779</v>
      </c>
      <c r="F705" s="30">
        <v>22.199794936210168</v>
      </c>
      <c r="G705" s="30">
        <v>20.094999496202711</v>
      </c>
      <c r="H705" s="30">
        <v>27.674778673367953</v>
      </c>
      <c r="I705" s="30">
        <v>17.758749496202711</v>
      </c>
      <c r="J705" s="30">
        <v>15.207842555257789</v>
      </c>
      <c r="K705" s="30">
        <v>13.052499496202708</v>
      </c>
      <c r="L705" s="30">
        <v>13.505342555257794</v>
      </c>
      <c r="M705" s="30">
        <v>13.048749496202712</v>
      </c>
      <c r="N705" s="30">
        <v>13.018749496202712</v>
      </c>
      <c r="O705" s="30">
        <v>13.552842555257794</v>
      </c>
      <c r="P705" s="30">
        <v>13.131249496202711</v>
      </c>
      <c r="Q705" s="30">
        <v>13.812842555257793</v>
      </c>
      <c r="R705" s="30">
        <v>12.10612449620271</v>
      </c>
      <c r="S705" s="25"/>
    </row>
    <row r="706" spans="1:19" x14ac:dyDescent="0.25">
      <c r="A706" s="26">
        <v>7.01</v>
      </c>
      <c r="B706" s="26">
        <v>10.805027947912096</v>
      </c>
      <c r="C706" s="26">
        <v>14.069918568858331</v>
      </c>
      <c r="D706" s="26">
        <v>14.847818745733987</v>
      </c>
      <c r="E706" s="26">
        <v>23.541339023403779</v>
      </c>
      <c r="F706" s="26">
        <v>22.199794936210168</v>
      </c>
      <c r="G706" s="26">
        <v>20.094999496202711</v>
      </c>
      <c r="H706" s="26">
        <v>27.674778673367953</v>
      </c>
      <c r="I706" s="26">
        <v>17.758749496202711</v>
      </c>
      <c r="J706" s="26">
        <v>15.207842555257789</v>
      </c>
      <c r="K706" s="26">
        <v>13.052499496202708</v>
      </c>
      <c r="L706" s="26">
        <v>13.505342555257794</v>
      </c>
      <c r="M706" s="26">
        <v>13.048749496202712</v>
      </c>
      <c r="N706" s="26">
        <v>13.018749496202712</v>
      </c>
      <c r="O706" s="26">
        <v>13.552842555257794</v>
      </c>
      <c r="P706" s="26">
        <v>13.131249496202711</v>
      </c>
      <c r="Q706" s="26">
        <v>13.812842555257793</v>
      </c>
      <c r="R706" s="26">
        <v>12.10612449620271</v>
      </c>
      <c r="S706" s="24"/>
    </row>
    <row r="707" spans="1:19" x14ac:dyDescent="0.25">
      <c r="A707" s="30">
        <v>7.02</v>
      </c>
      <c r="B707" s="30">
        <v>10.805027947912096</v>
      </c>
      <c r="C707" s="30">
        <v>14.069918568858331</v>
      </c>
      <c r="D707" s="30">
        <v>14.847818745733987</v>
      </c>
      <c r="E707" s="30">
        <v>23.541339023403779</v>
      </c>
      <c r="F707" s="30">
        <v>22.199794936210168</v>
      </c>
      <c r="G707" s="30">
        <v>20.094999496202711</v>
      </c>
      <c r="H707" s="30">
        <v>27.674778673367953</v>
      </c>
      <c r="I707" s="30">
        <v>17.758749496202711</v>
      </c>
      <c r="J707" s="30">
        <v>15.207842555257789</v>
      </c>
      <c r="K707" s="30">
        <v>13.052499496202708</v>
      </c>
      <c r="L707" s="30">
        <v>13.505342555257794</v>
      </c>
      <c r="M707" s="30">
        <v>13.048749496202712</v>
      </c>
      <c r="N707" s="30">
        <v>13.018749496202712</v>
      </c>
      <c r="O707" s="30">
        <v>13.552842555257794</v>
      </c>
      <c r="P707" s="30">
        <v>13.131249496202711</v>
      </c>
      <c r="Q707" s="30">
        <v>13.812842555257793</v>
      </c>
      <c r="R707" s="30">
        <v>12.10612449620271</v>
      </c>
      <c r="S707" s="25"/>
    </row>
    <row r="708" spans="1:19" x14ac:dyDescent="0.25">
      <c r="A708" s="26">
        <v>7.03</v>
      </c>
      <c r="B708" s="26">
        <v>10.805027947912096</v>
      </c>
      <c r="C708" s="26">
        <v>14.069918568858331</v>
      </c>
      <c r="D708" s="26">
        <v>14.847818745733987</v>
      </c>
      <c r="E708" s="26">
        <v>23.541339023403779</v>
      </c>
      <c r="F708" s="26">
        <v>22.199794936210168</v>
      </c>
      <c r="G708" s="26">
        <v>20.094999496202711</v>
      </c>
      <c r="H708" s="26">
        <v>27.674778673367953</v>
      </c>
      <c r="I708" s="26">
        <v>17.758749496202711</v>
      </c>
      <c r="J708" s="26">
        <v>15.207842555257789</v>
      </c>
      <c r="K708" s="26">
        <v>13.052499496202708</v>
      </c>
      <c r="L708" s="26">
        <v>13.505342555257794</v>
      </c>
      <c r="M708" s="26">
        <v>13.048749496202712</v>
      </c>
      <c r="N708" s="26">
        <v>13.018749496202712</v>
      </c>
      <c r="O708" s="26">
        <v>13.552842555257794</v>
      </c>
      <c r="P708" s="26">
        <v>13.131249496202711</v>
      </c>
      <c r="Q708" s="26">
        <v>13.812842555257793</v>
      </c>
      <c r="R708" s="26">
        <v>12.10612449620271</v>
      </c>
      <c r="S708" s="24"/>
    </row>
    <row r="709" spans="1:19" x14ac:dyDescent="0.25">
      <c r="A709" s="30">
        <v>7.04</v>
      </c>
      <c r="B709" s="30">
        <v>10.805027947912096</v>
      </c>
      <c r="C709" s="30">
        <v>14.069918568858331</v>
      </c>
      <c r="D709" s="30">
        <v>14.847818745733987</v>
      </c>
      <c r="E709" s="30">
        <v>23.541339023403779</v>
      </c>
      <c r="F709" s="30">
        <v>22.199794936210168</v>
      </c>
      <c r="G709" s="30">
        <v>20.094999496202711</v>
      </c>
      <c r="H709" s="30">
        <v>27.674778673367953</v>
      </c>
      <c r="I709" s="30">
        <v>17.758749496202711</v>
      </c>
      <c r="J709" s="30">
        <v>15.207842555257789</v>
      </c>
      <c r="K709" s="30">
        <v>13.052499496202708</v>
      </c>
      <c r="L709" s="30">
        <v>13.505342555257794</v>
      </c>
      <c r="M709" s="30">
        <v>13.048749496202712</v>
      </c>
      <c r="N709" s="30">
        <v>13.018749496202712</v>
      </c>
      <c r="O709" s="30">
        <v>13.552842555257794</v>
      </c>
      <c r="P709" s="30">
        <v>13.131249496202711</v>
      </c>
      <c r="Q709" s="30">
        <v>13.812842555257793</v>
      </c>
      <c r="R709" s="30">
        <v>12.10612449620271</v>
      </c>
      <c r="S709" s="25"/>
    </row>
    <row r="710" spans="1:19" x14ac:dyDescent="0.25">
      <c r="A710" s="26">
        <v>7.05</v>
      </c>
      <c r="B710" s="26">
        <v>10.805027947912096</v>
      </c>
      <c r="C710" s="26">
        <v>14.069918568858331</v>
      </c>
      <c r="D710" s="26">
        <v>14.847818745733987</v>
      </c>
      <c r="E710" s="26">
        <v>23.541339023403779</v>
      </c>
      <c r="F710" s="26">
        <v>22.199794936210168</v>
      </c>
      <c r="G710" s="26">
        <v>22.965342555257791</v>
      </c>
      <c r="H710" s="26">
        <v>27.674778673367953</v>
      </c>
      <c r="I710" s="26">
        <v>19.850342555257793</v>
      </c>
      <c r="J710" s="26">
        <v>15.207842555257789</v>
      </c>
      <c r="K710" s="26">
        <v>13.575342555257789</v>
      </c>
      <c r="L710" s="26">
        <v>13.505342555257794</v>
      </c>
      <c r="M710" s="26">
        <v>13.570342555257794</v>
      </c>
      <c r="N710" s="26">
        <v>13.530342555257795</v>
      </c>
      <c r="O710" s="26">
        <v>13.552842555257794</v>
      </c>
      <c r="P710" s="26">
        <v>13.680342555257793</v>
      </c>
      <c r="Q710" s="26">
        <v>13.812842555257793</v>
      </c>
      <c r="R710" s="26">
        <v>12.313509221924459</v>
      </c>
      <c r="S710" s="24"/>
    </row>
    <row r="711" spans="1:19" x14ac:dyDescent="0.25">
      <c r="A711" s="30">
        <v>7.06</v>
      </c>
      <c r="B711" s="30">
        <v>10.805027947912096</v>
      </c>
      <c r="C711" s="30">
        <v>14.069918568858331</v>
      </c>
      <c r="D711" s="30">
        <v>14.847818745733987</v>
      </c>
      <c r="E711" s="30">
        <v>23.541339023403779</v>
      </c>
      <c r="F711" s="30">
        <v>22.199794936210168</v>
      </c>
      <c r="G711" s="30">
        <v>22.965342555257791</v>
      </c>
      <c r="H711" s="30">
        <v>27.674778673367953</v>
      </c>
      <c r="I711" s="30">
        <v>19.850342555257793</v>
      </c>
      <c r="J711" s="30">
        <v>15.207842555257789</v>
      </c>
      <c r="K711" s="30">
        <v>13.575342555257789</v>
      </c>
      <c r="L711" s="30">
        <v>13.505342555257794</v>
      </c>
      <c r="M711" s="30">
        <v>13.570342555257794</v>
      </c>
      <c r="N711" s="30">
        <v>13.530342555257795</v>
      </c>
      <c r="O711" s="30">
        <v>13.552842555257794</v>
      </c>
      <c r="P711" s="30">
        <v>13.680342555257793</v>
      </c>
      <c r="Q711" s="30">
        <v>13.812842555257793</v>
      </c>
      <c r="R711" s="30">
        <v>12.313509221924459</v>
      </c>
      <c r="S711" s="25"/>
    </row>
    <row r="712" spans="1:19" x14ac:dyDescent="0.25">
      <c r="A712" s="26">
        <v>7.07</v>
      </c>
      <c r="B712" s="26">
        <v>10.805027947912096</v>
      </c>
      <c r="C712" s="26">
        <v>14.069918568858331</v>
      </c>
      <c r="D712" s="26">
        <v>14.847818745733987</v>
      </c>
      <c r="E712" s="26">
        <v>23.541339023403779</v>
      </c>
      <c r="F712" s="26">
        <v>22.199794936210168</v>
      </c>
      <c r="G712" s="26">
        <v>22.965342555257791</v>
      </c>
      <c r="H712" s="26">
        <v>27.674778673367953</v>
      </c>
      <c r="I712" s="26">
        <v>19.850342555257793</v>
      </c>
      <c r="J712" s="26">
        <v>15.207842555257789</v>
      </c>
      <c r="K712" s="26">
        <v>13.575342555257789</v>
      </c>
      <c r="L712" s="26">
        <v>13.505342555257794</v>
      </c>
      <c r="M712" s="26">
        <v>13.570342555257794</v>
      </c>
      <c r="N712" s="26">
        <v>13.530342555257795</v>
      </c>
      <c r="O712" s="26">
        <v>13.552842555257794</v>
      </c>
      <c r="P712" s="26">
        <v>13.680342555257793</v>
      </c>
      <c r="Q712" s="26">
        <v>13.812842555257793</v>
      </c>
      <c r="R712" s="26">
        <v>12.313509221924459</v>
      </c>
      <c r="S712" s="24"/>
    </row>
    <row r="713" spans="1:19" x14ac:dyDescent="0.25">
      <c r="A713" s="30">
        <v>7.08</v>
      </c>
      <c r="B713" s="30">
        <v>10.805027947912096</v>
      </c>
      <c r="C713" s="30">
        <v>14.069918568858331</v>
      </c>
      <c r="D713" s="30">
        <v>14.847818745733987</v>
      </c>
      <c r="E713" s="30">
        <v>23.541339023403779</v>
      </c>
      <c r="F713" s="30">
        <v>22.199794936210168</v>
      </c>
      <c r="G713" s="30">
        <v>22.965342555257791</v>
      </c>
      <c r="H713" s="30">
        <v>27.674778673367953</v>
      </c>
      <c r="I713" s="30">
        <v>19.850342555257793</v>
      </c>
      <c r="J713" s="30">
        <v>15.207842555257789</v>
      </c>
      <c r="K713" s="30">
        <v>13.575342555257789</v>
      </c>
      <c r="L713" s="30">
        <v>13.505342555257794</v>
      </c>
      <c r="M713" s="30">
        <v>13.570342555257794</v>
      </c>
      <c r="N713" s="30">
        <v>13.530342555257795</v>
      </c>
      <c r="O713" s="30">
        <v>13.552842555257794</v>
      </c>
      <c r="P713" s="30">
        <v>13.680342555257793</v>
      </c>
      <c r="Q713" s="30">
        <v>13.812842555257793</v>
      </c>
      <c r="R713" s="30">
        <v>12.313509221924459</v>
      </c>
      <c r="S713" s="25"/>
    </row>
    <row r="714" spans="1:19" x14ac:dyDescent="0.25">
      <c r="A714" s="26">
        <v>7.09</v>
      </c>
      <c r="B714" s="26">
        <v>10.805027947912096</v>
      </c>
      <c r="C714" s="26">
        <v>14.069918568858331</v>
      </c>
      <c r="D714" s="26">
        <v>14.847818745733987</v>
      </c>
      <c r="E714" s="26">
        <v>23.541339023403779</v>
      </c>
      <c r="F714" s="26">
        <v>22.199794936210168</v>
      </c>
      <c r="G714" s="26">
        <v>22.965342555257791</v>
      </c>
      <c r="H714" s="26">
        <v>27.674778673367953</v>
      </c>
      <c r="I714" s="26">
        <v>19.850342555257793</v>
      </c>
      <c r="J714" s="26">
        <v>15.207842555257789</v>
      </c>
      <c r="K714" s="26">
        <v>13.575342555257789</v>
      </c>
      <c r="L714" s="26">
        <v>13.505342555257794</v>
      </c>
      <c r="M714" s="26">
        <v>13.570342555257794</v>
      </c>
      <c r="N714" s="26">
        <v>13.530342555257795</v>
      </c>
      <c r="O714" s="26">
        <v>13.552842555257794</v>
      </c>
      <c r="P714" s="26">
        <v>13.680342555257793</v>
      </c>
      <c r="Q714" s="26">
        <v>13.812842555257793</v>
      </c>
      <c r="R714" s="26">
        <v>12.313509221924459</v>
      </c>
      <c r="S714" s="24"/>
    </row>
    <row r="715" spans="1:19" x14ac:dyDescent="0.25">
      <c r="A715" s="30">
        <v>7.1</v>
      </c>
      <c r="B715" s="30">
        <v>10.805027947912096</v>
      </c>
      <c r="C715" s="30">
        <v>14.069918568858331</v>
      </c>
      <c r="D715" s="30">
        <v>14.847818745733987</v>
      </c>
      <c r="E715" s="30">
        <v>23.541339023403779</v>
      </c>
      <c r="F715" s="30">
        <v>22.199794936210168</v>
      </c>
      <c r="G715" s="30">
        <v>22.965342555257791</v>
      </c>
      <c r="H715" s="30">
        <v>27.674778673367953</v>
      </c>
      <c r="I715" s="30">
        <v>19.850342555257793</v>
      </c>
      <c r="J715" s="30">
        <v>15.207842555257789</v>
      </c>
      <c r="K715" s="30">
        <v>13.575342555257789</v>
      </c>
      <c r="L715" s="30">
        <v>13.505342555257794</v>
      </c>
      <c r="M715" s="30">
        <v>13.570342555257794</v>
      </c>
      <c r="N715" s="30">
        <v>13.530342555257795</v>
      </c>
      <c r="O715" s="30">
        <v>13.552842555257794</v>
      </c>
      <c r="P715" s="30">
        <v>13.680342555257793</v>
      </c>
      <c r="Q715" s="30">
        <v>13.812842555257793</v>
      </c>
      <c r="R715" s="30">
        <v>12.313509221924459</v>
      </c>
      <c r="S715" s="25"/>
    </row>
    <row r="716" spans="1:19" x14ac:dyDescent="0.25">
      <c r="A716" s="26">
        <v>7.11</v>
      </c>
      <c r="B716" s="26">
        <v>10.805027947912096</v>
      </c>
      <c r="C716" s="26">
        <v>14.069918568858331</v>
      </c>
      <c r="D716" s="26">
        <v>14.847818745733987</v>
      </c>
      <c r="E716" s="26">
        <v>23.541339023403779</v>
      </c>
      <c r="F716" s="26">
        <v>22.199794936210168</v>
      </c>
      <c r="G716" s="26">
        <v>22.965342555257791</v>
      </c>
      <c r="H716" s="26">
        <v>27.674778673367953</v>
      </c>
      <c r="I716" s="26">
        <v>19.850342555257793</v>
      </c>
      <c r="J716" s="26">
        <v>15.207842555257789</v>
      </c>
      <c r="K716" s="26">
        <v>13.575342555257789</v>
      </c>
      <c r="L716" s="26">
        <v>13.505342555257794</v>
      </c>
      <c r="M716" s="26">
        <v>13.570342555257794</v>
      </c>
      <c r="N716" s="26">
        <v>13.530342555257795</v>
      </c>
      <c r="O716" s="26">
        <v>13.552842555257794</v>
      </c>
      <c r="P716" s="26">
        <v>13.680342555257793</v>
      </c>
      <c r="Q716" s="26">
        <v>13.812842555257793</v>
      </c>
      <c r="R716" s="26">
        <v>12.313509221924459</v>
      </c>
      <c r="S716" s="24"/>
    </row>
    <row r="717" spans="1:19" x14ac:dyDescent="0.25">
      <c r="A717" s="30">
        <v>7.12</v>
      </c>
      <c r="B717" s="30">
        <v>10.805027947912096</v>
      </c>
      <c r="C717" s="30">
        <v>14.069918568858331</v>
      </c>
      <c r="D717" s="30">
        <v>15.688780852408117</v>
      </c>
      <c r="E717" s="30">
        <v>23.541339023403779</v>
      </c>
      <c r="F717" s="30">
        <v>24.878751090503343</v>
      </c>
      <c r="G717" s="30">
        <v>22.965342555257791</v>
      </c>
      <c r="H717" s="30">
        <v>27.674778673367953</v>
      </c>
      <c r="I717" s="30">
        <v>19.850342555257793</v>
      </c>
      <c r="J717" s="30">
        <v>16.13881061431287</v>
      </c>
      <c r="K717" s="30">
        <v>13.575342555257789</v>
      </c>
      <c r="L717" s="30">
        <v>14.010685614312877</v>
      </c>
      <c r="M717" s="30">
        <v>13.570342555257794</v>
      </c>
      <c r="N717" s="30">
        <v>13.530342555257795</v>
      </c>
      <c r="O717" s="30">
        <v>14.070060614312876</v>
      </c>
      <c r="P717" s="30">
        <v>13.680342555257793</v>
      </c>
      <c r="Q717" s="30">
        <v>14.395060614312875</v>
      </c>
      <c r="R717" s="30">
        <v>12.313509221924459</v>
      </c>
      <c r="S717" s="25"/>
    </row>
    <row r="718" spans="1:19" x14ac:dyDescent="0.25">
      <c r="A718" s="26">
        <v>7.13</v>
      </c>
      <c r="B718" s="26">
        <v>10.805027947912096</v>
      </c>
      <c r="C718" s="26">
        <v>14.069918568858331</v>
      </c>
      <c r="D718" s="26">
        <v>15.688780852408117</v>
      </c>
      <c r="E718" s="26">
        <v>23.541339023403779</v>
      </c>
      <c r="F718" s="26">
        <v>24.878751090503343</v>
      </c>
      <c r="G718" s="26">
        <v>22.965342555257791</v>
      </c>
      <c r="H718" s="26">
        <v>27.674778673367953</v>
      </c>
      <c r="I718" s="26">
        <v>19.850342555257793</v>
      </c>
      <c r="J718" s="26">
        <v>16.13881061431287</v>
      </c>
      <c r="K718" s="26">
        <v>13.575342555257789</v>
      </c>
      <c r="L718" s="26">
        <v>14.010685614312877</v>
      </c>
      <c r="M718" s="26">
        <v>13.570342555257794</v>
      </c>
      <c r="N718" s="26">
        <v>13.530342555257795</v>
      </c>
      <c r="O718" s="26">
        <v>14.070060614312876</v>
      </c>
      <c r="P718" s="26">
        <v>13.680342555257793</v>
      </c>
      <c r="Q718" s="26">
        <v>14.395060614312875</v>
      </c>
      <c r="R718" s="26">
        <v>12.313509221924459</v>
      </c>
      <c r="S718" s="24"/>
    </row>
    <row r="719" spans="1:19" x14ac:dyDescent="0.25">
      <c r="A719" s="30">
        <v>7.14</v>
      </c>
      <c r="B719" s="30">
        <v>10.805027947912096</v>
      </c>
      <c r="C719" s="30">
        <v>14.069918568858331</v>
      </c>
      <c r="D719" s="30">
        <v>15.688780852408117</v>
      </c>
      <c r="E719" s="30">
        <v>23.541339023403779</v>
      </c>
      <c r="F719" s="30">
        <v>24.878751090503343</v>
      </c>
      <c r="G719" s="30">
        <v>22.965342555257791</v>
      </c>
      <c r="H719" s="30">
        <v>27.674778673367953</v>
      </c>
      <c r="I719" s="30">
        <v>19.850342555257793</v>
      </c>
      <c r="J719" s="30">
        <v>16.13881061431287</v>
      </c>
      <c r="K719" s="30">
        <v>13.575342555257789</v>
      </c>
      <c r="L719" s="30">
        <v>14.010685614312877</v>
      </c>
      <c r="M719" s="30">
        <v>13.570342555257794</v>
      </c>
      <c r="N719" s="30">
        <v>13.530342555257795</v>
      </c>
      <c r="O719" s="30">
        <v>14.070060614312876</v>
      </c>
      <c r="P719" s="30">
        <v>13.680342555257793</v>
      </c>
      <c r="Q719" s="30">
        <v>14.395060614312875</v>
      </c>
      <c r="R719" s="30">
        <v>12.313509221924459</v>
      </c>
      <c r="S719" s="25"/>
    </row>
    <row r="720" spans="1:19" x14ac:dyDescent="0.25">
      <c r="A720" s="26">
        <v>7.15</v>
      </c>
      <c r="B720" s="26">
        <v>10.805027947912096</v>
      </c>
      <c r="C720" s="26">
        <v>14.069918568858331</v>
      </c>
      <c r="D720" s="26">
        <v>15.688780852408117</v>
      </c>
      <c r="E720" s="26">
        <v>23.541339023403779</v>
      </c>
      <c r="F720" s="26">
        <v>24.878751090503343</v>
      </c>
      <c r="G720" s="26">
        <v>22.965342555257791</v>
      </c>
      <c r="H720" s="26">
        <v>27.674778673367953</v>
      </c>
      <c r="I720" s="26">
        <v>19.850342555257793</v>
      </c>
      <c r="J720" s="26">
        <v>16.13881061431287</v>
      </c>
      <c r="K720" s="26">
        <v>13.575342555257789</v>
      </c>
      <c r="L720" s="26">
        <v>14.010685614312877</v>
      </c>
      <c r="M720" s="26">
        <v>13.570342555257794</v>
      </c>
      <c r="N720" s="26">
        <v>13.530342555257795</v>
      </c>
      <c r="O720" s="26">
        <v>14.070060614312876</v>
      </c>
      <c r="P720" s="26">
        <v>13.680342555257793</v>
      </c>
      <c r="Q720" s="26">
        <v>14.395060614312875</v>
      </c>
      <c r="R720" s="26">
        <v>12.313509221924459</v>
      </c>
      <c r="S720" s="24"/>
    </row>
    <row r="721" spans="1:19" x14ac:dyDescent="0.25">
      <c r="A721" s="30">
        <v>7.16</v>
      </c>
      <c r="B721" s="30">
        <v>10.805027947912096</v>
      </c>
      <c r="C721" s="30">
        <v>14.069918568858331</v>
      </c>
      <c r="D721" s="30">
        <v>15.688780852408117</v>
      </c>
      <c r="E721" s="30">
        <v>23.541339023403779</v>
      </c>
      <c r="F721" s="30">
        <v>24.878751090503343</v>
      </c>
      <c r="G721" s="30">
        <v>22.965342555257791</v>
      </c>
      <c r="H721" s="30">
        <v>27.674778673367953</v>
      </c>
      <c r="I721" s="30">
        <v>19.850342555257793</v>
      </c>
      <c r="J721" s="30">
        <v>16.13881061431287</v>
      </c>
      <c r="K721" s="30">
        <v>13.575342555257789</v>
      </c>
      <c r="L721" s="30">
        <v>14.010685614312877</v>
      </c>
      <c r="M721" s="30">
        <v>13.570342555257794</v>
      </c>
      <c r="N721" s="30">
        <v>13.530342555257795</v>
      </c>
      <c r="O721" s="30">
        <v>14.070060614312876</v>
      </c>
      <c r="P721" s="30">
        <v>13.680342555257793</v>
      </c>
      <c r="Q721" s="30">
        <v>14.395060614312875</v>
      </c>
      <c r="R721" s="30">
        <v>12.313509221924459</v>
      </c>
      <c r="S721" s="25"/>
    </row>
    <row r="722" spans="1:19" x14ac:dyDescent="0.25">
      <c r="A722" s="26">
        <v>7.17</v>
      </c>
      <c r="B722" s="26">
        <v>10.805027947912096</v>
      </c>
      <c r="C722" s="26">
        <v>14.069918568858331</v>
      </c>
      <c r="D722" s="26">
        <v>15.688780852408117</v>
      </c>
      <c r="E722" s="26">
        <v>23.541339023403779</v>
      </c>
      <c r="F722" s="26">
        <v>24.878751090503343</v>
      </c>
      <c r="G722" s="26">
        <v>22.965342555257791</v>
      </c>
      <c r="H722" s="26">
        <v>27.674778673367953</v>
      </c>
      <c r="I722" s="26">
        <v>19.850342555257793</v>
      </c>
      <c r="J722" s="26">
        <v>16.13881061431287</v>
      </c>
      <c r="K722" s="26">
        <v>13.575342555257789</v>
      </c>
      <c r="L722" s="26">
        <v>14.010685614312877</v>
      </c>
      <c r="M722" s="26">
        <v>13.570342555257794</v>
      </c>
      <c r="N722" s="26">
        <v>13.530342555257795</v>
      </c>
      <c r="O722" s="26">
        <v>14.070060614312876</v>
      </c>
      <c r="P722" s="26">
        <v>13.680342555257793</v>
      </c>
      <c r="Q722" s="26">
        <v>14.395060614312875</v>
      </c>
      <c r="R722" s="26">
        <v>12.313509221924459</v>
      </c>
      <c r="S722" s="24"/>
    </row>
    <row r="723" spans="1:19" x14ac:dyDescent="0.25">
      <c r="A723" s="30">
        <v>7.18</v>
      </c>
      <c r="B723" s="30">
        <v>10.805027947912096</v>
      </c>
      <c r="C723" s="30">
        <v>14.587108218822504</v>
      </c>
      <c r="D723" s="30">
        <v>15.688780852408117</v>
      </c>
      <c r="E723" s="30">
        <v>25.952812764277041</v>
      </c>
      <c r="F723" s="30">
        <v>24.878751090503343</v>
      </c>
      <c r="G723" s="30">
        <v>22.965342555257791</v>
      </c>
      <c r="H723" s="30">
        <v>27.674778673367953</v>
      </c>
      <c r="I723" s="30">
        <v>19.850342555257793</v>
      </c>
      <c r="J723" s="30">
        <v>16.13881061431287</v>
      </c>
      <c r="K723" s="30">
        <v>13.575342555257789</v>
      </c>
      <c r="L723" s="30">
        <v>14.010685614312877</v>
      </c>
      <c r="M723" s="30">
        <v>13.570342555257794</v>
      </c>
      <c r="N723" s="30">
        <v>13.530342555257795</v>
      </c>
      <c r="O723" s="30">
        <v>14.070060614312876</v>
      </c>
      <c r="P723" s="30">
        <v>13.680342555257793</v>
      </c>
      <c r="Q723" s="30">
        <v>14.395060614312875</v>
      </c>
      <c r="R723" s="30">
        <v>12.313509221924459</v>
      </c>
      <c r="S723" s="25"/>
    </row>
    <row r="724" spans="1:19" x14ac:dyDescent="0.25">
      <c r="A724" s="26">
        <v>7.19</v>
      </c>
      <c r="B724" s="26">
        <v>10.805027947912096</v>
      </c>
      <c r="C724" s="26">
        <v>14.587108218822504</v>
      </c>
      <c r="D724" s="26">
        <v>15.688780852408117</v>
      </c>
      <c r="E724" s="26">
        <v>25.952812764277041</v>
      </c>
      <c r="F724" s="26">
        <v>24.878751090503343</v>
      </c>
      <c r="G724" s="26">
        <v>22.965342555257791</v>
      </c>
      <c r="H724" s="26">
        <v>27.674778673367953</v>
      </c>
      <c r="I724" s="26">
        <v>19.850342555257793</v>
      </c>
      <c r="J724" s="26">
        <v>16.13881061431287</v>
      </c>
      <c r="K724" s="26">
        <v>13.575342555257789</v>
      </c>
      <c r="L724" s="26">
        <v>14.010685614312877</v>
      </c>
      <c r="M724" s="26">
        <v>13.570342555257794</v>
      </c>
      <c r="N724" s="26">
        <v>13.530342555257795</v>
      </c>
      <c r="O724" s="26">
        <v>14.070060614312876</v>
      </c>
      <c r="P724" s="26">
        <v>13.680342555257793</v>
      </c>
      <c r="Q724" s="26">
        <v>14.395060614312875</v>
      </c>
      <c r="R724" s="26">
        <v>12.313509221924459</v>
      </c>
      <c r="S724" s="24"/>
    </row>
    <row r="725" spans="1:19" x14ac:dyDescent="0.25">
      <c r="A725" s="30">
        <v>7.2</v>
      </c>
      <c r="B725" s="30">
        <v>10.805027947912096</v>
      </c>
      <c r="C725" s="30">
        <v>14.587108218822504</v>
      </c>
      <c r="D725" s="30">
        <v>15.688780852408117</v>
      </c>
      <c r="E725" s="30">
        <v>25.952812764277041</v>
      </c>
      <c r="F725" s="30">
        <v>24.878751090503343</v>
      </c>
      <c r="G725" s="30">
        <v>22.965342555257791</v>
      </c>
      <c r="H725" s="30">
        <v>30.373246732423034</v>
      </c>
      <c r="I725" s="30">
        <v>19.850342555257793</v>
      </c>
      <c r="J725" s="30">
        <v>16.13881061431287</v>
      </c>
      <c r="K725" s="30">
        <v>13.575342555257789</v>
      </c>
      <c r="L725" s="30">
        <v>14.010685614312877</v>
      </c>
      <c r="M725" s="30">
        <v>13.570342555257794</v>
      </c>
      <c r="N725" s="30">
        <v>13.530342555257795</v>
      </c>
      <c r="O725" s="30">
        <v>14.070060614312876</v>
      </c>
      <c r="P725" s="30">
        <v>13.680342555257793</v>
      </c>
      <c r="Q725" s="30">
        <v>14.395060614312875</v>
      </c>
      <c r="R725" s="30">
        <v>12.313509221924459</v>
      </c>
      <c r="S725" s="25"/>
    </row>
    <row r="726" spans="1:19" x14ac:dyDescent="0.25">
      <c r="A726" s="26">
        <v>7.21</v>
      </c>
      <c r="B726" s="26">
        <v>10.805027947912096</v>
      </c>
      <c r="C726" s="26">
        <v>14.587108218822504</v>
      </c>
      <c r="D726" s="26">
        <v>15.688780852408117</v>
      </c>
      <c r="E726" s="26">
        <v>25.952812764277041</v>
      </c>
      <c r="F726" s="26">
        <v>24.878751090503343</v>
      </c>
      <c r="G726" s="26">
        <v>22.965342555257791</v>
      </c>
      <c r="H726" s="26">
        <v>30.373246732423034</v>
      </c>
      <c r="I726" s="26">
        <v>19.850342555257793</v>
      </c>
      <c r="J726" s="26">
        <v>16.13881061431287</v>
      </c>
      <c r="K726" s="26">
        <v>13.575342555257789</v>
      </c>
      <c r="L726" s="26">
        <v>14.010685614312877</v>
      </c>
      <c r="M726" s="26">
        <v>13.570342555257794</v>
      </c>
      <c r="N726" s="26">
        <v>13.530342555257795</v>
      </c>
      <c r="O726" s="26">
        <v>14.070060614312876</v>
      </c>
      <c r="P726" s="26">
        <v>13.680342555257793</v>
      </c>
      <c r="Q726" s="26">
        <v>14.395060614312875</v>
      </c>
      <c r="R726" s="26">
        <v>12.313509221924459</v>
      </c>
      <c r="S726" s="24"/>
    </row>
    <row r="727" spans="1:19" x14ac:dyDescent="0.25">
      <c r="A727" s="30">
        <v>7.22</v>
      </c>
      <c r="B727" s="30">
        <v>10.805027947912096</v>
      </c>
      <c r="C727" s="30">
        <v>14.587108218822504</v>
      </c>
      <c r="D727" s="30">
        <v>15.688780852408117</v>
      </c>
      <c r="E727" s="30">
        <v>25.952812764277041</v>
      </c>
      <c r="F727" s="30">
        <v>24.878751090503343</v>
      </c>
      <c r="G727" s="30">
        <v>22.965342555257791</v>
      </c>
      <c r="H727" s="30">
        <v>30.373246732423034</v>
      </c>
      <c r="I727" s="30">
        <v>19.850342555257793</v>
      </c>
      <c r="J727" s="30">
        <v>16.13881061431287</v>
      </c>
      <c r="K727" s="30">
        <v>13.575342555257789</v>
      </c>
      <c r="L727" s="30">
        <v>14.010685614312877</v>
      </c>
      <c r="M727" s="30">
        <v>13.570342555257794</v>
      </c>
      <c r="N727" s="30">
        <v>13.530342555257795</v>
      </c>
      <c r="O727" s="30">
        <v>14.070060614312876</v>
      </c>
      <c r="P727" s="30">
        <v>13.680342555257793</v>
      </c>
      <c r="Q727" s="30">
        <v>14.395060614312875</v>
      </c>
      <c r="R727" s="30">
        <v>12.313509221924459</v>
      </c>
      <c r="S727" s="25"/>
    </row>
    <row r="728" spans="1:19" x14ac:dyDescent="0.25">
      <c r="A728" s="26">
        <v>7.23</v>
      </c>
      <c r="B728" s="26">
        <v>10.805027947912096</v>
      </c>
      <c r="C728" s="26">
        <v>14.587108218822504</v>
      </c>
      <c r="D728" s="26">
        <v>15.688780852408117</v>
      </c>
      <c r="E728" s="26">
        <v>25.952812764277041</v>
      </c>
      <c r="F728" s="26">
        <v>24.878751090503343</v>
      </c>
      <c r="G728" s="26">
        <v>22.965342555257791</v>
      </c>
      <c r="H728" s="26">
        <v>30.373246732423034</v>
      </c>
      <c r="I728" s="26">
        <v>19.850342555257793</v>
      </c>
      <c r="J728" s="26">
        <v>16.13881061431287</v>
      </c>
      <c r="K728" s="26">
        <v>13.575342555257789</v>
      </c>
      <c r="L728" s="26">
        <v>14.010685614312877</v>
      </c>
      <c r="M728" s="26">
        <v>13.570342555257794</v>
      </c>
      <c r="N728" s="26">
        <v>13.530342555257795</v>
      </c>
      <c r="O728" s="26">
        <v>14.070060614312876</v>
      </c>
      <c r="P728" s="26">
        <v>13.680342555257793</v>
      </c>
      <c r="Q728" s="26">
        <v>14.395060614312875</v>
      </c>
      <c r="R728" s="26">
        <v>12.313509221924459</v>
      </c>
      <c r="S728" s="24"/>
    </row>
    <row r="729" spans="1:19" x14ac:dyDescent="0.25">
      <c r="A729" s="30">
        <v>7.24</v>
      </c>
      <c r="B729" s="30">
        <v>10.805027947912096</v>
      </c>
      <c r="C729" s="30">
        <v>14.587108218822504</v>
      </c>
      <c r="D729" s="30">
        <v>15.688780852408117</v>
      </c>
      <c r="E729" s="30">
        <v>25.952812764277041</v>
      </c>
      <c r="F729" s="30">
        <v>24.878751090503343</v>
      </c>
      <c r="G729" s="30">
        <v>22.965342555257791</v>
      </c>
      <c r="H729" s="30">
        <v>30.373246732423034</v>
      </c>
      <c r="I729" s="30">
        <v>19.850342555257793</v>
      </c>
      <c r="J729" s="30">
        <v>16.13881061431287</v>
      </c>
      <c r="K729" s="30">
        <v>13.575342555257789</v>
      </c>
      <c r="L729" s="30">
        <v>14.010685614312877</v>
      </c>
      <c r="M729" s="30">
        <v>13.570342555257794</v>
      </c>
      <c r="N729" s="30">
        <v>13.530342555257795</v>
      </c>
      <c r="O729" s="30">
        <v>14.070060614312876</v>
      </c>
      <c r="P729" s="30">
        <v>13.680342555257793</v>
      </c>
      <c r="Q729" s="30">
        <v>14.395060614312875</v>
      </c>
      <c r="R729" s="30">
        <v>12.313509221924459</v>
      </c>
      <c r="S729" s="25"/>
    </row>
    <row r="730" spans="1:19" x14ac:dyDescent="0.25">
      <c r="A730" s="26">
        <v>7.25</v>
      </c>
      <c r="B730" s="26">
        <v>10.805027947912096</v>
      </c>
      <c r="C730" s="26">
        <v>14.587108218822504</v>
      </c>
      <c r="D730" s="26">
        <v>15.688780852408117</v>
      </c>
      <c r="E730" s="26">
        <v>25.952812764277041</v>
      </c>
      <c r="F730" s="26">
        <v>24.878751090503343</v>
      </c>
      <c r="G730" s="26">
        <v>22.965342555257791</v>
      </c>
      <c r="H730" s="26">
        <v>30.373246732423034</v>
      </c>
      <c r="I730" s="26">
        <v>19.850342555257793</v>
      </c>
      <c r="J730" s="26">
        <v>16.13881061431287</v>
      </c>
      <c r="K730" s="26">
        <v>13.575342555257789</v>
      </c>
      <c r="L730" s="26">
        <v>14.010685614312877</v>
      </c>
      <c r="M730" s="26">
        <v>13.570342555257794</v>
      </c>
      <c r="N730" s="26">
        <v>13.530342555257795</v>
      </c>
      <c r="O730" s="26">
        <v>14.070060614312876</v>
      </c>
      <c r="P730" s="26">
        <v>13.680342555257793</v>
      </c>
      <c r="Q730" s="26">
        <v>14.395060614312875</v>
      </c>
      <c r="R730" s="26">
        <v>12.313509221924459</v>
      </c>
      <c r="S730" s="24"/>
    </row>
    <row r="731" spans="1:19" x14ac:dyDescent="0.25">
      <c r="A731" s="30">
        <v>7.26</v>
      </c>
      <c r="B731" s="30">
        <v>10.805027947912096</v>
      </c>
      <c r="C731" s="30">
        <v>14.587108218822504</v>
      </c>
      <c r="D731" s="30">
        <v>15.688780852408117</v>
      </c>
      <c r="E731" s="30">
        <v>25.952812764277041</v>
      </c>
      <c r="F731" s="30">
        <v>24.878751090503343</v>
      </c>
      <c r="G731" s="30">
        <v>22.965342555257791</v>
      </c>
      <c r="H731" s="30">
        <v>30.373246732423034</v>
      </c>
      <c r="I731" s="30">
        <v>19.850342555257793</v>
      </c>
      <c r="J731" s="30">
        <v>16.13881061431287</v>
      </c>
      <c r="K731" s="30">
        <v>13.575342555257789</v>
      </c>
      <c r="L731" s="30">
        <v>14.010685614312877</v>
      </c>
      <c r="M731" s="30">
        <v>13.570342555257794</v>
      </c>
      <c r="N731" s="30">
        <v>13.530342555257795</v>
      </c>
      <c r="O731" s="30">
        <v>14.070060614312876</v>
      </c>
      <c r="P731" s="30">
        <v>13.680342555257793</v>
      </c>
      <c r="Q731" s="30">
        <v>14.395060614312875</v>
      </c>
      <c r="R731" s="30">
        <v>12.313509221924459</v>
      </c>
      <c r="S731" s="25"/>
    </row>
    <row r="732" spans="1:19" x14ac:dyDescent="0.25">
      <c r="A732" s="26">
        <v>7.27</v>
      </c>
      <c r="B732" s="26">
        <v>10.805027947912096</v>
      </c>
      <c r="C732" s="26">
        <v>14.587108218822504</v>
      </c>
      <c r="D732" s="26">
        <v>15.688780852408117</v>
      </c>
      <c r="E732" s="26">
        <v>25.952812764277041</v>
      </c>
      <c r="F732" s="26">
        <v>24.878751090503343</v>
      </c>
      <c r="G732" s="26">
        <v>22.965342555257791</v>
      </c>
      <c r="H732" s="26">
        <v>30.373246732423034</v>
      </c>
      <c r="I732" s="26">
        <v>19.850342555257793</v>
      </c>
      <c r="J732" s="26">
        <v>16.13881061431287</v>
      </c>
      <c r="K732" s="26">
        <v>13.575342555257789</v>
      </c>
      <c r="L732" s="26">
        <v>14.010685614312877</v>
      </c>
      <c r="M732" s="26">
        <v>13.570342555257794</v>
      </c>
      <c r="N732" s="26">
        <v>13.530342555257795</v>
      </c>
      <c r="O732" s="26">
        <v>14.070060614312876</v>
      </c>
      <c r="P732" s="26">
        <v>13.680342555257793</v>
      </c>
      <c r="Q732" s="26">
        <v>14.395060614312875</v>
      </c>
      <c r="R732" s="26">
        <v>12.313509221924459</v>
      </c>
      <c r="S732" s="24"/>
    </row>
    <row r="733" spans="1:19" x14ac:dyDescent="0.25">
      <c r="A733" s="30">
        <v>7.28</v>
      </c>
      <c r="B733" s="30">
        <v>10.805027947912096</v>
      </c>
      <c r="C733" s="30">
        <v>14.587108218822504</v>
      </c>
      <c r="D733" s="30">
        <v>15.688780852408117</v>
      </c>
      <c r="E733" s="30">
        <v>25.952812764277041</v>
      </c>
      <c r="F733" s="30">
        <v>24.878751090503343</v>
      </c>
      <c r="G733" s="30">
        <v>22.965342555257791</v>
      </c>
      <c r="H733" s="30">
        <v>30.373246732423034</v>
      </c>
      <c r="I733" s="30">
        <v>19.850342555257793</v>
      </c>
      <c r="J733" s="30">
        <v>16.13881061431287</v>
      </c>
      <c r="K733" s="30">
        <v>13.575342555257789</v>
      </c>
      <c r="L733" s="30">
        <v>14.010685614312877</v>
      </c>
      <c r="M733" s="30">
        <v>13.570342555257794</v>
      </c>
      <c r="N733" s="30">
        <v>13.530342555257795</v>
      </c>
      <c r="O733" s="30">
        <v>14.070060614312876</v>
      </c>
      <c r="P733" s="30">
        <v>13.680342555257793</v>
      </c>
      <c r="Q733" s="30">
        <v>14.395060614312875</v>
      </c>
      <c r="R733" s="30">
        <v>12.313509221924459</v>
      </c>
      <c r="S733" s="25"/>
    </row>
    <row r="734" spans="1:19" x14ac:dyDescent="0.25">
      <c r="A734" s="26">
        <v>7.29</v>
      </c>
      <c r="B734" s="26">
        <v>10.805027947912096</v>
      </c>
      <c r="C734" s="26">
        <v>14.587108218822504</v>
      </c>
      <c r="D734" s="26">
        <v>15.688780852408117</v>
      </c>
      <c r="E734" s="26">
        <v>25.952812764277041</v>
      </c>
      <c r="F734" s="26">
        <v>24.878751090503343</v>
      </c>
      <c r="G734" s="26">
        <v>22.965342555257791</v>
      </c>
      <c r="H734" s="26">
        <v>30.373246732423034</v>
      </c>
      <c r="I734" s="26">
        <v>19.850342555257793</v>
      </c>
      <c r="J734" s="26">
        <v>16.13881061431287</v>
      </c>
      <c r="K734" s="26">
        <v>13.575342555257789</v>
      </c>
      <c r="L734" s="26">
        <v>14.010685614312877</v>
      </c>
      <c r="M734" s="26">
        <v>13.570342555257794</v>
      </c>
      <c r="N734" s="26">
        <v>13.530342555257795</v>
      </c>
      <c r="O734" s="26">
        <v>14.070060614312876</v>
      </c>
      <c r="P734" s="26">
        <v>13.680342555257793</v>
      </c>
      <c r="Q734" s="26">
        <v>14.395060614312875</v>
      </c>
      <c r="R734" s="26">
        <v>12.313509221924459</v>
      </c>
      <c r="S734" s="24"/>
    </row>
    <row r="735" spans="1:19" x14ac:dyDescent="0.25">
      <c r="A735" s="30">
        <v>7.3000000000000096</v>
      </c>
      <c r="B735" s="30">
        <v>10.805027947912096</v>
      </c>
      <c r="C735" s="30">
        <v>14.587108218822504</v>
      </c>
      <c r="D735" s="30">
        <v>15.688780852408117</v>
      </c>
      <c r="E735" s="30">
        <v>25.952812764277041</v>
      </c>
      <c r="F735" s="30">
        <v>24.878751090503343</v>
      </c>
      <c r="G735" s="30">
        <v>22.965342555257791</v>
      </c>
      <c r="H735" s="30">
        <v>30.373246732423034</v>
      </c>
      <c r="I735" s="30">
        <v>19.850342555257793</v>
      </c>
      <c r="J735" s="30">
        <v>16.13881061431287</v>
      </c>
      <c r="K735" s="30">
        <v>13.575342555257789</v>
      </c>
      <c r="L735" s="30">
        <v>14.010685614312877</v>
      </c>
      <c r="M735" s="30">
        <v>13.570342555257794</v>
      </c>
      <c r="N735" s="30">
        <v>13.530342555257795</v>
      </c>
      <c r="O735" s="30">
        <v>14.070060614312876</v>
      </c>
      <c r="P735" s="30">
        <v>13.680342555257793</v>
      </c>
      <c r="Q735" s="30">
        <v>14.395060614312875</v>
      </c>
      <c r="R735" s="30">
        <v>12.313509221924459</v>
      </c>
      <c r="S735" s="25"/>
    </row>
    <row r="736" spans="1:19" x14ac:dyDescent="0.25">
      <c r="A736" s="26">
        <v>7.3100000000000103</v>
      </c>
      <c r="B736" s="26">
        <v>11.021469416651616</v>
      </c>
      <c r="C736" s="26">
        <v>14.587108218822504</v>
      </c>
      <c r="D736" s="26">
        <v>15.688780852408117</v>
      </c>
      <c r="E736" s="26">
        <v>25.952812764277041</v>
      </c>
      <c r="F736" s="26">
        <v>24.878751090503343</v>
      </c>
      <c r="G736" s="26">
        <v>22.965342555257791</v>
      </c>
      <c r="H736" s="26">
        <v>30.373246732423034</v>
      </c>
      <c r="I736" s="26">
        <v>19.850342555257793</v>
      </c>
      <c r="J736" s="26">
        <v>16.13881061431287</v>
      </c>
      <c r="K736" s="26">
        <v>13.575342555257789</v>
      </c>
      <c r="L736" s="26">
        <v>14.010685614312877</v>
      </c>
      <c r="M736" s="26">
        <v>13.570342555257794</v>
      </c>
      <c r="N736" s="26">
        <v>13.530342555257795</v>
      </c>
      <c r="O736" s="26">
        <v>14.070060614312876</v>
      </c>
      <c r="P736" s="26">
        <v>13.680342555257793</v>
      </c>
      <c r="Q736" s="26">
        <v>14.395060614312875</v>
      </c>
      <c r="R736" s="26">
        <v>12.313509221924459</v>
      </c>
      <c r="S736" s="24"/>
    </row>
    <row r="737" spans="1:19" x14ac:dyDescent="0.25">
      <c r="A737" s="30">
        <v>7.3200000000000101</v>
      </c>
      <c r="B737" s="30">
        <v>11.021469416651616</v>
      </c>
      <c r="C737" s="30">
        <v>14.587108218822504</v>
      </c>
      <c r="D737" s="30">
        <v>15.688780852408117</v>
      </c>
      <c r="E737" s="30">
        <v>25.952812764277041</v>
      </c>
      <c r="F737" s="30">
        <v>24.878751090503343</v>
      </c>
      <c r="G737" s="30">
        <v>22.965342555257791</v>
      </c>
      <c r="H737" s="30">
        <v>30.373246732423034</v>
      </c>
      <c r="I737" s="30">
        <v>19.850342555257793</v>
      </c>
      <c r="J737" s="30">
        <v>16.13881061431287</v>
      </c>
      <c r="K737" s="30">
        <v>13.575342555257789</v>
      </c>
      <c r="L737" s="30">
        <v>14.010685614312877</v>
      </c>
      <c r="M737" s="30">
        <v>13.570342555257794</v>
      </c>
      <c r="N737" s="30">
        <v>13.530342555257795</v>
      </c>
      <c r="O737" s="30">
        <v>14.070060614312876</v>
      </c>
      <c r="P737" s="30">
        <v>13.680342555257793</v>
      </c>
      <c r="Q737" s="30">
        <v>14.395060614312875</v>
      </c>
      <c r="R737" s="30">
        <v>12.313509221924459</v>
      </c>
      <c r="S737" s="25"/>
    </row>
    <row r="738" spans="1:19" x14ac:dyDescent="0.25">
      <c r="A738" s="26">
        <v>7.3300000000000098</v>
      </c>
      <c r="B738" s="26">
        <v>11.021469416651616</v>
      </c>
      <c r="C738" s="26">
        <v>14.587108218822504</v>
      </c>
      <c r="D738" s="26">
        <v>15.688780852408117</v>
      </c>
      <c r="E738" s="26">
        <v>25.952812764277041</v>
      </c>
      <c r="F738" s="26">
        <v>24.878751090503343</v>
      </c>
      <c r="G738" s="26">
        <v>22.965342555257791</v>
      </c>
      <c r="H738" s="26">
        <v>30.373246732423034</v>
      </c>
      <c r="I738" s="26">
        <v>19.850342555257793</v>
      </c>
      <c r="J738" s="26">
        <v>16.13881061431287</v>
      </c>
      <c r="K738" s="26">
        <v>13.575342555257789</v>
      </c>
      <c r="L738" s="26">
        <v>14.010685614312877</v>
      </c>
      <c r="M738" s="26">
        <v>13.570342555257794</v>
      </c>
      <c r="N738" s="26">
        <v>13.530342555257795</v>
      </c>
      <c r="O738" s="26">
        <v>14.070060614312876</v>
      </c>
      <c r="P738" s="26">
        <v>13.680342555257793</v>
      </c>
      <c r="Q738" s="26">
        <v>14.395060614312875</v>
      </c>
      <c r="R738" s="26">
        <v>12.313509221924459</v>
      </c>
      <c r="S738" s="24"/>
    </row>
    <row r="739" spans="1:19" x14ac:dyDescent="0.25">
      <c r="A739" s="30">
        <v>7.3400000000000096</v>
      </c>
      <c r="B739" s="30">
        <v>11.021469416651616</v>
      </c>
      <c r="C739" s="30">
        <v>14.587108218822504</v>
      </c>
      <c r="D739" s="30">
        <v>15.688780852408117</v>
      </c>
      <c r="E739" s="30">
        <v>25.952812764277041</v>
      </c>
      <c r="F739" s="30">
        <v>24.878751090503343</v>
      </c>
      <c r="G739" s="30">
        <v>22.965342555257791</v>
      </c>
      <c r="H739" s="30">
        <v>30.373246732423034</v>
      </c>
      <c r="I739" s="30">
        <v>19.850342555257793</v>
      </c>
      <c r="J739" s="30">
        <v>16.13881061431287</v>
      </c>
      <c r="K739" s="30">
        <v>13.575342555257789</v>
      </c>
      <c r="L739" s="30">
        <v>14.010685614312877</v>
      </c>
      <c r="M739" s="30">
        <v>13.570342555257794</v>
      </c>
      <c r="N739" s="30">
        <v>13.530342555257795</v>
      </c>
      <c r="O739" s="30">
        <v>14.070060614312876</v>
      </c>
      <c r="P739" s="30">
        <v>13.680342555257793</v>
      </c>
      <c r="Q739" s="30">
        <v>14.395060614312875</v>
      </c>
      <c r="R739" s="30">
        <v>12.313509221924459</v>
      </c>
      <c r="S739" s="25"/>
    </row>
    <row r="740" spans="1:19" x14ac:dyDescent="0.25">
      <c r="A740" s="26">
        <v>7.3500000000000103</v>
      </c>
      <c r="B740" s="26">
        <v>11.021469416651616</v>
      </c>
      <c r="C740" s="26">
        <v>14.587108218822504</v>
      </c>
      <c r="D740" s="26">
        <v>15.688780852408117</v>
      </c>
      <c r="E740" s="26">
        <v>25.952812764277041</v>
      </c>
      <c r="F740" s="26">
        <v>24.878751090503343</v>
      </c>
      <c r="G740" s="26">
        <v>22.965342555257791</v>
      </c>
      <c r="H740" s="26">
        <v>30.373246732423034</v>
      </c>
      <c r="I740" s="26">
        <v>19.850342555257793</v>
      </c>
      <c r="J740" s="26">
        <v>16.13881061431287</v>
      </c>
      <c r="K740" s="26">
        <v>13.575342555257789</v>
      </c>
      <c r="L740" s="26">
        <v>14.010685614312877</v>
      </c>
      <c r="M740" s="26">
        <v>13.570342555257794</v>
      </c>
      <c r="N740" s="26">
        <v>13.530342555257795</v>
      </c>
      <c r="O740" s="26">
        <v>14.070060614312876</v>
      </c>
      <c r="P740" s="26">
        <v>13.680342555257793</v>
      </c>
      <c r="Q740" s="26">
        <v>14.395060614312875</v>
      </c>
      <c r="R740" s="26">
        <v>12.313509221924459</v>
      </c>
      <c r="S740" s="24"/>
    </row>
    <row r="741" spans="1:19" x14ac:dyDescent="0.25">
      <c r="A741" s="30">
        <v>7.3600000000000101</v>
      </c>
      <c r="B741" s="30">
        <v>11.021469416651616</v>
      </c>
      <c r="C741" s="30">
        <v>14.587108218822504</v>
      </c>
      <c r="D741" s="30">
        <v>15.688780852408117</v>
      </c>
      <c r="E741" s="30">
        <v>25.952812764277041</v>
      </c>
      <c r="F741" s="30">
        <v>24.878751090503343</v>
      </c>
      <c r="G741" s="30">
        <v>25.835685614312872</v>
      </c>
      <c r="H741" s="30">
        <v>30.373246732423034</v>
      </c>
      <c r="I741" s="30">
        <v>21.941935614312875</v>
      </c>
      <c r="J741" s="30">
        <v>16.13881061431287</v>
      </c>
      <c r="K741" s="30">
        <v>14.09818561431287</v>
      </c>
      <c r="L741" s="30">
        <v>14.010685614312877</v>
      </c>
      <c r="M741" s="30">
        <v>14.091935614312876</v>
      </c>
      <c r="N741" s="30">
        <v>14.041935614312877</v>
      </c>
      <c r="O741" s="30">
        <v>14.070060614312876</v>
      </c>
      <c r="P741" s="30">
        <v>14.229435614312875</v>
      </c>
      <c r="Q741" s="30">
        <v>14.395060614312875</v>
      </c>
      <c r="R741" s="30">
        <v>12.520893947646208</v>
      </c>
      <c r="S741" s="25"/>
    </row>
    <row r="742" spans="1:19" x14ac:dyDescent="0.25">
      <c r="A742" s="26">
        <v>7.3700000000000099</v>
      </c>
      <c r="B742" s="26">
        <v>11.021469416651616</v>
      </c>
      <c r="C742" s="26">
        <v>14.587108218822504</v>
      </c>
      <c r="D742" s="26">
        <v>15.688780852408117</v>
      </c>
      <c r="E742" s="26">
        <v>25.952812764277041</v>
      </c>
      <c r="F742" s="26">
        <v>24.878751090503343</v>
      </c>
      <c r="G742" s="26">
        <v>25.835685614312872</v>
      </c>
      <c r="H742" s="26">
        <v>30.373246732423034</v>
      </c>
      <c r="I742" s="26">
        <v>21.941935614312875</v>
      </c>
      <c r="J742" s="26">
        <v>16.13881061431287</v>
      </c>
      <c r="K742" s="26">
        <v>14.09818561431287</v>
      </c>
      <c r="L742" s="26">
        <v>14.010685614312877</v>
      </c>
      <c r="M742" s="26">
        <v>14.091935614312876</v>
      </c>
      <c r="N742" s="26">
        <v>14.041935614312877</v>
      </c>
      <c r="O742" s="26">
        <v>14.070060614312876</v>
      </c>
      <c r="P742" s="26">
        <v>14.229435614312875</v>
      </c>
      <c r="Q742" s="26">
        <v>14.395060614312875</v>
      </c>
      <c r="R742" s="26">
        <v>12.520893947646208</v>
      </c>
      <c r="S742" s="24"/>
    </row>
    <row r="743" spans="1:19" x14ac:dyDescent="0.25">
      <c r="A743" s="30">
        <v>7.3800000000000097</v>
      </c>
      <c r="B743" s="30">
        <v>11.021469416651616</v>
      </c>
      <c r="C743" s="30">
        <v>14.587108218822504</v>
      </c>
      <c r="D743" s="30">
        <v>15.688780852408117</v>
      </c>
      <c r="E743" s="30">
        <v>25.952812764277041</v>
      </c>
      <c r="F743" s="30">
        <v>24.878751090503343</v>
      </c>
      <c r="G743" s="30">
        <v>25.835685614312872</v>
      </c>
      <c r="H743" s="30">
        <v>30.373246732423034</v>
      </c>
      <c r="I743" s="30">
        <v>21.941935614312875</v>
      </c>
      <c r="J743" s="30">
        <v>16.13881061431287</v>
      </c>
      <c r="K743" s="30">
        <v>14.09818561431287</v>
      </c>
      <c r="L743" s="30">
        <v>14.010685614312877</v>
      </c>
      <c r="M743" s="30">
        <v>14.091935614312876</v>
      </c>
      <c r="N743" s="30">
        <v>14.041935614312877</v>
      </c>
      <c r="O743" s="30">
        <v>14.070060614312876</v>
      </c>
      <c r="P743" s="30">
        <v>14.229435614312875</v>
      </c>
      <c r="Q743" s="30">
        <v>14.395060614312875</v>
      </c>
      <c r="R743" s="30">
        <v>12.520893947646208</v>
      </c>
      <c r="S743" s="25"/>
    </row>
    <row r="744" spans="1:19" x14ac:dyDescent="0.25">
      <c r="A744" s="26">
        <v>7.3900000000000103</v>
      </c>
      <c r="B744" s="26">
        <v>11.021469416651616</v>
      </c>
      <c r="C744" s="26">
        <v>14.587108218822504</v>
      </c>
      <c r="D744" s="26">
        <v>15.688780852408117</v>
      </c>
      <c r="E744" s="26">
        <v>25.952812764277041</v>
      </c>
      <c r="F744" s="26">
        <v>24.878751090503343</v>
      </c>
      <c r="G744" s="26">
        <v>25.835685614312872</v>
      </c>
      <c r="H744" s="26">
        <v>30.373246732423034</v>
      </c>
      <c r="I744" s="26">
        <v>21.941935614312875</v>
      </c>
      <c r="J744" s="26">
        <v>16.13881061431287</v>
      </c>
      <c r="K744" s="26">
        <v>14.09818561431287</v>
      </c>
      <c r="L744" s="26">
        <v>14.010685614312877</v>
      </c>
      <c r="M744" s="26">
        <v>14.091935614312876</v>
      </c>
      <c r="N744" s="26">
        <v>14.041935614312877</v>
      </c>
      <c r="O744" s="26">
        <v>14.070060614312876</v>
      </c>
      <c r="P744" s="26">
        <v>14.229435614312875</v>
      </c>
      <c r="Q744" s="26">
        <v>14.395060614312875</v>
      </c>
      <c r="R744" s="26">
        <v>12.520893947646208</v>
      </c>
      <c r="S744" s="24"/>
    </row>
    <row r="745" spans="1:19" x14ac:dyDescent="0.25">
      <c r="A745" s="30">
        <v>7.4000000000000101</v>
      </c>
      <c r="B745" s="30">
        <v>11.021469416651616</v>
      </c>
      <c r="C745" s="30">
        <v>14.587108218822504</v>
      </c>
      <c r="D745" s="30">
        <v>15.688780852408117</v>
      </c>
      <c r="E745" s="30">
        <v>25.952812764277041</v>
      </c>
      <c r="F745" s="30">
        <v>24.878751090503343</v>
      </c>
      <c r="G745" s="30">
        <v>25.835685614312872</v>
      </c>
      <c r="H745" s="30">
        <v>30.373246732423034</v>
      </c>
      <c r="I745" s="30">
        <v>21.941935614312875</v>
      </c>
      <c r="J745" s="30">
        <v>16.13881061431287</v>
      </c>
      <c r="K745" s="30">
        <v>14.09818561431287</v>
      </c>
      <c r="L745" s="30">
        <v>14.010685614312877</v>
      </c>
      <c r="M745" s="30">
        <v>14.091935614312876</v>
      </c>
      <c r="N745" s="30">
        <v>14.041935614312877</v>
      </c>
      <c r="O745" s="30">
        <v>14.070060614312876</v>
      </c>
      <c r="P745" s="30">
        <v>14.229435614312875</v>
      </c>
      <c r="Q745" s="30">
        <v>14.395060614312875</v>
      </c>
      <c r="R745" s="30">
        <v>12.520893947646208</v>
      </c>
      <c r="S745" s="25"/>
    </row>
    <row r="746" spans="1:19" x14ac:dyDescent="0.25">
      <c r="A746" s="26">
        <v>7.4100000000000099</v>
      </c>
      <c r="B746" s="26">
        <v>11.021469416651616</v>
      </c>
      <c r="C746" s="26">
        <v>14.587108218822504</v>
      </c>
      <c r="D746" s="26">
        <v>15.688780852408117</v>
      </c>
      <c r="E746" s="26">
        <v>25.952812764277041</v>
      </c>
      <c r="F746" s="26">
        <v>24.878751090503343</v>
      </c>
      <c r="G746" s="26">
        <v>25.835685614312872</v>
      </c>
      <c r="H746" s="26">
        <v>30.373246732423034</v>
      </c>
      <c r="I746" s="26">
        <v>21.941935614312875</v>
      </c>
      <c r="J746" s="26">
        <v>16.13881061431287</v>
      </c>
      <c r="K746" s="26">
        <v>14.09818561431287</v>
      </c>
      <c r="L746" s="26">
        <v>14.010685614312877</v>
      </c>
      <c r="M746" s="26">
        <v>14.091935614312876</v>
      </c>
      <c r="N746" s="26">
        <v>14.041935614312877</v>
      </c>
      <c r="O746" s="26">
        <v>14.070060614312876</v>
      </c>
      <c r="P746" s="26">
        <v>14.229435614312875</v>
      </c>
      <c r="Q746" s="26">
        <v>14.395060614312875</v>
      </c>
      <c r="R746" s="26">
        <v>12.520893947646208</v>
      </c>
      <c r="S746" s="24"/>
    </row>
    <row r="747" spans="1:19" x14ac:dyDescent="0.25">
      <c r="A747" s="30">
        <v>7.4200000000000097</v>
      </c>
      <c r="B747" s="30">
        <v>11.021469416651616</v>
      </c>
      <c r="C747" s="30">
        <v>14.587108218822504</v>
      </c>
      <c r="D747" s="30">
        <v>16.529742959082245</v>
      </c>
      <c r="E747" s="30">
        <v>25.952812764277041</v>
      </c>
      <c r="F747" s="30">
        <v>27.557707244796518</v>
      </c>
      <c r="G747" s="30">
        <v>25.835685614312872</v>
      </c>
      <c r="H747" s="30">
        <v>30.373246732423034</v>
      </c>
      <c r="I747" s="30">
        <v>21.941935614312875</v>
      </c>
      <c r="J747" s="30">
        <v>17.069778673367953</v>
      </c>
      <c r="K747" s="30">
        <v>14.09818561431287</v>
      </c>
      <c r="L747" s="30">
        <v>14.516028673367959</v>
      </c>
      <c r="M747" s="30">
        <v>14.091935614312876</v>
      </c>
      <c r="N747" s="30">
        <v>14.041935614312877</v>
      </c>
      <c r="O747" s="30">
        <v>14.587278673367958</v>
      </c>
      <c r="P747" s="30">
        <v>14.229435614312875</v>
      </c>
      <c r="Q747" s="30">
        <v>14.977278673367957</v>
      </c>
      <c r="R747" s="30">
        <v>12.520893947646208</v>
      </c>
      <c r="S747" s="25"/>
    </row>
    <row r="748" spans="1:19" x14ac:dyDescent="0.25">
      <c r="A748" s="26">
        <v>7.4300000000000104</v>
      </c>
      <c r="B748" s="26">
        <v>11.021469416651616</v>
      </c>
      <c r="C748" s="26">
        <v>14.587108218822504</v>
      </c>
      <c r="D748" s="26">
        <v>16.529742959082245</v>
      </c>
      <c r="E748" s="26">
        <v>25.952812764277041</v>
      </c>
      <c r="F748" s="26">
        <v>27.557707244796518</v>
      </c>
      <c r="G748" s="26">
        <v>25.835685614312872</v>
      </c>
      <c r="H748" s="26">
        <v>30.373246732423034</v>
      </c>
      <c r="I748" s="26">
        <v>21.941935614312875</v>
      </c>
      <c r="J748" s="26">
        <v>17.069778673367953</v>
      </c>
      <c r="K748" s="26">
        <v>14.09818561431287</v>
      </c>
      <c r="L748" s="26">
        <v>14.516028673367959</v>
      </c>
      <c r="M748" s="26">
        <v>14.091935614312876</v>
      </c>
      <c r="N748" s="26">
        <v>14.041935614312877</v>
      </c>
      <c r="O748" s="26">
        <v>14.587278673367958</v>
      </c>
      <c r="P748" s="26">
        <v>14.229435614312875</v>
      </c>
      <c r="Q748" s="26">
        <v>14.977278673367957</v>
      </c>
      <c r="R748" s="26">
        <v>12.520893947646208</v>
      </c>
      <c r="S748" s="24"/>
    </row>
    <row r="749" spans="1:19" x14ac:dyDescent="0.25">
      <c r="A749" s="30">
        <v>7.4400000000000102</v>
      </c>
      <c r="B749" s="30">
        <v>11.021469416651616</v>
      </c>
      <c r="C749" s="30">
        <v>14.587108218822504</v>
      </c>
      <c r="D749" s="30">
        <v>16.529742959082245</v>
      </c>
      <c r="E749" s="30">
        <v>25.952812764277041</v>
      </c>
      <c r="F749" s="30">
        <v>27.557707244796518</v>
      </c>
      <c r="G749" s="30">
        <v>25.835685614312872</v>
      </c>
      <c r="H749" s="30">
        <v>30.373246732423034</v>
      </c>
      <c r="I749" s="30">
        <v>21.941935614312875</v>
      </c>
      <c r="J749" s="30">
        <v>17.069778673367953</v>
      </c>
      <c r="K749" s="30">
        <v>14.09818561431287</v>
      </c>
      <c r="L749" s="30">
        <v>14.516028673367959</v>
      </c>
      <c r="M749" s="30">
        <v>14.091935614312876</v>
      </c>
      <c r="N749" s="30">
        <v>14.041935614312877</v>
      </c>
      <c r="O749" s="30">
        <v>14.587278673367958</v>
      </c>
      <c r="P749" s="30">
        <v>14.229435614312875</v>
      </c>
      <c r="Q749" s="30">
        <v>14.977278673367957</v>
      </c>
      <c r="R749" s="30">
        <v>12.520893947646208</v>
      </c>
      <c r="S749" s="25"/>
    </row>
    <row r="750" spans="1:19" x14ac:dyDescent="0.25">
      <c r="A750" s="26">
        <v>7.4500000000000197</v>
      </c>
      <c r="B750" s="26">
        <v>11.021469416651616</v>
      </c>
      <c r="C750" s="26">
        <v>14.587108218822504</v>
      </c>
      <c r="D750" s="26">
        <v>16.529742959082245</v>
      </c>
      <c r="E750" s="26">
        <v>25.952812764277041</v>
      </c>
      <c r="F750" s="26">
        <v>27.557707244796518</v>
      </c>
      <c r="G750" s="26">
        <v>25.835685614312872</v>
      </c>
      <c r="H750" s="26">
        <v>30.373246732423034</v>
      </c>
      <c r="I750" s="26">
        <v>21.941935614312875</v>
      </c>
      <c r="J750" s="26">
        <v>17.069778673367953</v>
      </c>
      <c r="K750" s="26">
        <v>14.09818561431287</v>
      </c>
      <c r="L750" s="26">
        <v>14.516028673367959</v>
      </c>
      <c r="M750" s="26">
        <v>14.091935614312876</v>
      </c>
      <c r="N750" s="26">
        <v>14.041935614312877</v>
      </c>
      <c r="O750" s="26">
        <v>14.587278673367958</v>
      </c>
      <c r="P750" s="26">
        <v>14.229435614312875</v>
      </c>
      <c r="Q750" s="26">
        <v>14.977278673367957</v>
      </c>
      <c r="R750" s="26">
        <v>12.520893947646208</v>
      </c>
      <c r="S750" s="24"/>
    </row>
    <row r="751" spans="1:19" x14ac:dyDescent="0.25">
      <c r="A751" s="30">
        <v>7.4600000000000204</v>
      </c>
      <c r="B751" s="30">
        <v>11.021469416651616</v>
      </c>
      <c r="C751" s="30">
        <v>14.587108218822504</v>
      </c>
      <c r="D751" s="30">
        <v>16.529742959082245</v>
      </c>
      <c r="E751" s="30">
        <v>25.952812764277041</v>
      </c>
      <c r="F751" s="30">
        <v>27.557707244796518</v>
      </c>
      <c r="G751" s="30">
        <v>25.835685614312872</v>
      </c>
      <c r="H751" s="30">
        <v>30.373246732423034</v>
      </c>
      <c r="I751" s="30">
        <v>21.941935614312875</v>
      </c>
      <c r="J751" s="30">
        <v>17.069778673367953</v>
      </c>
      <c r="K751" s="30">
        <v>14.09818561431287</v>
      </c>
      <c r="L751" s="30">
        <v>14.516028673367959</v>
      </c>
      <c r="M751" s="30">
        <v>14.091935614312876</v>
      </c>
      <c r="N751" s="30">
        <v>14.041935614312877</v>
      </c>
      <c r="O751" s="30">
        <v>14.587278673367958</v>
      </c>
      <c r="P751" s="30">
        <v>14.229435614312875</v>
      </c>
      <c r="Q751" s="30">
        <v>14.977278673367957</v>
      </c>
      <c r="R751" s="30">
        <v>12.520893947646208</v>
      </c>
      <c r="S751" s="25"/>
    </row>
    <row r="752" spans="1:19" x14ac:dyDescent="0.25">
      <c r="A752" s="26">
        <v>7.4700000000000202</v>
      </c>
      <c r="B752" s="26">
        <v>11.021469416651616</v>
      </c>
      <c r="C752" s="26">
        <v>14.587108218822504</v>
      </c>
      <c r="D752" s="26">
        <v>16.529742959082245</v>
      </c>
      <c r="E752" s="26">
        <v>25.952812764277041</v>
      </c>
      <c r="F752" s="26">
        <v>27.557707244796518</v>
      </c>
      <c r="G752" s="26">
        <v>25.835685614312872</v>
      </c>
      <c r="H752" s="26">
        <v>30.373246732423034</v>
      </c>
      <c r="I752" s="26">
        <v>21.941935614312875</v>
      </c>
      <c r="J752" s="26">
        <v>17.069778673367953</v>
      </c>
      <c r="K752" s="26">
        <v>14.09818561431287</v>
      </c>
      <c r="L752" s="26">
        <v>14.516028673367959</v>
      </c>
      <c r="M752" s="26">
        <v>14.091935614312876</v>
      </c>
      <c r="N752" s="26">
        <v>14.041935614312877</v>
      </c>
      <c r="O752" s="26">
        <v>14.587278673367958</v>
      </c>
      <c r="P752" s="26">
        <v>14.229435614312875</v>
      </c>
      <c r="Q752" s="26">
        <v>14.977278673367957</v>
      </c>
      <c r="R752" s="26">
        <v>12.520893947646208</v>
      </c>
      <c r="S752" s="24"/>
    </row>
    <row r="753" spans="1:19" x14ac:dyDescent="0.25">
      <c r="A753" s="30">
        <v>7.48000000000002</v>
      </c>
      <c r="B753" s="30">
        <v>11.283970319037465</v>
      </c>
      <c r="C753" s="30">
        <v>15.104297868786677</v>
      </c>
      <c r="D753" s="30">
        <v>16.529742959082245</v>
      </c>
      <c r="E753" s="30">
        <v>28.364286505150304</v>
      </c>
      <c r="F753" s="30">
        <v>27.557707244796518</v>
      </c>
      <c r="G753" s="30">
        <v>25.835685614312872</v>
      </c>
      <c r="H753" s="30">
        <v>33.071714791478115</v>
      </c>
      <c r="I753" s="30">
        <v>21.941935614312875</v>
      </c>
      <c r="J753" s="30">
        <v>17.069778673367953</v>
      </c>
      <c r="K753" s="30">
        <v>14.09818561431287</v>
      </c>
      <c r="L753" s="30">
        <v>14.516028673367959</v>
      </c>
      <c r="M753" s="30">
        <v>14.091935614312876</v>
      </c>
      <c r="N753" s="30">
        <v>14.041935614312877</v>
      </c>
      <c r="O753" s="30">
        <v>14.587278673367958</v>
      </c>
      <c r="P753" s="30">
        <v>14.229435614312875</v>
      </c>
      <c r="Q753" s="30">
        <v>14.977278673367957</v>
      </c>
      <c r="R753" s="30">
        <v>12.520893947646208</v>
      </c>
      <c r="S753" s="25"/>
    </row>
    <row r="754" spans="1:19" x14ac:dyDescent="0.25">
      <c r="A754" s="26">
        <v>7.4900000000000198</v>
      </c>
      <c r="B754" s="26">
        <v>11.283970319037465</v>
      </c>
      <c r="C754" s="26">
        <v>15.104297868786677</v>
      </c>
      <c r="D754" s="26">
        <v>16.529742959082245</v>
      </c>
      <c r="E754" s="26">
        <v>28.364286505150304</v>
      </c>
      <c r="F754" s="26">
        <v>27.557707244796518</v>
      </c>
      <c r="G754" s="26">
        <v>25.835685614312872</v>
      </c>
      <c r="H754" s="26">
        <v>33.071714791478115</v>
      </c>
      <c r="I754" s="26">
        <v>21.941935614312875</v>
      </c>
      <c r="J754" s="26">
        <v>17.069778673367953</v>
      </c>
      <c r="K754" s="26">
        <v>14.09818561431287</v>
      </c>
      <c r="L754" s="26">
        <v>14.516028673367959</v>
      </c>
      <c r="M754" s="26">
        <v>14.091935614312876</v>
      </c>
      <c r="N754" s="26">
        <v>14.041935614312877</v>
      </c>
      <c r="O754" s="26">
        <v>14.587278673367958</v>
      </c>
      <c r="P754" s="26">
        <v>14.229435614312875</v>
      </c>
      <c r="Q754" s="26">
        <v>14.977278673367957</v>
      </c>
      <c r="R754" s="26">
        <v>12.520893947646208</v>
      </c>
      <c r="S754" s="24"/>
    </row>
    <row r="755" spans="1:19" x14ac:dyDescent="0.25">
      <c r="A755" s="30">
        <v>7.5000000000000204</v>
      </c>
      <c r="B755" s="30">
        <v>11.283970319037465</v>
      </c>
      <c r="C755" s="30">
        <v>15.104297868786677</v>
      </c>
      <c r="D755" s="30">
        <v>16.529742959082245</v>
      </c>
      <c r="E755" s="30">
        <v>28.364286505150304</v>
      </c>
      <c r="F755" s="30">
        <v>27.557707244796518</v>
      </c>
      <c r="G755" s="30">
        <v>25.835685614312872</v>
      </c>
      <c r="H755" s="30">
        <v>33.071714791478115</v>
      </c>
      <c r="I755" s="30">
        <v>21.941935614312875</v>
      </c>
      <c r="J755" s="30">
        <v>17.069778673367953</v>
      </c>
      <c r="K755" s="30">
        <v>14.09818561431287</v>
      </c>
      <c r="L755" s="30">
        <v>14.516028673367959</v>
      </c>
      <c r="M755" s="30">
        <v>14.091935614312876</v>
      </c>
      <c r="N755" s="30">
        <v>14.041935614312877</v>
      </c>
      <c r="O755" s="30">
        <v>14.587278673367958</v>
      </c>
      <c r="P755" s="30">
        <v>14.229435614312875</v>
      </c>
      <c r="Q755" s="30">
        <v>14.977278673367957</v>
      </c>
      <c r="R755" s="30">
        <v>12.520893947646208</v>
      </c>
      <c r="S755" s="25"/>
    </row>
    <row r="756" spans="1:19" x14ac:dyDescent="0.25">
      <c r="A756" s="26">
        <v>7.5100000000000202</v>
      </c>
      <c r="B756" s="26">
        <v>11.283970319037465</v>
      </c>
      <c r="C756" s="26">
        <v>15.104297868786677</v>
      </c>
      <c r="D756" s="26">
        <v>16.529742959082245</v>
      </c>
      <c r="E756" s="26">
        <v>28.364286505150304</v>
      </c>
      <c r="F756" s="26">
        <v>27.557707244796518</v>
      </c>
      <c r="G756" s="26">
        <v>25.835685614312872</v>
      </c>
      <c r="H756" s="26">
        <v>33.071714791478115</v>
      </c>
      <c r="I756" s="26">
        <v>21.941935614312875</v>
      </c>
      <c r="J756" s="26">
        <v>17.069778673367953</v>
      </c>
      <c r="K756" s="26">
        <v>14.09818561431287</v>
      </c>
      <c r="L756" s="26">
        <v>14.516028673367959</v>
      </c>
      <c r="M756" s="26">
        <v>14.091935614312876</v>
      </c>
      <c r="N756" s="26">
        <v>14.041935614312877</v>
      </c>
      <c r="O756" s="26">
        <v>14.587278673367958</v>
      </c>
      <c r="P756" s="26">
        <v>14.229435614312875</v>
      </c>
      <c r="Q756" s="26">
        <v>14.977278673367957</v>
      </c>
      <c r="R756" s="26">
        <v>12.520893947646208</v>
      </c>
      <c r="S756" s="24"/>
    </row>
    <row r="757" spans="1:19" x14ac:dyDescent="0.25">
      <c r="A757" s="30">
        <v>7.52000000000002</v>
      </c>
      <c r="B757" s="30">
        <v>11.283970319037465</v>
      </c>
      <c r="C757" s="30">
        <v>15.104297868786677</v>
      </c>
      <c r="D757" s="30">
        <v>16.529742959082245</v>
      </c>
      <c r="E757" s="30">
        <v>28.364286505150304</v>
      </c>
      <c r="F757" s="30">
        <v>27.557707244796518</v>
      </c>
      <c r="G757" s="30">
        <v>25.835685614312872</v>
      </c>
      <c r="H757" s="30">
        <v>33.071714791478115</v>
      </c>
      <c r="I757" s="30">
        <v>21.941935614312875</v>
      </c>
      <c r="J757" s="30">
        <v>17.069778673367953</v>
      </c>
      <c r="K757" s="30">
        <v>14.09818561431287</v>
      </c>
      <c r="L757" s="30">
        <v>14.516028673367959</v>
      </c>
      <c r="M757" s="30">
        <v>14.091935614312876</v>
      </c>
      <c r="N757" s="30">
        <v>14.041935614312877</v>
      </c>
      <c r="O757" s="30">
        <v>14.587278673367958</v>
      </c>
      <c r="P757" s="30">
        <v>14.229435614312875</v>
      </c>
      <c r="Q757" s="30">
        <v>14.977278673367957</v>
      </c>
      <c r="R757" s="30">
        <v>12.520893947646208</v>
      </c>
      <c r="S757" s="25"/>
    </row>
    <row r="758" spans="1:19" x14ac:dyDescent="0.25">
      <c r="A758" s="26">
        <v>7.5300000000000198</v>
      </c>
      <c r="B758" s="26">
        <v>11.283970319037465</v>
      </c>
      <c r="C758" s="26">
        <v>15.104297868786677</v>
      </c>
      <c r="D758" s="26">
        <v>16.529742959082245</v>
      </c>
      <c r="E758" s="26">
        <v>28.364286505150304</v>
      </c>
      <c r="F758" s="26">
        <v>27.557707244796518</v>
      </c>
      <c r="G758" s="26">
        <v>25.835685614312872</v>
      </c>
      <c r="H758" s="26">
        <v>33.071714791478115</v>
      </c>
      <c r="I758" s="26">
        <v>21.941935614312875</v>
      </c>
      <c r="J758" s="26">
        <v>17.069778673367953</v>
      </c>
      <c r="K758" s="26">
        <v>14.09818561431287</v>
      </c>
      <c r="L758" s="26">
        <v>14.516028673367959</v>
      </c>
      <c r="M758" s="26">
        <v>14.091935614312876</v>
      </c>
      <c r="N758" s="26">
        <v>14.041935614312877</v>
      </c>
      <c r="O758" s="26">
        <v>14.587278673367958</v>
      </c>
      <c r="P758" s="26">
        <v>14.229435614312875</v>
      </c>
      <c r="Q758" s="26">
        <v>14.977278673367957</v>
      </c>
      <c r="R758" s="26">
        <v>12.520893947646208</v>
      </c>
      <c r="S758" s="24"/>
    </row>
    <row r="759" spans="1:19" x14ac:dyDescent="0.25">
      <c r="A759" s="30">
        <v>7.5400000000000196</v>
      </c>
      <c r="B759" s="30">
        <v>11.283970319037465</v>
      </c>
      <c r="C759" s="30">
        <v>15.104297868786677</v>
      </c>
      <c r="D759" s="30">
        <v>16.529742959082245</v>
      </c>
      <c r="E759" s="30">
        <v>28.364286505150304</v>
      </c>
      <c r="F759" s="30">
        <v>27.557707244796518</v>
      </c>
      <c r="G759" s="30">
        <v>25.835685614312872</v>
      </c>
      <c r="H759" s="30">
        <v>33.071714791478115</v>
      </c>
      <c r="I759" s="30">
        <v>21.941935614312875</v>
      </c>
      <c r="J759" s="30">
        <v>17.069778673367953</v>
      </c>
      <c r="K759" s="30">
        <v>14.09818561431287</v>
      </c>
      <c r="L759" s="30">
        <v>14.516028673367959</v>
      </c>
      <c r="M759" s="30">
        <v>14.091935614312876</v>
      </c>
      <c r="N759" s="30">
        <v>14.041935614312877</v>
      </c>
      <c r="O759" s="30">
        <v>14.587278673367958</v>
      </c>
      <c r="P759" s="30">
        <v>14.229435614312875</v>
      </c>
      <c r="Q759" s="30">
        <v>14.977278673367957</v>
      </c>
      <c r="R759" s="30">
        <v>12.520893947646208</v>
      </c>
      <c r="S759" s="25"/>
    </row>
    <row r="760" spans="1:19" x14ac:dyDescent="0.25">
      <c r="A760" s="26">
        <v>7.5500000000000203</v>
      </c>
      <c r="B760" s="26">
        <v>11.283970319037465</v>
      </c>
      <c r="C760" s="26">
        <v>15.104297868786677</v>
      </c>
      <c r="D760" s="26">
        <v>16.529742959082245</v>
      </c>
      <c r="E760" s="26">
        <v>28.364286505150304</v>
      </c>
      <c r="F760" s="26">
        <v>27.557707244796518</v>
      </c>
      <c r="G760" s="26">
        <v>25.835685614312872</v>
      </c>
      <c r="H760" s="26">
        <v>33.071714791478115</v>
      </c>
      <c r="I760" s="26">
        <v>21.941935614312875</v>
      </c>
      <c r="J760" s="26">
        <v>17.069778673367953</v>
      </c>
      <c r="K760" s="26">
        <v>14.09818561431287</v>
      </c>
      <c r="L760" s="26">
        <v>14.516028673367959</v>
      </c>
      <c r="M760" s="26">
        <v>14.091935614312876</v>
      </c>
      <c r="N760" s="26">
        <v>14.041935614312877</v>
      </c>
      <c r="O760" s="26">
        <v>14.587278673367958</v>
      </c>
      <c r="P760" s="26">
        <v>14.229435614312875</v>
      </c>
      <c r="Q760" s="26">
        <v>14.977278673367957</v>
      </c>
      <c r="R760" s="26">
        <v>12.520893947646208</v>
      </c>
      <c r="S760" s="24"/>
    </row>
    <row r="761" spans="1:19" x14ac:dyDescent="0.25">
      <c r="A761" s="30">
        <v>7.56000000000002</v>
      </c>
      <c r="B761" s="30">
        <v>11.283970319037465</v>
      </c>
      <c r="C761" s="30">
        <v>15.104297868786677</v>
      </c>
      <c r="D761" s="30">
        <v>16.529742959082245</v>
      </c>
      <c r="E761" s="30">
        <v>28.364286505150304</v>
      </c>
      <c r="F761" s="30">
        <v>27.557707244796518</v>
      </c>
      <c r="G761" s="30">
        <v>25.835685614312872</v>
      </c>
      <c r="H761" s="30">
        <v>33.071714791478115</v>
      </c>
      <c r="I761" s="30">
        <v>21.941935614312875</v>
      </c>
      <c r="J761" s="30">
        <v>17.069778673367953</v>
      </c>
      <c r="K761" s="30">
        <v>14.09818561431287</v>
      </c>
      <c r="L761" s="30">
        <v>14.516028673367959</v>
      </c>
      <c r="M761" s="30">
        <v>14.091935614312876</v>
      </c>
      <c r="N761" s="30">
        <v>14.041935614312877</v>
      </c>
      <c r="O761" s="30">
        <v>14.587278673367958</v>
      </c>
      <c r="P761" s="30">
        <v>14.229435614312875</v>
      </c>
      <c r="Q761" s="30">
        <v>14.977278673367957</v>
      </c>
      <c r="R761" s="30">
        <v>12.520893947646208</v>
      </c>
      <c r="S761" s="25"/>
    </row>
    <row r="762" spans="1:19" x14ac:dyDescent="0.25">
      <c r="A762" s="26">
        <v>7.5700000000000198</v>
      </c>
      <c r="B762" s="26">
        <v>11.283970319037465</v>
      </c>
      <c r="C762" s="26">
        <v>15.104297868786677</v>
      </c>
      <c r="D762" s="26">
        <v>16.529742959082245</v>
      </c>
      <c r="E762" s="26">
        <v>28.364286505150304</v>
      </c>
      <c r="F762" s="26">
        <v>27.557707244796518</v>
      </c>
      <c r="G762" s="26">
        <v>25.835685614312872</v>
      </c>
      <c r="H762" s="26">
        <v>33.071714791478115</v>
      </c>
      <c r="I762" s="26">
        <v>21.941935614312875</v>
      </c>
      <c r="J762" s="26">
        <v>17.069778673367953</v>
      </c>
      <c r="K762" s="26">
        <v>14.09818561431287</v>
      </c>
      <c r="L762" s="26">
        <v>14.516028673367959</v>
      </c>
      <c r="M762" s="26">
        <v>14.091935614312876</v>
      </c>
      <c r="N762" s="26">
        <v>14.041935614312877</v>
      </c>
      <c r="O762" s="26">
        <v>14.587278673367958</v>
      </c>
      <c r="P762" s="26">
        <v>14.229435614312875</v>
      </c>
      <c r="Q762" s="26">
        <v>14.977278673367957</v>
      </c>
      <c r="R762" s="26">
        <v>12.520893947646208</v>
      </c>
      <c r="S762" s="24"/>
    </row>
    <row r="763" spans="1:19" x14ac:dyDescent="0.25">
      <c r="A763" s="30">
        <v>7.5800000000000196</v>
      </c>
      <c r="B763" s="30">
        <v>11.283970319037465</v>
      </c>
      <c r="C763" s="30">
        <v>15.104297868786677</v>
      </c>
      <c r="D763" s="30">
        <v>16.529742959082245</v>
      </c>
      <c r="E763" s="30">
        <v>28.364286505150304</v>
      </c>
      <c r="F763" s="30">
        <v>27.557707244796518</v>
      </c>
      <c r="G763" s="30">
        <v>25.835685614312872</v>
      </c>
      <c r="H763" s="30">
        <v>33.071714791478115</v>
      </c>
      <c r="I763" s="30">
        <v>21.941935614312875</v>
      </c>
      <c r="J763" s="30">
        <v>17.069778673367953</v>
      </c>
      <c r="K763" s="30">
        <v>14.09818561431287</v>
      </c>
      <c r="L763" s="30">
        <v>14.516028673367959</v>
      </c>
      <c r="M763" s="30">
        <v>14.091935614312876</v>
      </c>
      <c r="N763" s="30">
        <v>14.041935614312877</v>
      </c>
      <c r="O763" s="30">
        <v>14.587278673367958</v>
      </c>
      <c r="P763" s="30">
        <v>14.229435614312875</v>
      </c>
      <c r="Q763" s="30">
        <v>14.977278673367957</v>
      </c>
      <c r="R763" s="30">
        <v>12.520893947646208</v>
      </c>
      <c r="S763" s="25"/>
    </row>
    <row r="764" spans="1:19" x14ac:dyDescent="0.25">
      <c r="A764" s="26">
        <v>7.5900000000000203</v>
      </c>
      <c r="B764" s="26">
        <v>11.283970319037465</v>
      </c>
      <c r="C764" s="26">
        <v>15.104297868786677</v>
      </c>
      <c r="D764" s="26">
        <v>16.529742959082245</v>
      </c>
      <c r="E764" s="26">
        <v>28.364286505150304</v>
      </c>
      <c r="F764" s="26">
        <v>27.557707244796518</v>
      </c>
      <c r="G764" s="26">
        <v>25.835685614312872</v>
      </c>
      <c r="H764" s="26">
        <v>33.071714791478115</v>
      </c>
      <c r="I764" s="26">
        <v>21.941935614312875</v>
      </c>
      <c r="J764" s="26">
        <v>17.069778673367953</v>
      </c>
      <c r="K764" s="26">
        <v>14.09818561431287</v>
      </c>
      <c r="L764" s="26">
        <v>14.516028673367959</v>
      </c>
      <c r="M764" s="26">
        <v>14.091935614312876</v>
      </c>
      <c r="N764" s="26">
        <v>14.041935614312877</v>
      </c>
      <c r="O764" s="26">
        <v>14.587278673367958</v>
      </c>
      <c r="P764" s="26">
        <v>14.229435614312875</v>
      </c>
      <c r="Q764" s="26">
        <v>14.977278673367957</v>
      </c>
      <c r="R764" s="26">
        <v>12.520893947646208</v>
      </c>
      <c r="S764" s="24"/>
    </row>
    <row r="765" spans="1:19" x14ac:dyDescent="0.25">
      <c r="A765" s="30">
        <v>7.6000000000000298</v>
      </c>
      <c r="B765" s="30">
        <v>11.283970319037465</v>
      </c>
      <c r="C765" s="30">
        <v>15.104297868786677</v>
      </c>
      <c r="D765" s="30">
        <v>16.529742959082245</v>
      </c>
      <c r="E765" s="30">
        <v>28.364286505150304</v>
      </c>
      <c r="F765" s="30">
        <v>27.557707244796518</v>
      </c>
      <c r="G765" s="30">
        <v>25.835685614312872</v>
      </c>
      <c r="H765" s="30">
        <v>33.071714791478115</v>
      </c>
      <c r="I765" s="30">
        <v>21.941935614312875</v>
      </c>
      <c r="J765" s="30">
        <v>17.069778673367953</v>
      </c>
      <c r="K765" s="30">
        <v>14.09818561431287</v>
      </c>
      <c r="L765" s="30">
        <v>14.516028673367959</v>
      </c>
      <c r="M765" s="30">
        <v>14.091935614312876</v>
      </c>
      <c r="N765" s="30">
        <v>14.041935614312877</v>
      </c>
      <c r="O765" s="30">
        <v>14.587278673367958</v>
      </c>
      <c r="P765" s="30">
        <v>14.229435614312875</v>
      </c>
      <c r="Q765" s="30">
        <v>14.977278673367957</v>
      </c>
      <c r="R765" s="30">
        <v>12.520893947646208</v>
      </c>
      <c r="S765" s="25"/>
    </row>
    <row r="766" spans="1:19" x14ac:dyDescent="0.25">
      <c r="A766" s="26">
        <v>7.6100000000000296</v>
      </c>
      <c r="B766" s="26">
        <v>11.283970319037465</v>
      </c>
      <c r="C766" s="26">
        <v>15.104297868786677</v>
      </c>
      <c r="D766" s="26">
        <v>16.529742959082245</v>
      </c>
      <c r="E766" s="26">
        <v>28.364286505150304</v>
      </c>
      <c r="F766" s="26">
        <v>27.557707244796518</v>
      </c>
      <c r="G766" s="26">
        <v>25.835685614312872</v>
      </c>
      <c r="H766" s="26">
        <v>33.071714791478115</v>
      </c>
      <c r="I766" s="26">
        <v>21.941935614312875</v>
      </c>
      <c r="J766" s="26">
        <v>17.069778673367953</v>
      </c>
      <c r="K766" s="26">
        <v>14.09818561431287</v>
      </c>
      <c r="L766" s="26">
        <v>14.516028673367959</v>
      </c>
      <c r="M766" s="26">
        <v>14.091935614312876</v>
      </c>
      <c r="N766" s="26">
        <v>14.041935614312877</v>
      </c>
      <c r="O766" s="26">
        <v>14.587278673367958</v>
      </c>
      <c r="P766" s="26">
        <v>14.229435614312875</v>
      </c>
      <c r="Q766" s="26">
        <v>14.977278673367957</v>
      </c>
      <c r="R766" s="26">
        <v>12.520893947646208</v>
      </c>
      <c r="S766" s="24"/>
    </row>
    <row r="767" spans="1:19" x14ac:dyDescent="0.25">
      <c r="A767" s="30">
        <v>7.6200000000000303</v>
      </c>
      <c r="B767" s="30">
        <v>11.383970319037465</v>
      </c>
      <c r="C767" s="30">
        <v>15.104297868786677</v>
      </c>
      <c r="D767" s="30">
        <v>16.529742959082245</v>
      </c>
      <c r="E767" s="30">
        <v>28.364286505150304</v>
      </c>
      <c r="F767" s="30">
        <v>27.557707244796518</v>
      </c>
      <c r="G767" s="30">
        <v>25.835685614312872</v>
      </c>
      <c r="H767" s="30">
        <v>33.071714791478115</v>
      </c>
      <c r="I767" s="30">
        <v>21.941935614312875</v>
      </c>
      <c r="J767" s="30">
        <v>17.069778673367953</v>
      </c>
      <c r="K767" s="30">
        <v>14.09818561431287</v>
      </c>
      <c r="L767" s="30">
        <v>14.516028673367959</v>
      </c>
      <c r="M767" s="30">
        <v>14.091935614312876</v>
      </c>
      <c r="N767" s="30">
        <v>14.041935614312877</v>
      </c>
      <c r="O767" s="30">
        <v>14.587278673367958</v>
      </c>
      <c r="P767" s="30">
        <v>14.229435614312875</v>
      </c>
      <c r="Q767" s="30">
        <v>14.977278673367957</v>
      </c>
      <c r="R767" s="30">
        <v>12.520893947646208</v>
      </c>
      <c r="S767" s="25"/>
    </row>
    <row r="768" spans="1:19" x14ac:dyDescent="0.25">
      <c r="A768" s="26">
        <v>7.6300000000000301</v>
      </c>
      <c r="B768" s="26">
        <v>11.383970319037465</v>
      </c>
      <c r="C768" s="26">
        <v>15.104297868786677</v>
      </c>
      <c r="D768" s="26">
        <v>16.529742959082245</v>
      </c>
      <c r="E768" s="26">
        <v>28.364286505150304</v>
      </c>
      <c r="F768" s="26">
        <v>27.557707244796518</v>
      </c>
      <c r="G768" s="26">
        <v>25.835685614312872</v>
      </c>
      <c r="H768" s="26">
        <v>33.071714791478115</v>
      </c>
      <c r="I768" s="26">
        <v>21.941935614312875</v>
      </c>
      <c r="J768" s="26">
        <v>17.069778673367953</v>
      </c>
      <c r="K768" s="26">
        <v>14.09818561431287</v>
      </c>
      <c r="L768" s="26">
        <v>14.516028673367959</v>
      </c>
      <c r="M768" s="26">
        <v>14.091935614312876</v>
      </c>
      <c r="N768" s="26">
        <v>14.041935614312877</v>
      </c>
      <c r="O768" s="26">
        <v>14.587278673367958</v>
      </c>
      <c r="P768" s="26">
        <v>14.229435614312875</v>
      </c>
      <c r="Q768" s="26">
        <v>14.977278673367957</v>
      </c>
      <c r="R768" s="26">
        <v>12.520893947646208</v>
      </c>
      <c r="S768" s="24"/>
    </row>
    <row r="769" spans="1:19" x14ac:dyDescent="0.25">
      <c r="A769" s="30">
        <v>7.6400000000000299</v>
      </c>
      <c r="B769" s="30">
        <v>11.383970319037465</v>
      </c>
      <c r="C769" s="30">
        <v>15.104297868786677</v>
      </c>
      <c r="D769" s="30">
        <v>16.529742959082245</v>
      </c>
      <c r="E769" s="30">
        <v>28.364286505150304</v>
      </c>
      <c r="F769" s="30">
        <v>27.557707244796518</v>
      </c>
      <c r="G769" s="30">
        <v>25.835685614312872</v>
      </c>
      <c r="H769" s="30">
        <v>33.071714791478115</v>
      </c>
      <c r="I769" s="30">
        <v>21.941935614312875</v>
      </c>
      <c r="J769" s="30">
        <v>17.069778673367953</v>
      </c>
      <c r="K769" s="30">
        <v>14.09818561431287</v>
      </c>
      <c r="L769" s="30">
        <v>14.516028673367959</v>
      </c>
      <c r="M769" s="30">
        <v>14.091935614312876</v>
      </c>
      <c r="N769" s="30">
        <v>14.041935614312877</v>
      </c>
      <c r="O769" s="30">
        <v>14.587278673367958</v>
      </c>
      <c r="P769" s="30">
        <v>14.229435614312875</v>
      </c>
      <c r="Q769" s="30">
        <v>14.977278673367957</v>
      </c>
      <c r="R769" s="30">
        <v>12.520893947646208</v>
      </c>
      <c r="S769" s="25"/>
    </row>
    <row r="770" spans="1:19" x14ac:dyDescent="0.25">
      <c r="A770" s="26">
        <v>7.6500000000000297</v>
      </c>
      <c r="B770" s="26">
        <v>11.383970319037465</v>
      </c>
      <c r="C770" s="26">
        <v>15.104297868786677</v>
      </c>
      <c r="D770" s="26">
        <v>16.529742959082245</v>
      </c>
      <c r="E770" s="26">
        <v>28.364286505150304</v>
      </c>
      <c r="F770" s="26">
        <v>27.557707244796518</v>
      </c>
      <c r="G770" s="26">
        <v>25.835685614312872</v>
      </c>
      <c r="H770" s="26">
        <v>33.071714791478115</v>
      </c>
      <c r="I770" s="26">
        <v>21.941935614312875</v>
      </c>
      <c r="J770" s="26">
        <v>17.069778673367953</v>
      </c>
      <c r="K770" s="26">
        <v>14.09818561431287</v>
      </c>
      <c r="L770" s="26">
        <v>14.516028673367959</v>
      </c>
      <c r="M770" s="26">
        <v>14.091935614312876</v>
      </c>
      <c r="N770" s="26">
        <v>14.041935614312877</v>
      </c>
      <c r="O770" s="26">
        <v>14.587278673367958</v>
      </c>
      <c r="P770" s="26">
        <v>14.229435614312875</v>
      </c>
      <c r="Q770" s="26">
        <v>14.977278673367957</v>
      </c>
      <c r="R770" s="26">
        <v>12.520893947646208</v>
      </c>
      <c r="S770" s="24"/>
    </row>
    <row r="771" spans="1:19" x14ac:dyDescent="0.25">
      <c r="A771" s="30">
        <v>7.6600000000000303</v>
      </c>
      <c r="B771" s="30">
        <v>11.383970319037465</v>
      </c>
      <c r="C771" s="30">
        <v>15.104297868786677</v>
      </c>
      <c r="D771" s="30">
        <v>16.529742959082245</v>
      </c>
      <c r="E771" s="30">
        <v>28.364286505150304</v>
      </c>
      <c r="F771" s="30">
        <v>27.557707244796518</v>
      </c>
      <c r="G771" s="30">
        <v>28.706028673367953</v>
      </c>
      <c r="H771" s="30">
        <v>33.071714791478115</v>
      </c>
      <c r="I771" s="30">
        <v>24.033528673367957</v>
      </c>
      <c r="J771" s="30">
        <v>17.069778673367953</v>
      </c>
      <c r="K771" s="30">
        <v>14.621028673367951</v>
      </c>
      <c r="L771" s="30">
        <v>14.516028673367959</v>
      </c>
      <c r="M771" s="30">
        <v>14.613528673367957</v>
      </c>
      <c r="N771" s="30">
        <v>14.553528673367959</v>
      </c>
      <c r="O771" s="30">
        <v>14.587278673367958</v>
      </c>
      <c r="P771" s="30">
        <v>14.778528673367957</v>
      </c>
      <c r="Q771" s="30">
        <v>14.977278673367957</v>
      </c>
      <c r="R771" s="30">
        <v>12.728278673367956</v>
      </c>
      <c r="S771" s="25"/>
    </row>
    <row r="772" spans="1:19" x14ac:dyDescent="0.25">
      <c r="A772" s="26">
        <v>7.6700000000000301</v>
      </c>
      <c r="B772" s="26">
        <v>11.383970319037465</v>
      </c>
      <c r="C772" s="26">
        <v>15.104297868786677</v>
      </c>
      <c r="D772" s="26">
        <v>16.529742959082245</v>
      </c>
      <c r="E772" s="26">
        <v>28.364286505150304</v>
      </c>
      <c r="F772" s="26">
        <v>27.557707244796518</v>
      </c>
      <c r="G772" s="26">
        <v>28.706028673367953</v>
      </c>
      <c r="H772" s="26">
        <v>33.071714791478115</v>
      </c>
      <c r="I772" s="26">
        <v>24.033528673367957</v>
      </c>
      <c r="J772" s="26">
        <v>17.069778673367953</v>
      </c>
      <c r="K772" s="26">
        <v>14.621028673367951</v>
      </c>
      <c r="L772" s="26">
        <v>14.516028673367959</v>
      </c>
      <c r="M772" s="26">
        <v>14.613528673367957</v>
      </c>
      <c r="N772" s="26">
        <v>14.553528673367959</v>
      </c>
      <c r="O772" s="26">
        <v>14.587278673367958</v>
      </c>
      <c r="P772" s="26">
        <v>14.778528673367957</v>
      </c>
      <c r="Q772" s="26">
        <v>14.977278673367957</v>
      </c>
      <c r="R772" s="26">
        <v>12.728278673367956</v>
      </c>
      <c r="S772" s="24"/>
    </row>
    <row r="773" spans="1:19" x14ac:dyDescent="0.25">
      <c r="A773" s="30">
        <v>7.6800000000000299</v>
      </c>
      <c r="B773" s="30">
        <v>11.383970319037465</v>
      </c>
      <c r="C773" s="30">
        <v>15.104297868786677</v>
      </c>
      <c r="D773" s="30">
        <v>16.529742959082245</v>
      </c>
      <c r="E773" s="30">
        <v>28.364286505150304</v>
      </c>
      <c r="F773" s="30">
        <v>27.557707244796518</v>
      </c>
      <c r="G773" s="30">
        <v>28.706028673367953</v>
      </c>
      <c r="H773" s="30">
        <v>33.071714791478115</v>
      </c>
      <c r="I773" s="30">
        <v>24.033528673367957</v>
      </c>
      <c r="J773" s="30">
        <v>17.069778673367953</v>
      </c>
      <c r="K773" s="30">
        <v>14.621028673367951</v>
      </c>
      <c r="L773" s="30">
        <v>14.516028673367959</v>
      </c>
      <c r="M773" s="30">
        <v>14.613528673367957</v>
      </c>
      <c r="N773" s="30">
        <v>14.553528673367959</v>
      </c>
      <c r="O773" s="30">
        <v>14.587278673367958</v>
      </c>
      <c r="P773" s="30">
        <v>14.778528673367957</v>
      </c>
      <c r="Q773" s="30">
        <v>14.977278673367957</v>
      </c>
      <c r="R773" s="30">
        <v>12.728278673367956</v>
      </c>
      <c r="S773" s="25"/>
    </row>
    <row r="774" spans="1:19" x14ac:dyDescent="0.25">
      <c r="A774" s="26">
        <v>7.6900000000000297</v>
      </c>
      <c r="B774" s="26">
        <v>11.383970319037465</v>
      </c>
      <c r="C774" s="26">
        <v>15.104297868786677</v>
      </c>
      <c r="D774" s="26">
        <v>16.529742959082245</v>
      </c>
      <c r="E774" s="26">
        <v>28.364286505150304</v>
      </c>
      <c r="F774" s="26">
        <v>27.557707244796518</v>
      </c>
      <c r="G774" s="26">
        <v>28.706028673367953</v>
      </c>
      <c r="H774" s="26">
        <v>33.071714791478115</v>
      </c>
      <c r="I774" s="26">
        <v>24.033528673367957</v>
      </c>
      <c r="J774" s="26">
        <v>17.069778673367953</v>
      </c>
      <c r="K774" s="26">
        <v>14.621028673367951</v>
      </c>
      <c r="L774" s="26">
        <v>14.516028673367959</v>
      </c>
      <c r="M774" s="26">
        <v>14.613528673367957</v>
      </c>
      <c r="N774" s="26">
        <v>14.553528673367959</v>
      </c>
      <c r="O774" s="26">
        <v>14.587278673367958</v>
      </c>
      <c r="P774" s="26">
        <v>14.778528673367957</v>
      </c>
      <c r="Q774" s="26">
        <v>14.977278673367957</v>
      </c>
      <c r="R774" s="26">
        <v>12.728278673367956</v>
      </c>
      <c r="S774" s="24"/>
    </row>
    <row r="775" spans="1:19" x14ac:dyDescent="0.25">
      <c r="A775" s="30">
        <v>7.7000000000000304</v>
      </c>
      <c r="B775" s="30">
        <v>11.383970319037465</v>
      </c>
      <c r="C775" s="30">
        <v>15.104297868786677</v>
      </c>
      <c r="D775" s="30">
        <v>16.529742959082245</v>
      </c>
      <c r="E775" s="30">
        <v>28.364286505150304</v>
      </c>
      <c r="F775" s="30">
        <v>27.557707244796518</v>
      </c>
      <c r="G775" s="30">
        <v>28.706028673367953</v>
      </c>
      <c r="H775" s="30">
        <v>33.071714791478115</v>
      </c>
      <c r="I775" s="30">
        <v>24.033528673367957</v>
      </c>
      <c r="J775" s="30">
        <v>17.069778673367953</v>
      </c>
      <c r="K775" s="30">
        <v>14.621028673367951</v>
      </c>
      <c r="L775" s="30">
        <v>14.516028673367959</v>
      </c>
      <c r="M775" s="30">
        <v>14.613528673367957</v>
      </c>
      <c r="N775" s="30">
        <v>14.553528673367959</v>
      </c>
      <c r="O775" s="30">
        <v>14.587278673367958</v>
      </c>
      <c r="P775" s="30">
        <v>14.778528673367957</v>
      </c>
      <c r="Q775" s="30">
        <v>14.977278673367957</v>
      </c>
      <c r="R775" s="30">
        <v>12.728278673367956</v>
      </c>
      <c r="S775" s="25"/>
    </row>
    <row r="776" spans="1:19" x14ac:dyDescent="0.25">
      <c r="A776" s="26">
        <v>7.7100000000000302</v>
      </c>
      <c r="B776" s="26">
        <v>11.383970319037465</v>
      </c>
      <c r="C776" s="26">
        <v>15.104297868786677</v>
      </c>
      <c r="D776" s="26">
        <v>16.529742959082245</v>
      </c>
      <c r="E776" s="26">
        <v>28.364286505150304</v>
      </c>
      <c r="F776" s="26">
        <v>27.557707244796518</v>
      </c>
      <c r="G776" s="26">
        <v>28.706028673367953</v>
      </c>
      <c r="H776" s="26">
        <v>33.071714791478115</v>
      </c>
      <c r="I776" s="26">
        <v>24.033528673367957</v>
      </c>
      <c r="J776" s="26">
        <v>17.069778673367953</v>
      </c>
      <c r="K776" s="26">
        <v>14.621028673367951</v>
      </c>
      <c r="L776" s="26">
        <v>14.516028673367959</v>
      </c>
      <c r="M776" s="26">
        <v>14.613528673367957</v>
      </c>
      <c r="N776" s="26">
        <v>14.553528673367959</v>
      </c>
      <c r="O776" s="26">
        <v>14.587278673367958</v>
      </c>
      <c r="P776" s="26">
        <v>14.778528673367957</v>
      </c>
      <c r="Q776" s="26">
        <v>14.977278673367957</v>
      </c>
      <c r="R776" s="26">
        <v>12.728278673367956</v>
      </c>
      <c r="S776" s="24"/>
    </row>
    <row r="777" spans="1:19" x14ac:dyDescent="0.25">
      <c r="A777" s="30">
        <v>7.7200000000000299</v>
      </c>
      <c r="B777" s="30">
        <v>11.383970319037465</v>
      </c>
      <c r="C777" s="30">
        <v>15.104297868786677</v>
      </c>
      <c r="D777" s="30">
        <v>16.529742959082245</v>
      </c>
      <c r="E777" s="30">
        <v>28.364286505150304</v>
      </c>
      <c r="F777" s="30">
        <v>27.557707244796518</v>
      </c>
      <c r="G777" s="30">
        <v>28.706028673367953</v>
      </c>
      <c r="H777" s="30">
        <v>33.071714791478115</v>
      </c>
      <c r="I777" s="30">
        <v>24.033528673367957</v>
      </c>
      <c r="J777" s="30">
        <v>18.000746732423035</v>
      </c>
      <c r="K777" s="30">
        <v>14.621028673367951</v>
      </c>
      <c r="L777" s="30">
        <v>15.021371732423042</v>
      </c>
      <c r="M777" s="30">
        <v>14.613528673367957</v>
      </c>
      <c r="N777" s="30">
        <v>14.553528673367959</v>
      </c>
      <c r="O777" s="30">
        <v>15.104496732423041</v>
      </c>
      <c r="P777" s="30">
        <v>14.778528673367957</v>
      </c>
      <c r="Q777" s="30">
        <v>15.559496732423039</v>
      </c>
      <c r="R777" s="30">
        <v>12.728278673367956</v>
      </c>
      <c r="S777" s="25"/>
    </row>
    <row r="778" spans="1:19" x14ac:dyDescent="0.25">
      <c r="A778" s="26">
        <v>7.7300000000000297</v>
      </c>
      <c r="B778" s="26">
        <v>11.383970319037465</v>
      </c>
      <c r="C778" s="26">
        <v>15.104297868786677</v>
      </c>
      <c r="D778" s="26">
        <v>17.370705065756376</v>
      </c>
      <c r="E778" s="26">
        <v>28.364286505150304</v>
      </c>
      <c r="F778" s="26">
        <v>30.236663399089693</v>
      </c>
      <c r="G778" s="26">
        <v>28.706028673367953</v>
      </c>
      <c r="H778" s="26">
        <v>33.071714791478115</v>
      </c>
      <c r="I778" s="26">
        <v>24.033528673367957</v>
      </c>
      <c r="J778" s="26">
        <v>18.000746732423035</v>
      </c>
      <c r="K778" s="26">
        <v>14.621028673367951</v>
      </c>
      <c r="L778" s="26">
        <v>15.021371732423042</v>
      </c>
      <c r="M778" s="26">
        <v>14.613528673367957</v>
      </c>
      <c r="N778" s="26">
        <v>14.553528673367959</v>
      </c>
      <c r="O778" s="26">
        <v>15.104496732423041</v>
      </c>
      <c r="P778" s="26">
        <v>14.778528673367957</v>
      </c>
      <c r="Q778" s="26">
        <v>15.559496732423039</v>
      </c>
      <c r="R778" s="26">
        <v>12.728278673367956</v>
      </c>
      <c r="S778" s="24"/>
    </row>
    <row r="779" spans="1:19" x14ac:dyDescent="0.25">
      <c r="A779" s="30">
        <v>7.7400000000000304</v>
      </c>
      <c r="B779" s="30">
        <v>11.383970319037465</v>
      </c>
      <c r="C779" s="30">
        <v>15.104297868786677</v>
      </c>
      <c r="D779" s="30">
        <v>17.370705065756376</v>
      </c>
      <c r="E779" s="30">
        <v>28.364286505150304</v>
      </c>
      <c r="F779" s="30">
        <v>30.236663399089693</v>
      </c>
      <c r="G779" s="30">
        <v>28.706028673367953</v>
      </c>
      <c r="H779" s="30">
        <v>33.071714791478115</v>
      </c>
      <c r="I779" s="30">
        <v>24.033528673367957</v>
      </c>
      <c r="J779" s="30">
        <v>18.000746732423035</v>
      </c>
      <c r="K779" s="30">
        <v>14.621028673367951</v>
      </c>
      <c r="L779" s="30">
        <v>15.021371732423042</v>
      </c>
      <c r="M779" s="30">
        <v>14.613528673367957</v>
      </c>
      <c r="N779" s="30">
        <v>14.553528673367959</v>
      </c>
      <c r="O779" s="30">
        <v>15.104496732423041</v>
      </c>
      <c r="P779" s="30">
        <v>14.778528673367957</v>
      </c>
      <c r="Q779" s="30">
        <v>15.559496732423039</v>
      </c>
      <c r="R779" s="30">
        <v>12.728278673367956</v>
      </c>
      <c r="S779" s="25"/>
    </row>
    <row r="780" spans="1:19" x14ac:dyDescent="0.25">
      <c r="A780" s="26">
        <v>7.75000000000004</v>
      </c>
      <c r="B780" s="26">
        <v>11.383970319037465</v>
      </c>
      <c r="C780" s="26">
        <v>15.104297868786677</v>
      </c>
      <c r="D780" s="26">
        <v>17.370705065756376</v>
      </c>
      <c r="E780" s="26">
        <v>28.364286505150304</v>
      </c>
      <c r="F780" s="26">
        <v>30.236663399089693</v>
      </c>
      <c r="G780" s="26">
        <v>28.706028673367953</v>
      </c>
      <c r="H780" s="26">
        <v>33.071714791478115</v>
      </c>
      <c r="I780" s="26">
        <v>24.033528673367957</v>
      </c>
      <c r="J780" s="26">
        <v>18.000746732423035</v>
      </c>
      <c r="K780" s="26">
        <v>14.621028673367951</v>
      </c>
      <c r="L780" s="26">
        <v>15.021371732423042</v>
      </c>
      <c r="M780" s="26">
        <v>14.613528673367957</v>
      </c>
      <c r="N780" s="26">
        <v>14.553528673367959</v>
      </c>
      <c r="O780" s="26">
        <v>15.104496732423041</v>
      </c>
      <c r="P780" s="26">
        <v>14.778528673367957</v>
      </c>
      <c r="Q780" s="26">
        <v>15.559496732423039</v>
      </c>
      <c r="R780" s="26">
        <v>12.728278673367956</v>
      </c>
      <c r="S780" s="24"/>
    </row>
    <row r="781" spans="1:19" x14ac:dyDescent="0.25">
      <c r="A781" s="30">
        <v>7.7600000000000398</v>
      </c>
      <c r="B781" s="30">
        <v>11.483970319037466</v>
      </c>
      <c r="C781" s="30">
        <v>15.104297868786677</v>
      </c>
      <c r="D781" s="30">
        <v>17.370705065756376</v>
      </c>
      <c r="E781" s="30">
        <v>28.364286505150304</v>
      </c>
      <c r="F781" s="30">
        <v>30.236663399089693</v>
      </c>
      <c r="G781" s="30">
        <v>28.706028673367953</v>
      </c>
      <c r="H781" s="30"/>
      <c r="I781" s="30">
        <v>24.033528673367957</v>
      </c>
      <c r="J781" s="30">
        <v>18.000746732423035</v>
      </c>
      <c r="K781" s="30">
        <v>14.621028673367951</v>
      </c>
      <c r="L781" s="30">
        <v>15.021371732423042</v>
      </c>
      <c r="M781" s="30">
        <v>14.613528673367957</v>
      </c>
      <c r="N781" s="30">
        <v>14.553528673367959</v>
      </c>
      <c r="O781" s="30">
        <v>15.104496732423041</v>
      </c>
      <c r="P781" s="30">
        <v>14.778528673367957</v>
      </c>
      <c r="Q781" s="30">
        <v>15.559496732423039</v>
      </c>
      <c r="R781" s="30">
        <v>12.728278673367956</v>
      </c>
      <c r="S781" s="25"/>
    </row>
    <row r="782" spans="1:19" x14ac:dyDescent="0.25">
      <c r="A782" s="26">
        <v>7.7700000000000404</v>
      </c>
      <c r="B782" s="26">
        <v>11.483970319037466</v>
      </c>
      <c r="C782" s="26">
        <v>15.62148751875085</v>
      </c>
      <c r="D782" s="26">
        <v>17.370705065756376</v>
      </c>
      <c r="E782" s="26">
        <v>30.775760246023566</v>
      </c>
      <c r="F782" s="26">
        <v>30.236663399089693</v>
      </c>
      <c r="G782" s="26">
        <v>28.706028673367953</v>
      </c>
      <c r="H782" s="26"/>
      <c r="I782" s="26">
        <v>24.033528673367957</v>
      </c>
      <c r="J782" s="26">
        <v>18.000746732423035</v>
      </c>
      <c r="K782" s="26">
        <v>14.621028673367951</v>
      </c>
      <c r="L782" s="26">
        <v>15.021371732423042</v>
      </c>
      <c r="M782" s="26">
        <v>14.613528673367957</v>
      </c>
      <c r="N782" s="26">
        <v>14.553528673367959</v>
      </c>
      <c r="O782" s="26">
        <v>15.104496732423041</v>
      </c>
      <c r="P782" s="26">
        <v>14.778528673367957</v>
      </c>
      <c r="Q782" s="26">
        <v>15.559496732423039</v>
      </c>
      <c r="R782" s="26">
        <v>12.728278673367956</v>
      </c>
      <c r="S782" s="24"/>
    </row>
    <row r="783" spans="1:19" x14ac:dyDescent="0.25">
      <c r="A783" s="30">
        <v>7.7800000000000402</v>
      </c>
      <c r="B783" s="30">
        <v>11.483970319037466</v>
      </c>
      <c r="C783" s="30">
        <v>15.62148751875085</v>
      </c>
      <c r="D783" s="30">
        <v>17.370705065756376</v>
      </c>
      <c r="E783" s="30">
        <v>30.775760246023566</v>
      </c>
      <c r="F783" s="30">
        <v>30.236663399089693</v>
      </c>
      <c r="G783" s="30">
        <v>28.706028673367953</v>
      </c>
      <c r="H783" s="30"/>
      <c r="I783" s="30">
        <v>24.033528673367957</v>
      </c>
      <c r="J783" s="30">
        <v>18.000746732423035</v>
      </c>
      <c r="K783" s="30">
        <v>14.621028673367951</v>
      </c>
      <c r="L783" s="30">
        <v>15.021371732423042</v>
      </c>
      <c r="M783" s="30">
        <v>14.613528673367957</v>
      </c>
      <c r="N783" s="30">
        <v>14.553528673367959</v>
      </c>
      <c r="O783" s="30">
        <v>15.104496732423041</v>
      </c>
      <c r="P783" s="30">
        <v>14.778528673367957</v>
      </c>
      <c r="Q783" s="30">
        <v>15.559496732423039</v>
      </c>
      <c r="R783" s="30">
        <v>12.728278673367956</v>
      </c>
      <c r="S783" s="25"/>
    </row>
    <row r="784" spans="1:19" x14ac:dyDescent="0.25">
      <c r="A784" s="26">
        <v>7.79000000000004</v>
      </c>
      <c r="B784" s="26">
        <v>11.483970319037466</v>
      </c>
      <c r="C784" s="26">
        <v>15.62148751875085</v>
      </c>
      <c r="D784" s="26">
        <v>17.370705065756376</v>
      </c>
      <c r="E784" s="26">
        <v>30.775760246023566</v>
      </c>
      <c r="F784" s="26">
        <v>30.236663399089693</v>
      </c>
      <c r="G784" s="26">
        <v>28.706028673367953</v>
      </c>
      <c r="H784" s="26"/>
      <c r="I784" s="26">
        <v>24.033528673367957</v>
      </c>
      <c r="J784" s="26">
        <v>18.000746732423035</v>
      </c>
      <c r="K784" s="26">
        <v>14.621028673367951</v>
      </c>
      <c r="L784" s="26">
        <v>15.021371732423042</v>
      </c>
      <c r="M784" s="26">
        <v>14.613528673367957</v>
      </c>
      <c r="N784" s="26">
        <v>14.553528673367959</v>
      </c>
      <c r="O784" s="26">
        <v>15.104496732423041</v>
      </c>
      <c r="P784" s="26">
        <v>14.778528673367957</v>
      </c>
      <c r="Q784" s="26">
        <v>15.559496732423039</v>
      </c>
      <c r="R784" s="26">
        <v>12.728278673367956</v>
      </c>
      <c r="S784" s="24"/>
    </row>
    <row r="785" spans="1:19" x14ac:dyDescent="0.25">
      <c r="A785" s="30">
        <v>7.8000000000000398</v>
      </c>
      <c r="B785" s="30">
        <v>11.483970319037466</v>
      </c>
      <c r="C785" s="30">
        <v>15.62148751875085</v>
      </c>
      <c r="D785" s="30">
        <v>17.370705065756376</v>
      </c>
      <c r="E785" s="30">
        <v>30.775760246023566</v>
      </c>
      <c r="F785" s="30">
        <v>30.236663399089693</v>
      </c>
      <c r="G785" s="30">
        <v>28.706028673367953</v>
      </c>
      <c r="H785" s="30"/>
      <c r="I785" s="30">
        <v>24.033528673367957</v>
      </c>
      <c r="J785" s="30">
        <v>18.000746732423035</v>
      </c>
      <c r="K785" s="30">
        <v>14.621028673367951</v>
      </c>
      <c r="L785" s="30">
        <v>15.021371732423042</v>
      </c>
      <c r="M785" s="30">
        <v>14.613528673367957</v>
      </c>
      <c r="N785" s="30">
        <v>14.553528673367959</v>
      </c>
      <c r="O785" s="30">
        <v>15.104496732423041</v>
      </c>
      <c r="P785" s="30">
        <v>14.778528673367957</v>
      </c>
      <c r="Q785" s="30">
        <v>15.559496732423039</v>
      </c>
      <c r="R785" s="30">
        <v>12.728278673367956</v>
      </c>
      <c r="S785" s="25"/>
    </row>
    <row r="786" spans="1:19" x14ac:dyDescent="0.25">
      <c r="A786" s="26">
        <v>7.8100000000000396</v>
      </c>
      <c r="B786" s="26">
        <v>11.483970319037466</v>
      </c>
      <c r="C786" s="26">
        <v>15.62148751875085</v>
      </c>
      <c r="D786" s="26">
        <v>17.370705065756376</v>
      </c>
      <c r="E786" s="26">
        <v>30.775760246023566</v>
      </c>
      <c r="F786" s="26">
        <v>30.236663399089693</v>
      </c>
      <c r="G786" s="26">
        <v>28.706028673367953</v>
      </c>
      <c r="H786" s="26"/>
      <c r="I786" s="26">
        <v>24.033528673367957</v>
      </c>
      <c r="J786" s="26">
        <v>18.000746732423035</v>
      </c>
      <c r="K786" s="26">
        <v>14.621028673367951</v>
      </c>
      <c r="L786" s="26">
        <v>15.021371732423042</v>
      </c>
      <c r="M786" s="26">
        <v>14.613528673367957</v>
      </c>
      <c r="N786" s="26">
        <v>14.553528673367959</v>
      </c>
      <c r="O786" s="26">
        <v>15.104496732423041</v>
      </c>
      <c r="P786" s="26">
        <v>14.778528673367957</v>
      </c>
      <c r="Q786" s="26">
        <v>15.559496732423039</v>
      </c>
      <c r="R786" s="26">
        <v>12.728278673367956</v>
      </c>
      <c r="S786" s="24"/>
    </row>
    <row r="787" spans="1:19" x14ac:dyDescent="0.25">
      <c r="A787" s="30">
        <v>7.8200000000000403</v>
      </c>
      <c r="B787" s="30">
        <v>11.483970319037466</v>
      </c>
      <c r="C787" s="30">
        <v>15.62148751875085</v>
      </c>
      <c r="D787" s="30">
        <v>17.370705065756376</v>
      </c>
      <c r="E787" s="30">
        <v>30.775760246023566</v>
      </c>
      <c r="F787" s="30">
        <v>30.236663399089693</v>
      </c>
      <c r="G787" s="30">
        <v>28.706028673367953</v>
      </c>
      <c r="H787" s="30"/>
      <c r="I787" s="30">
        <v>24.033528673367957</v>
      </c>
      <c r="J787" s="30">
        <v>18.000746732423035</v>
      </c>
      <c r="K787" s="30">
        <v>14.621028673367951</v>
      </c>
      <c r="L787" s="30">
        <v>15.021371732423042</v>
      </c>
      <c r="M787" s="30">
        <v>14.613528673367957</v>
      </c>
      <c r="N787" s="30">
        <v>14.553528673367959</v>
      </c>
      <c r="O787" s="30">
        <v>15.104496732423041</v>
      </c>
      <c r="P787" s="30">
        <v>14.778528673367957</v>
      </c>
      <c r="Q787" s="30">
        <v>15.559496732423039</v>
      </c>
      <c r="R787" s="30">
        <v>12.728278673367956</v>
      </c>
      <c r="S787" s="25"/>
    </row>
    <row r="788" spans="1:19" x14ac:dyDescent="0.25">
      <c r="A788" s="26">
        <v>7.83000000000004</v>
      </c>
      <c r="B788" s="26">
        <v>11.483970319037466</v>
      </c>
      <c r="C788" s="26">
        <v>15.62148751875085</v>
      </c>
      <c r="D788" s="26">
        <v>17.370705065756376</v>
      </c>
      <c r="E788" s="26">
        <v>30.775760246023566</v>
      </c>
      <c r="F788" s="26">
        <v>30.236663399089693</v>
      </c>
      <c r="G788" s="26">
        <v>28.706028673367953</v>
      </c>
      <c r="H788" s="26"/>
      <c r="I788" s="26">
        <v>24.033528673367957</v>
      </c>
      <c r="J788" s="26">
        <v>18.000746732423035</v>
      </c>
      <c r="K788" s="26">
        <v>14.621028673367951</v>
      </c>
      <c r="L788" s="26">
        <v>15.021371732423042</v>
      </c>
      <c r="M788" s="26">
        <v>14.613528673367957</v>
      </c>
      <c r="N788" s="26">
        <v>14.553528673367959</v>
      </c>
      <c r="O788" s="26">
        <v>15.104496732423041</v>
      </c>
      <c r="P788" s="26">
        <v>14.778528673367957</v>
      </c>
      <c r="Q788" s="26">
        <v>15.559496732423039</v>
      </c>
      <c r="R788" s="26">
        <v>12.728278673367956</v>
      </c>
      <c r="S788" s="24"/>
    </row>
    <row r="789" spans="1:19" x14ac:dyDescent="0.25">
      <c r="A789" s="30">
        <v>7.8400000000000398</v>
      </c>
      <c r="B789" s="30">
        <v>11.483970319037466</v>
      </c>
      <c r="C789" s="30">
        <v>15.62148751875085</v>
      </c>
      <c r="D789" s="30">
        <v>17.370705065756376</v>
      </c>
      <c r="E789" s="30">
        <v>30.775760246023566</v>
      </c>
      <c r="F789" s="30">
        <v>30.236663399089693</v>
      </c>
      <c r="G789" s="30">
        <v>28.706028673367953</v>
      </c>
      <c r="H789" s="30"/>
      <c r="I789" s="30">
        <v>24.033528673367957</v>
      </c>
      <c r="J789" s="30">
        <v>18.000746732423035</v>
      </c>
      <c r="K789" s="30">
        <v>14.621028673367951</v>
      </c>
      <c r="L789" s="30">
        <v>15.021371732423042</v>
      </c>
      <c r="M789" s="30">
        <v>14.613528673367957</v>
      </c>
      <c r="N789" s="30">
        <v>14.553528673367959</v>
      </c>
      <c r="O789" s="30">
        <v>15.104496732423041</v>
      </c>
      <c r="P789" s="30">
        <v>14.778528673367957</v>
      </c>
      <c r="Q789" s="30">
        <v>15.559496732423039</v>
      </c>
      <c r="R789" s="30">
        <v>12.728278673367956</v>
      </c>
      <c r="S789" s="25"/>
    </row>
    <row r="790" spans="1:19" x14ac:dyDescent="0.25">
      <c r="A790" s="26">
        <v>7.8500000000000396</v>
      </c>
      <c r="B790" s="26">
        <v>11.483970319037466</v>
      </c>
      <c r="C790" s="26">
        <v>15.62148751875085</v>
      </c>
      <c r="D790" s="26">
        <v>17.370705065756376</v>
      </c>
      <c r="E790" s="26">
        <v>30.775760246023566</v>
      </c>
      <c r="F790" s="26">
        <v>30.236663399089693</v>
      </c>
      <c r="G790" s="26">
        <v>28.706028673367953</v>
      </c>
      <c r="H790" s="26"/>
      <c r="I790" s="26">
        <v>24.033528673367957</v>
      </c>
      <c r="J790" s="26">
        <v>18.000746732423035</v>
      </c>
      <c r="K790" s="26">
        <v>14.621028673367951</v>
      </c>
      <c r="L790" s="26">
        <v>15.021371732423042</v>
      </c>
      <c r="M790" s="26">
        <v>14.613528673367957</v>
      </c>
      <c r="N790" s="26">
        <v>14.553528673367959</v>
      </c>
      <c r="O790" s="26">
        <v>15.104496732423041</v>
      </c>
      <c r="P790" s="26">
        <v>14.778528673367957</v>
      </c>
      <c r="Q790" s="26">
        <v>15.559496732423039</v>
      </c>
      <c r="R790" s="26">
        <v>12.728278673367956</v>
      </c>
      <c r="S790" s="24"/>
    </row>
    <row r="791" spans="1:19" x14ac:dyDescent="0.25">
      <c r="A791" s="30">
        <v>7.8600000000000403</v>
      </c>
      <c r="B791" s="30">
        <v>11.483970319037466</v>
      </c>
      <c r="C791" s="30">
        <v>15.62148751875085</v>
      </c>
      <c r="D791" s="30">
        <v>17.370705065756376</v>
      </c>
      <c r="E791" s="30">
        <v>30.775760246023566</v>
      </c>
      <c r="F791" s="30">
        <v>30.236663399089693</v>
      </c>
      <c r="G791" s="30">
        <v>28.706028673367953</v>
      </c>
      <c r="H791" s="30"/>
      <c r="I791" s="30">
        <v>24.033528673367957</v>
      </c>
      <c r="J791" s="30">
        <v>18.000746732423035</v>
      </c>
      <c r="K791" s="30">
        <v>14.621028673367951</v>
      </c>
      <c r="L791" s="30">
        <v>15.021371732423042</v>
      </c>
      <c r="M791" s="30">
        <v>14.613528673367957</v>
      </c>
      <c r="N791" s="30">
        <v>14.553528673367959</v>
      </c>
      <c r="O791" s="30">
        <v>15.104496732423041</v>
      </c>
      <c r="P791" s="30">
        <v>14.778528673367957</v>
      </c>
      <c r="Q791" s="30">
        <v>15.559496732423039</v>
      </c>
      <c r="R791" s="30">
        <v>12.728278673367956</v>
      </c>
      <c r="S791" s="25"/>
    </row>
    <row r="792" spans="1:19" x14ac:dyDescent="0.25">
      <c r="A792" s="26">
        <v>7.8700000000000401</v>
      </c>
      <c r="B792" s="26">
        <v>11.483970319037466</v>
      </c>
      <c r="C792" s="26">
        <v>15.62148751875085</v>
      </c>
      <c r="D792" s="26">
        <v>17.370705065756376</v>
      </c>
      <c r="E792" s="26">
        <v>30.775760246023566</v>
      </c>
      <c r="F792" s="26">
        <v>30.236663399089693</v>
      </c>
      <c r="G792" s="26">
        <v>28.706028673367953</v>
      </c>
      <c r="H792" s="26"/>
      <c r="I792" s="26">
        <v>24.033528673367957</v>
      </c>
      <c r="J792" s="26">
        <v>18.000746732423035</v>
      </c>
      <c r="K792" s="26">
        <v>14.621028673367951</v>
      </c>
      <c r="L792" s="26">
        <v>15.021371732423042</v>
      </c>
      <c r="M792" s="26">
        <v>14.613528673367957</v>
      </c>
      <c r="N792" s="26">
        <v>14.553528673367959</v>
      </c>
      <c r="O792" s="26">
        <v>15.104496732423041</v>
      </c>
      <c r="P792" s="26">
        <v>14.778528673367957</v>
      </c>
      <c r="Q792" s="26">
        <v>15.559496732423039</v>
      </c>
      <c r="R792" s="26">
        <v>12.728278673367956</v>
      </c>
      <c r="S792" s="24"/>
    </row>
    <row r="793" spans="1:19" x14ac:dyDescent="0.25">
      <c r="A793" s="30">
        <v>7.8800000000000496</v>
      </c>
      <c r="B793" s="30">
        <v>11.483970319037466</v>
      </c>
      <c r="C793" s="30">
        <v>15.62148751875085</v>
      </c>
      <c r="D793" s="30">
        <v>17.370705065756376</v>
      </c>
      <c r="E793" s="30">
        <v>30.775760246023566</v>
      </c>
      <c r="F793" s="30">
        <v>30.236663399089693</v>
      </c>
      <c r="G793" s="30">
        <v>28.706028673367953</v>
      </c>
      <c r="H793" s="30"/>
      <c r="I793" s="30">
        <v>24.033528673367957</v>
      </c>
      <c r="J793" s="30">
        <v>18.000746732423035</v>
      </c>
      <c r="K793" s="30">
        <v>14.621028673367951</v>
      </c>
      <c r="L793" s="30">
        <v>15.021371732423042</v>
      </c>
      <c r="M793" s="30">
        <v>14.613528673367957</v>
      </c>
      <c r="N793" s="30">
        <v>14.553528673367959</v>
      </c>
      <c r="O793" s="30">
        <v>15.104496732423041</v>
      </c>
      <c r="P793" s="30">
        <v>14.778528673367957</v>
      </c>
      <c r="Q793" s="30">
        <v>15.559496732423039</v>
      </c>
      <c r="R793" s="30">
        <v>12.728278673367956</v>
      </c>
      <c r="S793" s="25"/>
    </row>
    <row r="794" spans="1:19" x14ac:dyDescent="0.25">
      <c r="A794" s="26">
        <v>7.8900000000000396</v>
      </c>
      <c r="B794" s="26">
        <v>11.483970319037466</v>
      </c>
      <c r="C794" s="26">
        <v>15.62148751875085</v>
      </c>
      <c r="D794" s="26">
        <v>17.370705065756376</v>
      </c>
      <c r="E794" s="26">
        <v>30.775760246023566</v>
      </c>
      <c r="F794" s="26">
        <v>30.236663399089693</v>
      </c>
      <c r="G794" s="26">
        <v>28.706028673367953</v>
      </c>
      <c r="H794" s="26"/>
      <c r="I794" s="26">
        <v>24.033528673367957</v>
      </c>
      <c r="J794" s="26">
        <v>18.000746732423035</v>
      </c>
      <c r="K794" s="26">
        <v>14.621028673367951</v>
      </c>
      <c r="L794" s="26">
        <v>15.021371732423042</v>
      </c>
      <c r="M794" s="26">
        <v>14.613528673367957</v>
      </c>
      <c r="N794" s="26">
        <v>14.553528673367959</v>
      </c>
      <c r="O794" s="26">
        <v>15.104496732423041</v>
      </c>
      <c r="P794" s="26">
        <v>14.778528673367957</v>
      </c>
      <c r="Q794" s="26">
        <v>15.559496732423039</v>
      </c>
      <c r="R794" s="26">
        <v>12.728278673367956</v>
      </c>
      <c r="S794" s="24"/>
    </row>
    <row r="795" spans="1:19" x14ac:dyDescent="0.25">
      <c r="A795" s="30">
        <v>7.9000000000000501</v>
      </c>
      <c r="B795" s="30">
        <v>11.483970319037466</v>
      </c>
      <c r="C795" s="30">
        <v>15.62148751875085</v>
      </c>
      <c r="D795" s="30">
        <v>17.370705065756376</v>
      </c>
      <c r="E795" s="30">
        <v>30.775760246023566</v>
      </c>
      <c r="F795" s="30">
        <v>30.236663399089693</v>
      </c>
      <c r="G795" s="30">
        <v>28.706028673367953</v>
      </c>
      <c r="H795" s="30"/>
      <c r="I795" s="30">
        <v>24.033528673367957</v>
      </c>
      <c r="J795" s="30">
        <v>18.000746732423035</v>
      </c>
      <c r="K795" s="30">
        <v>14.621028673367951</v>
      </c>
      <c r="L795" s="30">
        <v>15.021371732423042</v>
      </c>
      <c r="M795" s="30">
        <v>14.613528673367957</v>
      </c>
      <c r="N795" s="30">
        <v>14.553528673367959</v>
      </c>
      <c r="O795" s="30">
        <v>15.104496732423041</v>
      </c>
      <c r="P795" s="30">
        <v>14.778528673367957</v>
      </c>
      <c r="Q795" s="30">
        <v>15.559496732423039</v>
      </c>
      <c r="R795" s="30">
        <v>12.728278673367956</v>
      </c>
      <c r="S795" s="25"/>
    </row>
    <row r="796" spans="1:19" x14ac:dyDescent="0.25">
      <c r="A796" s="26">
        <v>7.9100000000000499</v>
      </c>
      <c r="B796" s="26">
        <v>11.691355044759213</v>
      </c>
      <c r="C796" s="26">
        <v>15.62148751875085</v>
      </c>
      <c r="D796" s="26">
        <v>17.370705065756376</v>
      </c>
      <c r="E796" s="26">
        <v>30.775760246023566</v>
      </c>
      <c r="F796" s="26">
        <v>30.236663399089693</v>
      </c>
      <c r="G796" s="26">
        <v>28.706028673367953</v>
      </c>
      <c r="H796" s="26"/>
      <c r="I796" s="26">
        <v>24.033528673367957</v>
      </c>
      <c r="J796" s="26">
        <v>18.000746732423035</v>
      </c>
      <c r="K796" s="26">
        <v>14.621028673367951</v>
      </c>
      <c r="L796" s="26">
        <v>15.021371732423042</v>
      </c>
      <c r="M796" s="26">
        <v>14.613528673367957</v>
      </c>
      <c r="N796" s="26">
        <v>14.553528673367959</v>
      </c>
      <c r="O796" s="26">
        <v>15.104496732423041</v>
      </c>
      <c r="P796" s="26">
        <v>14.778528673367957</v>
      </c>
      <c r="Q796" s="26">
        <v>15.559496732423039</v>
      </c>
      <c r="R796" s="26">
        <v>12.728278673367956</v>
      </c>
      <c r="S796" s="24"/>
    </row>
    <row r="797" spans="1:19" x14ac:dyDescent="0.25">
      <c r="A797" s="30">
        <v>7.9200000000000497</v>
      </c>
      <c r="B797" s="30">
        <v>11.691355044759213</v>
      </c>
      <c r="C797" s="30">
        <v>15.62148751875085</v>
      </c>
      <c r="D797" s="30">
        <v>17.370705065756376</v>
      </c>
      <c r="E797" s="30">
        <v>30.775760246023566</v>
      </c>
      <c r="F797" s="30">
        <v>30.236663399089693</v>
      </c>
      <c r="G797" s="30">
        <v>28.706028673367953</v>
      </c>
      <c r="H797" s="30"/>
      <c r="I797" s="30">
        <v>24.033528673367957</v>
      </c>
      <c r="J797" s="30">
        <v>18.000746732423035</v>
      </c>
      <c r="K797" s="30">
        <v>14.621028673367951</v>
      </c>
      <c r="L797" s="30">
        <v>15.021371732423042</v>
      </c>
      <c r="M797" s="30">
        <v>14.613528673367957</v>
      </c>
      <c r="N797" s="30">
        <v>14.553528673367959</v>
      </c>
      <c r="O797" s="30">
        <v>15.104496732423041</v>
      </c>
      <c r="P797" s="30">
        <v>14.778528673367957</v>
      </c>
      <c r="Q797" s="30">
        <v>15.559496732423039</v>
      </c>
      <c r="R797" s="30">
        <v>12.728278673367956</v>
      </c>
      <c r="S797" s="25"/>
    </row>
    <row r="798" spans="1:19" x14ac:dyDescent="0.25">
      <c r="A798" s="26">
        <v>7.9300000000000503</v>
      </c>
      <c r="B798" s="26">
        <v>11.691355044759213</v>
      </c>
      <c r="C798" s="26">
        <v>15.62148751875085</v>
      </c>
      <c r="D798" s="26">
        <v>17.370705065756376</v>
      </c>
      <c r="E798" s="26">
        <v>30.775760246023566</v>
      </c>
      <c r="F798" s="26">
        <v>30.236663399089693</v>
      </c>
      <c r="G798" s="26">
        <v>28.706028673367953</v>
      </c>
      <c r="H798" s="26"/>
      <c r="I798" s="26">
        <v>24.033528673367957</v>
      </c>
      <c r="J798" s="26">
        <v>18.000746732423035</v>
      </c>
      <c r="K798" s="26">
        <v>14.621028673367951</v>
      </c>
      <c r="L798" s="26">
        <v>15.021371732423042</v>
      </c>
      <c r="M798" s="26">
        <v>14.613528673367957</v>
      </c>
      <c r="N798" s="26">
        <v>14.553528673367959</v>
      </c>
      <c r="O798" s="26">
        <v>15.104496732423041</v>
      </c>
      <c r="P798" s="26">
        <v>14.778528673367957</v>
      </c>
      <c r="Q798" s="26">
        <v>15.559496732423039</v>
      </c>
      <c r="R798" s="26">
        <v>12.728278673367956</v>
      </c>
      <c r="S798" s="24"/>
    </row>
    <row r="799" spans="1:19" x14ac:dyDescent="0.25">
      <c r="A799" s="30">
        <v>7.9400000000000501</v>
      </c>
      <c r="B799" s="30">
        <v>11.691355044759213</v>
      </c>
      <c r="C799" s="30">
        <v>15.62148751875085</v>
      </c>
      <c r="D799" s="30">
        <v>17.370705065756376</v>
      </c>
      <c r="E799" s="30">
        <v>30.775760246023566</v>
      </c>
      <c r="F799" s="30">
        <v>30.236663399089693</v>
      </c>
      <c r="G799" s="30">
        <v>28.706028673367953</v>
      </c>
      <c r="H799" s="30"/>
      <c r="I799" s="30">
        <v>24.033528673367957</v>
      </c>
      <c r="J799" s="30">
        <v>18.000746732423035</v>
      </c>
      <c r="K799" s="30">
        <v>14.621028673367951</v>
      </c>
      <c r="L799" s="30">
        <v>15.021371732423042</v>
      </c>
      <c r="M799" s="30">
        <v>14.613528673367957</v>
      </c>
      <c r="N799" s="30">
        <v>14.553528673367959</v>
      </c>
      <c r="O799" s="30">
        <v>15.104496732423041</v>
      </c>
      <c r="P799" s="30">
        <v>14.778528673367957</v>
      </c>
      <c r="Q799" s="30">
        <v>15.559496732423039</v>
      </c>
      <c r="R799" s="30">
        <v>12.728278673367956</v>
      </c>
      <c r="S799" s="25"/>
    </row>
    <row r="800" spans="1:19" x14ac:dyDescent="0.25">
      <c r="A800" s="26">
        <v>7.9500000000000499</v>
      </c>
      <c r="B800" s="26">
        <v>11.691355044759213</v>
      </c>
      <c r="C800" s="26">
        <v>15.62148751875085</v>
      </c>
      <c r="D800" s="26">
        <v>17.370705065756376</v>
      </c>
      <c r="E800" s="26">
        <v>30.775760246023566</v>
      </c>
      <c r="F800" s="26">
        <v>30.236663399089693</v>
      </c>
      <c r="G800" s="26">
        <v>28.706028673367953</v>
      </c>
      <c r="H800" s="26"/>
      <c r="I800" s="26">
        <v>24.033528673367957</v>
      </c>
      <c r="J800" s="26">
        <v>18.000746732423035</v>
      </c>
      <c r="K800" s="26">
        <v>14.621028673367951</v>
      </c>
      <c r="L800" s="26">
        <v>15.021371732423042</v>
      </c>
      <c r="M800" s="26">
        <v>14.613528673367957</v>
      </c>
      <c r="N800" s="26">
        <v>14.553528673367959</v>
      </c>
      <c r="O800" s="26">
        <v>15.104496732423041</v>
      </c>
      <c r="P800" s="26">
        <v>14.778528673367957</v>
      </c>
      <c r="Q800" s="26">
        <v>15.559496732423039</v>
      </c>
      <c r="R800" s="26">
        <v>12.728278673367956</v>
      </c>
      <c r="S800" s="24"/>
    </row>
    <row r="801" spans="1:19" x14ac:dyDescent="0.25">
      <c r="A801" s="30">
        <v>7.9600000000000497</v>
      </c>
      <c r="B801" s="30">
        <v>11.898739770480962</v>
      </c>
      <c r="C801" s="30">
        <v>15.62148751875085</v>
      </c>
      <c r="D801" s="30">
        <v>17.370705065756376</v>
      </c>
      <c r="E801" s="30">
        <v>30.775760246023566</v>
      </c>
      <c r="F801" s="30">
        <v>30.236663399089693</v>
      </c>
      <c r="G801" s="30">
        <v>28.706028673367953</v>
      </c>
      <c r="H801" s="30"/>
      <c r="I801" s="30">
        <v>24.033528673367957</v>
      </c>
      <c r="J801" s="30">
        <v>18.000746732423035</v>
      </c>
      <c r="K801" s="30">
        <v>14.621028673367951</v>
      </c>
      <c r="L801" s="30">
        <v>15.021371732423042</v>
      </c>
      <c r="M801" s="30">
        <v>14.613528673367957</v>
      </c>
      <c r="N801" s="30">
        <v>14.553528673367959</v>
      </c>
      <c r="O801" s="30">
        <v>15.104496732423041</v>
      </c>
      <c r="P801" s="30">
        <v>14.778528673367957</v>
      </c>
      <c r="Q801" s="30">
        <v>15.559496732423039</v>
      </c>
      <c r="R801" s="30">
        <v>12.728278673367956</v>
      </c>
      <c r="S801" s="25"/>
    </row>
    <row r="802" spans="1:19" x14ac:dyDescent="0.25">
      <c r="A802" s="26">
        <v>7.9700000000000504</v>
      </c>
      <c r="B802" s="26">
        <v>11.898739770480962</v>
      </c>
      <c r="C802" s="26">
        <v>15.62148751875085</v>
      </c>
      <c r="D802" s="26">
        <v>17.370705065756376</v>
      </c>
      <c r="E802" s="26">
        <v>30.775760246023566</v>
      </c>
      <c r="F802" s="26">
        <v>30.236663399089693</v>
      </c>
      <c r="G802" s="26">
        <v>31.576371732423034</v>
      </c>
      <c r="H802" s="26"/>
      <c r="I802" s="26">
        <v>26.12512173242304</v>
      </c>
      <c r="J802" s="26">
        <v>18.000746732423035</v>
      </c>
      <c r="K802" s="26">
        <v>15.143871732423031</v>
      </c>
      <c r="L802" s="26">
        <v>15.021371732423042</v>
      </c>
      <c r="M802" s="26">
        <v>15.135121732423039</v>
      </c>
      <c r="N802" s="26">
        <v>15.065121732423041</v>
      </c>
      <c r="O802" s="26">
        <v>15.104496732423041</v>
      </c>
      <c r="P802" s="26">
        <v>15.327621732423038</v>
      </c>
      <c r="Q802" s="26">
        <v>15.559496732423039</v>
      </c>
      <c r="R802" s="26">
        <v>12.935663399089705</v>
      </c>
      <c r="S802" s="24"/>
    </row>
    <row r="803" spans="1:19" x14ac:dyDescent="0.25">
      <c r="A803" s="30">
        <v>7.9800000000000502</v>
      </c>
      <c r="B803" s="30">
        <v>11.898739770480962</v>
      </c>
      <c r="C803" s="30">
        <v>15.62148751875085</v>
      </c>
      <c r="D803" s="30">
        <v>17.370705065756376</v>
      </c>
      <c r="E803" s="30">
        <v>30.775760246023566</v>
      </c>
      <c r="F803" s="30">
        <v>30.236663399089693</v>
      </c>
      <c r="G803" s="30">
        <v>31.576371732423034</v>
      </c>
      <c r="H803" s="30"/>
      <c r="I803" s="30">
        <v>26.12512173242304</v>
      </c>
      <c r="J803" s="30">
        <v>18.000746732423035</v>
      </c>
      <c r="K803" s="30">
        <v>15.143871732423031</v>
      </c>
      <c r="L803" s="30">
        <v>15.021371732423042</v>
      </c>
      <c r="M803" s="30">
        <v>15.135121732423039</v>
      </c>
      <c r="N803" s="30">
        <v>15.065121732423041</v>
      </c>
      <c r="O803" s="30">
        <v>15.104496732423041</v>
      </c>
      <c r="P803" s="30">
        <v>15.327621732423038</v>
      </c>
      <c r="Q803" s="30">
        <v>15.559496732423039</v>
      </c>
      <c r="R803" s="30">
        <v>12.935663399089705</v>
      </c>
      <c r="S803" s="25"/>
    </row>
    <row r="804" spans="1:19" x14ac:dyDescent="0.25">
      <c r="A804" s="26">
        <v>7.99000000000005</v>
      </c>
      <c r="B804" s="26">
        <v>11.898739770480962</v>
      </c>
      <c r="C804" s="26">
        <v>15.62148751875085</v>
      </c>
      <c r="D804" s="26">
        <v>17.370705065756376</v>
      </c>
      <c r="E804" s="26">
        <v>30.775760246023566</v>
      </c>
      <c r="F804" s="26">
        <v>30.236663399089693</v>
      </c>
      <c r="G804" s="26">
        <v>31.576371732423034</v>
      </c>
      <c r="H804" s="26"/>
      <c r="I804" s="26">
        <v>26.12512173242304</v>
      </c>
      <c r="J804" s="26">
        <v>18.000746732423035</v>
      </c>
      <c r="K804" s="26">
        <v>15.143871732423031</v>
      </c>
      <c r="L804" s="26">
        <v>15.021371732423042</v>
      </c>
      <c r="M804" s="26">
        <v>15.135121732423039</v>
      </c>
      <c r="N804" s="26">
        <v>15.065121732423041</v>
      </c>
      <c r="O804" s="26">
        <v>15.104496732423041</v>
      </c>
      <c r="P804" s="26">
        <v>15.327621732423038</v>
      </c>
      <c r="Q804" s="26">
        <v>15.559496732423039</v>
      </c>
      <c r="R804" s="26">
        <v>12.935663399089705</v>
      </c>
      <c r="S804" s="24"/>
    </row>
    <row r="805" spans="1:19" x14ac:dyDescent="0.25">
      <c r="A805" s="30">
        <v>8.0000000000000497</v>
      </c>
      <c r="B805" s="30">
        <v>11.898739770480962</v>
      </c>
      <c r="C805" s="30">
        <v>15.62148751875085</v>
      </c>
      <c r="D805" s="30">
        <v>17.370705065756376</v>
      </c>
      <c r="E805" s="30">
        <v>30.775760246023566</v>
      </c>
      <c r="F805" s="30">
        <v>30.236663399089693</v>
      </c>
      <c r="G805" s="30">
        <v>31.576371732423034</v>
      </c>
      <c r="H805" s="30"/>
      <c r="I805" s="30">
        <v>26.12512173242304</v>
      </c>
      <c r="J805" s="30">
        <v>18.000746732423035</v>
      </c>
      <c r="K805" s="30">
        <v>15.143871732423031</v>
      </c>
      <c r="L805" s="30">
        <v>15.021371732423042</v>
      </c>
      <c r="M805" s="30">
        <v>15.135121732423039</v>
      </c>
      <c r="N805" s="30">
        <v>15.065121732423041</v>
      </c>
      <c r="O805" s="30">
        <v>15.104496732423041</v>
      </c>
      <c r="P805" s="30">
        <v>15.327621732423038</v>
      </c>
      <c r="Q805" s="30">
        <v>15.559496732423039</v>
      </c>
      <c r="R805" s="30">
        <v>12.935663399089705</v>
      </c>
      <c r="S805" s="25"/>
    </row>
    <row r="806" spans="1:19" x14ac:dyDescent="0.25">
      <c r="A806" s="26">
        <v>8.0100000000000495</v>
      </c>
      <c r="B806" s="26">
        <v>12.10612449620271</v>
      </c>
      <c r="C806" s="26">
        <v>15.62148751875085</v>
      </c>
      <c r="D806" s="26">
        <v>17.370705065756376</v>
      </c>
      <c r="E806" s="26">
        <v>30.775760246023566</v>
      </c>
      <c r="F806" s="26">
        <v>30.236663399089693</v>
      </c>
      <c r="G806" s="26">
        <v>31.576371732423034</v>
      </c>
      <c r="H806" s="26"/>
      <c r="I806" s="26">
        <v>26.12512173242304</v>
      </c>
      <c r="J806" s="26">
        <v>18.931714791478118</v>
      </c>
      <c r="K806" s="26">
        <v>15.143871732423031</v>
      </c>
      <c r="L806" s="26">
        <v>15.526714791478124</v>
      </c>
      <c r="M806" s="26">
        <v>15.135121732423039</v>
      </c>
      <c r="N806" s="26">
        <v>15.065121732423041</v>
      </c>
      <c r="O806" s="26">
        <v>15.621714791478123</v>
      </c>
      <c r="P806" s="26">
        <v>15.327621732423038</v>
      </c>
      <c r="Q806" s="26">
        <v>16.141714791478119</v>
      </c>
      <c r="R806" s="26">
        <v>12.935663399089705</v>
      </c>
      <c r="S806" s="24"/>
    </row>
    <row r="807" spans="1:19" x14ac:dyDescent="0.25">
      <c r="A807" s="30">
        <v>8.0200000000000493</v>
      </c>
      <c r="B807" s="30">
        <v>12.10612449620271</v>
      </c>
      <c r="C807" s="30">
        <v>15.62148751875085</v>
      </c>
      <c r="D807" s="30">
        <v>17.370705065756376</v>
      </c>
      <c r="E807" s="30">
        <v>30.775760246023566</v>
      </c>
      <c r="F807" s="30">
        <v>30.236663399089693</v>
      </c>
      <c r="G807" s="30">
        <v>31.576371732423034</v>
      </c>
      <c r="H807" s="30"/>
      <c r="I807" s="30">
        <v>26.12512173242304</v>
      </c>
      <c r="J807" s="30">
        <v>18.931714791478118</v>
      </c>
      <c r="K807" s="30">
        <v>15.143871732423031</v>
      </c>
      <c r="L807" s="30">
        <v>15.526714791478124</v>
      </c>
      <c r="M807" s="30">
        <v>15.135121732423039</v>
      </c>
      <c r="N807" s="30">
        <v>15.065121732423041</v>
      </c>
      <c r="O807" s="30">
        <v>15.621714791478123</v>
      </c>
      <c r="P807" s="30">
        <v>15.327621732423038</v>
      </c>
      <c r="Q807" s="30">
        <v>16.141714791478119</v>
      </c>
      <c r="R807" s="30">
        <v>12.935663399089705</v>
      </c>
      <c r="S807" s="25"/>
    </row>
    <row r="808" spans="1:19" x14ac:dyDescent="0.25">
      <c r="A808" s="26">
        <v>8.0300000000000509</v>
      </c>
      <c r="B808" s="26">
        <v>12.10612449620271</v>
      </c>
      <c r="C808" s="26">
        <v>15.62148751875085</v>
      </c>
      <c r="D808" s="26">
        <v>18.211667172430506</v>
      </c>
      <c r="E808" s="26">
        <v>30.775760246023566</v>
      </c>
      <c r="F808" s="26">
        <v>32.915619553382868</v>
      </c>
      <c r="G808" s="26">
        <v>31.576371732423034</v>
      </c>
      <c r="H808" s="26"/>
      <c r="I808" s="26">
        <v>26.12512173242304</v>
      </c>
      <c r="J808" s="26">
        <v>18.931714791478118</v>
      </c>
      <c r="K808" s="26">
        <v>15.143871732423031</v>
      </c>
      <c r="L808" s="26">
        <v>15.526714791478124</v>
      </c>
      <c r="M808" s="26">
        <v>15.135121732423039</v>
      </c>
      <c r="N808" s="26">
        <v>15.065121732423041</v>
      </c>
      <c r="O808" s="26">
        <v>15.621714791478123</v>
      </c>
      <c r="P808" s="26">
        <v>15.327621732423038</v>
      </c>
      <c r="Q808" s="26">
        <v>16.141714791478119</v>
      </c>
      <c r="R808" s="26">
        <v>12.935663399089705</v>
      </c>
      <c r="S808" s="24"/>
    </row>
    <row r="809" spans="1:19" x14ac:dyDescent="0.25">
      <c r="A809" s="30">
        <v>8.0400000000000507</v>
      </c>
      <c r="B809" s="30">
        <v>12.10612449620271</v>
      </c>
      <c r="C809" s="30">
        <v>15.62148751875085</v>
      </c>
      <c r="D809" s="30">
        <v>18.211667172430506</v>
      </c>
      <c r="E809" s="30">
        <v>30.775760246023566</v>
      </c>
      <c r="F809" s="30">
        <v>32.915619553382868</v>
      </c>
      <c r="G809" s="30">
        <v>31.576371732423034</v>
      </c>
      <c r="H809" s="30"/>
      <c r="I809" s="30">
        <v>26.12512173242304</v>
      </c>
      <c r="J809" s="30">
        <v>18.931714791478118</v>
      </c>
      <c r="K809" s="30">
        <v>15.143871732423031</v>
      </c>
      <c r="L809" s="30">
        <v>15.526714791478124</v>
      </c>
      <c r="M809" s="30">
        <v>15.135121732423039</v>
      </c>
      <c r="N809" s="30">
        <v>15.065121732423041</v>
      </c>
      <c r="O809" s="30">
        <v>15.621714791478123</v>
      </c>
      <c r="P809" s="30">
        <v>15.327621732423038</v>
      </c>
      <c r="Q809" s="30">
        <v>16.141714791478119</v>
      </c>
      <c r="R809" s="30">
        <v>12.935663399089705</v>
      </c>
      <c r="S809" s="25"/>
    </row>
    <row r="810" spans="1:19" x14ac:dyDescent="0.25">
      <c r="A810" s="26">
        <v>8.0500000000000593</v>
      </c>
      <c r="B810" s="26">
        <v>12.10612449620271</v>
      </c>
      <c r="C810" s="26">
        <v>15.62148751875085</v>
      </c>
      <c r="D810" s="26">
        <v>18.211667172430506</v>
      </c>
      <c r="E810" s="26">
        <v>30.775760246023566</v>
      </c>
      <c r="F810" s="26">
        <v>32.915619553382868</v>
      </c>
      <c r="G810" s="26">
        <v>31.576371732423034</v>
      </c>
      <c r="H810" s="26"/>
      <c r="I810" s="26">
        <v>26.12512173242304</v>
      </c>
      <c r="J810" s="26">
        <v>18.931714791478118</v>
      </c>
      <c r="K810" s="26">
        <v>15.143871732423031</v>
      </c>
      <c r="L810" s="26">
        <v>15.526714791478124</v>
      </c>
      <c r="M810" s="26">
        <v>15.135121732423039</v>
      </c>
      <c r="N810" s="26">
        <v>15.065121732423041</v>
      </c>
      <c r="O810" s="26">
        <v>15.621714791478123</v>
      </c>
      <c r="P810" s="26">
        <v>15.327621732423038</v>
      </c>
      <c r="Q810" s="26">
        <v>16.141714791478119</v>
      </c>
      <c r="R810" s="26">
        <v>12.935663399089705</v>
      </c>
      <c r="S810" s="24"/>
    </row>
    <row r="811" spans="1:19" x14ac:dyDescent="0.25">
      <c r="A811" s="30">
        <v>8.0600000000000591</v>
      </c>
      <c r="B811" s="30">
        <v>12.10612449620271</v>
      </c>
      <c r="C811" s="30"/>
      <c r="D811" s="30">
        <v>18.211667172430506</v>
      </c>
      <c r="E811" s="30"/>
      <c r="F811" s="30">
        <v>32.915619553382868</v>
      </c>
      <c r="G811" s="30">
        <v>31.576371732423034</v>
      </c>
      <c r="H811" s="30"/>
      <c r="I811" s="30">
        <v>26.12512173242304</v>
      </c>
      <c r="J811" s="30">
        <v>18.931714791478118</v>
      </c>
      <c r="K811" s="30">
        <v>15.143871732423031</v>
      </c>
      <c r="L811" s="30">
        <v>15.526714791478124</v>
      </c>
      <c r="M811" s="30">
        <v>15.135121732423039</v>
      </c>
      <c r="N811" s="30">
        <v>15.065121732423041</v>
      </c>
      <c r="O811" s="30">
        <v>15.621714791478123</v>
      </c>
      <c r="P811" s="30">
        <v>15.327621732423038</v>
      </c>
      <c r="Q811" s="30">
        <v>16.141714791478119</v>
      </c>
      <c r="R811" s="30">
        <v>12.935663399089705</v>
      </c>
      <c r="S811" s="25"/>
    </row>
    <row r="812" spans="1:19" x14ac:dyDescent="0.25">
      <c r="A812" s="26">
        <v>8.0700000000000607</v>
      </c>
      <c r="B812" s="26">
        <v>12.313509221924459</v>
      </c>
      <c r="C812" s="26"/>
      <c r="D812" s="26">
        <v>18.211667172430506</v>
      </c>
      <c r="E812" s="26"/>
      <c r="F812" s="26">
        <v>32.915619553382868</v>
      </c>
      <c r="G812" s="26">
        <v>31.576371732423034</v>
      </c>
      <c r="H812" s="26"/>
      <c r="I812" s="26">
        <v>26.12512173242304</v>
      </c>
      <c r="J812" s="26">
        <v>18.931714791478118</v>
      </c>
      <c r="K812" s="26">
        <v>15.143871732423031</v>
      </c>
      <c r="L812" s="26">
        <v>15.526714791478124</v>
      </c>
      <c r="M812" s="26">
        <v>15.135121732423039</v>
      </c>
      <c r="N812" s="26">
        <v>15.065121732423041</v>
      </c>
      <c r="O812" s="26">
        <v>15.621714791478123</v>
      </c>
      <c r="P812" s="26">
        <v>15.327621732423038</v>
      </c>
      <c r="Q812" s="26">
        <v>16.141714791478119</v>
      </c>
      <c r="R812" s="26">
        <v>12.935663399089705</v>
      </c>
      <c r="S812" s="24"/>
    </row>
    <row r="813" spans="1:19" x14ac:dyDescent="0.25">
      <c r="A813" s="30">
        <v>8.0800000000000605</v>
      </c>
      <c r="B813" s="30">
        <v>12.313509221924459</v>
      </c>
      <c r="C813" s="30"/>
      <c r="D813" s="30">
        <v>18.211667172430506</v>
      </c>
      <c r="E813" s="30"/>
      <c r="F813" s="30">
        <v>32.915619553382868</v>
      </c>
      <c r="G813" s="30">
        <v>31.576371732423034</v>
      </c>
      <c r="H813" s="30"/>
      <c r="I813" s="30">
        <v>26.12512173242304</v>
      </c>
      <c r="J813" s="30">
        <v>18.931714791478118</v>
      </c>
      <c r="K813" s="30">
        <v>15.143871732423031</v>
      </c>
      <c r="L813" s="30">
        <v>15.526714791478124</v>
      </c>
      <c r="M813" s="30">
        <v>15.135121732423039</v>
      </c>
      <c r="N813" s="30">
        <v>15.065121732423041</v>
      </c>
      <c r="O813" s="30">
        <v>15.621714791478123</v>
      </c>
      <c r="P813" s="30">
        <v>15.327621732423038</v>
      </c>
      <c r="Q813" s="30">
        <v>16.141714791478119</v>
      </c>
      <c r="R813" s="30">
        <v>12.935663399089705</v>
      </c>
      <c r="S813" s="25"/>
    </row>
    <row r="814" spans="1:19" x14ac:dyDescent="0.25">
      <c r="A814" s="26">
        <v>8.0900000000000603</v>
      </c>
      <c r="B814" s="26">
        <v>12.313509221924459</v>
      </c>
      <c r="C814" s="26"/>
      <c r="D814" s="26">
        <v>18.211667172430506</v>
      </c>
      <c r="E814" s="26"/>
      <c r="F814" s="26">
        <v>32.915619553382868</v>
      </c>
      <c r="G814" s="26">
        <v>31.576371732423034</v>
      </c>
      <c r="H814" s="26"/>
      <c r="I814" s="26">
        <v>26.12512173242304</v>
      </c>
      <c r="J814" s="26">
        <v>18.931714791478118</v>
      </c>
      <c r="K814" s="26">
        <v>15.143871732423031</v>
      </c>
      <c r="L814" s="26">
        <v>15.526714791478124</v>
      </c>
      <c r="M814" s="26">
        <v>15.135121732423039</v>
      </c>
      <c r="N814" s="26">
        <v>15.065121732423041</v>
      </c>
      <c r="O814" s="26">
        <v>15.621714791478123</v>
      </c>
      <c r="P814" s="26">
        <v>15.327621732423038</v>
      </c>
      <c r="Q814" s="26">
        <v>16.141714791478119</v>
      </c>
      <c r="R814" s="26">
        <v>12.935663399089705</v>
      </c>
      <c r="S814" s="24"/>
    </row>
    <row r="815" spans="1:19" x14ac:dyDescent="0.25">
      <c r="A815" s="30">
        <v>8.10000000000006</v>
      </c>
      <c r="B815" s="30">
        <v>12.313509221924459</v>
      </c>
      <c r="C815" s="30"/>
      <c r="D815" s="30">
        <v>18.211667172430506</v>
      </c>
      <c r="E815" s="30"/>
      <c r="F815" s="30">
        <v>32.915619553382868</v>
      </c>
      <c r="G815" s="30">
        <v>31.576371732423034</v>
      </c>
      <c r="H815" s="30"/>
      <c r="I815" s="30">
        <v>26.12512173242304</v>
      </c>
      <c r="J815" s="30">
        <v>18.931714791478118</v>
      </c>
      <c r="K815" s="30">
        <v>15.143871732423031</v>
      </c>
      <c r="L815" s="30">
        <v>15.526714791478124</v>
      </c>
      <c r="M815" s="30">
        <v>15.135121732423039</v>
      </c>
      <c r="N815" s="30">
        <v>15.065121732423041</v>
      </c>
      <c r="O815" s="30">
        <v>15.621714791478123</v>
      </c>
      <c r="P815" s="30">
        <v>15.327621732423038</v>
      </c>
      <c r="Q815" s="30">
        <v>16.141714791478119</v>
      </c>
      <c r="R815" s="30">
        <v>12.935663399089705</v>
      </c>
      <c r="S815" s="25"/>
    </row>
    <row r="816" spans="1:19" x14ac:dyDescent="0.25">
      <c r="A816" s="26">
        <v>8.1100000000000598</v>
      </c>
      <c r="B816" s="26">
        <v>12.313509221924459</v>
      </c>
      <c r="C816" s="26"/>
      <c r="D816" s="26">
        <v>18.211667172430506</v>
      </c>
      <c r="E816" s="26"/>
      <c r="F816" s="26">
        <v>32.915619553382868</v>
      </c>
      <c r="G816" s="26">
        <v>31.576371732423034</v>
      </c>
      <c r="H816" s="26"/>
      <c r="I816" s="26">
        <v>26.12512173242304</v>
      </c>
      <c r="J816" s="26">
        <v>18.931714791478118</v>
      </c>
      <c r="K816" s="26">
        <v>15.143871732423031</v>
      </c>
      <c r="L816" s="26">
        <v>15.526714791478124</v>
      </c>
      <c r="M816" s="26">
        <v>15.135121732423039</v>
      </c>
      <c r="N816" s="26">
        <v>15.065121732423041</v>
      </c>
      <c r="O816" s="26">
        <v>15.621714791478123</v>
      </c>
      <c r="P816" s="26">
        <v>15.327621732423038</v>
      </c>
      <c r="Q816" s="26">
        <v>16.141714791478119</v>
      </c>
      <c r="R816" s="26">
        <v>12.935663399089705</v>
      </c>
      <c r="S816" s="24"/>
    </row>
    <row r="817" spans="1:19" x14ac:dyDescent="0.25">
      <c r="A817" s="30">
        <v>8.1200000000000596</v>
      </c>
      <c r="B817" s="30">
        <v>12.520893947646208</v>
      </c>
      <c r="C817" s="30"/>
      <c r="D817" s="30">
        <v>18.211667172430506</v>
      </c>
      <c r="E817" s="30"/>
      <c r="F817" s="30">
        <v>32.915619553382868</v>
      </c>
      <c r="G817" s="30">
        <v>31.576371732423034</v>
      </c>
      <c r="H817" s="30"/>
      <c r="I817" s="30">
        <v>26.12512173242304</v>
      </c>
      <c r="J817" s="30">
        <v>18.931714791478118</v>
      </c>
      <c r="K817" s="30">
        <v>15.143871732423031</v>
      </c>
      <c r="L817" s="30">
        <v>15.526714791478124</v>
      </c>
      <c r="M817" s="30">
        <v>15.135121732423039</v>
      </c>
      <c r="N817" s="30">
        <v>15.065121732423041</v>
      </c>
      <c r="O817" s="30">
        <v>15.621714791478123</v>
      </c>
      <c r="P817" s="30">
        <v>15.327621732423038</v>
      </c>
      <c r="Q817" s="30">
        <v>16.141714791478119</v>
      </c>
      <c r="R817" s="30">
        <v>12.935663399089705</v>
      </c>
      <c r="S817" s="25"/>
    </row>
    <row r="818" spans="1:19" x14ac:dyDescent="0.25">
      <c r="A818" s="26">
        <v>8.1300000000000594</v>
      </c>
      <c r="B818" s="26">
        <v>12.520893947646208</v>
      </c>
      <c r="C818" s="26"/>
      <c r="D818" s="26">
        <v>18.211667172430506</v>
      </c>
      <c r="E818" s="26"/>
      <c r="F818" s="26">
        <v>32.915619553382868</v>
      </c>
      <c r="G818" s="26">
        <v>31.576371732423034</v>
      </c>
      <c r="H818" s="26"/>
      <c r="I818" s="26">
        <v>26.12512173242304</v>
      </c>
      <c r="J818" s="26">
        <v>18.931714791478118</v>
      </c>
      <c r="K818" s="26">
        <v>15.143871732423031</v>
      </c>
      <c r="L818" s="26">
        <v>15.526714791478124</v>
      </c>
      <c r="M818" s="26">
        <v>15.135121732423039</v>
      </c>
      <c r="N818" s="26">
        <v>15.065121732423041</v>
      </c>
      <c r="O818" s="26">
        <v>15.621714791478123</v>
      </c>
      <c r="P818" s="26">
        <v>15.327621732423038</v>
      </c>
      <c r="Q818" s="26">
        <v>16.141714791478119</v>
      </c>
      <c r="R818" s="26">
        <v>12.935663399089705</v>
      </c>
      <c r="S818" s="24"/>
    </row>
    <row r="819" spans="1:19" x14ac:dyDescent="0.25">
      <c r="A819" s="30">
        <v>8.1400000000000592</v>
      </c>
      <c r="B819" s="30">
        <v>12.520893947646208</v>
      </c>
      <c r="C819" s="30"/>
      <c r="D819" s="30">
        <v>18.211667172430506</v>
      </c>
      <c r="E819" s="30"/>
      <c r="F819" s="30">
        <v>32.915619553382868</v>
      </c>
      <c r="G819" s="30">
        <v>31.576371732423034</v>
      </c>
      <c r="H819" s="30"/>
      <c r="I819" s="30">
        <v>26.12512173242304</v>
      </c>
      <c r="J819" s="30">
        <v>18.931714791478118</v>
      </c>
      <c r="K819" s="30">
        <v>15.143871732423031</v>
      </c>
      <c r="L819" s="30">
        <v>15.526714791478124</v>
      </c>
      <c r="M819" s="30">
        <v>15.135121732423039</v>
      </c>
      <c r="N819" s="30">
        <v>15.065121732423041</v>
      </c>
      <c r="O819" s="30">
        <v>15.621714791478123</v>
      </c>
      <c r="P819" s="30">
        <v>15.327621732423038</v>
      </c>
      <c r="Q819" s="30">
        <v>16.141714791478119</v>
      </c>
      <c r="R819" s="30">
        <v>12.935663399089705</v>
      </c>
      <c r="S819" s="25"/>
    </row>
    <row r="820" spans="1:19" x14ac:dyDescent="0.25">
      <c r="A820" s="26">
        <v>8.1500000000000608</v>
      </c>
      <c r="B820" s="26">
        <v>12.520893947646208</v>
      </c>
      <c r="C820" s="26"/>
      <c r="D820" s="26">
        <v>18.211667172430506</v>
      </c>
      <c r="E820" s="26"/>
      <c r="F820" s="26">
        <v>32.915619553382868</v>
      </c>
      <c r="G820" s="26">
        <v>31.576371732423034</v>
      </c>
      <c r="H820" s="26"/>
      <c r="I820" s="26">
        <v>26.12512173242304</v>
      </c>
      <c r="J820" s="26">
        <v>18.931714791478118</v>
      </c>
      <c r="K820" s="26">
        <v>15.143871732423031</v>
      </c>
      <c r="L820" s="26">
        <v>15.526714791478124</v>
      </c>
      <c r="M820" s="26">
        <v>15.135121732423039</v>
      </c>
      <c r="N820" s="26">
        <v>15.065121732423041</v>
      </c>
      <c r="O820" s="26">
        <v>15.621714791478123</v>
      </c>
      <c r="P820" s="26">
        <v>15.327621732423038</v>
      </c>
      <c r="Q820" s="26">
        <v>16.141714791478119</v>
      </c>
      <c r="R820" s="26">
        <v>12.935663399089705</v>
      </c>
      <c r="S820" s="24"/>
    </row>
    <row r="821" spans="1:19" x14ac:dyDescent="0.25">
      <c r="A821" s="30">
        <v>8.1600000000000605</v>
      </c>
      <c r="B821" s="30">
        <v>12.520893947646208</v>
      </c>
      <c r="C821" s="30"/>
      <c r="D821" s="30">
        <v>18.211667172430506</v>
      </c>
      <c r="E821" s="30"/>
      <c r="F821" s="30">
        <v>32.915619553382868</v>
      </c>
      <c r="G821" s="30">
        <v>31.576371732423034</v>
      </c>
      <c r="H821" s="30"/>
      <c r="I821" s="30">
        <v>26.12512173242304</v>
      </c>
      <c r="J821" s="30">
        <v>18.931714791478118</v>
      </c>
      <c r="K821" s="30">
        <v>15.143871732423031</v>
      </c>
      <c r="L821" s="30">
        <v>15.526714791478124</v>
      </c>
      <c r="M821" s="30">
        <v>15.135121732423039</v>
      </c>
      <c r="N821" s="30">
        <v>15.065121732423041</v>
      </c>
      <c r="O821" s="30">
        <v>15.621714791478123</v>
      </c>
      <c r="P821" s="30">
        <v>15.327621732423038</v>
      </c>
      <c r="Q821" s="30">
        <v>16.141714791478119</v>
      </c>
      <c r="R821" s="30">
        <v>12.935663399089705</v>
      </c>
      <c r="S821" s="25"/>
    </row>
    <row r="822" spans="1:19" x14ac:dyDescent="0.25">
      <c r="A822" s="26">
        <v>8.1700000000000603</v>
      </c>
      <c r="B822" s="26">
        <v>12.728278673367956</v>
      </c>
      <c r="C822" s="26"/>
      <c r="D822" s="26">
        <v>18.211667172430506</v>
      </c>
      <c r="E822" s="26"/>
      <c r="F822" s="26">
        <v>32.915619553382868</v>
      </c>
      <c r="G822" s="26">
        <v>31.576371732423034</v>
      </c>
      <c r="H822" s="26"/>
      <c r="I822" s="26">
        <v>26.12512173242304</v>
      </c>
      <c r="J822" s="26">
        <v>18.931714791478118</v>
      </c>
      <c r="K822" s="26">
        <v>15.143871732423031</v>
      </c>
      <c r="L822" s="26">
        <v>15.526714791478124</v>
      </c>
      <c r="M822" s="26">
        <v>15.135121732423039</v>
      </c>
      <c r="N822" s="26">
        <v>15.065121732423041</v>
      </c>
      <c r="O822" s="26">
        <v>15.621714791478123</v>
      </c>
      <c r="P822" s="26">
        <v>15.327621732423038</v>
      </c>
      <c r="Q822" s="26">
        <v>16.141714791478119</v>
      </c>
      <c r="R822" s="26">
        <v>12.935663399089705</v>
      </c>
      <c r="S822" s="24"/>
    </row>
    <row r="823" spans="1:19" x14ac:dyDescent="0.25">
      <c r="A823" s="30">
        <v>8.1800000000000708</v>
      </c>
      <c r="B823" s="30">
        <v>12.728278673367956</v>
      </c>
      <c r="C823" s="30"/>
      <c r="D823" s="30">
        <v>18.211667172430506</v>
      </c>
      <c r="E823" s="30"/>
      <c r="F823" s="30">
        <v>32.915619553382868</v>
      </c>
      <c r="G823" s="30">
        <v>31.576371732423034</v>
      </c>
      <c r="H823" s="30"/>
      <c r="I823" s="30">
        <v>26.12512173242304</v>
      </c>
      <c r="J823" s="30">
        <v>18.931714791478118</v>
      </c>
      <c r="K823" s="30">
        <v>15.143871732423031</v>
      </c>
      <c r="L823" s="30">
        <v>15.526714791478124</v>
      </c>
      <c r="M823" s="30">
        <v>15.135121732423039</v>
      </c>
      <c r="N823" s="30">
        <v>15.065121732423041</v>
      </c>
      <c r="O823" s="30">
        <v>15.621714791478123</v>
      </c>
      <c r="P823" s="30">
        <v>15.327621732423038</v>
      </c>
      <c r="Q823" s="30">
        <v>16.141714791478119</v>
      </c>
      <c r="R823" s="30">
        <v>12.935663399089705</v>
      </c>
      <c r="S823" s="25"/>
    </row>
    <row r="824" spans="1:19" x14ac:dyDescent="0.25">
      <c r="A824" s="26">
        <v>8.1900000000000706</v>
      </c>
      <c r="B824" s="26">
        <v>12.728278673367956</v>
      </c>
      <c r="C824" s="26"/>
      <c r="D824" s="26">
        <v>18.211667172430506</v>
      </c>
      <c r="E824" s="26"/>
      <c r="F824" s="26">
        <v>32.915619553382868</v>
      </c>
      <c r="G824" s="26">
        <v>31.576371732423034</v>
      </c>
      <c r="H824" s="26"/>
      <c r="I824" s="26">
        <v>26.12512173242304</v>
      </c>
      <c r="J824" s="26">
        <v>18.931714791478118</v>
      </c>
      <c r="K824" s="26">
        <v>15.143871732423031</v>
      </c>
      <c r="L824" s="26">
        <v>15.526714791478124</v>
      </c>
      <c r="M824" s="26">
        <v>15.135121732423039</v>
      </c>
      <c r="N824" s="26">
        <v>15.065121732423041</v>
      </c>
      <c r="O824" s="26">
        <v>15.621714791478123</v>
      </c>
      <c r="P824" s="26">
        <v>15.327621732423038</v>
      </c>
      <c r="Q824" s="26">
        <v>16.141714791478119</v>
      </c>
      <c r="R824" s="26">
        <v>12.935663399089705</v>
      </c>
      <c r="S824" s="24"/>
    </row>
    <row r="825" spans="1:19" x14ac:dyDescent="0.25">
      <c r="A825" s="30">
        <v>8.2000000000000703</v>
      </c>
      <c r="B825" s="30">
        <v>12.728278673367956</v>
      </c>
      <c r="C825" s="30"/>
      <c r="D825" s="30">
        <v>18.211667172430506</v>
      </c>
      <c r="E825" s="30"/>
      <c r="F825" s="30">
        <v>32.915619553382868</v>
      </c>
      <c r="G825" s="30">
        <v>31.576371732423034</v>
      </c>
      <c r="H825" s="30"/>
      <c r="I825" s="30">
        <v>26.12512173242304</v>
      </c>
      <c r="J825" s="30">
        <v>18.931714791478118</v>
      </c>
      <c r="K825" s="30">
        <v>15.143871732423031</v>
      </c>
      <c r="L825" s="30">
        <v>15.526714791478124</v>
      </c>
      <c r="M825" s="30">
        <v>15.135121732423039</v>
      </c>
      <c r="N825" s="30">
        <v>15.065121732423041</v>
      </c>
      <c r="O825" s="30">
        <v>15.621714791478123</v>
      </c>
      <c r="P825" s="30">
        <v>15.327621732423038</v>
      </c>
      <c r="Q825" s="30">
        <v>16.141714791478119</v>
      </c>
      <c r="R825" s="30">
        <v>12.935663399089705</v>
      </c>
      <c r="S825" s="25"/>
    </row>
    <row r="826" spans="1:19" x14ac:dyDescent="0.25">
      <c r="A826" s="26">
        <v>8.2100000000000701</v>
      </c>
      <c r="B826" s="26">
        <v>12.728278673367956</v>
      </c>
      <c r="C826" s="26"/>
      <c r="D826" s="26">
        <v>18.211667172430506</v>
      </c>
      <c r="E826" s="26"/>
      <c r="F826" s="26">
        <v>32.915619553382868</v>
      </c>
      <c r="G826" s="26">
        <v>31.576371732423034</v>
      </c>
      <c r="H826" s="26"/>
      <c r="I826" s="26">
        <v>26.12512173242304</v>
      </c>
      <c r="J826" s="26">
        <v>18.931714791478118</v>
      </c>
      <c r="K826" s="26">
        <v>15.143871732423031</v>
      </c>
      <c r="L826" s="26">
        <v>15.526714791478124</v>
      </c>
      <c r="M826" s="26">
        <v>15.135121732423039</v>
      </c>
      <c r="N826" s="26">
        <v>15.065121732423041</v>
      </c>
      <c r="O826" s="26">
        <v>15.621714791478123</v>
      </c>
      <c r="P826" s="26">
        <v>15.327621732423038</v>
      </c>
      <c r="Q826" s="26">
        <v>16.141714791478119</v>
      </c>
      <c r="R826" s="26">
        <v>12.935663399089705</v>
      </c>
      <c r="S826" s="24"/>
    </row>
    <row r="827" spans="1:19" x14ac:dyDescent="0.25">
      <c r="A827" s="30">
        <v>8.2200000000000699</v>
      </c>
      <c r="B827" s="30">
        <v>12.728278673367956</v>
      </c>
      <c r="C827" s="30"/>
      <c r="D827" s="30">
        <v>18.211667172430506</v>
      </c>
      <c r="E827" s="30"/>
      <c r="F827" s="30">
        <v>32.915619553382868</v>
      </c>
      <c r="G827" s="30">
        <v>31.576371732423034</v>
      </c>
      <c r="H827" s="30"/>
      <c r="I827" s="30">
        <v>26.12512173242304</v>
      </c>
      <c r="J827" s="30">
        <v>18.931714791478118</v>
      </c>
      <c r="K827" s="30">
        <v>15.143871732423031</v>
      </c>
      <c r="L827" s="30">
        <v>15.526714791478124</v>
      </c>
      <c r="M827" s="30">
        <v>15.135121732423039</v>
      </c>
      <c r="N827" s="30">
        <v>15.065121732423041</v>
      </c>
      <c r="O827" s="30">
        <v>15.621714791478123</v>
      </c>
      <c r="P827" s="30">
        <v>15.327621732423038</v>
      </c>
      <c r="Q827" s="30">
        <v>16.141714791478119</v>
      </c>
      <c r="R827" s="30">
        <v>12.935663399089705</v>
      </c>
      <c r="S827" s="25"/>
    </row>
    <row r="828" spans="1:19" x14ac:dyDescent="0.25">
      <c r="A828" s="26">
        <v>8.2300000000000697</v>
      </c>
      <c r="B828" s="26">
        <v>12.935663399089705</v>
      </c>
      <c r="C828" s="26"/>
      <c r="D828" s="26">
        <v>18.211667172430506</v>
      </c>
      <c r="E828" s="26"/>
      <c r="F828" s="26">
        <v>32.915619553382868</v>
      </c>
      <c r="G828" s="26">
        <v>31.576371732423034</v>
      </c>
      <c r="H828" s="26"/>
      <c r="I828" s="26">
        <v>26.12512173242304</v>
      </c>
      <c r="J828" s="26">
        <v>18.931714791478118</v>
      </c>
      <c r="K828" s="26">
        <v>15.143871732423031</v>
      </c>
      <c r="L828" s="26">
        <v>15.526714791478124</v>
      </c>
      <c r="M828" s="26">
        <v>15.135121732423039</v>
      </c>
      <c r="N828" s="26">
        <v>15.065121732423041</v>
      </c>
      <c r="O828" s="26">
        <v>15.621714791478123</v>
      </c>
      <c r="P828" s="26">
        <v>15.327621732423038</v>
      </c>
      <c r="Q828" s="26">
        <v>16.141714791478119</v>
      </c>
      <c r="R828" s="26">
        <v>12.935663399089705</v>
      </c>
      <c r="S828" s="24"/>
    </row>
    <row r="829" spans="1:19" x14ac:dyDescent="0.25">
      <c r="A829" s="30">
        <v>8.2400000000000695</v>
      </c>
      <c r="B829" s="30">
        <v>12.935663399089705</v>
      </c>
      <c r="C829" s="30"/>
      <c r="D829" s="30">
        <v>18.211667172430506</v>
      </c>
      <c r="E829" s="30"/>
      <c r="F829" s="30">
        <v>32.915619553382868</v>
      </c>
      <c r="G829" s="30">
        <v>31.576371732423034</v>
      </c>
      <c r="H829" s="30"/>
      <c r="I829" s="30">
        <v>26.12512173242304</v>
      </c>
      <c r="J829" s="30">
        <v>18.931714791478118</v>
      </c>
      <c r="K829" s="30">
        <v>15.143871732423031</v>
      </c>
      <c r="L829" s="30">
        <v>15.526714791478124</v>
      </c>
      <c r="M829" s="30">
        <v>15.135121732423039</v>
      </c>
      <c r="N829" s="30">
        <v>15.065121732423041</v>
      </c>
      <c r="O829" s="30">
        <v>15.621714791478123</v>
      </c>
      <c r="P829" s="30">
        <v>15.327621732423038</v>
      </c>
      <c r="Q829" s="30">
        <v>16.141714791478119</v>
      </c>
      <c r="R829" s="30">
        <v>12.935663399089705</v>
      </c>
      <c r="S829" s="25"/>
    </row>
    <row r="830" spans="1:19" x14ac:dyDescent="0.25">
      <c r="A830" s="26">
        <v>8.2500000000000693</v>
      </c>
      <c r="B830" s="26">
        <v>12.935663399089705</v>
      </c>
      <c r="C830" s="26"/>
      <c r="D830" s="26">
        <v>18.211667172430506</v>
      </c>
      <c r="E830" s="26"/>
      <c r="F830" s="26">
        <v>32.915619553382868</v>
      </c>
      <c r="G830" s="26">
        <v>31.576371732423034</v>
      </c>
      <c r="H830" s="26"/>
      <c r="I830" s="26">
        <v>26.12512173242304</v>
      </c>
      <c r="J830" s="26">
        <v>18.931714791478118</v>
      </c>
      <c r="K830" s="26">
        <v>15.143871732423031</v>
      </c>
      <c r="L830" s="26">
        <v>15.526714791478124</v>
      </c>
      <c r="M830" s="26">
        <v>15.135121732423039</v>
      </c>
      <c r="N830" s="26">
        <v>15.065121732423041</v>
      </c>
      <c r="O830" s="26">
        <v>15.621714791478123</v>
      </c>
      <c r="P830" s="26">
        <v>15.327621732423038</v>
      </c>
      <c r="Q830" s="26">
        <v>16.141714791478119</v>
      </c>
      <c r="R830" s="26">
        <v>12.935663399089705</v>
      </c>
      <c r="S830" s="24"/>
    </row>
    <row r="831" spans="1:19" x14ac:dyDescent="0.25">
      <c r="A831" s="30">
        <v>8.2600000000000708</v>
      </c>
      <c r="B831" s="30">
        <v>12.935663399089705</v>
      </c>
      <c r="C831" s="30"/>
      <c r="D831" s="30">
        <v>18.211667172430506</v>
      </c>
      <c r="E831" s="30"/>
      <c r="F831" s="30">
        <v>32.915619553382868</v>
      </c>
      <c r="G831" s="30">
        <v>31.576371732423034</v>
      </c>
      <c r="H831" s="30"/>
      <c r="I831" s="30">
        <v>26.12512173242304</v>
      </c>
      <c r="J831" s="30">
        <v>18.931714791478118</v>
      </c>
      <c r="K831" s="30">
        <v>15.143871732423031</v>
      </c>
      <c r="L831" s="30">
        <v>15.526714791478124</v>
      </c>
      <c r="M831" s="30">
        <v>15.135121732423039</v>
      </c>
      <c r="N831" s="30">
        <v>15.065121732423041</v>
      </c>
      <c r="O831" s="30">
        <v>15.621714791478123</v>
      </c>
      <c r="P831" s="30">
        <v>15.327621732423038</v>
      </c>
      <c r="Q831" s="30">
        <v>16.141714791478119</v>
      </c>
      <c r="R831" s="30">
        <v>12.935663399089705</v>
      </c>
      <c r="S831" s="25"/>
    </row>
    <row r="832" spans="1:19" x14ac:dyDescent="0.25">
      <c r="A832" s="26">
        <v>8.2700000000000706</v>
      </c>
      <c r="B832" s="26">
        <v>12.935663399089705</v>
      </c>
      <c r="C832" s="26"/>
      <c r="D832" s="26">
        <v>18.211667172430506</v>
      </c>
      <c r="E832" s="26"/>
      <c r="F832" s="26">
        <v>32.915619553382868</v>
      </c>
      <c r="G832" s="26">
        <v>31.576371732423034</v>
      </c>
      <c r="H832" s="26"/>
      <c r="I832" s="26">
        <v>26.12512173242304</v>
      </c>
      <c r="J832" s="26">
        <v>18.931714791478118</v>
      </c>
      <c r="K832" s="26">
        <v>15.143871732423031</v>
      </c>
      <c r="L832" s="26">
        <v>15.526714791478124</v>
      </c>
      <c r="M832" s="26">
        <v>15.135121732423039</v>
      </c>
      <c r="N832" s="26">
        <v>15.065121732423041</v>
      </c>
      <c r="O832" s="26">
        <v>15.621714791478123</v>
      </c>
      <c r="P832" s="26">
        <v>15.327621732423038</v>
      </c>
      <c r="Q832" s="26">
        <v>16.141714791478119</v>
      </c>
      <c r="R832" s="26">
        <v>12.935663399089705</v>
      </c>
      <c r="S832" s="24"/>
    </row>
    <row r="833" spans="1:19" x14ac:dyDescent="0.25">
      <c r="A833" s="30">
        <v>8.2800000000000704</v>
      </c>
      <c r="B833" s="30">
        <v>13.143048124811454</v>
      </c>
      <c r="C833" s="30"/>
      <c r="D833" s="30">
        <v>18.211667172430506</v>
      </c>
      <c r="E833" s="30"/>
      <c r="F833" s="30">
        <v>32.915619553382868</v>
      </c>
      <c r="G833" s="30">
        <v>34.446714791478115</v>
      </c>
      <c r="H833" s="30"/>
      <c r="I833" s="30">
        <v>28.216714791478122</v>
      </c>
      <c r="J833" s="30">
        <v>18.931714791478118</v>
      </c>
      <c r="K833" s="30">
        <v>15.666714791478112</v>
      </c>
      <c r="L833" s="30">
        <v>15.526714791478124</v>
      </c>
      <c r="M833" s="30">
        <v>15.656714791478121</v>
      </c>
      <c r="N833" s="30">
        <v>15.576714791478123</v>
      </c>
      <c r="O833" s="30">
        <v>15.621714791478123</v>
      </c>
      <c r="P833" s="30">
        <v>15.87671479147812</v>
      </c>
      <c r="Q833" s="30">
        <v>16.141714791478119</v>
      </c>
      <c r="R833" s="30">
        <v>13.143048124811454</v>
      </c>
      <c r="S833" s="25"/>
    </row>
    <row r="834" spans="1:19" x14ac:dyDescent="0.25">
      <c r="A834" s="26">
        <v>8.2900000000000702</v>
      </c>
      <c r="B834" s="26">
        <v>13.143048124811454</v>
      </c>
      <c r="C834" s="26"/>
      <c r="D834" s="26">
        <v>18.211667172430506</v>
      </c>
      <c r="E834" s="26"/>
      <c r="F834" s="26">
        <v>32.915619553382868</v>
      </c>
      <c r="G834" s="26">
        <v>34.446714791478115</v>
      </c>
      <c r="H834" s="26"/>
      <c r="I834" s="26">
        <v>28.216714791478122</v>
      </c>
      <c r="J834" s="26">
        <v>18.931714791478118</v>
      </c>
      <c r="K834" s="26">
        <v>15.666714791478112</v>
      </c>
      <c r="L834" s="26">
        <v>15.526714791478124</v>
      </c>
      <c r="M834" s="26">
        <v>15.656714791478121</v>
      </c>
      <c r="N834" s="26">
        <v>15.576714791478123</v>
      </c>
      <c r="O834" s="26">
        <v>15.621714791478123</v>
      </c>
      <c r="P834" s="26">
        <v>15.87671479147812</v>
      </c>
      <c r="Q834" s="26">
        <v>16.141714791478119</v>
      </c>
      <c r="R834" s="26">
        <v>13.143048124811454</v>
      </c>
      <c r="S834" s="24"/>
    </row>
    <row r="835" spans="1:19" x14ac:dyDescent="0.25">
      <c r="A835" s="30">
        <v>8.30000000000007</v>
      </c>
      <c r="B835" s="30">
        <v>13.143048124811454</v>
      </c>
      <c r="C835" s="30"/>
      <c r="D835" s="30">
        <v>18.211667172430506</v>
      </c>
      <c r="E835" s="30"/>
      <c r="F835" s="30">
        <v>32.915619553382868</v>
      </c>
      <c r="G835" s="30">
        <v>34.446714791478115</v>
      </c>
      <c r="H835" s="30"/>
      <c r="I835" s="30">
        <v>28.216714791478122</v>
      </c>
      <c r="J835" s="30">
        <v>18.931714791478118</v>
      </c>
      <c r="K835" s="30">
        <v>15.666714791478112</v>
      </c>
      <c r="L835" s="30">
        <v>15.526714791478124</v>
      </c>
      <c r="M835" s="30">
        <v>15.656714791478121</v>
      </c>
      <c r="N835" s="30">
        <v>15.576714791478123</v>
      </c>
      <c r="O835" s="30">
        <v>15.621714791478123</v>
      </c>
      <c r="P835" s="30">
        <v>15.87671479147812</v>
      </c>
      <c r="Q835" s="30">
        <v>16.141714791478119</v>
      </c>
      <c r="R835" s="30">
        <v>13.143048124811454</v>
      </c>
      <c r="S835" s="25"/>
    </row>
    <row r="836" spans="1:19" x14ac:dyDescent="0.25">
      <c r="A836" s="26">
        <v>8.3100000000000698</v>
      </c>
      <c r="B836" s="26">
        <v>13.143048124811454</v>
      </c>
      <c r="C836" s="26"/>
      <c r="D836" s="26">
        <v>18.211667172430506</v>
      </c>
      <c r="E836" s="26"/>
      <c r="F836" s="26">
        <v>32.915619553382868</v>
      </c>
      <c r="G836" s="26">
        <v>34.446714791478115</v>
      </c>
      <c r="H836" s="26"/>
      <c r="I836" s="26">
        <v>28.216714791478122</v>
      </c>
      <c r="J836" s="26"/>
      <c r="K836" s="26">
        <v>15.666714791478112</v>
      </c>
      <c r="L836" s="26"/>
      <c r="M836" s="26">
        <v>15.656714791478121</v>
      </c>
      <c r="N836" s="26">
        <v>15.576714791478123</v>
      </c>
      <c r="O836" s="26"/>
      <c r="P836" s="26">
        <v>15.87671479147812</v>
      </c>
      <c r="Q836" s="26"/>
      <c r="R836" s="26">
        <v>13.143048124811454</v>
      </c>
      <c r="S836" s="24"/>
    </row>
    <row r="837" spans="1:19" x14ac:dyDescent="0.25">
      <c r="A837" s="30">
        <v>8.3200000000000696</v>
      </c>
      <c r="B837" s="30">
        <v>13.143048124811454</v>
      </c>
      <c r="C837" s="30"/>
      <c r="D837" s="30">
        <v>18.211667172430506</v>
      </c>
      <c r="E837" s="30"/>
      <c r="F837" s="30">
        <v>32.915619553382868</v>
      </c>
      <c r="G837" s="30">
        <v>34.446714791478115</v>
      </c>
      <c r="H837" s="30"/>
      <c r="I837" s="30">
        <v>28.216714791478122</v>
      </c>
      <c r="J837" s="30"/>
      <c r="K837" s="30">
        <v>15.666714791478112</v>
      </c>
      <c r="L837" s="30"/>
      <c r="M837" s="30">
        <v>15.656714791478121</v>
      </c>
      <c r="N837" s="30">
        <v>15.576714791478123</v>
      </c>
      <c r="O837" s="30"/>
      <c r="P837" s="30">
        <v>15.87671479147812</v>
      </c>
      <c r="Q837" s="30"/>
      <c r="R837" s="30">
        <v>13.143048124811454</v>
      </c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>
        <v>34.446714791478115</v>
      </c>
      <c r="H838" s="26"/>
      <c r="I838" s="26">
        <v>28.216714791478122</v>
      </c>
      <c r="J838" s="26"/>
      <c r="K838" s="26">
        <v>15.666714791478112</v>
      </c>
      <c r="L838" s="26"/>
      <c r="M838" s="26">
        <v>15.656714791478121</v>
      </c>
      <c r="N838" s="26">
        <v>15.576714791478123</v>
      </c>
      <c r="O838" s="26"/>
      <c r="P838" s="26">
        <v>15.87671479147812</v>
      </c>
      <c r="Q838" s="26"/>
      <c r="R838" s="26">
        <v>13.143048124811454</v>
      </c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>
        <v>34.446714791478115</v>
      </c>
      <c r="H839" s="30"/>
      <c r="I839" s="30">
        <v>28.216714791478122</v>
      </c>
      <c r="J839" s="30"/>
      <c r="K839" s="30">
        <v>15.666714791478112</v>
      </c>
      <c r="L839" s="30"/>
      <c r="M839" s="30">
        <v>15.656714791478121</v>
      </c>
      <c r="N839" s="30">
        <v>15.576714791478123</v>
      </c>
      <c r="O839" s="30"/>
      <c r="P839" s="30">
        <v>15.87671479147812</v>
      </c>
      <c r="Q839" s="30"/>
      <c r="R839" s="30">
        <v>13.143048124811454</v>
      </c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>
        <v>34.446714791478115</v>
      </c>
      <c r="H840" s="26"/>
      <c r="I840" s="26">
        <v>28.216714791478122</v>
      </c>
      <c r="J840" s="26"/>
      <c r="K840" s="26">
        <v>15.666714791478112</v>
      </c>
      <c r="L840" s="26"/>
      <c r="M840" s="26">
        <v>15.656714791478121</v>
      </c>
      <c r="N840" s="26">
        <v>15.576714791478123</v>
      </c>
      <c r="O840" s="26"/>
      <c r="P840" s="26">
        <v>15.87671479147812</v>
      </c>
      <c r="Q840" s="26"/>
      <c r="R840" s="26">
        <v>13.143048124811454</v>
      </c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>
        <v>34.446714791478115</v>
      </c>
      <c r="H841" s="30"/>
      <c r="I841" s="30">
        <v>28.216714791478122</v>
      </c>
      <c r="J841" s="30"/>
      <c r="K841" s="30">
        <v>15.666714791478112</v>
      </c>
      <c r="L841" s="30"/>
      <c r="M841" s="30">
        <v>15.656714791478121</v>
      </c>
      <c r="N841" s="30">
        <v>15.576714791478123</v>
      </c>
      <c r="O841" s="30"/>
      <c r="P841" s="30">
        <v>15.87671479147812</v>
      </c>
      <c r="Q841" s="30"/>
      <c r="R841" s="30">
        <v>13.143048124811454</v>
      </c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>
        <v>34.446714791478115</v>
      </c>
      <c r="H842" s="26"/>
      <c r="I842" s="26">
        <v>28.216714791478122</v>
      </c>
      <c r="J842" s="26"/>
      <c r="K842" s="26">
        <v>15.666714791478112</v>
      </c>
      <c r="L842" s="26"/>
      <c r="M842" s="26">
        <v>15.656714791478121</v>
      </c>
      <c r="N842" s="26">
        <v>15.576714791478123</v>
      </c>
      <c r="O842" s="26"/>
      <c r="P842" s="26">
        <v>15.87671479147812</v>
      </c>
      <c r="Q842" s="26"/>
      <c r="R842" s="26">
        <v>13.143048124811454</v>
      </c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>
        <v>34.446714791478115</v>
      </c>
      <c r="H843" s="30"/>
      <c r="I843" s="30">
        <v>28.216714791478122</v>
      </c>
      <c r="J843" s="30"/>
      <c r="K843" s="30">
        <v>15.666714791478112</v>
      </c>
      <c r="L843" s="30"/>
      <c r="M843" s="30">
        <v>15.656714791478121</v>
      </c>
      <c r="N843" s="30">
        <v>15.576714791478123</v>
      </c>
      <c r="O843" s="30"/>
      <c r="P843" s="30">
        <v>15.87671479147812</v>
      </c>
      <c r="Q843" s="30"/>
      <c r="R843" s="30">
        <v>13.143048124811454</v>
      </c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>
        <v>34.446714791478115</v>
      </c>
      <c r="H844" s="26"/>
      <c r="I844" s="26">
        <v>28.216714791478122</v>
      </c>
      <c r="J844" s="26"/>
      <c r="K844" s="26">
        <v>15.666714791478112</v>
      </c>
      <c r="L844" s="26"/>
      <c r="M844" s="26">
        <v>15.656714791478121</v>
      </c>
      <c r="N844" s="26">
        <v>15.576714791478123</v>
      </c>
      <c r="O844" s="26"/>
      <c r="P844" s="26">
        <v>15.87671479147812</v>
      </c>
      <c r="Q844" s="26"/>
      <c r="R844" s="26">
        <v>13.143048124811454</v>
      </c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>
        <v>34.446714791478115</v>
      </c>
      <c r="H845" s="30"/>
      <c r="I845" s="30">
        <v>28.216714791478122</v>
      </c>
      <c r="J845" s="30"/>
      <c r="K845" s="30">
        <v>15.666714791478112</v>
      </c>
      <c r="L845" s="30"/>
      <c r="M845" s="30">
        <v>15.656714791478121</v>
      </c>
      <c r="N845" s="30">
        <v>15.576714791478123</v>
      </c>
      <c r="O845" s="30"/>
      <c r="P845" s="30">
        <v>15.87671479147812</v>
      </c>
      <c r="Q845" s="30"/>
      <c r="R845" s="30">
        <v>13.143048124811454</v>
      </c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>
        <v>34.446714791478115</v>
      </c>
      <c r="H846" s="26"/>
      <c r="I846" s="26">
        <v>28.216714791478122</v>
      </c>
      <c r="J846" s="26"/>
      <c r="K846" s="26">
        <v>15.666714791478112</v>
      </c>
      <c r="L846" s="26"/>
      <c r="M846" s="26">
        <v>15.656714791478121</v>
      </c>
      <c r="N846" s="26">
        <v>15.576714791478123</v>
      </c>
      <c r="O846" s="26"/>
      <c r="P846" s="26">
        <v>15.87671479147812</v>
      </c>
      <c r="Q846" s="26"/>
      <c r="R846" s="26">
        <v>13.143048124811454</v>
      </c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>
        <v>34.446714791478115</v>
      </c>
      <c r="H847" s="30"/>
      <c r="I847" s="30">
        <v>28.216714791478122</v>
      </c>
      <c r="J847" s="30"/>
      <c r="K847" s="30">
        <v>15.666714791478112</v>
      </c>
      <c r="L847" s="30"/>
      <c r="M847" s="30">
        <v>15.656714791478121</v>
      </c>
      <c r="N847" s="30">
        <v>15.576714791478123</v>
      </c>
      <c r="O847" s="30"/>
      <c r="P847" s="30">
        <v>15.87671479147812</v>
      </c>
      <c r="Q847" s="30"/>
      <c r="R847" s="30">
        <v>13.143048124811454</v>
      </c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>
        <v>34.446714791478115</v>
      </c>
      <c r="H848" s="26"/>
      <c r="I848" s="26">
        <v>28.216714791478122</v>
      </c>
      <c r="J848" s="26"/>
      <c r="K848" s="26">
        <v>15.666714791478112</v>
      </c>
      <c r="L848" s="26"/>
      <c r="M848" s="26">
        <v>15.656714791478121</v>
      </c>
      <c r="N848" s="26">
        <v>15.576714791478123</v>
      </c>
      <c r="O848" s="26"/>
      <c r="P848" s="26">
        <v>15.87671479147812</v>
      </c>
      <c r="Q848" s="26"/>
      <c r="R848" s="26">
        <v>13.143048124811454</v>
      </c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>
        <v>34.446714791478115</v>
      </c>
      <c r="H849" s="30"/>
      <c r="I849" s="30">
        <v>28.216714791478122</v>
      </c>
      <c r="J849" s="30"/>
      <c r="K849" s="30">
        <v>15.666714791478112</v>
      </c>
      <c r="L849" s="30"/>
      <c r="M849" s="30">
        <v>15.656714791478121</v>
      </c>
      <c r="N849" s="30">
        <v>15.576714791478123</v>
      </c>
      <c r="O849" s="30"/>
      <c r="P849" s="30">
        <v>15.87671479147812</v>
      </c>
      <c r="Q849" s="30"/>
      <c r="R849" s="30">
        <v>13.143048124811454</v>
      </c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>
        <v>34.446714791478115</v>
      </c>
      <c r="H850" s="26"/>
      <c r="I850" s="26">
        <v>28.216714791478122</v>
      </c>
      <c r="J850" s="26"/>
      <c r="K850" s="26">
        <v>15.666714791478112</v>
      </c>
      <c r="L850" s="26"/>
      <c r="M850" s="26">
        <v>15.656714791478121</v>
      </c>
      <c r="N850" s="26">
        <v>15.576714791478123</v>
      </c>
      <c r="O850" s="26"/>
      <c r="P850" s="26">
        <v>15.87671479147812</v>
      </c>
      <c r="Q850" s="26"/>
      <c r="R850" s="26">
        <v>13.143048124811454</v>
      </c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>
        <v>34.446714791478115</v>
      </c>
      <c r="H851" s="30"/>
      <c r="I851" s="30">
        <v>28.216714791478122</v>
      </c>
      <c r="J851" s="30"/>
      <c r="K851" s="30">
        <v>15.666714791478112</v>
      </c>
      <c r="L851" s="30"/>
      <c r="M851" s="30">
        <v>15.656714791478121</v>
      </c>
      <c r="N851" s="30">
        <v>15.576714791478123</v>
      </c>
      <c r="O851" s="30"/>
      <c r="P851" s="30">
        <v>15.87671479147812</v>
      </c>
      <c r="Q851" s="30"/>
      <c r="R851" s="30">
        <v>13.143048124811454</v>
      </c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>
        <v>34.446714791478115</v>
      </c>
      <c r="H852" s="26"/>
      <c r="I852" s="26">
        <v>28.216714791478122</v>
      </c>
      <c r="J852" s="26"/>
      <c r="K852" s="26">
        <v>15.666714791478112</v>
      </c>
      <c r="L852" s="26"/>
      <c r="M852" s="26">
        <v>15.656714791478121</v>
      </c>
      <c r="N852" s="26">
        <v>15.576714791478123</v>
      </c>
      <c r="O852" s="26"/>
      <c r="P852" s="26">
        <v>15.87671479147812</v>
      </c>
      <c r="Q852" s="26"/>
      <c r="R852" s="26">
        <v>13.143048124811454</v>
      </c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>
        <v>34.446714791478115</v>
      </c>
      <c r="H853" s="30"/>
      <c r="I853" s="30">
        <v>28.216714791478122</v>
      </c>
      <c r="J853" s="30"/>
      <c r="K853" s="30">
        <v>15.666714791478112</v>
      </c>
      <c r="L853" s="30"/>
      <c r="M853" s="30">
        <v>15.656714791478121</v>
      </c>
      <c r="N853" s="30">
        <v>15.576714791478123</v>
      </c>
      <c r="O853" s="30"/>
      <c r="P853" s="30">
        <v>15.87671479147812</v>
      </c>
      <c r="Q853" s="30"/>
      <c r="R853" s="30">
        <v>13.143048124811454</v>
      </c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>
        <v>34.446714791478115</v>
      </c>
      <c r="H854" s="26"/>
      <c r="I854" s="26">
        <v>28.216714791478122</v>
      </c>
      <c r="J854" s="26"/>
      <c r="K854" s="26">
        <v>15.666714791478112</v>
      </c>
      <c r="L854" s="26"/>
      <c r="M854" s="26">
        <v>15.656714791478121</v>
      </c>
      <c r="N854" s="26">
        <v>15.576714791478123</v>
      </c>
      <c r="O854" s="26"/>
      <c r="P854" s="26">
        <v>15.87671479147812</v>
      </c>
      <c r="Q854" s="26"/>
      <c r="R854" s="26">
        <v>13.143048124811454</v>
      </c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>
        <v>34.446714791478115</v>
      </c>
      <c r="H855" s="30"/>
      <c r="I855" s="30">
        <v>28.216714791478122</v>
      </c>
      <c r="J855" s="30"/>
      <c r="K855" s="30">
        <v>15.666714791478112</v>
      </c>
      <c r="L855" s="30"/>
      <c r="M855" s="30">
        <v>15.656714791478121</v>
      </c>
      <c r="N855" s="30">
        <v>15.576714791478123</v>
      </c>
      <c r="O855" s="30"/>
      <c r="P855" s="30">
        <v>15.87671479147812</v>
      </c>
      <c r="Q855" s="30"/>
      <c r="R855" s="30">
        <v>13.143048124811454</v>
      </c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>
        <v>34.446714791478115</v>
      </c>
      <c r="H856" s="26"/>
      <c r="I856" s="26">
        <v>28.216714791478122</v>
      </c>
      <c r="J856" s="26"/>
      <c r="K856" s="26">
        <v>15.666714791478112</v>
      </c>
      <c r="L856" s="26"/>
      <c r="M856" s="26">
        <v>15.656714791478121</v>
      </c>
      <c r="N856" s="26">
        <v>15.576714791478123</v>
      </c>
      <c r="O856" s="26"/>
      <c r="P856" s="26">
        <v>15.87671479147812</v>
      </c>
      <c r="Q856" s="26"/>
      <c r="R856" s="26">
        <v>13.143048124811454</v>
      </c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>
        <v>34.446714791478115</v>
      </c>
      <c r="H857" s="30"/>
      <c r="I857" s="30">
        <v>28.216714791478122</v>
      </c>
      <c r="J857" s="30"/>
      <c r="K857" s="30">
        <v>15.666714791478112</v>
      </c>
      <c r="L857" s="30"/>
      <c r="M857" s="30">
        <v>15.656714791478121</v>
      </c>
      <c r="N857" s="30">
        <v>15.576714791478123</v>
      </c>
      <c r="O857" s="30"/>
      <c r="P857" s="30">
        <v>15.87671479147812</v>
      </c>
      <c r="Q857" s="30"/>
      <c r="R857" s="30">
        <v>13.143048124811454</v>
      </c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>
        <v>34.446714791478115</v>
      </c>
      <c r="H858" s="26"/>
      <c r="I858" s="26">
        <v>28.216714791478122</v>
      </c>
      <c r="J858" s="26"/>
      <c r="K858" s="26">
        <v>15.666714791478112</v>
      </c>
      <c r="L858" s="26"/>
      <c r="M858" s="26">
        <v>15.656714791478121</v>
      </c>
      <c r="N858" s="26">
        <v>15.576714791478123</v>
      </c>
      <c r="O858" s="26"/>
      <c r="P858" s="26">
        <v>15.87671479147812</v>
      </c>
      <c r="Q858" s="26"/>
      <c r="R858" s="26">
        <v>13.143048124811454</v>
      </c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>
        <v>34.446714791478115</v>
      </c>
      <c r="H859" s="30"/>
      <c r="I859" s="30">
        <v>28.216714791478122</v>
      </c>
      <c r="J859" s="30"/>
      <c r="K859" s="30">
        <v>15.666714791478112</v>
      </c>
      <c r="L859" s="30"/>
      <c r="M859" s="30">
        <v>15.656714791478121</v>
      </c>
      <c r="N859" s="30">
        <v>15.576714791478123</v>
      </c>
      <c r="O859" s="30"/>
      <c r="P859" s="30">
        <v>15.87671479147812</v>
      </c>
      <c r="Q859" s="30"/>
      <c r="R859" s="30">
        <v>13.143048124811454</v>
      </c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>
        <v>34.446714791478115</v>
      </c>
      <c r="H860" s="26"/>
      <c r="I860" s="26">
        <v>28.216714791478122</v>
      </c>
      <c r="J860" s="26"/>
      <c r="K860" s="26">
        <v>15.666714791478112</v>
      </c>
      <c r="L860" s="26"/>
      <c r="M860" s="26">
        <v>15.656714791478121</v>
      </c>
      <c r="N860" s="26">
        <v>15.576714791478123</v>
      </c>
      <c r="O860" s="26"/>
      <c r="P860" s="26">
        <v>15.87671479147812</v>
      </c>
      <c r="Q860" s="26"/>
      <c r="R860" s="26">
        <v>13.143048124811454</v>
      </c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>
        <v>34.446714791478115</v>
      </c>
      <c r="H861" s="30"/>
      <c r="I861" s="30">
        <v>28.216714791478122</v>
      </c>
      <c r="J861" s="30"/>
      <c r="K861" s="30">
        <v>15.666714791478112</v>
      </c>
      <c r="L861" s="30"/>
      <c r="M861" s="30">
        <v>15.656714791478121</v>
      </c>
      <c r="N861" s="30">
        <v>15.576714791478123</v>
      </c>
      <c r="O861" s="30"/>
      <c r="P861" s="30">
        <v>15.87671479147812</v>
      </c>
      <c r="Q861" s="30"/>
      <c r="R861" s="30">
        <v>13.143048124811454</v>
      </c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>
        <v>34.446714791478115</v>
      </c>
      <c r="H862" s="26"/>
      <c r="I862" s="26">
        <v>28.216714791478122</v>
      </c>
      <c r="J862" s="26"/>
      <c r="K862" s="26">
        <v>15.666714791478112</v>
      </c>
      <c r="L862" s="26"/>
      <c r="M862" s="26">
        <v>15.656714791478121</v>
      </c>
      <c r="N862" s="26">
        <v>15.576714791478123</v>
      </c>
      <c r="O862" s="26"/>
      <c r="P862" s="26">
        <v>15.87671479147812</v>
      </c>
      <c r="Q862" s="26"/>
      <c r="R862" s="26">
        <v>13.143048124811454</v>
      </c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>
        <v>34.446714791478115</v>
      </c>
      <c r="H863" s="30"/>
      <c r="I863" s="30">
        <v>28.216714791478122</v>
      </c>
      <c r="J863" s="30"/>
      <c r="K863" s="30">
        <v>15.666714791478112</v>
      </c>
      <c r="L863" s="30"/>
      <c r="M863" s="30">
        <v>15.656714791478121</v>
      </c>
      <c r="N863" s="30">
        <v>15.576714791478123</v>
      </c>
      <c r="O863" s="30"/>
      <c r="P863" s="30">
        <v>15.87671479147812</v>
      </c>
      <c r="Q863" s="30"/>
      <c r="R863" s="30">
        <v>13.143048124811454</v>
      </c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356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75.42578125" bestFit="1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144.16392230068223</v>
      </c>
      <c r="D6" s="33">
        <v>187.46138736159708</v>
      </c>
      <c r="E6" s="33">
        <v>237.12504045691921</v>
      </c>
      <c r="F6" s="33">
        <v>319.84567154208912</v>
      </c>
      <c r="G6" s="33">
        <v>358.58290927696379</v>
      </c>
      <c r="H6" s="33">
        <v>428.19521954967325</v>
      </c>
      <c r="I6" s="33">
        <v>391.55126126328645</v>
      </c>
      <c r="J6" s="33">
        <v>291.24231815642656</v>
      </c>
      <c r="K6" s="33">
        <v>198.23452632578324</v>
      </c>
      <c r="L6" s="33">
        <v>142.72605500958878</v>
      </c>
      <c r="M6" s="33">
        <v>130.55767976607342</v>
      </c>
      <c r="N6" s="33">
        <v>132.60495048846852</v>
      </c>
      <c r="O6" s="33">
        <v>145.13548514978706</v>
      </c>
      <c r="P6" s="33">
        <v>188.76454151308596</v>
      </c>
      <c r="Q6" s="33">
        <v>239.06771068389679</v>
      </c>
      <c r="R6" s="33">
        <v>322.61794794209425</v>
      </c>
      <c r="S6" s="33">
        <v>361.59751599027237</v>
      </c>
      <c r="T6" s="17" t="s">
        <v>429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323.46992887522771</v>
      </c>
      <c r="D7" s="33">
        <v>383.89946622145982</v>
      </c>
      <c r="E7" s="33">
        <v>515.64324127508462</v>
      </c>
      <c r="F7" s="33">
        <v>715.47534102362147</v>
      </c>
      <c r="G7" s="33">
        <v>740.25868859780769</v>
      </c>
      <c r="H7" s="33">
        <v>836.10142441495577</v>
      </c>
      <c r="I7" s="33">
        <v>782.84330149384766</v>
      </c>
      <c r="J7" s="33">
        <v>640.76264359703134</v>
      </c>
      <c r="K7" s="33">
        <v>497.53637807784838</v>
      </c>
      <c r="L7" s="33">
        <v>408.43040038049952</v>
      </c>
      <c r="M7" s="33">
        <v>356.72418109372006</v>
      </c>
      <c r="N7" s="33">
        <v>337.49303423986424</v>
      </c>
      <c r="O7" s="33">
        <v>336.8246711265358</v>
      </c>
      <c r="P7" s="33">
        <v>397.84951231647926</v>
      </c>
      <c r="Q7" s="33">
        <v>535.34848112210159</v>
      </c>
      <c r="R7" s="33">
        <v>737.18254809067855</v>
      </c>
      <c r="S7" s="33">
        <v>756.85669046792498</v>
      </c>
      <c r="T7" s="139" t="s">
        <v>440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54.175121310906562</v>
      </c>
      <c r="D8" s="33">
        <v>61.187481674129323</v>
      </c>
      <c r="E8" s="33">
        <v>73.861932302266425</v>
      </c>
      <c r="F8" s="33">
        <v>111.58726092480022</v>
      </c>
      <c r="G8" s="33">
        <v>138.47321288945406</v>
      </c>
      <c r="H8" s="33">
        <v>161.9069783645796</v>
      </c>
      <c r="I8" s="33">
        <v>145.48449247350806</v>
      </c>
      <c r="J8" s="33">
        <v>116.31873283767439</v>
      </c>
      <c r="K8" s="33">
        <v>88.29560988705262</v>
      </c>
      <c r="L8" s="33">
        <v>71.710454548681426</v>
      </c>
      <c r="M8" s="33">
        <v>67.224440782515671</v>
      </c>
      <c r="N8" s="33">
        <v>66.05411681822514</v>
      </c>
      <c r="O8" s="33">
        <v>54.789122104996125</v>
      </c>
      <c r="P8" s="33">
        <v>62.025249676866942</v>
      </c>
      <c r="Q8" s="33">
        <v>74.833399157689954</v>
      </c>
      <c r="R8" s="33">
        <v>111.79276196565564</v>
      </c>
      <c r="S8" s="33">
        <v>137.86742527920046</v>
      </c>
      <c r="T8" s="139" t="s">
        <v>429</v>
      </c>
      <c r="U8" s="21" t="str">
        <f>"Demand_"&amp;TEXT(TBL_DEMAND[[#This Row],[Index]],"000")</f>
        <v>Demand_029</v>
      </c>
    </row>
    <row r="9" spans="1:21" ht="45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430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173.56743149928894</v>
      </c>
      <c r="D10" s="33">
        <v>172.33948347540669</v>
      </c>
      <c r="E10" s="33">
        <v>256.14610177274034</v>
      </c>
      <c r="F10" s="33">
        <v>363.47715986605186</v>
      </c>
      <c r="G10" s="33">
        <v>417.8648637652646</v>
      </c>
      <c r="H10" s="33">
        <v>499.72472560083037</v>
      </c>
      <c r="I10" s="33">
        <v>461.94829791609197</v>
      </c>
      <c r="J10" s="33">
        <v>365.14180081087318</v>
      </c>
      <c r="K10" s="33">
        <v>237.17269435333469</v>
      </c>
      <c r="L10" s="33">
        <v>175.66921154114337</v>
      </c>
      <c r="M10" s="33">
        <v>142.74590446970799</v>
      </c>
      <c r="N10" s="33">
        <v>136.25437272671073</v>
      </c>
      <c r="O10" s="33">
        <v>178.25011085836746</v>
      </c>
      <c r="P10" s="33">
        <v>176.73496595517611</v>
      </c>
      <c r="Q10" s="33">
        <v>261.78092497792687</v>
      </c>
      <c r="R10" s="33">
        <v>371.05098695451136</v>
      </c>
      <c r="S10" s="33">
        <v>425.37771519023414</v>
      </c>
      <c r="T10" s="139" t="s">
        <v>429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1609.0721574012762</v>
      </c>
      <c r="D11" s="33">
        <v>1957.6636421782109</v>
      </c>
      <c r="E11" s="33">
        <v>2534.9500572999477</v>
      </c>
      <c r="F11" s="33">
        <v>3680.1472433334552</v>
      </c>
      <c r="G11" s="33">
        <v>3469.9145543635086</v>
      </c>
      <c r="H11" s="33">
        <v>4390.4014447320105</v>
      </c>
      <c r="I11" s="33">
        <v>4186.8963810024434</v>
      </c>
      <c r="J11" s="33">
        <v>3365.9910928098857</v>
      </c>
      <c r="K11" s="33">
        <v>2484.9509403452189</v>
      </c>
      <c r="L11" s="33">
        <v>2025.534398779489</v>
      </c>
      <c r="M11" s="33">
        <v>1759.1734880281904</v>
      </c>
      <c r="N11" s="33">
        <v>1826.7912969661397</v>
      </c>
      <c r="O11" s="33">
        <v>1621.5349348575255</v>
      </c>
      <c r="P11" s="33">
        <v>1971.0298366045977</v>
      </c>
      <c r="Q11" s="33">
        <v>2551.4943599892335</v>
      </c>
      <c r="R11" s="33">
        <v>3702.7649539358213</v>
      </c>
      <c r="S11" s="33">
        <v>3491.0467904288757</v>
      </c>
      <c r="T11" s="139" t="s">
        <v>440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63.638522912760827</v>
      </c>
      <c r="D12" s="33">
        <v>68.570515382028574</v>
      </c>
      <c r="E12" s="33">
        <v>84.055636244297602</v>
      </c>
      <c r="F12" s="33">
        <v>113.41096206148545</v>
      </c>
      <c r="G12" s="33">
        <v>118.12980984829073</v>
      </c>
      <c r="H12" s="33">
        <v>173.21675154197308</v>
      </c>
      <c r="I12" s="33">
        <v>168.16236086701966</v>
      </c>
      <c r="J12" s="33">
        <v>139.31263947950663</v>
      </c>
      <c r="K12" s="33">
        <v>85.876574002967729</v>
      </c>
      <c r="L12" s="33">
        <v>64.680010544694454</v>
      </c>
      <c r="M12" s="33">
        <v>55.418832324716696</v>
      </c>
      <c r="N12" s="33">
        <v>54.285545181904638</v>
      </c>
      <c r="O12" s="33">
        <v>62.87711723802321</v>
      </c>
      <c r="P12" s="33">
        <v>67.426745181275919</v>
      </c>
      <c r="Q12" s="33">
        <v>82.480403153514771</v>
      </c>
      <c r="R12" s="33">
        <v>111.22527780503137</v>
      </c>
      <c r="S12" s="33">
        <v>115.96352967014045</v>
      </c>
      <c r="T12" s="139" t="s">
        <v>429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9.0432486235645388</v>
      </c>
      <c r="D13" s="33">
        <v>10.029730257186594</v>
      </c>
      <c r="E13" s="33">
        <v>15.452040772391742</v>
      </c>
      <c r="F13" s="33">
        <v>17.732136614490599</v>
      </c>
      <c r="G13" s="33">
        <v>23.205806832190611</v>
      </c>
      <c r="H13" s="33">
        <v>24.856208362854801</v>
      </c>
      <c r="I13" s="33">
        <v>25.438009006923579</v>
      </c>
      <c r="J13" s="33">
        <v>19.697840277846066</v>
      </c>
      <c r="K13" s="33">
        <v>12.015916733921829</v>
      </c>
      <c r="L13" s="33">
        <v>9.9206698809498111</v>
      </c>
      <c r="M13" s="33">
        <v>7.0597004814304887</v>
      </c>
      <c r="N13" s="33">
        <v>7.5403544060850871</v>
      </c>
      <c r="O13" s="33">
        <v>9.1547042933133973</v>
      </c>
      <c r="P13" s="33">
        <v>10.148474114527771</v>
      </c>
      <c r="Q13" s="33">
        <v>15.708791037841351</v>
      </c>
      <c r="R13" s="33">
        <v>18.102392425892806</v>
      </c>
      <c r="S13" s="33">
        <v>23.682008461427479</v>
      </c>
      <c r="T13" s="139" t="s">
        <v>429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912.68825721409178</v>
      </c>
      <c r="D14" s="33">
        <v>891.8895368568393</v>
      </c>
      <c r="E14" s="33">
        <v>962.10031997819806</v>
      </c>
      <c r="F14" s="33">
        <v>1150.2611025123063</v>
      </c>
      <c r="G14" s="33">
        <v>1073.011602946232</v>
      </c>
      <c r="H14" s="33">
        <v>1079.192535310302</v>
      </c>
      <c r="I14" s="33">
        <v>994.32319159131509</v>
      </c>
      <c r="J14" s="33">
        <v>841.57156161009573</v>
      </c>
      <c r="K14" s="33">
        <v>773.20364670969116</v>
      </c>
      <c r="L14" s="33">
        <v>779.74915629056727</v>
      </c>
      <c r="M14" s="33">
        <v>842.37329858497742</v>
      </c>
      <c r="N14" s="33">
        <v>885.12342057061062</v>
      </c>
      <c r="O14" s="33">
        <v>862.49216863129845</v>
      </c>
      <c r="P14" s="33">
        <v>850.68550494196666</v>
      </c>
      <c r="Q14" s="33">
        <v>917.10152989305425</v>
      </c>
      <c r="R14" s="33">
        <v>1102.2689528960357</v>
      </c>
      <c r="S14" s="33">
        <v>1038.6579223884903</v>
      </c>
      <c r="T14" s="139" t="s">
        <v>440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53.19841223068741</v>
      </c>
      <c r="D15" s="33">
        <v>63.59714572499918</v>
      </c>
      <c r="E15" s="33">
        <v>69.613179614026762</v>
      </c>
      <c r="F15" s="33">
        <v>78.453518588124126</v>
      </c>
      <c r="G15" s="33">
        <v>99.84947267321526</v>
      </c>
      <c r="H15" s="33">
        <v>131.22277220582143</v>
      </c>
      <c r="I15" s="33">
        <v>132.09215397820739</v>
      </c>
      <c r="J15" s="33">
        <v>110.58392594636445</v>
      </c>
      <c r="K15" s="33">
        <v>70.856345404072826</v>
      </c>
      <c r="L15" s="33">
        <v>47.468872326983799</v>
      </c>
      <c r="M15" s="33">
        <v>44.577726369740915</v>
      </c>
      <c r="N15" s="33">
        <v>43.98609089135568</v>
      </c>
      <c r="O15" s="33">
        <v>52.503677885888642</v>
      </c>
      <c r="P15" s="33">
        <v>62.552107850752911</v>
      </c>
      <c r="Q15" s="33">
        <v>68.440759136923248</v>
      </c>
      <c r="R15" s="33">
        <v>77.039460439327001</v>
      </c>
      <c r="S15" s="33">
        <v>97.908532263501499</v>
      </c>
      <c r="T15" s="139" t="s">
        <v>429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604.78416537418195</v>
      </c>
      <c r="D16" s="33">
        <v>796.20886560936526</v>
      </c>
      <c r="E16" s="33">
        <v>1161.9598765249084</v>
      </c>
      <c r="F16" s="33">
        <v>1920.0893496974804</v>
      </c>
      <c r="G16" s="33">
        <v>2016.6268805406821</v>
      </c>
      <c r="H16" s="33">
        <v>2252.8253368324777</v>
      </c>
      <c r="I16" s="33">
        <v>2141.0819710863771</v>
      </c>
      <c r="J16" s="33">
        <v>1651.7305499725701</v>
      </c>
      <c r="K16" s="33">
        <v>1117.2049604799929</v>
      </c>
      <c r="L16" s="33">
        <v>827.7397474533841</v>
      </c>
      <c r="M16" s="33">
        <v>637.30838998282513</v>
      </c>
      <c r="N16" s="33">
        <v>671.89615481751946</v>
      </c>
      <c r="O16" s="33">
        <v>596.06162941477692</v>
      </c>
      <c r="P16" s="33">
        <v>784.83906632090532</v>
      </c>
      <c r="Q16" s="33">
        <v>1145.0739246086866</v>
      </c>
      <c r="R16" s="33">
        <v>1895.0033492791727</v>
      </c>
      <c r="S16" s="33">
        <v>1992.9430539398033</v>
      </c>
      <c r="T16" s="139" t="s">
        <v>440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146.15982249527022</v>
      </c>
      <c r="D17" s="33">
        <v>147.14397498049775</v>
      </c>
      <c r="E17" s="33">
        <v>142.77665437180511</v>
      </c>
      <c r="F17" s="33">
        <v>159.94871250718737</v>
      </c>
      <c r="G17" s="33">
        <v>180.47231663865853</v>
      </c>
      <c r="H17" s="33">
        <v>223.91903036039562</v>
      </c>
      <c r="I17" s="33">
        <v>186.15499671962485</v>
      </c>
      <c r="J17" s="33">
        <v>129.64112304329359</v>
      </c>
      <c r="K17" s="33">
        <v>120.4927750308098</v>
      </c>
      <c r="L17" s="33">
        <v>119.57010988219474</v>
      </c>
      <c r="M17" s="33">
        <v>145.41365777187468</v>
      </c>
      <c r="N17" s="33">
        <v>158.72815736857351</v>
      </c>
      <c r="O17" s="33">
        <v>152.90696533149446</v>
      </c>
      <c r="P17" s="33">
        <v>153.6498404213271</v>
      </c>
      <c r="Q17" s="33">
        <v>148.98679322061017</v>
      </c>
      <c r="R17" s="33">
        <v>166.25127713381551</v>
      </c>
      <c r="S17" s="33">
        <v>187.11331681246</v>
      </c>
      <c r="T17" s="139" t="s">
        <v>440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70.065598283973614</v>
      </c>
      <c r="D18" s="33">
        <v>70.395425192461715</v>
      </c>
      <c r="E18" s="33">
        <v>96.239510173917225</v>
      </c>
      <c r="F18" s="33">
        <v>118.85697419272114</v>
      </c>
      <c r="G18" s="33">
        <v>127.39496327937665</v>
      </c>
      <c r="H18" s="33">
        <v>146.99119580070607</v>
      </c>
      <c r="I18" s="33">
        <v>134.55778301166012</v>
      </c>
      <c r="J18" s="33">
        <v>98.181078174447975</v>
      </c>
      <c r="K18" s="33">
        <v>72.755132450730287</v>
      </c>
      <c r="L18" s="33">
        <v>63.629166875796244</v>
      </c>
      <c r="M18" s="33">
        <v>58.164412629289728</v>
      </c>
      <c r="N18" s="33">
        <v>60.886445663716422</v>
      </c>
      <c r="O18" s="33">
        <v>70.601710486548896</v>
      </c>
      <c r="P18" s="33">
        <v>70.966086441246986</v>
      </c>
      <c r="Q18" s="33">
        <v>97.012047364540976</v>
      </c>
      <c r="R18" s="33">
        <v>119.84235897674542</v>
      </c>
      <c r="S18" s="33">
        <v>128.47801406870789</v>
      </c>
      <c r="T18" s="139" t="s">
        <v>429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164.02032946749887</v>
      </c>
      <c r="D19" s="33">
        <v>214.11310911209083</v>
      </c>
      <c r="E19" s="33">
        <v>318.50466955901749</v>
      </c>
      <c r="F19" s="33">
        <v>461.35949550306054</v>
      </c>
      <c r="G19" s="33">
        <v>598.55757619769599</v>
      </c>
      <c r="H19" s="33">
        <v>687.62549113873592</v>
      </c>
      <c r="I19" s="33">
        <v>599.25098094175178</v>
      </c>
      <c r="J19" s="33">
        <v>449.39047338133844</v>
      </c>
      <c r="K19" s="33">
        <v>288.90980447420139</v>
      </c>
      <c r="L19" s="33">
        <v>212.85149246039754</v>
      </c>
      <c r="M19" s="33">
        <v>165.683899166251</v>
      </c>
      <c r="N19" s="33">
        <v>164.90440024933437</v>
      </c>
      <c r="O19" s="33">
        <v>163.10015656889664</v>
      </c>
      <c r="P19" s="33">
        <v>212.86315452119709</v>
      </c>
      <c r="Q19" s="33">
        <v>316.60529179727848</v>
      </c>
      <c r="R19" s="33">
        <v>458.58324325978913</v>
      </c>
      <c r="S19" s="33">
        <v>594.87351806198342</v>
      </c>
      <c r="T19" s="139" t="s">
        <v>429</v>
      </c>
      <c r="U19" s="21" t="str">
        <f>"Demand_"&amp;TEXT(TBL_DEMAND[[#This Row],[Index]],"000")</f>
        <v>Demand_025</v>
      </c>
    </row>
    <row r="20" spans="1:21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136.51857668911018</v>
      </c>
      <c r="D20" s="33">
        <v>141.03312842870105</v>
      </c>
      <c r="E20" s="33">
        <v>153.30762989576945</v>
      </c>
      <c r="F20" s="33">
        <v>179.67550526488057</v>
      </c>
      <c r="G20" s="33">
        <v>172.47166800027637</v>
      </c>
      <c r="H20" s="33">
        <v>169.69294184317087</v>
      </c>
      <c r="I20" s="33">
        <v>158.60857017294785</v>
      </c>
      <c r="J20" s="33">
        <v>155.20432089352911</v>
      </c>
      <c r="K20" s="33">
        <v>155.49800726544382</v>
      </c>
      <c r="L20" s="33">
        <v>149.86050842787026</v>
      </c>
      <c r="M20" s="33">
        <v>149.74053864399326</v>
      </c>
      <c r="N20" s="33">
        <v>150.83405872703369</v>
      </c>
      <c r="O20" s="33">
        <v>139.40053168077475</v>
      </c>
      <c r="P20" s="33">
        <v>144.01397325647639</v>
      </c>
      <c r="Q20" s="33">
        <v>156.55040007919234</v>
      </c>
      <c r="R20" s="33">
        <v>183.47213950283242</v>
      </c>
      <c r="S20" s="33">
        <v>176.12263278709088</v>
      </c>
      <c r="T20" s="139" t="s">
        <v>440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1141.6035701187104</v>
      </c>
      <c r="D21" s="33">
        <v>1360.0166888518529</v>
      </c>
      <c r="E21" s="33">
        <v>1497.0066695687328</v>
      </c>
      <c r="F21" s="33">
        <v>2204.3188827351541</v>
      </c>
      <c r="G21" s="33">
        <v>2685.8925185330249</v>
      </c>
      <c r="H21" s="33">
        <v>3128.7998563528149</v>
      </c>
      <c r="I21" s="33">
        <v>2847.3053090891017</v>
      </c>
      <c r="J21" s="33">
        <v>2217.3273761522705</v>
      </c>
      <c r="K21" s="33">
        <v>1574.5147346571111</v>
      </c>
      <c r="L21" s="33">
        <v>1355.4230659936195</v>
      </c>
      <c r="M21" s="33">
        <v>1297.1692816714244</v>
      </c>
      <c r="N21" s="33">
        <v>1380.226274893851</v>
      </c>
      <c r="O21" s="33">
        <v>1187.3277440934398</v>
      </c>
      <c r="P21" s="33">
        <v>1406.3770144325251</v>
      </c>
      <c r="Q21" s="33">
        <v>1543.799742486834</v>
      </c>
      <c r="R21" s="33">
        <v>2255.3884040412513</v>
      </c>
      <c r="S21" s="33">
        <v>2734.3098886707849</v>
      </c>
      <c r="T21" s="139" t="s">
        <v>440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36.854307395198482</v>
      </c>
      <c r="D22" s="33">
        <v>67.698955250049906</v>
      </c>
      <c r="E22" s="33">
        <v>65.103751371377427</v>
      </c>
      <c r="F22" s="33">
        <v>74.874627383501661</v>
      </c>
      <c r="G22" s="33">
        <v>80.082222456018243</v>
      </c>
      <c r="H22" s="33">
        <v>87.05249855063191</v>
      </c>
      <c r="I22" s="33">
        <v>83.167361760103844</v>
      </c>
      <c r="J22" s="33">
        <v>75.95017737696682</v>
      </c>
      <c r="K22" s="33">
        <v>69.45732058246638</v>
      </c>
      <c r="L22" s="33">
        <v>48.090670792143129</v>
      </c>
      <c r="M22" s="33">
        <v>47.957108573951182</v>
      </c>
      <c r="N22" s="33">
        <v>35.77477740525152</v>
      </c>
      <c r="O22" s="33">
        <v>37.169842325381445</v>
      </c>
      <c r="P22" s="33">
        <v>68.258203883118568</v>
      </c>
      <c r="Q22" s="33">
        <v>66.052861317948711</v>
      </c>
      <c r="R22" s="33">
        <v>76.09498251511431</v>
      </c>
      <c r="S22" s="33">
        <v>81.513716515553938</v>
      </c>
      <c r="T22" s="139" t="s">
        <v>429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12.930516770969284</v>
      </c>
      <c r="D23" s="33">
        <v>17.70973336524558</v>
      </c>
      <c r="E23" s="33">
        <v>22.755239934651563</v>
      </c>
      <c r="F23" s="33">
        <v>31.68561908934387</v>
      </c>
      <c r="G23" s="33">
        <v>32.829878999253815</v>
      </c>
      <c r="H23" s="33">
        <v>39.236380711256153</v>
      </c>
      <c r="I23" s="33">
        <v>37.339621520974298</v>
      </c>
      <c r="J23" s="33">
        <v>31.547833164901569</v>
      </c>
      <c r="K23" s="33">
        <v>23.851841334115683</v>
      </c>
      <c r="L23" s="33">
        <v>19.15807568263131</v>
      </c>
      <c r="M23" s="33">
        <v>15.991170303284344</v>
      </c>
      <c r="N23" s="33">
        <v>15.148334004575432</v>
      </c>
      <c r="O23" s="33">
        <v>13.29541050606854</v>
      </c>
      <c r="P23" s="33">
        <v>18.096509535644625</v>
      </c>
      <c r="Q23" s="33">
        <v>23.29852557297</v>
      </c>
      <c r="R23" s="33">
        <v>32.29439488738101</v>
      </c>
      <c r="S23" s="33">
        <v>33.308777707340845</v>
      </c>
      <c r="T23" s="139" t="s">
        <v>431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25.111453251939579</v>
      </c>
      <c r="D24" s="33">
        <v>25.424909341958365</v>
      </c>
      <c r="E24" s="33">
        <v>36.929512291015513</v>
      </c>
      <c r="F24" s="33">
        <v>46.380331552756083</v>
      </c>
      <c r="G24" s="33">
        <v>50.575286617399939</v>
      </c>
      <c r="H24" s="33">
        <v>68.377420111321072</v>
      </c>
      <c r="I24" s="33">
        <v>69.59709665716133</v>
      </c>
      <c r="J24" s="33">
        <v>53.665698663180152</v>
      </c>
      <c r="K24" s="33">
        <v>32.342324132177275</v>
      </c>
      <c r="L24" s="33">
        <v>20.132318667152468</v>
      </c>
      <c r="M24" s="33">
        <v>19.490077902886867</v>
      </c>
      <c r="N24" s="33">
        <v>21.77247164402219</v>
      </c>
      <c r="O24" s="33">
        <v>25.608230589377733</v>
      </c>
      <c r="P24" s="33">
        <v>26.056874762434305</v>
      </c>
      <c r="Q24" s="33">
        <v>37.138332484812487</v>
      </c>
      <c r="R24" s="33">
        <v>46.605250237132516</v>
      </c>
      <c r="S24" s="33">
        <v>50.62412035631634</v>
      </c>
      <c r="T24" s="139" t="s">
        <v>429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429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632.59800518739553</v>
      </c>
      <c r="D26" s="33">
        <v>734.61927697357669</v>
      </c>
      <c r="E26" s="33">
        <v>868.8156422055938</v>
      </c>
      <c r="F26" s="33">
        <v>1179.2858400591749</v>
      </c>
      <c r="G26" s="33">
        <v>1272.8230964646636</v>
      </c>
      <c r="H26" s="33">
        <v>1423.376798433711</v>
      </c>
      <c r="I26" s="33">
        <v>1357.1216643252483</v>
      </c>
      <c r="J26" s="33">
        <v>1137.3760161467815</v>
      </c>
      <c r="K26" s="33">
        <v>844.96462150974583</v>
      </c>
      <c r="L26" s="33">
        <v>713.36950821532901</v>
      </c>
      <c r="M26" s="33">
        <v>627.87296220267808</v>
      </c>
      <c r="N26" s="33">
        <v>642.66059413880703</v>
      </c>
      <c r="O26" s="33">
        <v>639.8231000307668</v>
      </c>
      <c r="P26" s="33">
        <v>741.32860090594806</v>
      </c>
      <c r="Q26" s="33">
        <v>874.47247068287936</v>
      </c>
      <c r="R26" s="33">
        <v>1184.9744025640052</v>
      </c>
      <c r="S26" s="33">
        <v>1274.6764540231552</v>
      </c>
      <c r="T26" s="139" t="s">
        <v>440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390.4528784930539</v>
      </c>
      <c r="D27" s="33">
        <v>419.03487600834029</v>
      </c>
      <c r="E27" s="33">
        <v>531.12254952333706</v>
      </c>
      <c r="F27" s="33">
        <v>650.74803232758109</v>
      </c>
      <c r="G27" s="33">
        <v>723.67966734816468</v>
      </c>
      <c r="H27" s="33">
        <v>799.0342269625246</v>
      </c>
      <c r="I27" s="33">
        <v>757.97021271563995</v>
      </c>
      <c r="J27" s="33">
        <v>675.76811078211608</v>
      </c>
      <c r="K27" s="33">
        <v>538.43989630414058</v>
      </c>
      <c r="L27" s="33">
        <v>431.37720946695777</v>
      </c>
      <c r="M27" s="33">
        <v>376.24579040852313</v>
      </c>
      <c r="N27" s="33">
        <v>377.67409586136364</v>
      </c>
      <c r="O27" s="33">
        <v>397.70427702458613</v>
      </c>
      <c r="P27" s="33">
        <v>426.77447113774923</v>
      </c>
      <c r="Q27" s="33">
        <v>541.12390507085229</v>
      </c>
      <c r="R27" s="33">
        <v>662.87188048605469</v>
      </c>
      <c r="S27" s="33">
        <v>737.0823018545575</v>
      </c>
      <c r="T27" s="139" t="s">
        <v>429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139.22196203368276</v>
      </c>
      <c r="D28" s="33">
        <v>146.96670545291198</v>
      </c>
      <c r="E28" s="33">
        <v>135.09226680406385</v>
      </c>
      <c r="F28" s="33">
        <v>145.66923155891368</v>
      </c>
      <c r="G28" s="33">
        <v>146.5641224284978</v>
      </c>
      <c r="H28" s="33">
        <v>160.39740826552219</v>
      </c>
      <c r="I28" s="33">
        <v>175.12547551970206</v>
      </c>
      <c r="J28" s="33">
        <v>148.03359702842778</v>
      </c>
      <c r="K28" s="33">
        <v>146.6450357832712</v>
      </c>
      <c r="L28" s="33">
        <v>148.82975508475428</v>
      </c>
      <c r="M28" s="33">
        <v>155.99239000884569</v>
      </c>
      <c r="N28" s="33">
        <v>149.07685700319723</v>
      </c>
      <c r="O28" s="33">
        <v>144.64968634043268</v>
      </c>
      <c r="P28" s="33">
        <v>152.25419851900938</v>
      </c>
      <c r="Q28" s="33">
        <v>139.81543239776198</v>
      </c>
      <c r="R28" s="33">
        <v>150.40163639170044</v>
      </c>
      <c r="S28" s="33">
        <v>150.61172077510182</v>
      </c>
      <c r="T28" s="139" t="s">
        <v>440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183.10621878859837</v>
      </c>
      <c r="D29" s="33">
        <v>201.80786672667119</v>
      </c>
      <c r="E29" s="33">
        <v>267.51673496661459</v>
      </c>
      <c r="F29" s="33">
        <v>391.30923117152327</v>
      </c>
      <c r="G29" s="33">
        <v>499.78252599181741</v>
      </c>
      <c r="H29" s="33">
        <v>550.47764989101449</v>
      </c>
      <c r="I29" s="33">
        <v>556.23120486298592</v>
      </c>
      <c r="J29" s="33">
        <v>409.94200946436746</v>
      </c>
      <c r="K29" s="33">
        <v>267.19479769509428</v>
      </c>
      <c r="L29" s="33">
        <v>194.41489807132686</v>
      </c>
      <c r="M29" s="33">
        <v>182.30357749340595</v>
      </c>
      <c r="N29" s="33">
        <v>194.59187093365128</v>
      </c>
      <c r="O29" s="33">
        <v>184.93043871860917</v>
      </c>
      <c r="P29" s="33">
        <v>203.76613220333908</v>
      </c>
      <c r="Q29" s="33">
        <v>269.97854890949492</v>
      </c>
      <c r="R29" s="33">
        <v>395.74621314197486</v>
      </c>
      <c r="S29" s="33">
        <v>505.84913919122431</v>
      </c>
      <c r="T29" s="139" t="s">
        <v>432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24.612418582427896</v>
      </c>
      <c r="D30" s="33">
        <v>26.144382720825408</v>
      </c>
      <c r="E30" s="33">
        <v>30.057761258763811</v>
      </c>
      <c r="F30" s="33">
        <v>40.773691361117926</v>
      </c>
      <c r="G30" s="33">
        <v>48.899970299324018</v>
      </c>
      <c r="H30" s="33">
        <v>55.44561382345087</v>
      </c>
      <c r="I30" s="33">
        <v>59.747713838168202</v>
      </c>
      <c r="J30" s="33">
        <v>86.951145226029254</v>
      </c>
      <c r="K30" s="33">
        <v>34.101826458192924</v>
      </c>
      <c r="L30" s="33">
        <v>25.122646239723043</v>
      </c>
      <c r="M30" s="33">
        <v>16.73828486248804</v>
      </c>
      <c r="N30" s="33">
        <v>21.291857459372135</v>
      </c>
      <c r="O30" s="33">
        <v>24.793519546506719</v>
      </c>
      <c r="P30" s="33">
        <v>26.310065111497366</v>
      </c>
      <c r="Q30" s="33">
        <v>30.249670673907449</v>
      </c>
      <c r="R30" s="33">
        <v>41.044735077252859</v>
      </c>
      <c r="S30" s="33">
        <v>49.203772352355337</v>
      </c>
      <c r="T30" s="139" t="s">
        <v>433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18.34817879021378</v>
      </c>
      <c r="D31" s="33">
        <v>21.991711700518579</v>
      </c>
      <c r="E31" s="33">
        <v>24.693082466123585</v>
      </c>
      <c r="F31" s="33">
        <v>30.073880833774499</v>
      </c>
      <c r="G31" s="33">
        <v>33.738469465407299</v>
      </c>
      <c r="H31" s="33">
        <v>52.37878550835751</v>
      </c>
      <c r="I31" s="33">
        <v>49.019187929901022</v>
      </c>
      <c r="J31" s="33">
        <v>40.432187132232009</v>
      </c>
      <c r="K31" s="33">
        <v>30.089234749612608</v>
      </c>
      <c r="L31" s="33">
        <v>26.245658827256374</v>
      </c>
      <c r="M31" s="33">
        <v>22.343118646725323</v>
      </c>
      <c r="N31" s="33">
        <v>21.171933356008765</v>
      </c>
      <c r="O31" s="33">
        <v>20.440810015586589</v>
      </c>
      <c r="P31" s="33">
        <v>23.925470321024235</v>
      </c>
      <c r="Q31" s="33">
        <v>27.096693177133549</v>
      </c>
      <c r="R31" s="33">
        <v>32.984864869484525</v>
      </c>
      <c r="S31" s="33">
        <v>36.717769501865128</v>
      </c>
      <c r="T31" s="139" t="s">
        <v>429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98.25658678678289</v>
      </c>
      <c r="D32" s="33">
        <v>75.164804014813456</v>
      </c>
      <c r="E32" s="33">
        <v>160.51186833047154</v>
      </c>
      <c r="F32" s="33">
        <v>205.84616749816445</v>
      </c>
      <c r="G32" s="33">
        <v>192.88414700928863</v>
      </c>
      <c r="H32" s="33">
        <v>260.08062983217991</v>
      </c>
      <c r="I32" s="33">
        <v>235.32684559706968</v>
      </c>
      <c r="J32" s="33">
        <v>225.3874810114219</v>
      </c>
      <c r="K32" s="33">
        <v>135.84797306245736</v>
      </c>
      <c r="L32" s="33">
        <v>84.396213975190719</v>
      </c>
      <c r="M32" s="33">
        <v>66.538255437217941</v>
      </c>
      <c r="N32" s="33">
        <v>98.649467000576664</v>
      </c>
      <c r="O32" s="33">
        <v>103.45769229557357</v>
      </c>
      <c r="P32" s="33">
        <v>79.461678175693805</v>
      </c>
      <c r="Q32" s="33">
        <v>167.2754278838041</v>
      </c>
      <c r="R32" s="33">
        <v>214.41398752468885</v>
      </c>
      <c r="S32" s="33">
        <v>200.31186185355466</v>
      </c>
      <c r="T32" s="139" t="s">
        <v>434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67.964020743738089</v>
      </c>
      <c r="D33" s="33">
        <v>87.643779041082709</v>
      </c>
      <c r="E33" s="33">
        <v>105.44874477657744</v>
      </c>
      <c r="F33" s="33">
        <v>139.43941341684376</v>
      </c>
      <c r="G33" s="33">
        <v>158.04616113926872</v>
      </c>
      <c r="H33" s="33">
        <v>190.16755215772162</v>
      </c>
      <c r="I33" s="33">
        <v>174.12962519812839</v>
      </c>
      <c r="J33" s="33">
        <v>140.6922868430502</v>
      </c>
      <c r="K33" s="33">
        <v>104.53375259937343</v>
      </c>
      <c r="L33" s="33">
        <v>84.54154196212842</v>
      </c>
      <c r="M33" s="33">
        <v>70.265982933253014</v>
      </c>
      <c r="N33" s="33">
        <v>67.941767913240838</v>
      </c>
      <c r="O33" s="33">
        <v>70.46355053647919</v>
      </c>
      <c r="P33" s="33">
        <v>90.9718007195479</v>
      </c>
      <c r="Q33" s="33">
        <v>110.23370276553078</v>
      </c>
      <c r="R33" s="33">
        <v>146.19054930163028</v>
      </c>
      <c r="S33" s="33">
        <v>165.43231135728192</v>
      </c>
      <c r="T33" s="139" t="s">
        <v>435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1200.5104252099109</v>
      </c>
      <c r="D34" s="33">
        <v>1400.2409883476303</v>
      </c>
      <c r="E34" s="33">
        <v>2065.0245013049789</v>
      </c>
      <c r="F34" s="33">
        <v>2865.7481789511521</v>
      </c>
      <c r="G34" s="33">
        <v>3085.321229118731</v>
      </c>
      <c r="H34" s="33">
        <v>3397.0782130373323</v>
      </c>
      <c r="I34" s="33">
        <v>3149.477318766134</v>
      </c>
      <c r="J34" s="33">
        <v>2732.4314234758072</v>
      </c>
      <c r="K34" s="33">
        <v>2159.1388463518219</v>
      </c>
      <c r="L34" s="33">
        <v>1585.0002307118273</v>
      </c>
      <c r="M34" s="33">
        <v>1311.0603331107554</v>
      </c>
      <c r="N34" s="33">
        <v>1211.4508661101029</v>
      </c>
      <c r="O34" s="33">
        <v>1154.9952537484974</v>
      </c>
      <c r="P34" s="33">
        <v>1350.4387383629364</v>
      </c>
      <c r="Q34" s="33">
        <v>2002.7238092028465</v>
      </c>
      <c r="R34" s="33">
        <v>2786.8116580079131</v>
      </c>
      <c r="S34" s="33">
        <v>3003.8595061069659</v>
      </c>
      <c r="T34" s="139" t="s">
        <v>440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506.96016649155109</v>
      </c>
      <c r="D35" s="33">
        <v>560.14200416710321</v>
      </c>
      <c r="E35" s="33">
        <v>746.12373078483063</v>
      </c>
      <c r="F35" s="33">
        <v>1068.9491028927819</v>
      </c>
      <c r="G35" s="33">
        <v>1354.5394051705698</v>
      </c>
      <c r="H35" s="33">
        <v>1453.5408154394199</v>
      </c>
      <c r="I35" s="33">
        <v>1491.3191984279285</v>
      </c>
      <c r="J35" s="33">
        <v>1096.629250116096</v>
      </c>
      <c r="K35" s="33">
        <v>713.49428606545234</v>
      </c>
      <c r="L35" s="33">
        <v>525.79433661548455</v>
      </c>
      <c r="M35" s="33">
        <v>495.15138139731545</v>
      </c>
      <c r="N35" s="33">
        <v>507.01961997316869</v>
      </c>
      <c r="O35" s="33">
        <v>506.96016649155109</v>
      </c>
      <c r="P35" s="33">
        <v>560.14200416710321</v>
      </c>
      <c r="Q35" s="33">
        <v>746.12373078483063</v>
      </c>
      <c r="R35" s="33">
        <v>1068.9491028927819</v>
      </c>
      <c r="S35" s="33">
        <v>1354.5394051705698</v>
      </c>
      <c r="T35" s="139" t="s">
        <v>436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:T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404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426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405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406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407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390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391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360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357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361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358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362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359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400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409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410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411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412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8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376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371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401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8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422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20.762023671065542</v>
      </c>
      <c r="F11" s="159">
        <f>(('Regions &gt; Demand'!D13+'Regions &gt; Demand'!D22+'Regions &gt; Demand'!D24)+'Storage &gt; Index'!$C$16*('Storage &gt; Target Balance'!C$6-'Storage &gt; Target Balance'!B$6)/(24*Cycles!C$6))*0.7*2/5</f>
        <v>29.219524740552338</v>
      </c>
      <c r="G11" s="159">
        <f>(('Regions &gt; Demand'!E13+'Regions &gt; Demand'!E22+'Regions &gt; Demand'!E24)+'Storage &gt; Index'!$C$16*('Storage &gt; Target Balance'!D$6-'Storage &gt; Target Balance'!C$6)/(24*Cycles!D$6))*0.7*2/5</f>
        <v>33.011292273460143</v>
      </c>
      <c r="H11" s="159">
        <f>(('Regions &gt; Demand'!F13+'Regions &gt; Demand'!F22+'Regions &gt; Demand'!F24)+'Storage &gt; Index'!$C$16*('Storage &gt; Target Balance'!E$6-'Storage &gt; Target Balance'!D$6)/(24*Cycles!E$6))*0.7*2/5</f>
        <v>38.544528362678093</v>
      </c>
      <c r="I11" s="159">
        <f>(('Regions &gt; Demand'!G13+'Regions &gt; Demand'!G22+'Regions &gt; Demand'!G24)+'Storage &gt; Index'!$C$16*('Storage &gt; Target Balance'!F$6-'Storage &gt; Target Balance'!E$6)/(24*Cycles!F$6))*0.7*2/5</f>
        <v>42.616035498417247</v>
      </c>
      <c r="J11" s="159">
        <f>(('Regions &gt; Demand'!H13+'Regions &gt; Demand'!H22+'Regions &gt; Demand'!H24)+'Storage &gt; Index'!$C$16*('Storage &gt; Target Balance'!G$6-'Storage &gt; Target Balance'!F$6)/(24*Cycles!G$6))*0.7*2/5</f>
        <v>49.782657918510765</v>
      </c>
      <c r="K11" s="159">
        <f>(('Regions &gt; Demand'!I13+'Regions &gt; Demand'!I22+'Regions &gt; Demand'!I24)+'Storage &gt; Index'!$C$16*('Storage &gt; Target Balance'!H$6-'Storage &gt; Target Balance'!G$6)/(24*Cycles!H$6))*0.7*2/5</f>
        <v>49.240426167601235</v>
      </c>
      <c r="L11" s="159">
        <f>(('Regions &gt; Demand'!J13+'Regions &gt; Demand'!J22+'Regions &gt; Demand'!J24)+'Storage &gt; Index'!$C$16*('Storage &gt; Target Balance'!I$6-'Storage &gt; Target Balance'!H$6)/(24*Cycles!I$6))*0.7*2/5</f>
        <v>41.535571544951885</v>
      </c>
      <c r="M11" s="159">
        <f>(('Regions &gt; Demand'!K13+'Regions &gt; Demand'!K22+'Regions &gt; Demand'!K24)+'Storage &gt; Index'!$C$16*('Storage &gt; Target Balance'!J$6-'Storage &gt; Target Balance'!I$6)/(24*Cycles!J$6))*0.7*2/5</f>
        <v>32.2233689245828</v>
      </c>
      <c r="N11" s="159">
        <f>(('Regions &gt; Demand'!L13+'Regions &gt; Demand'!L22+'Regions &gt; Demand'!L24)+'Storage &gt; Index'!$C$16*('Storage &gt; Target Balance'!K$6-'Storage &gt; Target Balance'!J$6)/(24*Cycles!K$6))*0.7*2/5</f>
        <v>22.354991439458995</v>
      </c>
      <c r="O11" s="159">
        <f>(('Regions &gt; Demand'!M13+'Regions &gt; Demand'!M22+'Regions &gt; Demand'!M24)+'Storage &gt; Index'!$C$16*('Storage &gt; Target Balance'!L$6-'Storage &gt; Target Balance'!K$6)/(24*Cycles!L$6))*0.7*2/5</f>
        <v>21.455643185016829</v>
      </c>
      <c r="P11" s="159">
        <f>(('Regions &gt; Demand'!N13+'Regions &gt; Demand'!N22+'Regions &gt; Demand'!N24)+'Storage &gt; Index'!$C$16*('Storage &gt; Target Balance'!M$6-'Storage &gt; Target Balance'!L$6)/(24*Cycles!M$6))*0.7*2/5</f>
        <v>18.778314529142126</v>
      </c>
      <c r="Q11" s="159">
        <f>(('Regions &gt; Demand'!O13+'Regions &gt; Demand'!O22+'Regions &gt; Demand'!O24)+'Storage &gt; Index'!$C$16*('Storage &gt; Target Balance'!N$6-'Storage &gt; Target Balance'!M$6)/(24*Cycles!N$6))*0.7*2/5</f>
        <v>20.715413163714452</v>
      </c>
      <c r="R11" s="159">
        <f>(('Regions &gt; Demand'!P13+'Regions &gt; Demand'!P22+'Regions &gt; Demand'!P24)+'Storage &gt; Index'!$C$16*('Storage &gt; Target Balance'!O$6-'Storage &gt; Target Balance'!N$6)/(24*Cycles!O$6))*0.7*2/5</f>
        <v>29.616302109374157</v>
      </c>
      <c r="S11" s="159">
        <f>(('Regions &gt; Demand'!Q13+'Regions &gt; Demand'!Q22+'Regions &gt; Demand'!Q24)+'Storage &gt; Index'!$C$16*('Storage &gt; Target Balance'!P$6-'Storage &gt; Target Balance'!O$6)/(24*Cycles!P$6))*0.7*2/5</f>
        <v>33.335840520662643</v>
      </c>
      <c r="T11" s="159">
        <f>(('Regions &gt; Demand'!R13+'Regions &gt; Demand'!R22+'Regions &gt; Demand'!R24)+'Storage &gt; Index'!$C$16*('Storage &gt; Target Balance'!Q$6-'Storage &gt; Target Balance'!P$6)/(24*Cycles!Q$6))*0.7*2/5</f>
        <v>38.970128283476114</v>
      </c>
      <c r="U11" s="159">
        <f>(('Regions &gt; Demand'!S13+'Regions &gt; Demand'!S22+'Regions &gt; Demand'!S24)+'Storage &gt; Index'!$C$16*('Storage &gt; Target Balance'!R$6-'Storage &gt; Target Balance'!Q$6)/(24*Cycles!R$6))*0.7*2/5</f>
        <v>43.060234679083031</v>
      </c>
      <c r="V11" s="25" t="s">
        <v>424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401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8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422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37.238888561481183</v>
      </c>
      <c r="F15" s="159">
        <f>0.7*TBL_DEMAND[[#This Row],[Sep-21]]</f>
        <v>44.518002007499426</v>
      </c>
      <c r="G15" s="159">
        <f>0.7*TBL_DEMAND[[#This Row],[Okt-21]]</f>
        <v>48.729225729818729</v>
      </c>
      <c r="H15" s="159">
        <f>0.7*TBL_DEMAND[[#This Row],[Nov-21]]</f>
        <v>54.917463011686884</v>
      </c>
      <c r="I15" s="159">
        <f>0.7*TBL_DEMAND[[#This Row],[Dez-21]]</f>
        <v>69.894630871250683</v>
      </c>
      <c r="J15" s="159">
        <f>0.7*TBL_DEMAND[[#This Row],[Jan-22]]</f>
        <v>91.855940544074997</v>
      </c>
      <c r="K15" s="162">
        <f>0.9*TBL_DEMAND[[#This Row],[Feb-22]]</f>
        <v>118.88293858038665</v>
      </c>
      <c r="L15" s="162">
        <f>0.91*TBL_DEMAND[[#This Row],[Mrz-22]]</f>
        <v>100.63137261119165</v>
      </c>
      <c r="M15" s="159">
        <f>0.7*TBL_DEMAND[[#This Row],[Apr-22]]</f>
        <v>49.599441782850974</v>
      </c>
      <c r="N15" s="159">
        <f>0.7*TBL_DEMAND[[#This Row],[Mai-22]]</f>
        <v>33.228210628888661</v>
      </c>
      <c r="O15" s="159">
        <f>0.7*TBL_DEMAND[[#This Row],[Jun-22]]</f>
        <v>31.204408458818637</v>
      </c>
      <c r="P15" s="159">
        <f>0.7*TBL_DEMAND[[#This Row],[Jul-22]]</f>
        <v>30.790263623948974</v>
      </c>
      <c r="Q15" s="159">
        <f>0.7*TBL_DEMAND[[#This Row],[Aug-22]]</f>
        <v>36.752574520122046</v>
      </c>
      <c r="R15" s="159">
        <f>0.7*TBL_DEMAND[[#This Row],[Sep-22]]</f>
        <v>43.786475495527036</v>
      </c>
      <c r="S15" s="159">
        <f>0.7*TBL_DEMAND[[#This Row],[Okt-22]]</f>
        <v>47.908531395846268</v>
      </c>
      <c r="T15" s="159">
        <f>0.7*TBL_DEMAND[[#This Row],[Nov-22]]</f>
        <v>53.9276223075289</v>
      </c>
      <c r="U15" s="159">
        <f>0.7*TBL_DEMAND[[#This Row],[Dez-22]]</f>
        <v>68.535972584451045</v>
      </c>
      <c r="V15" s="25" t="s">
        <v>423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401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8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377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371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401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8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396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371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401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8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378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439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401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8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397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371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401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8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422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31.143035506598313</v>
      </c>
      <c r="F35" s="159">
        <f>(('Regions &gt; Demand'!D13+'Regions &gt; Demand'!D22+'Regions &gt; Demand'!D24)+'Storage &gt; Index'!$C$16*('Storage &gt; Target Balance'!C$6-'Storage &gt; Target Balance'!B$6)/(24*Cycles!C$6))*0.7*3/5</f>
        <v>43.82928711082851</v>
      </c>
      <c r="G35" s="159">
        <f>(('Regions &gt; Demand'!E13+'Regions &gt; Demand'!E22+'Regions &gt; Demand'!E24)+'Storage &gt; Index'!$C$16*('Storage &gt; Target Balance'!D$6-'Storage &gt; Target Balance'!C$6)/(24*Cycles!D$6))*0.7*3/5</f>
        <v>49.516938410190207</v>
      </c>
      <c r="H35" s="159">
        <f>(('Regions &gt; Demand'!F13+'Regions &gt; Demand'!F22+'Regions &gt; Demand'!F24)+'Storage &gt; Index'!$C$16*('Storage &gt; Target Balance'!E$6-'Storage &gt; Target Balance'!D$6)/(24*Cycles!E$6))*0.7*3/5</f>
        <v>57.816792544017133</v>
      </c>
      <c r="I35" s="159">
        <f>(('Regions &gt; Demand'!G13+'Regions &gt; Demand'!G22+'Regions &gt; Demand'!G24)+'Storage &gt; Index'!$C$16*('Storage &gt; Target Balance'!F$6-'Storage &gt; Target Balance'!E$6)/(24*Cycles!F$6))*0.7*3/5</f>
        <v>63.924053247625864</v>
      </c>
      <c r="J35" s="159">
        <f>(('Regions &gt; Demand'!H13+'Regions &gt; Demand'!H22+'Regions &gt; Demand'!H24)+'Storage &gt; Index'!$C$16*('Storage &gt; Target Balance'!G$6-'Storage &gt; Target Balance'!F$6)/(24*Cycles!G$6))*0.7*3/5</f>
        <v>74.673986877766154</v>
      </c>
      <c r="K35" s="159">
        <f>(('Regions &gt; Demand'!I13+'Regions &gt; Demand'!I22+'Regions &gt; Demand'!I24)+'Storage &gt; Index'!$C$16*('Storage &gt; Target Balance'!H$6-'Storage &gt; Target Balance'!G$6)/(24*Cycles!H$6))*0.7*3/5</f>
        <v>73.860639251401864</v>
      </c>
      <c r="L35" s="159">
        <f>(('Regions &gt; Demand'!J13+'Regions &gt; Demand'!J22+'Regions &gt; Demand'!J24)+'Storage &gt; Index'!$C$16*('Storage &gt; Target Balance'!I$6-'Storage &gt; Target Balance'!H$6)/(24*Cycles!I$6))*0.7*3/5</f>
        <v>62.303357317427832</v>
      </c>
      <c r="M35" s="159">
        <f>(('Regions &gt; Demand'!K13+'Regions &gt; Demand'!K22+'Regions &gt; Demand'!K24)+'Storage &gt; Index'!$C$16*('Storage &gt; Target Balance'!J$6-'Storage &gt; Target Balance'!I$6)/(24*Cycles!J$6))*0.7*3/5</f>
        <v>48.335053386874208</v>
      </c>
      <c r="N35" s="159">
        <f>(('Regions &gt; Demand'!L13+'Regions &gt; Demand'!L22+'Regions &gt; Demand'!L24)+'Storage &gt; Index'!$C$16*('Storage &gt; Target Balance'!K$6-'Storage &gt; Target Balance'!J$6)/(24*Cycles!K$6))*0.7*3/5</f>
        <v>33.532487159188499</v>
      </c>
      <c r="O35" s="159">
        <f>(('Regions &gt; Demand'!M13+'Regions &gt; Demand'!M22+'Regions &gt; Demand'!M24)+'Storage &gt; Index'!$C$16*('Storage &gt; Target Balance'!L$6-'Storage &gt; Target Balance'!K$6)/(24*Cycles!L$6))*0.7*3/5</f>
        <v>32.183464777525238</v>
      </c>
      <c r="P35" s="159">
        <f>(('Regions &gt; Demand'!N13+'Regions &gt; Demand'!N22+'Regions &gt; Demand'!N24)+'Storage &gt; Index'!$C$16*('Storage &gt; Target Balance'!M$6-'Storage &gt; Target Balance'!L$6)/(24*Cycles!M$6))*0.7*3/5</f>
        <v>28.167471793713183</v>
      </c>
      <c r="Q35" s="159">
        <f>(('Regions &gt; Demand'!O13+'Regions &gt; Demand'!O22+'Regions &gt; Demand'!O24)+'Storage &gt; Index'!$C$16*('Storage &gt; Target Balance'!N$6-'Storage &gt; Target Balance'!M$6)/(24*Cycles!N$6))*0.7*3/5</f>
        <v>31.073119745571681</v>
      </c>
      <c r="R35" s="159">
        <f>(('Regions &gt; Demand'!P13+'Regions &gt; Demand'!P22+'Regions &gt; Demand'!P24)+'Storage &gt; Index'!$C$16*('Storage &gt; Target Balance'!O$6-'Storage &gt; Target Balance'!N$6)/(24*Cycles!O$6))*0.7*3/5</f>
        <v>44.424453164061234</v>
      </c>
      <c r="S35" s="159">
        <f>(('Regions &gt; Demand'!Q13+'Regions &gt; Demand'!Q22+'Regions &gt; Demand'!Q24)+'Storage &gt; Index'!$C$16*('Storage &gt; Target Balance'!P$6-'Storage &gt; Target Balance'!O$6)/(24*Cycles!P$6))*0.7*3/5</f>
        <v>50.003760780993971</v>
      </c>
      <c r="T35" s="159">
        <f>(('Regions &gt; Demand'!R13+'Regions &gt; Demand'!R22+'Regions &gt; Demand'!R24)+'Storage &gt; Index'!$C$16*('Storage &gt; Target Balance'!Q$6-'Storage &gt; Target Balance'!P$6)/(24*Cycles!Q$6))*0.7*3/5</f>
        <v>58.455192425214172</v>
      </c>
      <c r="U35" s="159">
        <f>(('Regions &gt; Demand'!S13+'Regions &gt; Demand'!S22+'Regions &gt; Demand'!S24)+'Storage &gt; Index'!$C$16*('Storage &gt; Target Balance'!R$6-'Storage &gt; Target Balance'!Q$6)/(24*Cycles!R$6))*0.7*3/5</f>
        <v>64.590352018624543</v>
      </c>
      <c r="V35" s="25" t="s">
        <v>425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9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80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401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8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379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9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371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9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80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401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8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388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9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371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9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80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401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8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398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9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399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9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80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401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8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380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9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402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9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80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401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8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403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9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403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9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80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401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8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395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9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371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9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80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401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8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382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9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371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9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80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401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8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383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9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371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9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80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401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8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384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9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371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9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80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401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8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378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9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371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9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80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401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1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420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2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421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2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3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401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8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378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9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371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9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80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401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8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385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9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371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9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80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401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8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386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9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371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9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80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401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8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381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9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399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9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80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401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8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387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9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371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9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80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401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8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378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9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439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9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80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401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8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414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9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415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9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80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419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8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414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9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415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9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80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418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8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414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9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415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9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80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417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8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414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9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415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9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80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416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8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9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9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80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8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9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9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80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8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9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9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80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8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9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9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80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8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9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9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80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8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9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9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80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8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9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9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80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8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9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9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80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8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9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9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80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8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9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9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80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8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9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9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80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8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9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9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80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8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9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9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80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8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9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9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80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8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9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9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80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8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9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9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80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8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9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9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80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8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9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9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80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8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9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9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80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8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9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9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80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8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9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9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80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8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9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9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80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8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9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9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80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8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9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9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80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8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9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9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80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8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9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9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80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8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9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9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80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8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9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9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80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8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9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9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80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8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9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9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80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8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9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9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80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8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9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9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80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8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9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9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80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8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9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9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80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8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9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9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80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8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9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9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80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8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9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9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80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8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9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9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80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8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9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9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80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8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9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9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80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8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9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9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80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8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9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9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80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8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9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9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80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8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9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9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80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8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9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9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80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8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9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9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80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8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9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9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80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8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9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9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80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8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9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9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80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8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9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9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80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8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9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9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80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8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9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9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80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8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9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9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80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8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9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9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80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8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9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9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80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8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9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9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80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8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9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9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80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8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9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9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80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8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9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9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80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8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9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9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80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8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9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9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80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8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9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9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80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8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9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9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80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8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9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9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80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8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9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9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80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8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9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9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80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8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9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9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80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8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9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9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80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8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9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9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80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8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9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9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80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8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9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9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80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8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9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9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80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8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9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9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80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8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9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9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80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8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9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9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80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8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9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9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80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8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9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9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80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8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9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9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80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8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408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372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389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8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408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372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389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8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408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372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389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8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408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372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389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8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408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372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389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8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408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372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389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8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408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372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389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8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408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372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389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8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408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372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389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8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408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372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389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8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408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372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389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8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408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372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389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8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408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372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389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8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408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9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372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9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80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389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8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408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9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372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9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80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389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8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408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9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374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9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80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389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8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408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9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374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9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80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389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8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408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9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374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9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80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389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8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408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9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374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9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80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389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8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408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9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374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9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80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389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8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408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9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374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9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80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389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8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408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9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373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9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80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389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8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408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9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373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9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80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389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8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408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9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373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9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80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389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8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408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9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375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9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80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389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8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408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9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375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9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80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389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8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408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9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375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9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80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389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8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408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9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375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9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80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389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8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9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9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80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8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9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9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80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8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9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9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80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8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9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9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80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8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9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9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80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8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9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9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80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8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9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9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80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8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9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9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80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8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9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9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80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8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9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9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80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8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9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9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80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8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9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9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80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8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9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9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80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8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9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9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80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8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9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9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80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8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9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9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80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8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9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9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80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8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9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9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80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8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9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9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80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8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9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9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80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8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9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9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80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8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9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9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80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8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9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9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80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8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9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9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80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8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9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9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80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8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9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9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80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8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9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9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80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8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9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9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80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8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9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9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80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8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9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9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80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8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9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9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80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8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9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9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80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8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9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9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80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8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9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9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80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8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9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9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80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8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9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9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80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8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9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9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80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8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9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9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80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8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9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9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80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8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9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9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80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8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9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9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80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8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9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9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80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8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9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9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80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8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9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9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80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8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9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9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80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8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9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9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80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8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9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9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80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8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9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9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80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8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9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9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80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8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9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9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80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8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9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9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80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8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9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9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80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8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9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9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80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8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9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9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80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8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9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9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80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8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9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9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80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8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9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9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80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8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9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9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80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8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9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9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80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8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9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9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80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8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9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9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80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8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9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9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80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8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9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9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80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8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9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9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80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8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9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9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80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8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9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9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80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8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9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9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80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8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9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9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80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8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9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9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80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8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9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9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80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8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9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9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80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8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9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9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80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8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9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9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80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8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9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9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80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8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9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9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80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8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9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9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80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8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9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9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80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8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9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9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80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8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9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9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80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392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393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394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369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366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367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8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9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371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9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80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368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8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371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9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80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368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8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371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368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8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371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368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8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371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368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8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371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368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8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371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368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8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371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368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8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399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368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8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371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368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8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371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368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8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371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368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8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371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368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8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9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371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9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80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368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8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9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371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9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80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368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8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9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371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9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80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368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8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9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371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9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80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368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8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9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371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9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80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368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8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9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371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9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80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368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8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9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371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9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80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368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8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9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371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9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80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368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8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9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371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9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80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368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8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9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371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9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80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368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8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9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371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9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80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368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8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9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371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9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80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368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8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9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371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9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80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368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8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9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371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9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80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368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8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9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371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9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80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368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8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9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371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9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80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368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8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9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371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9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80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368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8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9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371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9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80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368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8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9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371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9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80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368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8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9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371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9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80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368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8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9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371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9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80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368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8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9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371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9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80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368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8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9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371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9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80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368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8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9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371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9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80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368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8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9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371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9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80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368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8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9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371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9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80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368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8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9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371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9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80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368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8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9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371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9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80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368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8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9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371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9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80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368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8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9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371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9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80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368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8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9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371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9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80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368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8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9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371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9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80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368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8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9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371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9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80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368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8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9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371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9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80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368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1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413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2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371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2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3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368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1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413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2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371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2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3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368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1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413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2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371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2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3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368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1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413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2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371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2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3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368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8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9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399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9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80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368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1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413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2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371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2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3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368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8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9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371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9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80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368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8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9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371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9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80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368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8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9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9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80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8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9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9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80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8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9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9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80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8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9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9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80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8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9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9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80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8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9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9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80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8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9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9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80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8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9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9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80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8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9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9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80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8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9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9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80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8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9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9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80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8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9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9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80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8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9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9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80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8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9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9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80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8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9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9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80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8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9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9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80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8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9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9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80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8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9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9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80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8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9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9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80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8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9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9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80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8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9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9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80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8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9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9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80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8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9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9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80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8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9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9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80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8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9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9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80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8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9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9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80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8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9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9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80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8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9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9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80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8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9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9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80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8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9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9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80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8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9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9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80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8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9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9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80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8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9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9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80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8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9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9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80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8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9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9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80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8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9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9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80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8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9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9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80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8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9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9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80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8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9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9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80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8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9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9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80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8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9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9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80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8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9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9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80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8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9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9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80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8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9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9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80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8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9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9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80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8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9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9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80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8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9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9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80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8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9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9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80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8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9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9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80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8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9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9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80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8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9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9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80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8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9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9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80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8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9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9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80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8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9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9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80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8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9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9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80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352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353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352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354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353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355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352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363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353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364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P24" sqref="P24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365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437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437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437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437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437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437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437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437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437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437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437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437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437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437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437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437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437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437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128243.34024395599</v>
      </c>
      <c r="H24" s="163">
        <v>115589.90479870536</v>
      </c>
      <c r="I24" s="163">
        <v>96639.14500597844</v>
      </c>
      <c r="J24" s="163">
        <v>80533.27553557088</v>
      </c>
      <c r="K24" s="163">
        <v>73135.400000000009</v>
      </c>
      <c r="L24" s="163">
        <v>84513.157392157824</v>
      </c>
      <c r="M24" s="163">
        <v>100236.13451217783</v>
      </c>
      <c r="N24" s="163">
        <v>119264.07925563415</v>
      </c>
      <c r="O24" s="163">
        <v>137603.94057585046</v>
      </c>
      <c r="P24" s="165">
        <v>156522</v>
      </c>
      <c r="Q24" s="163">
        <v>168367.22937236092</v>
      </c>
      <c r="R24" s="163">
        <v>169819.2479347887</v>
      </c>
      <c r="S24" s="163">
        <v>155249.57256812043</v>
      </c>
      <c r="T24" s="163">
        <v>136395.18648271714</v>
      </c>
      <c r="U24" s="120" t="s">
        <v>427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437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A6" sqref="A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0.69408029878861777</v>
      </c>
      <c r="F6" s="98">
        <v>0.59441032356432544</v>
      </c>
      <c r="G6" s="98">
        <v>0.44513688970557319</v>
      </c>
      <c r="H6" s="98">
        <v>0.31827240155712067</v>
      </c>
      <c r="I6" s="98">
        <v>0.26</v>
      </c>
      <c r="J6" s="164">
        <v>0.33353040067245732</v>
      </c>
      <c r="K6" s="98">
        <v>0.43514241150649113</v>
      </c>
      <c r="L6" s="98">
        <v>0.55811325301204817</v>
      </c>
      <c r="M6" s="98">
        <v>0.67663725600074731</v>
      </c>
      <c r="N6" s="98">
        <v>0.79953806855328291</v>
      </c>
      <c r="O6" s="98">
        <v>0.87544945362846716</v>
      </c>
      <c r="P6" s="98">
        <v>0.88483333333333336</v>
      </c>
      <c r="Q6" s="98">
        <v>0.79067470167564335</v>
      </c>
      <c r="R6" s="98">
        <v>0.66882550806843277</v>
      </c>
      <c r="S6" s="17" t="s">
        <v>437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8E7303-4DF8-4401-84C5-409645B7A5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2021-12-02T19:04:20Z</dcterms:modified>
</cp:coreProperties>
</file>