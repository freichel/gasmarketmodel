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966EA86F-E153-4AD9-8581-BFCA41642E2A}" xr6:coauthVersionLast="47" xr6:coauthVersionMax="47" xr10:uidLastSave="{00000000-0000-0000-0000-000000000000}"/>
  <bookViews>
    <workbookView xWindow="-120" yWindow="-120" windowWidth="29040" windowHeight="15990" firstSheet="12" activeTab="15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33" i="2" l="1"/>
  <c r="D32" i="9"/>
  <c r="H32" i="9" s="1"/>
  <c r="B30" i="9"/>
  <c r="H30" i="9" s="1"/>
  <c r="B31" i="9"/>
  <c r="B32" i="9"/>
  <c r="K32" i="9" s="1"/>
  <c r="B33" i="9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34" i="12" l="1"/>
  <c r="H34" i="9"/>
  <c r="K34" i="9"/>
  <c r="I24" i="12"/>
  <c r="H33" i="9"/>
  <c r="K33" i="9"/>
  <c r="K31" i="9"/>
  <c r="H31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E7" i="25"/>
  <c r="E6" i="25"/>
  <c r="B6" i="25"/>
  <c r="B7" i="25"/>
  <c r="D6" i="25"/>
  <c r="C7" i="25"/>
  <c r="C6" i="25"/>
  <c r="D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L20" i="12" s="1"/>
  <c r="J22" i="12"/>
  <c r="L22" i="12" s="1"/>
  <c r="J34" i="12"/>
  <c r="L34" i="12" s="1"/>
  <c r="J51" i="12"/>
  <c r="L51" i="12" s="1"/>
  <c r="J45" i="12"/>
  <c r="L45" i="12" s="1"/>
  <c r="J21" i="12"/>
  <c r="J24" i="12"/>
  <c r="L24" i="12" s="1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L7" i="18" s="1"/>
  <c r="W10" i="19" s="1"/>
  <c r="X10" i="19" s="1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L33" i="18" s="1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J29" i="18"/>
  <c r="L29" i="18" s="1"/>
  <c r="J18" i="18"/>
  <c r="L18" i="18" s="1"/>
  <c r="J19" i="18"/>
  <c r="L19" i="18" s="1"/>
  <c r="J17" i="18"/>
  <c r="L17" i="18" s="1"/>
  <c r="L60" i="12"/>
  <c r="L8" i="12"/>
  <c r="W14" i="15" s="1"/>
  <c r="X14" i="15" s="1"/>
  <c r="L32" i="12"/>
  <c r="L36" i="12"/>
  <c r="L56" i="12"/>
  <c r="L9" i="12"/>
  <c r="L13" i="12"/>
  <c r="L21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1" i="18"/>
  <c r="L27" i="18"/>
  <c r="L30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N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P7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<sst xmlns="http://schemas.openxmlformats.org/spreadsheetml/2006/main" count="1395" uniqueCount="443">
  <si>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</si>
  <si>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</si>
  <si>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</si>
  <si>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</si>
  <si>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</si>
  <si>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</si>
  <si>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</si>
  <si>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</si>
  <si>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</si>
  <si>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</si>
  <si>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</si>
  <si>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</si>
  <si>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</si>
  <si>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</si>
  <si>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</si>
  <si>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</si>
  <si>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</si>
  <si>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</si>
  <si>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</si>
  <si>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</si>
  <si>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</si>
  <si>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</si>
  <si>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</si>
  <si>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</si>
  <si>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</si>
  <si>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</si>
  <si>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</si>
  <si>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</si>
  <si>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</si>
  <si>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</si>
  <si>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</si>
  <si>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</si>
  <si>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</si>
  <si>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</si>
  <si>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</si>
  <si>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</si>
  <si>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</si>
  <si>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</si>
  <si>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</si>
  <si>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</si>
  <si>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</si>
  <si>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</si>
  <si>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</si>
  <si>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</si>
  <si>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</si>
  <si>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</si>
  <si>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</si>
  <si>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</si>
  <si>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</si>
  <si>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</si>
  <si>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</si>
  <si>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</si>
  <si>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</si>
  <si>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</si>
  <si>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</si>
  <si>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</si>
  <si>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</si>
  <si>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</si>
  <si>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</si>
  <si>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</si>
  <si>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</si>
  <si>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</si>
  <si>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</si>
  <si>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</si>
  <si>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</si>
  <si>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</si>
  <si>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</si>
  <si>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</si>
  <si>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</si>
  <si>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</si>
  <si>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</si>
  <si>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</si>
  <si>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</si>
  <si>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</si>
  <si>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</si>
  <si>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</si>
  <si>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</si>
  <si>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</si>
  <si>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</si>
  <si>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</si>
  <si>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</si>
  <si>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</si>
  <si>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</si>
  <si>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</si>
  <si>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</si>
  <si>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</si>
  <si>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</si>
  <si>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</si>
  <si>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</si>
  <si>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</si>
  <si>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</si>
  <si>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</si>
  <si>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</si>
  <si>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</si>
  <si>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</si>
  <si>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</si>
  <si>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</si>
  <si>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</si>
  <si>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</si>
  <si>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</si>
  <si>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</si>
  <si>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</si>
  <si>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</si>
  <si>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</si>
  <si>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</si>
  <si>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</si>
  <si>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</si>
  <si>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</si>
  <si>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</si>
  <si>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</si>
  <si>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</si>
  <si>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</si>
  <si>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</si>
  <si>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</si>
  <si>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</si>
  <si>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</si>
  <si>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</si>
  <si>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</si>
  <si>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</si>
  <si>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</si>
  <si>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</si>
  <si>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</si>
  <si>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</si>
  <si>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</si>
  <si>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</si>
  <si>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</si>
  <si>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</si>
  <si>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</si>
  <si>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</si>
  <si>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</si>
  <si>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</si>
  <si>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</si>
  <si>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</si>
  <si>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</si>
  <si>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</si>
  <si>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</si>
  <si>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</si>
  <si>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</si>
  <si>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</si>
  <si>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</si>
  <si>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</si>
  <si>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</si>
  <si>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</si>
  <si>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</si>
  <si>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</si>
  <si>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</si>
  <si>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</si>
  <si>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</si>
  <si>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</si>
  <si>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</si>
  <si>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</si>
  <si>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</si>
  <si>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</si>
  <si>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</si>
  <si>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</si>
  <si>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</si>
  <si>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</si>
  <si>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</si>
  <si>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</si>
  <si>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</si>
  <si>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</si>
  <si>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</si>
  <si>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</si>
  <si>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</si>
  <si>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</si>
  <si>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</si>
  <si>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</si>
  <si>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</si>
  <si>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</si>
  <si>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</si>
  <si>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</si>
  <si>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</si>
  <si>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</si>
  <si>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</si>
  <si>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</si>
  <si>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</si>
  <si>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</si>
  <si>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</si>
  <si>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</si>
  <si>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</si>
  <si>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</si>
  <si>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</si>
  <si>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</si>
  <si>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</si>
  <si>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</si>
  <si>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</si>
  <si>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</si>
  <si>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</si>
  <si>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</si>
  <si>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</si>
  <si>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</si>
  <si>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</si>
  <si>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</si>
  <si>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</si>
  <si>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</si>
  <si>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</si>
  <si>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</si>
  <si>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</si>
  <si>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</si>
  <si>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</si>
  <si>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</si>
  <si>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</si>
  <si>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</si>
  <si>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</si>
  <si>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</si>
  <si>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</si>
  <si>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</si>
  <si>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</si>
  <si>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</si>
  <si>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</si>
  <si>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</si>
  <si>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</si>
  <si>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</si>
  <si>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</si>
  <si>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</si>
  <si>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</si>
  <si>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</si>
  <si>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</si>
  <si>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</si>
  <si>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</si>
  <si>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</si>
  <si>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</si>
  <si>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</si>
  <si>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</si>
  <si>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</si>
  <si>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</si>
  <si>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</si>
  <si>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</si>
  <si>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</si>
  <si>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</si>
  <si>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</si>
  <si>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</si>
  <si>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</si>
  <si>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</si>
  <si>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</si>
  <si>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</si>
  <si>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</si>
  <si>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</si>
  <si>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</si>
  <si>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</si>
  <si>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</si>
  <si>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</si>
  <si>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</si>
  <si>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</si>
  <si>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</si>
  <si>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</si>
  <si>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</si>
  <si>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</si>
  <si>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</si>
  <si>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</si>
  <si>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</si>
  <si>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</si>
  <si>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</si>
  <si>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</si>
  <si>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</si>
  <si>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</si>
  <si>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</si>
  <si>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</si>
  <si>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</si>
  <si>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</si>
  <si>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</si>
  <si>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</si>
  <si>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</si>
  <si>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</si>
  <si>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</si>
  <si>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</si>
  <si>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</si>
  <si>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</si>
  <si>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</si>
  <si>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</si>
  <si>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</si>
  <si>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</si>
  <si>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</si>
  <si>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</si>
  <si>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</si>
  <si>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</si>
  <si>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</si>
  <si>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</si>
  <si>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</si>
  <si>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</si>
  <si>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</si>
  <si>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</si>
  <si>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</si>
  <si>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</si>
  <si>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</si>
  <si>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</si>
  <si>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</si>
  <si>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</si>
  <si>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</si>
  <si>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</si>
  <si>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</si>
  <si>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</si>
  <si>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</si>
  <si>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</si>
  <si>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</si>
  <si>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</si>
  <si>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</si>
  <si>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</si>
  <si>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</si>
  <si>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</si>
  <si>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</si>
  <si>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</si>
  <si>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</si>
  <si>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</si>
  <si>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</si>
  <si>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</si>
  <si>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</si>
  <si>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</si>
  <si>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</si>
  <si>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</si>
  <si>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</si>
  <si>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</si>
  <si>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</si>
  <si>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</si>
  <si>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</si>
  <si>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</si>
  <si>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</si>
  <si>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</si>
  <si>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</si>
  <si>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</si>
  <si>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</si>
  <si>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</si>
  <si>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</si>
  <si>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</si>
  <si>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</si>
  <si>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</si>
  <si>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</si>
  <si>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</si>
  <si>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</si>
  <si>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</si>
  <si>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</si>
  <si>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</si>
  <si>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</si>
  <si>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</si>
  <si>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</si>
  <si>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</si>
  <si>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</si>
  <si>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</si>
  <si>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</si>
  <si>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</si>
  <si>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</si>
  <si>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</si>
  <si>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</si>
  <si>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</si>
  <si>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</si>
  <si>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</si>
  <si>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</si>
  <si>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</si>
  <si>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</si>
  <si>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</si>
  <si>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</si>
  <si>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</si>
  <si>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</si>
  <si>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</si>
  <si>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</si>
  <si>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</si>
  <si>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</si>
  <si>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</si>
  <si>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</si>
  <si>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</si>
  <si>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</si>
  <si>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</si>
  <si>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</si>
  <si>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</si>
  <si>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</si>
  <si>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</si>
  <si>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</si>
  <si>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</si>
  <si>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</si>
  <si>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</si>
  <si>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</si>
  <si>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</si>
  <si>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</si>
  <si>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</si>
  <si>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</si>
  <si>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</si>
  <si>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</si>
  <si>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</si>
  <si>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</si>
  <si>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</si>
  <si>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</si>
  <si>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</si>
  <si>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</si>
  <si>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</si>
  <si>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</si>
  <si>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</si>
  <si>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</si>
  <si>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</si>
  <si>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</si>
  <si>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</si>
  <si>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</si>
  <si>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</si>
  <si>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</si>
  <si>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</si>
  <si>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</si>
  <si>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</si>
  <si>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</si>
  <si>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</si>
  <si>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</si>
  <si>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</si>
  <si>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</si>
  <si>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</si>
  <si>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</si>
  <si>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</si>
  <si>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</si>
  <si>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</si>
  <si>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</si>
  <si>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</si>
  <si>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</si>
  <si>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</si>
  <si>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</si>
  <si>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</si>
  <si>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</si>
  <si>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</si>
  <si>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</si>
  <si>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nicht mehr als 40% des Gesamt-Demand und nicht weniger als Pipeline-Kapazitäten ohne Nord Stream 2; Zahl entspricht 195 bcm)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</si>
  <si>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</si>
  <si>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</si>
  <si>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</si>
  <si>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</si>
  <si>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</si>
  <si>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</si>
  <si>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</si>
  <si>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</si>
  <si>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</si>
  <si>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</si>
  <si>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</si>
  <si>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</si>
  <si>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</si>
  <si>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</si>
  <si>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</si>
  <si>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</si>
  <si>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</si>
  <si>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</si>
  <si>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</si>
  <si>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</si>
  <si>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</si>
  <si>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</si>
  <si>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Annahme: null</t>
  </si>
  <si>
    <t>"Nettobedarfs-konsistentes" Speicherprofil zur Glättung der Preiskurve im Winter;
ohne Nord Stream 2</t>
  </si>
  <si>
    <t>2021_Storage_DB_final_tc_v5_Speicher_synthetisch.xlsx; Tab: w_1</t>
  </si>
  <si>
    <t>No NS2-Speicher</t>
  </si>
  <si>
    <t>2021_Storage_DB_final_tc_v3.xlsx; Tab: w_1
2021_Storage_DB_final_tc_v5.xlsx; Tab: w_1 (Annahme: tatsächlicher Anfangsfüllstand Ukraine, gleicher Endfüllstand wie Markt, Verlauf gleichförmig, aber gestaucht im Vergleich zum Markt)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</si>
</sst>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left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1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441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439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424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4" workbookViewId="0">
      <selection activeCell="A35" sqref="A6:A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379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379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379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379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379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379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379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379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379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379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379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379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379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379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379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379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379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379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379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379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5" sqref="C5:S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414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415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416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417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418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7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399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400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409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2">
        <f>INDEX(TBL_REGIONS_INDEX[Index],MATCH(TBL_PIPED_IMPORTERS_CONNECTIONS[[#This Row],[Importer]],TBL_PIPED_IMPORTERS[Importer],0))</f>
        <v>2</v>
      </c>
      <c r="C31" s="131" t="s">
        <v>177</v>
      </c>
      <c r="D31" s="162">
        <f>INDEX(TBL_REGIONS_INDEX[Index],MATCH(TBL_PIPED_IMPORTERS_CONNECTIONS[[#This Row],[Region]],TBL_REGIONS_INDEX[Region],0))</f>
        <v>17</v>
      </c>
      <c r="E31" s="130" t="s">
        <v>420</v>
      </c>
      <c r="F31" s="163">
        <v>50.86</v>
      </c>
      <c r="G31" s="163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2">
        <f>INDEX(TBL_REGIONS_INDEX[Index],MATCH(TBL_PIPED_IMPORTERS_CONNECTIONS[[#This Row],[Importer]],TBL_PIPED_IMPORTERS[Importer],0))</f>
        <v>2</v>
      </c>
      <c r="C32" s="131" t="s">
        <v>187</v>
      </c>
      <c r="D32" s="162">
        <f>INDEX(TBL_REGIONS_INDEX[Index],MATCH(TBL_PIPED_IMPORTERS_CONNECTIONS[[#This Row],[Region]],TBL_REGIONS_INDEX[Region],0))</f>
        <v>28</v>
      </c>
      <c r="E32" s="130" t="s">
        <v>421</v>
      </c>
      <c r="F32" s="163">
        <v>47.92</v>
      </c>
      <c r="G32" s="163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2">
        <f>INDEX(TBL_REGIONS_INDEX[Index],MATCH(TBL_PIPED_IMPORTERS_CONNECTIONS[[#This Row],[Importer]],TBL_PIPED_IMPORTERS[Importer],0))</f>
        <v>2</v>
      </c>
      <c r="C33" s="131" t="s">
        <v>179</v>
      </c>
      <c r="D33" s="162">
        <f>INDEX(TBL_REGIONS_INDEX[Index],MATCH(TBL_PIPED_IMPORTERS_CONNECTIONS[[#This Row],[Region]],TBL_REGIONS_INDEX[Region],0))</f>
        <v>19</v>
      </c>
      <c r="E33" s="130" t="s">
        <v>422</v>
      </c>
      <c r="F33" s="163">
        <v>48.98</v>
      </c>
      <c r="G33" s="163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2">
        <f>INDEX(TBL_REGIONS_INDEX[Index],MATCH(TBL_PIPED_IMPORTERS_CONNECTIONS[[#This Row],[Importer]],TBL_PIPED_IMPORTERS[Importer],0))</f>
        <v>2</v>
      </c>
      <c r="C34" s="131" t="s">
        <v>184</v>
      </c>
      <c r="D34" s="162">
        <f>INDEX(TBL_REGIONS_INDEX[Index],MATCH(TBL_PIPED_IMPORTERS_CONNECTIONS[[#This Row],[Region]],TBL_REGIONS_INDEX[Region],0))</f>
        <v>25</v>
      </c>
      <c r="E34" s="130" t="s">
        <v>423</v>
      </c>
      <c r="F34" s="163">
        <v>48.34</v>
      </c>
      <c r="G34" s="163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K15" sqref="K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385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380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434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31.659647142434881</v>
      </c>
      <c r="N11" s="159">
        <f>(('Regions &gt; Demand'!L13+'Regions &gt; Demand'!L22+'Regions &gt; Demand'!L24)+'Storage &gt; Index'!$C$16*('Storage &gt; Target Balance'!K$6-'Storage &gt; Target Balance'!J$6)/(24*Cycles!K$6))*0.7*2/5</f>
        <v>22.074384691029014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436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434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4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435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386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380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405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380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387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438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406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380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434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47.489470713652324</v>
      </c>
      <c r="N35" s="159">
        <f>(('Regions &gt; Demand'!L13+'Regions &gt; Demand'!L22+'Regions &gt; Demand'!L24)+'Storage &gt; Index'!$C$16*('Storage &gt; Target Balance'!K$6-'Storage &gt; Target Balance'!J$6)/(24*Cycles!K$6))*0.7*3/5</f>
        <v>33.111577036543522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437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388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380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397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380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407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408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389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404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380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391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380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392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380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393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380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387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380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433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387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380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394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380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395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380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390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408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396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380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387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438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426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427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431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426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427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430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426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427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429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426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427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428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419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381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398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419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381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398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419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381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398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419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381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398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419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381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398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419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381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398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419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381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398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419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381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398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419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381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398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419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381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398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419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381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398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419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381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398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419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381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398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419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381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398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419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381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398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419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383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398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419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383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398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419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383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398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419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383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398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419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383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398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419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383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398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419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382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398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419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382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398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419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382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398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419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384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398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419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384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398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419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384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398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419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384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398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abSelected="1" topLeftCell="A38" workbookViewId="0">
      <selection activeCell="G57" sqref="G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401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402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403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378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375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376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380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377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380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377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380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377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380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377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380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377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380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377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380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377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380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377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408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377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380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377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380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377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380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377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380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377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380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377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380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377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380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377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380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377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380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377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380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377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380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377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380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377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380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377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380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377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380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377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380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377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380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377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380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377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380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377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380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377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380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377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380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377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380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377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380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377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380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377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380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377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380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377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380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377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380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377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380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377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380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377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380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377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380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377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380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377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380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377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380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377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380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377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380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377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425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380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377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425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380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377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425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380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377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425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380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377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408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377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425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380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377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380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377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380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377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C24" sqref="C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374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410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410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410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410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410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410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410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410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410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410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410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410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410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410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410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410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410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410</v>
      </c>
      <c r="V23" s="135" t="str">
        <f>"Storage_"&amp;TEXT(INDEX(TBL_REGIONS_INDEX[Index],MATCH(TBL_STORAGE[[#This Row],[Storage]],TBL_REGIONS_INDEX[Region],0)),"000")</f>
        <v>Storage_014</v>
      </c>
    </row>
    <row r="24" spans="1:22" ht="60" x14ac:dyDescent="0.25">
      <c r="A24" s="133" t="s">
        <v>195</v>
      </c>
      <c r="B24" s="149">
        <v>317980</v>
      </c>
      <c r="C24" s="160">
        <v>127192</v>
      </c>
      <c r="D24" s="160">
        <v>137775.44182989054</v>
      </c>
      <c r="E24" s="160">
        <v>145017.94020175718</v>
      </c>
      <c r="F24" s="160">
        <v>138021.24793478873</v>
      </c>
      <c r="G24" s="160">
        <v>129084.33680598236</v>
      </c>
      <c r="H24" s="160">
        <v>113792.60765139555</v>
      </c>
      <c r="I24" s="160">
        <v>95446.125452953725</v>
      </c>
      <c r="J24" s="160">
        <v>79535.148505522389</v>
      </c>
      <c r="K24" s="160">
        <v>73135.400000000009</v>
      </c>
      <c r="L24" s="160">
        <v>83630.457610342404</v>
      </c>
      <c r="M24" s="160">
        <v>101189.907359622</v>
      </c>
      <c r="N24" s="160">
        <v>119957.03685428722</v>
      </c>
      <c r="O24" s="160">
        <v>138045.51445663397</v>
      </c>
      <c r="P24" s="160">
        <v>156801.95651992413</v>
      </c>
      <c r="Q24" s="160">
        <v>168387.13213052606</v>
      </c>
      <c r="R24" s="160">
        <v>169819.2479347887</v>
      </c>
      <c r="S24" s="160">
        <v>156502.70844142148</v>
      </c>
      <c r="T24" s="160">
        <v>136180.55768168005</v>
      </c>
      <c r="U24" s="161" t="s">
        <v>442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410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A7" sqref="A7:XFD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440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2021-11-23T19:06:00Z</dcterms:modified>
</cp:coreProperties>
</file>