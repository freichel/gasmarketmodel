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CAD4958C-FD5A-4FF4-8F04-E89B7CD64AFE}" xr6:coauthVersionLast="47" xr6:coauthVersionMax="47" xr10:uidLastSave="{00000000-0000-0000-0000-000000000000}"/>
  <bookViews>
    <workbookView xWindow="-120" yWindow="-120" windowWidth="29040" windowHeight="15990" firstSheet="12" activeTab="16" xr2:uid="{00000000-000D-0000-FFFF-FFFF00000000}"/>
    <workbookView xWindow="28680" yWindow="-120" windowWidth="29040" windowHeight="15990" firstSheet="12" activeTab="15" xr2:uid="{4E4250D7-AE25-4F1C-886C-E02EB5A34F92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B31" i="9"/>
  <c r="B32" i="9"/>
  <c r="B33" i="9"/>
  <c r="B34" i="9"/>
  <c r="D31" i="9"/>
  <c r="D32" i="9"/>
  <c r="H32" i="9" s="1"/>
  <c r="D33" i="9"/>
  <c r="D34" i="9"/>
  <c r="H31" i="9"/>
  <c r="H33" i="9"/>
  <c r="H34" i="9"/>
  <c r="I31" i="9"/>
  <c r="I32" i="9"/>
  <c r="I33" i="9"/>
  <c r="I34" i="9"/>
  <c r="K31" i="9"/>
  <c r="K32" i="9"/>
  <c r="K33" i="9"/>
  <c r="K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30" i="9" s="1"/>
  <c r="B8" i="2"/>
  <c r="B9" i="2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D30" i="9" s="1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E33" i="2" s="1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K30" i="9" l="1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1" i="12" l="1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6" i="25"/>
  <c r="B7" i="25"/>
  <c r="D6" i="25"/>
  <c r="C7" i="25"/>
  <c r="C6" i="25"/>
  <c r="D7" i="25"/>
  <c r="E7" i="25"/>
  <c r="E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L40" i="12" s="1"/>
  <c r="J39" i="12"/>
  <c r="J56" i="12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56" i="12"/>
  <c r="L9" i="12"/>
  <c r="L13" i="12"/>
  <c r="L21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30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6" i="25"/>
  <c r="N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O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P7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7" i="25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7" i="25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<sst xmlns="http://schemas.openxmlformats.org/spreadsheetml/2006/main" count="1378" uniqueCount="431">
  <si>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</si>
  <si>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</si>
  <si>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</si>
  <si>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</si>
  <si>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</si>
  <si>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</si>
  <si>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</si>
  <si>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</si>
  <si>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</si>
  <si>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</si>
  <si>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</si>
  <si>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</si>
  <si>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</si>
  <si>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</si>
  <si>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</si>
  <si>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</si>
  <si>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</si>
  <si>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</si>
  <si>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</si>
  <si>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</si>
  <si>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</si>
  <si>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</si>
  <si>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</si>
  <si>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</si>
  <si>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</si>
  <si>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</si>
  <si>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</si>
  <si>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</si>
  <si>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</si>
  <si>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</si>
  <si>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</si>
  <si>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</si>
  <si>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</si>
  <si>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</si>
  <si>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</si>
  <si>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</si>
  <si>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</si>
  <si>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</si>
  <si>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</si>
  <si>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</si>
  <si>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</si>
  <si>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</si>
  <si>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</si>
  <si>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</si>
  <si>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</si>
  <si>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</si>
  <si>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</si>
  <si>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</si>
  <si>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</si>
  <si>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</si>
  <si>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</si>
  <si>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</si>
  <si>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</si>
  <si>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</si>
  <si>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</si>
  <si>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</si>
  <si>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</si>
  <si>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</si>
  <si>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</si>
  <si>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</si>
  <si>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</si>
  <si>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</si>
  <si>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</si>
  <si>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</si>
  <si>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</si>
  <si>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</si>
  <si>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</si>
  <si>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</si>
  <si>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</si>
  <si>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</si>
  <si>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</si>
  <si>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</si>
  <si>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</si>
  <si>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</si>
  <si>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</si>
  <si>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</si>
  <si>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</si>
  <si>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</si>
  <si>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</si>
  <si>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</si>
  <si>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</si>
  <si>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</si>
  <si>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</si>
  <si>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</si>
  <si>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</si>
  <si>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</si>
  <si>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</si>
  <si>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</si>
  <si>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</si>
  <si>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</si>
  <si>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</si>
  <si>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</si>
  <si>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</si>
  <si>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</si>
  <si>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</si>
  <si>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</si>
  <si>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</si>
  <si>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</si>
  <si>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</si>
  <si>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</si>
  <si>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</si>
  <si>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</si>
  <si>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</si>
  <si>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</si>
  <si>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</si>
  <si>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</si>
  <si>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</si>
  <si>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</si>
  <si>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</si>
  <si>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</si>
  <si>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</si>
  <si>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</si>
  <si>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</si>
  <si>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</si>
  <si>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</si>
  <si>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</si>
  <si>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</si>
  <si>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</si>
  <si>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</si>
  <si>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</si>
  <si>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</si>
  <si>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</si>
  <si>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</si>
  <si>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</si>
  <si>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</si>
  <si>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</si>
  <si>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</si>
  <si>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</si>
  <si>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</si>
  <si>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</si>
  <si>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</si>
  <si>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</si>
  <si>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</si>
  <si>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</si>
  <si>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</si>
  <si>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</si>
  <si>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</si>
  <si>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</si>
  <si>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</si>
  <si>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</si>
  <si>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</si>
  <si>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</si>
  <si>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</si>
  <si>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</si>
  <si>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</si>
  <si>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</si>
  <si>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</si>
  <si>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</si>
  <si>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</si>
  <si>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</si>
  <si>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</si>
  <si>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</si>
  <si>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</si>
  <si>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</si>
  <si>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</si>
  <si>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</si>
  <si>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</si>
  <si>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</si>
  <si>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</si>
  <si>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</si>
  <si>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</si>
  <si>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</si>
  <si>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</si>
  <si>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</si>
  <si>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</si>
  <si>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</si>
  <si>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</si>
  <si>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</si>
  <si>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</si>
  <si>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</si>
  <si>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</si>
  <si>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</si>
  <si>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</si>
  <si>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</si>
  <si>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</si>
  <si>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</si>
  <si>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</si>
  <si>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</si>
  <si>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</si>
  <si>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</si>
  <si>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</si>
  <si>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</si>
  <si>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</si>
  <si>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</si>
  <si>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</si>
  <si>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</si>
  <si>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</si>
  <si>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</si>
  <si>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</si>
  <si>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</si>
  <si>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</si>
  <si>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</si>
  <si>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</si>
  <si>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</si>
  <si>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</si>
  <si>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</si>
  <si>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</si>
  <si>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</si>
  <si>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</si>
  <si>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</si>
  <si>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</si>
  <si>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</si>
  <si>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</si>
  <si>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</si>
  <si>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</si>
  <si>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</si>
  <si>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</si>
  <si>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</si>
  <si>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</si>
  <si>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</si>
  <si>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</si>
  <si>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</si>
  <si>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</si>
  <si>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</si>
  <si>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</si>
  <si>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</si>
  <si>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</si>
  <si>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</si>
  <si>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</si>
  <si>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</si>
  <si>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</si>
  <si>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</si>
  <si>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</si>
  <si>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</si>
  <si>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</si>
  <si>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</si>
  <si>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</si>
  <si>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</si>
  <si>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</si>
  <si>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</si>
  <si>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</si>
  <si>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</si>
  <si>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</si>
  <si>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</si>
  <si>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</si>
  <si>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</si>
  <si>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</si>
  <si>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</si>
  <si>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</si>
  <si>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</si>
  <si>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</si>
  <si>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</si>
  <si>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</si>
  <si>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</si>
  <si>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</si>
  <si>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</si>
  <si>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</si>
  <si>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</si>
  <si>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</si>
  <si>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</si>
  <si>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</si>
  <si>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</si>
  <si>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</si>
  <si>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</si>
  <si>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</si>
  <si>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</si>
  <si>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</si>
  <si>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</si>
  <si>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</si>
  <si>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</si>
  <si>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</si>
  <si>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</si>
  <si>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</si>
  <si>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</si>
  <si>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</si>
  <si>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</si>
  <si>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</si>
  <si>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</si>
  <si>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</si>
  <si>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</si>
  <si>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</si>
  <si>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</si>
  <si>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</si>
  <si>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</si>
  <si>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</si>
  <si>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</si>
  <si>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</si>
  <si>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</si>
  <si>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</si>
  <si>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</si>
  <si>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</si>
  <si>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</si>
  <si>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</si>
  <si>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</si>
  <si>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</si>
  <si>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</si>
  <si>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</si>
  <si>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</si>
  <si>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</si>
  <si>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</si>
  <si>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</si>
  <si>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</si>
  <si>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</si>
  <si>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</si>
  <si>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</si>
  <si>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</si>
  <si>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</si>
  <si>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</si>
  <si>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</si>
  <si>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</si>
  <si>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</si>
  <si>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</si>
  <si>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</si>
  <si>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</si>
  <si>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</si>
  <si>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</si>
  <si>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</si>
  <si>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</si>
  <si>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</si>
  <si>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</si>
  <si>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</si>
  <si>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</si>
  <si>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</si>
  <si>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</si>
  <si>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</si>
  <si>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</si>
  <si>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</si>
  <si>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</si>
  <si>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</si>
  <si>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</si>
  <si>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</si>
  <si>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</si>
  <si>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</si>
  <si>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</si>
  <si>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</si>
  <si>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</si>
  <si>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</si>
  <si>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</si>
  <si>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</si>
  <si>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</si>
  <si>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</si>
  <si>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</si>
  <si>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</si>
  <si>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</si>
  <si>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</si>
  <si>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</si>
  <si>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</si>
  <si>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</si>
  <si>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</si>
  <si>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</si>
  <si>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</si>
  <si>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</si>
  <si>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</si>
  <si>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</si>
  <si>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</si>
  <si>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</si>
  <si>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</si>
  <si>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</si>
  <si>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</si>
  <si>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</si>
  <si>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</si>
  <si>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</si>
  <si>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</si>
  <si>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</si>
  <si>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</si>
  <si>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</si>
  <si>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</si>
  <si>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</si>
  <si>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</si>
  <si>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</si>
  <si>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</si>
  <si>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</si>
  <si>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</si>
  <si>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</si>
  <si>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</si>
  <si>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</si>
  <si>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</si>
  <si>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</si>
  <si>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</si>
  <si>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</si>
  <si>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</si>
  <si>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</si>
  <si>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</si>
  <si>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</si>
  <si>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Europe-2016-10-01-2021-10-31.xls; Tab: Tabelle2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</si>
  <si>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</si>
  <si>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</si>
  <si>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</si>
  <si>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</si>
  <si>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</si>
  <si>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</si>
  <si>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</si>
  <si>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</si>
  <si>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</si>
  <si>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</si>
  <si>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</si>
  <si>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</si>
  <si>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</si>
  <si>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</si>
  <si>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</si>
  <si>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</si>
  <si>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LI_RU_export_operationaldata_2021_11_11_182128.xlsx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</si>
  <si>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</si>
  <si>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</si>
  <si>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</si>
  <si>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</si>
  <si>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</si>
  <si>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</si>
  <si>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</si>
  <si>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</si>
  <si>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</si>
  <si>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</si>
  <si>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Annahme: 85% der bereits gebuchten Transitkapazität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</si>
  <si>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</si>
  <si>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</si>
  <si>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</si>
  <si>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</si>
  <si>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</si>
  <si>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</si>
  <si>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</si>
  <si>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</si>
  <si>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</si>
  <si>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</si>
  <si>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</si>
  <si>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</si>
  <si>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</si>
  <si>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</si>
  <si>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</si>
  <si>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</si>
  <si>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</si>
  <si>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nicht mehr als 40% des Gesamt-Demand und nicht weniger als Pipeline-Kapazitäten ohne Nord Stream 2; Zahl entspricht 195 bcm)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</si>
  <si>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</si>
  <si>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</si>
  <si>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</si>
  <si>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LNG-Kurve aus ewi-Papier eingefügt (2020, low LNG Demand)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</si>
  <si>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</si>
  <si>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</si>
  <si>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</si>
  <si>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</si>
  <si>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</si>
  <si>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SupplyCurveLNG_v7.xlsx; Tab: o1 (alle Zeilen)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</si>
</sst>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4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0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9" fontId="12" fillId="0" borderId="0" xfId="0" applyNumberFormat="1" applyFont="1" applyFill="1" applyAlignment="1">
      <alignment horizontal="left" vertical="center" wrapText="1"/>
    </xf>
    <xf numFmtId="167" fontId="12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4" fontId="12" fillId="5" borderId="8" xfId="0" applyNumberFormat="1" applyFont="1" applyFill="1" applyBorder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13" fillId="5" borderId="8" xfId="0" applyNumberFormat="1" applyFont="1" applyFill="1" applyBorder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D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  <sheetView workbookViewId="1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  <sheetView workbookViewId="1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A4" sqref="A4"/>
    </sheetView>
    <sheetView workbookViewId="1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424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topLeftCell="A668" zoomScale="85" zoomScaleNormal="85" workbookViewId="0">
      <selection activeCell="G701" sqref="G701:G905"/>
    </sheetView>
    <sheetView workbookViewId="1"/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430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9.5617206709425044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9.5617206709425044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9.5617206709425044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9.5617206709425044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14.417865951655681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14.417865951655681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14.417865951655681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/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/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/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/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/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/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/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/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14.417865951655681</v>
      </c>
      <c r="D645" s="30">
        <v>9.5617206709425044</v>
      </c>
      <c r="E645" s="30">
        <v>14.417865951655681</v>
      </c>
      <c r="F645" s="30">
        <v>8.6964606709425052</v>
      </c>
      <c r="G645" s="30">
        <v>8.8234206709425056</v>
      </c>
      <c r="H645" s="30"/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14.417865951655681</v>
      </c>
      <c r="D646" s="26">
        <v>9.5617206709425044</v>
      </c>
      <c r="E646" s="26">
        <v>14.417865951655681</v>
      </c>
      <c r="F646" s="26">
        <v>8.6964606709425052</v>
      </c>
      <c r="G646" s="26">
        <v>8.8234206709425056</v>
      </c>
      <c r="H646" s="26"/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14.417865951655681</v>
      </c>
      <c r="D647" s="30">
        <v>9.5617206709425044</v>
      </c>
      <c r="E647" s="30">
        <v>14.417865951655681</v>
      </c>
      <c r="F647" s="30">
        <v>8.6964606709425052</v>
      </c>
      <c r="G647" s="30">
        <v>8.8234206709425056</v>
      </c>
      <c r="H647" s="30"/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/>
      <c r="D648" s="26">
        <v>9.5617206709425044</v>
      </c>
      <c r="E648" s="26"/>
      <c r="F648" s="26">
        <v>8.6964606709425052</v>
      </c>
      <c r="G648" s="26">
        <v>8.8234206709425056</v>
      </c>
      <c r="H648" s="26"/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/>
      <c r="D649" s="30">
        <v>9.5617206709425044</v>
      </c>
      <c r="E649" s="30"/>
      <c r="F649" s="30">
        <v>8.6964606709425052</v>
      </c>
      <c r="G649" s="30">
        <v>8.8234206709425056</v>
      </c>
      <c r="H649" s="30"/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/>
      <c r="D650" s="26">
        <v>9.5617206709425044</v>
      </c>
      <c r="E650" s="26"/>
      <c r="F650" s="26">
        <v>8.6964606709425052</v>
      </c>
      <c r="G650" s="26">
        <v>8.8234206709425056</v>
      </c>
      <c r="H650" s="26"/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/>
      <c r="D651" s="30">
        <v>9.5617206709425044</v>
      </c>
      <c r="E651" s="30"/>
      <c r="F651" s="30">
        <v>8.6964606709425052</v>
      </c>
      <c r="G651" s="30">
        <v>8.8234206709425056</v>
      </c>
      <c r="H651" s="30"/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/>
      <c r="D652" s="26">
        <v>9.5617206709425044</v>
      </c>
      <c r="E652" s="26"/>
      <c r="F652" s="26">
        <v>8.6964606709425052</v>
      </c>
      <c r="G652" s="26">
        <v>8.8234206709425056</v>
      </c>
      <c r="H652" s="26"/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/>
      <c r="D653" s="30">
        <v>9.5617206709425044</v>
      </c>
      <c r="E653" s="30"/>
      <c r="F653" s="30">
        <v>8.6964606709425052</v>
      </c>
      <c r="G653" s="30">
        <v>8.8234206709425056</v>
      </c>
      <c r="H653" s="30"/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/>
      <c r="D654" s="26">
        <v>9.5617206709425044</v>
      </c>
      <c r="E654" s="26"/>
      <c r="F654" s="26">
        <v>8.6964606709425052</v>
      </c>
      <c r="G654" s="26">
        <v>8.8234206709425056</v>
      </c>
      <c r="H654" s="26"/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/>
      <c r="D655" s="30">
        <v>9.5617206709425044</v>
      </c>
      <c r="E655" s="30"/>
      <c r="F655" s="30">
        <v>8.6964606709425052</v>
      </c>
      <c r="G655" s="30">
        <v>8.8234206709425056</v>
      </c>
      <c r="H655" s="30"/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/>
      <c r="D656" s="26">
        <v>9.5617206709425044</v>
      </c>
      <c r="E656" s="26"/>
      <c r="F656" s="26">
        <v>8.6964606709425052</v>
      </c>
      <c r="G656" s="26">
        <v>8.8234206709425056</v>
      </c>
      <c r="H656" s="26"/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/>
      <c r="D657" s="30">
        <v>9.5617206709425044</v>
      </c>
      <c r="E657" s="30"/>
      <c r="F657" s="30">
        <v>8.6964606709425052</v>
      </c>
      <c r="G657" s="30">
        <v>8.8234206709425056</v>
      </c>
      <c r="H657" s="30"/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/>
      <c r="D658" s="26">
        <v>9.5617206709425044</v>
      </c>
      <c r="E658" s="26"/>
      <c r="F658" s="26">
        <v>8.6964606709425052</v>
      </c>
      <c r="G658" s="26">
        <v>8.8234206709425056</v>
      </c>
      <c r="H658" s="26"/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/>
      <c r="D659" s="30">
        <v>9.5617206709425044</v>
      </c>
      <c r="E659" s="30"/>
      <c r="F659" s="30">
        <v>8.6964606709425052</v>
      </c>
      <c r="G659" s="30">
        <v>8.8234206709425056</v>
      </c>
      <c r="H659" s="30"/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/>
      <c r="D660" s="26">
        <v>9.5617206709425044</v>
      </c>
      <c r="E660" s="26"/>
      <c r="F660" s="26">
        <v>8.6964606709425052</v>
      </c>
      <c r="G660" s="26">
        <v>8.8234206709425056</v>
      </c>
      <c r="H660" s="26"/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/>
      <c r="D661" s="30">
        <v>9.5617206709425044</v>
      </c>
      <c r="E661" s="30"/>
      <c r="F661" s="30">
        <v>8.6964606709425052</v>
      </c>
      <c r="G661" s="30">
        <v>8.8234206709425056</v>
      </c>
      <c r="H661" s="30"/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/>
      <c r="D662" s="26">
        <v>9.5617206709425044</v>
      </c>
      <c r="E662" s="26"/>
      <c r="F662" s="26">
        <v>8.6964606709425052</v>
      </c>
      <c r="G662" s="26">
        <v>8.8234206709425056</v>
      </c>
      <c r="H662" s="26"/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/>
      <c r="D663" s="30">
        <v>9.5617206709425044</v>
      </c>
      <c r="E663" s="30"/>
      <c r="F663" s="30">
        <v>8.6964606709425052</v>
      </c>
      <c r="G663" s="30">
        <v>8.8234206709425056</v>
      </c>
      <c r="H663" s="30"/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/>
      <c r="D664" s="26">
        <v>9.5617206709425044</v>
      </c>
      <c r="E664" s="26"/>
      <c r="F664" s="26">
        <v>8.6964606709425052</v>
      </c>
      <c r="G664" s="26">
        <v>8.8234206709425056</v>
      </c>
      <c r="H664" s="26"/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/>
      <c r="D665" s="30">
        <v>9.5617206709425044</v>
      </c>
      <c r="E665" s="30"/>
      <c r="F665" s="30">
        <v>8.6964606709425052</v>
      </c>
      <c r="G665" s="30">
        <v>8.8234206709425056</v>
      </c>
      <c r="H665" s="30"/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/>
      <c r="D666" s="26">
        <v>9.5617206709425044</v>
      </c>
      <c r="E666" s="26"/>
      <c r="F666" s="26">
        <v>8.6964606709425052</v>
      </c>
      <c r="G666" s="26">
        <v>8.8234206709425056</v>
      </c>
      <c r="H666" s="26"/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14.417865951655681</v>
      </c>
      <c r="C667" s="30"/>
      <c r="D667" s="30">
        <v>14.417865951655681</v>
      </c>
      <c r="E667" s="30"/>
      <c r="F667" s="30">
        <v>14.417865951655681</v>
      </c>
      <c r="G667" s="30">
        <v>8.8234206709425056</v>
      </c>
      <c r="H667" s="30"/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14.417865951655681</v>
      </c>
      <c r="C668" s="26"/>
      <c r="D668" s="26">
        <v>14.417865951655681</v>
      </c>
      <c r="E668" s="26"/>
      <c r="F668" s="26">
        <v>14.417865951655681</v>
      </c>
      <c r="G668" s="26">
        <v>8.8234206709425056</v>
      </c>
      <c r="H668" s="26"/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/>
      <c r="C669" s="30"/>
      <c r="D669" s="30"/>
      <c r="E669" s="30"/>
      <c r="F669" s="30"/>
      <c r="G669" s="30">
        <v>8.8234206709425056</v>
      </c>
      <c r="H669" s="30"/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/>
      <c r="C670" s="26"/>
      <c r="D670" s="26"/>
      <c r="E670" s="26"/>
      <c r="F670" s="26"/>
      <c r="G670" s="26">
        <v>8.8234206709425056</v>
      </c>
      <c r="H670" s="26"/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/>
      <c r="C671" s="30"/>
      <c r="D671" s="30"/>
      <c r="E671" s="30"/>
      <c r="F671" s="30"/>
      <c r="G671" s="30">
        <v>8.8234206709425056</v>
      </c>
      <c r="H671" s="30"/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/>
      <c r="C672" s="26"/>
      <c r="D672" s="26"/>
      <c r="E672" s="26"/>
      <c r="F672" s="26"/>
      <c r="G672" s="26">
        <v>8.8234206709425056</v>
      </c>
      <c r="H672" s="26"/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/>
      <c r="C673" s="30"/>
      <c r="D673" s="30"/>
      <c r="E673" s="30"/>
      <c r="F673" s="30"/>
      <c r="G673" s="30">
        <v>8.8234206709425056</v>
      </c>
      <c r="H673" s="30"/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/>
      <c r="C674" s="26"/>
      <c r="D674" s="26"/>
      <c r="E674" s="26"/>
      <c r="F674" s="26"/>
      <c r="G674" s="26">
        <v>8.8234206709425056</v>
      </c>
      <c r="H674" s="26"/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/>
      <c r="C675" s="30"/>
      <c r="D675" s="30"/>
      <c r="E675" s="30"/>
      <c r="F675" s="30"/>
      <c r="G675" s="30">
        <v>8.8234206709425056</v>
      </c>
      <c r="H675" s="30"/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/>
      <c r="C676" s="26"/>
      <c r="D676" s="26"/>
      <c r="E676" s="26"/>
      <c r="F676" s="26"/>
      <c r="G676" s="26">
        <v>8.8234206709425056</v>
      </c>
      <c r="H676" s="26"/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/>
      <c r="C677" s="30"/>
      <c r="D677" s="30"/>
      <c r="E677" s="30"/>
      <c r="F677" s="30"/>
      <c r="G677" s="30">
        <v>8.8234206709425056</v>
      </c>
      <c r="H677" s="30"/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/>
      <c r="C678" s="26"/>
      <c r="D678" s="26"/>
      <c r="E678" s="26"/>
      <c r="F678" s="26"/>
      <c r="G678" s="26">
        <v>8.8234206709425056</v>
      </c>
      <c r="H678" s="26"/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/>
      <c r="C679" s="30"/>
      <c r="D679" s="30"/>
      <c r="E679" s="30"/>
      <c r="F679" s="30"/>
      <c r="G679" s="30">
        <v>8.8234206709425056</v>
      </c>
      <c r="H679" s="30"/>
      <c r="I679" s="30">
        <v>8.3445606709425046</v>
      </c>
      <c r="J679" s="30">
        <v>14.417865951655681</v>
      </c>
      <c r="K679" s="30">
        <v>7.298520670942505</v>
      </c>
      <c r="L679" s="30">
        <v>14.417865951655681</v>
      </c>
      <c r="M679" s="30">
        <v>7.3813206709425057</v>
      </c>
      <c r="N679" s="30">
        <v>7.3896006709425048</v>
      </c>
      <c r="O679" s="30">
        <v>14.417865951655681</v>
      </c>
      <c r="P679" s="30">
        <v>7.4047806709425048</v>
      </c>
      <c r="Q679" s="30">
        <v>14.417865951655681</v>
      </c>
      <c r="R679" s="30">
        <v>7.7760006709425049</v>
      </c>
      <c r="S679" s="25"/>
    </row>
    <row r="680" spans="1:19" x14ac:dyDescent="0.25">
      <c r="A680" s="26">
        <v>6.75</v>
      </c>
      <c r="B680" s="26"/>
      <c r="C680" s="26"/>
      <c r="D680" s="26"/>
      <c r="E680" s="26"/>
      <c r="F680" s="26"/>
      <c r="G680" s="26">
        <v>8.8234206709425056</v>
      </c>
      <c r="H680" s="26"/>
      <c r="I680" s="26">
        <v>8.3445606709425046</v>
      </c>
      <c r="J680" s="26">
        <v>14.417865951655681</v>
      </c>
      <c r="K680" s="26">
        <v>7.298520670942505</v>
      </c>
      <c r="L680" s="26">
        <v>14.417865951655681</v>
      </c>
      <c r="M680" s="26">
        <v>7.3813206709425057</v>
      </c>
      <c r="N680" s="26">
        <v>7.3896006709425048</v>
      </c>
      <c r="O680" s="26">
        <v>14.417865951655681</v>
      </c>
      <c r="P680" s="26">
        <v>7.4047806709425048</v>
      </c>
      <c r="Q680" s="26">
        <v>14.417865951655681</v>
      </c>
      <c r="R680" s="26">
        <v>7.7760006709425049</v>
      </c>
      <c r="S680" s="24"/>
    </row>
    <row r="681" spans="1:19" x14ac:dyDescent="0.25">
      <c r="A681" s="30">
        <v>6.76</v>
      </c>
      <c r="B681" s="30"/>
      <c r="C681" s="30"/>
      <c r="D681" s="30"/>
      <c r="E681" s="30"/>
      <c r="F681" s="30"/>
      <c r="G681" s="30">
        <v>8.8234206709425056</v>
      </c>
      <c r="H681" s="30"/>
      <c r="I681" s="30">
        <v>8.3445606709425046</v>
      </c>
      <c r="J681" s="30">
        <v>14.417865951655681</v>
      </c>
      <c r="K681" s="30">
        <v>7.298520670942505</v>
      </c>
      <c r="L681" s="30">
        <v>14.417865951655681</v>
      </c>
      <c r="M681" s="30">
        <v>7.3813206709425057</v>
      </c>
      <c r="N681" s="30">
        <v>7.3896006709425048</v>
      </c>
      <c r="O681" s="30">
        <v>14.417865951655681</v>
      </c>
      <c r="P681" s="30">
        <v>7.4047806709425048</v>
      </c>
      <c r="Q681" s="30">
        <v>14.417865951655681</v>
      </c>
      <c r="R681" s="30">
        <v>7.7760006709425049</v>
      </c>
      <c r="S681" s="25"/>
    </row>
    <row r="682" spans="1:19" x14ac:dyDescent="0.25">
      <c r="A682" s="26">
        <v>6.77</v>
      </c>
      <c r="B682" s="26"/>
      <c r="C682" s="26"/>
      <c r="D682" s="26"/>
      <c r="E682" s="26"/>
      <c r="F682" s="26"/>
      <c r="G682" s="26">
        <v>8.8234206709425056</v>
      </c>
      <c r="H682" s="26"/>
      <c r="I682" s="26">
        <v>8.3445606709425046</v>
      </c>
      <c r="J682" s="26"/>
      <c r="K682" s="26">
        <v>7.298520670942505</v>
      </c>
      <c r="L682" s="26"/>
      <c r="M682" s="26">
        <v>7.3813206709425057</v>
      </c>
      <c r="N682" s="26">
        <v>7.3896006709425048</v>
      </c>
      <c r="O682" s="26"/>
      <c r="P682" s="26">
        <v>7.4047806709425048</v>
      </c>
      <c r="Q682" s="26"/>
      <c r="R682" s="26">
        <v>7.7760006709425049</v>
      </c>
      <c r="S682" s="24"/>
    </row>
    <row r="683" spans="1:19" x14ac:dyDescent="0.25">
      <c r="A683" s="30">
        <v>6.78</v>
      </c>
      <c r="B683" s="30"/>
      <c r="C683" s="30"/>
      <c r="D683" s="30"/>
      <c r="E683" s="30"/>
      <c r="F683" s="30"/>
      <c r="G683" s="30">
        <v>8.8234206709425056</v>
      </c>
      <c r="H683" s="30"/>
      <c r="I683" s="30">
        <v>8.3445606709425046</v>
      </c>
      <c r="J683" s="30"/>
      <c r="K683" s="30">
        <v>7.298520670942505</v>
      </c>
      <c r="L683" s="30"/>
      <c r="M683" s="30">
        <v>7.3813206709425057</v>
      </c>
      <c r="N683" s="30">
        <v>7.3896006709425048</v>
      </c>
      <c r="O683" s="30"/>
      <c r="P683" s="30">
        <v>7.4047806709425048</v>
      </c>
      <c r="Q683" s="30"/>
      <c r="R683" s="30">
        <v>7.7760006709425049</v>
      </c>
      <c r="S683" s="25"/>
    </row>
    <row r="684" spans="1:19" x14ac:dyDescent="0.25">
      <c r="A684" s="26">
        <v>6.79</v>
      </c>
      <c r="B684" s="26"/>
      <c r="C684" s="26"/>
      <c r="D684" s="26"/>
      <c r="E684" s="26"/>
      <c r="F684" s="26"/>
      <c r="G684" s="26">
        <v>8.8234206709425056</v>
      </c>
      <c r="H684" s="26"/>
      <c r="I684" s="26">
        <v>8.3445606709425046</v>
      </c>
      <c r="J684" s="26"/>
      <c r="K684" s="26">
        <v>7.298520670942505</v>
      </c>
      <c r="L684" s="26"/>
      <c r="M684" s="26">
        <v>7.3813206709425057</v>
      </c>
      <c r="N684" s="26">
        <v>7.3896006709425048</v>
      </c>
      <c r="O684" s="26"/>
      <c r="P684" s="26">
        <v>7.4047806709425048</v>
      </c>
      <c r="Q684" s="26"/>
      <c r="R684" s="26">
        <v>7.7760006709425049</v>
      </c>
      <c r="S684" s="24"/>
    </row>
    <row r="685" spans="1:19" x14ac:dyDescent="0.25">
      <c r="A685" s="30">
        <v>6.8</v>
      </c>
      <c r="B685" s="30"/>
      <c r="C685" s="30"/>
      <c r="D685" s="30"/>
      <c r="E685" s="30"/>
      <c r="F685" s="30"/>
      <c r="G685" s="30">
        <v>8.8234206709425056</v>
      </c>
      <c r="H685" s="30"/>
      <c r="I685" s="30">
        <v>8.3445606709425046</v>
      </c>
      <c r="J685" s="30"/>
      <c r="K685" s="30">
        <v>7.298520670942505</v>
      </c>
      <c r="L685" s="30"/>
      <c r="M685" s="30">
        <v>7.3813206709425057</v>
      </c>
      <c r="N685" s="30">
        <v>7.3896006709425048</v>
      </c>
      <c r="O685" s="30"/>
      <c r="P685" s="30">
        <v>7.4047806709425048</v>
      </c>
      <c r="Q685" s="30"/>
      <c r="R685" s="30">
        <v>7.7760006709425049</v>
      </c>
      <c r="S685" s="25"/>
    </row>
    <row r="686" spans="1:19" x14ac:dyDescent="0.25">
      <c r="A686" s="26">
        <v>6.81</v>
      </c>
      <c r="B686" s="26"/>
      <c r="C686" s="26"/>
      <c r="D686" s="26"/>
      <c r="E686" s="26"/>
      <c r="F686" s="26"/>
      <c r="G686" s="26">
        <v>8.8234206709425056</v>
      </c>
      <c r="H686" s="26"/>
      <c r="I686" s="26">
        <v>8.3445606709425046</v>
      </c>
      <c r="J686" s="26"/>
      <c r="K686" s="26">
        <v>7.298520670942505</v>
      </c>
      <c r="L686" s="26"/>
      <c r="M686" s="26">
        <v>7.3813206709425057</v>
      </c>
      <c r="N686" s="26">
        <v>7.3896006709425048</v>
      </c>
      <c r="O686" s="26"/>
      <c r="P686" s="26">
        <v>7.4047806709425048</v>
      </c>
      <c r="Q686" s="26"/>
      <c r="R686" s="26">
        <v>7.7760006709425049</v>
      </c>
      <c r="S686" s="24"/>
    </row>
    <row r="687" spans="1:19" x14ac:dyDescent="0.25">
      <c r="A687" s="30">
        <v>6.82</v>
      </c>
      <c r="B687" s="30"/>
      <c r="C687" s="30"/>
      <c r="D687" s="30"/>
      <c r="E687" s="30"/>
      <c r="F687" s="30"/>
      <c r="G687" s="30">
        <v>8.8234206709425056</v>
      </c>
      <c r="H687" s="30"/>
      <c r="I687" s="30">
        <v>8.3445606709425046</v>
      </c>
      <c r="J687" s="30"/>
      <c r="K687" s="30">
        <v>7.298520670942505</v>
      </c>
      <c r="L687" s="30"/>
      <c r="M687" s="30">
        <v>7.3813206709425057</v>
      </c>
      <c r="N687" s="30">
        <v>7.3896006709425048</v>
      </c>
      <c r="O687" s="30"/>
      <c r="P687" s="30">
        <v>7.4047806709425048</v>
      </c>
      <c r="Q687" s="30"/>
      <c r="R687" s="30">
        <v>7.7760006709425049</v>
      </c>
      <c r="S687" s="25"/>
    </row>
    <row r="688" spans="1:19" x14ac:dyDescent="0.25">
      <c r="A688" s="26">
        <v>6.83</v>
      </c>
      <c r="B688" s="26"/>
      <c r="C688" s="26"/>
      <c r="D688" s="26"/>
      <c r="E688" s="26"/>
      <c r="F688" s="26"/>
      <c r="G688" s="26">
        <v>8.8234206709425056</v>
      </c>
      <c r="H688" s="26"/>
      <c r="I688" s="26">
        <v>8.3445606709425046</v>
      </c>
      <c r="J688" s="26"/>
      <c r="K688" s="26">
        <v>7.298520670942505</v>
      </c>
      <c r="L688" s="26"/>
      <c r="M688" s="26">
        <v>7.3813206709425057</v>
      </c>
      <c r="N688" s="26">
        <v>7.3896006709425048</v>
      </c>
      <c r="O688" s="26"/>
      <c r="P688" s="26">
        <v>7.4047806709425048</v>
      </c>
      <c r="Q688" s="26"/>
      <c r="R688" s="26">
        <v>7.7760006709425049</v>
      </c>
      <c r="S688" s="24"/>
    </row>
    <row r="689" spans="1:19" x14ac:dyDescent="0.25">
      <c r="A689" s="30">
        <v>6.84</v>
      </c>
      <c r="B689" s="30"/>
      <c r="C689" s="30"/>
      <c r="D689" s="30"/>
      <c r="E689" s="30"/>
      <c r="F689" s="30"/>
      <c r="G689" s="30">
        <v>8.8234206709425056</v>
      </c>
      <c r="H689" s="30"/>
      <c r="I689" s="30">
        <v>8.3445606709425046</v>
      </c>
      <c r="J689" s="30"/>
      <c r="K689" s="30">
        <v>7.298520670942505</v>
      </c>
      <c r="L689" s="30"/>
      <c r="M689" s="30">
        <v>7.3813206709425057</v>
      </c>
      <c r="N689" s="30">
        <v>7.3896006709425048</v>
      </c>
      <c r="O689" s="30"/>
      <c r="P689" s="30">
        <v>7.4047806709425048</v>
      </c>
      <c r="Q689" s="30"/>
      <c r="R689" s="30">
        <v>7.7760006709425049</v>
      </c>
      <c r="S689" s="25"/>
    </row>
    <row r="690" spans="1:19" x14ac:dyDescent="0.25">
      <c r="A690" s="26">
        <v>6.85</v>
      </c>
      <c r="B690" s="26"/>
      <c r="C690" s="26"/>
      <c r="D690" s="26"/>
      <c r="E690" s="26"/>
      <c r="F690" s="26"/>
      <c r="G690" s="26">
        <v>8.8234206709425056</v>
      </c>
      <c r="H690" s="26"/>
      <c r="I690" s="26">
        <v>8.3445606709425046</v>
      </c>
      <c r="J690" s="26"/>
      <c r="K690" s="26">
        <v>7.298520670942505</v>
      </c>
      <c r="L690" s="26"/>
      <c r="M690" s="26">
        <v>7.3813206709425057</v>
      </c>
      <c r="N690" s="26">
        <v>7.3896006709425048</v>
      </c>
      <c r="O690" s="26"/>
      <c r="P690" s="26">
        <v>7.4047806709425048</v>
      </c>
      <c r="Q690" s="26"/>
      <c r="R690" s="26">
        <v>7.7760006709425049</v>
      </c>
      <c r="S690" s="24"/>
    </row>
    <row r="691" spans="1:19" x14ac:dyDescent="0.25">
      <c r="A691" s="30">
        <v>6.86</v>
      </c>
      <c r="B691" s="30"/>
      <c r="C691" s="30"/>
      <c r="D691" s="30"/>
      <c r="E691" s="30"/>
      <c r="F691" s="30"/>
      <c r="G691" s="30">
        <v>8.8234206709425056</v>
      </c>
      <c r="H691" s="30"/>
      <c r="I691" s="30">
        <v>8.3445606709425046</v>
      </c>
      <c r="J691" s="30"/>
      <c r="K691" s="30">
        <v>7.4401405082909307</v>
      </c>
      <c r="L691" s="30"/>
      <c r="M691" s="30">
        <v>7.4401405082909307</v>
      </c>
      <c r="N691" s="30">
        <v>7.4401405082909307</v>
      </c>
      <c r="O691" s="30"/>
      <c r="P691" s="30">
        <v>7.4401405082909307</v>
      </c>
      <c r="Q691" s="30"/>
      <c r="R691" s="30">
        <v>7.7760006709425049</v>
      </c>
      <c r="S691" s="25"/>
    </row>
    <row r="692" spans="1:19" x14ac:dyDescent="0.25">
      <c r="A692" s="26">
        <v>6.87</v>
      </c>
      <c r="B692" s="26"/>
      <c r="C692" s="26"/>
      <c r="D692" s="26"/>
      <c r="E692" s="26"/>
      <c r="F692" s="26"/>
      <c r="G692" s="26">
        <v>8.8234206709425056</v>
      </c>
      <c r="H692" s="26"/>
      <c r="I692" s="26">
        <v>8.3445606709425046</v>
      </c>
      <c r="J692" s="26"/>
      <c r="K692" s="26">
        <v>7.4401405082909307</v>
      </c>
      <c r="L692" s="26"/>
      <c r="M692" s="26">
        <v>7.4401405082909307</v>
      </c>
      <c r="N692" s="26">
        <v>7.4401405082909307</v>
      </c>
      <c r="O692" s="26"/>
      <c r="P692" s="26">
        <v>7.4401405082909307</v>
      </c>
      <c r="Q692" s="26"/>
      <c r="R692" s="26">
        <v>7.7760006709425049</v>
      </c>
      <c r="S692" s="24"/>
    </row>
    <row r="693" spans="1:19" x14ac:dyDescent="0.25">
      <c r="A693" s="30">
        <v>6.88</v>
      </c>
      <c r="B693" s="30"/>
      <c r="C693" s="30"/>
      <c r="D693" s="30"/>
      <c r="E693" s="30"/>
      <c r="F693" s="30"/>
      <c r="G693" s="30">
        <v>8.8234206709425056</v>
      </c>
      <c r="H693" s="30"/>
      <c r="I693" s="30">
        <v>8.3445606709425046</v>
      </c>
      <c r="J693" s="30"/>
      <c r="K693" s="30">
        <v>7.4401405082909307</v>
      </c>
      <c r="L693" s="30"/>
      <c r="M693" s="30">
        <v>7.4401405082909307</v>
      </c>
      <c r="N693" s="30">
        <v>7.4401405082909307</v>
      </c>
      <c r="O693" s="30"/>
      <c r="P693" s="30">
        <v>7.4401405082909307</v>
      </c>
      <c r="Q693" s="30"/>
      <c r="R693" s="30">
        <v>7.7760006709425049</v>
      </c>
      <c r="S693" s="25"/>
    </row>
    <row r="694" spans="1:19" x14ac:dyDescent="0.25">
      <c r="A694" s="26">
        <v>6.89</v>
      </c>
      <c r="B694" s="26"/>
      <c r="C694" s="26"/>
      <c r="D694" s="26"/>
      <c r="E694" s="26"/>
      <c r="F694" s="26"/>
      <c r="G694" s="26">
        <v>8.8234206709425056</v>
      </c>
      <c r="H694" s="26"/>
      <c r="I694" s="26">
        <v>8.3445606709425046</v>
      </c>
      <c r="J694" s="26"/>
      <c r="K694" s="26">
        <v>7.4401405082909307</v>
      </c>
      <c r="L694" s="26"/>
      <c r="M694" s="26">
        <v>7.4401405082909307</v>
      </c>
      <c r="N694" s="26">
        <v>7.4401405082909307</v>
      </c>
      <c r="O694" s="26"/>
      <c r="P694" s="26">
        <v>7.4401405082909307</v>
      </c>
      <c r="Q694" s="26"/>
      <c r="R694" s="26">
        <v>7.7760006709425049</v>
      </c>
      <c r="S694" s="24"/>
    </row>
    <row r="695" spans="1:19" x14ac:dyDescent="0.25">
      <c r="A695" s="30">
        <v>6.9</v>
      </c>
      <c r="B695" s="30"/>
      <c r="C695" s="30"/>
      <c r="D695" s="30"/>
      <c r="E695" s="30"/>
      <c r="F695" s="30"/>
      <c r="G695" s="30">
        <v>8.8234206709425056</v>
      </c>
      <c r="H695" s="30"/>
      <c r="I695" s="30">
        <v>8.3445606709425046</v>
      </c>
      <c r="J695" s="30"/>
      <c r="K695" s="30">
        <v>7.4401405082909307</v>
      </c>
      <c r="L695" s="30"/>
      <c r="M695" s="30">
        <v>7.4401405082909307</v>
      </c>
      <c r="N695" s="30">
        <v>7.4401405082909307</v>
      </c>
      <c r="O695" s="30"/>
      <c r="P695" s="30">
        <v>7.4401405082909307</v>
      </c>
      <c r="Q695" s="30"/>
      <c r="R695" s="30">
        <v>7.7760006709425049</v>
      </c>
      <c r="S695" s="25"/>
    </row>
    <row r="696" spans="1:19" x14ac:dyDescent="0.25">
      <c r="A696" s="26">
        <v>6.91</v>
      </c>
      <c r="B696" s="26"/>
      <c r="C696" s="26"/>
      <c r="D696" s="26"/>
      <c r="E696" s="26"/>
      <c r="F696" s="26"/>
      <c r="G696" s="26">
        <v>8.8234206709425056</v>
      </c>
      <c r="H696" s="26"/>
      <c r="I696" s="26">
        <v>8.3445606709425046</v>
      </c>
      <c r="J696" s="26"/>
      <c r="K696" s="26">
        <v>7.4401405082909307</v>
      </c>
      <c r="L696" s="26"/>
      <c r="M696" s="26">
        <v>7.4401405082909307</v>
      </c>
      <c r="N696" s="26">
        <v>7.4401405082909307</v>
      </c>
      <c r="O696" s="26"/>
      <c r="P696" s="26">
        <v>7.4401405082909307</v>
      </c>
      <c r="Q696" s="26"/>
      <c r="R696" s="26">
        <v>7.7760006709425049</v>
      </c>
      <c r="S696" s="24"/>
    </row>
    <row r="697" spans="1:19" x14ac:dyDescent="0.25">
      <c r="A697" s="30">
        <v>6.92</v>
      </c>
      <c r="B697" s="30"/>
      <c r="C697" s="30"/>
      <c r="D697" s="30"/>
      <c r="E697" s="30"/>
      <c r="F697" s="30"/>
      <c r="G697" s="30">
        <v>8.8234206709425056</v>
      </c>
      <c r="H697" s="30"/>
      <c r="I697" s="30">
        <v>8.3445606709425046</v>
      </c>
      <c r="J697" s="30"/>
      <c r="K697" s="30">
        <v>7.4401405082909307</v>
      </c>
      <c r="L697" s="30"/>
      <c r="M697" s="30">
        <v>7.4401405082909307</v>
      </c>
      <c r="N697" s="30">
        <v>7.4401405082909307</v>
      </c>
      <c r="O697" s="30"/>
      <c r="P697" s="30">
        <v>7.4401405082909307</v>
      </c>
      <c r="Q697" s="30"/>
      <c r="R697" s="30">
        <v>7.7760006709425049</v>
      </c>
      <c r="S697" s="25"/>
    </row>
    <row r="698" spans="1:19" x14ac:dyDescent="0.25">
      <c r="A698" s="26">
        <v>6.93</v>
      </c>
      <c r="B698" s="26"/>
      <c r="C698" s="26"/>
      <c r="D698" s="26"/>
      <c r="E698" s="26"/>
      <c r="F698" s="26"/>
      <c r="G698" s="26">
        <v>8.8234206709425056</v>
      </c>
      <c r="H698" s="26"/>
      <c r="I698" s="26">
        <v>8.3445606709425046</v>
      </c>
      <c r="J698" s="26"/>
      <c r="K698" s="26">
        <v>7.4401405082909307</v>
      </c>
      <c r="L698" s="26"/>
      <c r="M698" s="26">
        <v>7.4401405082909307</v>
      </c>
      <c r="N698" s="26">
        <v>7.4401405082909307</v>
      </c>
      <c r="O698" s="26"/>
      <c r="P698" s="26">
        <v>7.4401405082909307</v>
      </c>
      <c r="Q698" s="26"/>
      <c r="R698" s="26">
        <v>7.7760006709425049</v>
      </c>
      <c r="S698" s="24"/>
    </row>
    <row r="699" spans="1:19" x14ac:dyDescent="0.25">
      <c r="A699" s="30">
        <v>6.94</v>
      </c>
      <c r="B699" s="30"/>
      <c r="C699" s="30"/>
      <c r="D699" s="30"/>
      <c r="E699" s="30"/>
      <c r="F699" s="30"/>
      <c r="G699" s="30">
        <v>8.8234206709425056</v>
      </c>
      <c r="H699" s="30"/>
      <c r="I699" s="30">
        <v>8.3445606709425046</v>
      </c>
      <c r="J699" s="30"/>
      <c r="K699" s="30">
        <v>7.4401405082909307</v>
      </c>
      <c r="L699" s="30"/>
      <c r="M699" s="30">
        <v>7.4401405082909307</v>
      </c>
      <c r="N699" s="30">
        <v>7.4401405082909307</v>
      </c>
      <c r="O699" s="30"/>
      <c r="P699" s="30">
        <v>7.4401405082909307</v>
      </c>
      <c r="Q699" s="30"/>
      <c r="R699" s="30">
        <v>7.7760006709425049</v>
      </c>
      <c r="S699" s="25"/>
    </row>
    <row r="700" spans="1:19" x14ac:dyDescent="0.25">
      <c r="A700" s="26">
        <v>6.95</v>
      </c>
      <c r="B700" s="26"/>
      <c r="C700" s="26"/>
      <c r="D700" s="26"/>
      <c r="E700" s="26"/>
      <c r="F700" s="26"/>
      <c r="G700" s="26">
        <v>8.8234206709425056</v>
      </c>
      <c r="H700" s="26"/>
      <c r="I700" s="26">
        <v>8.3445606709425046</v>
      </c>
      <c r="J700" s="26"/>
      <c r="K700" s="26">
        <v>7.4401405082909307</v>
      </c>
      <c r="L700" s="26"/>
      <c r="M700" s="26">
        <v>7.4401405082909307</v>
      </c>
      <c r="N700" s="26">
        <v>7.4401405082909307</v>
      </c>
      <c r="O700" s="26"/>
      <c r="P700" s="26">
        <v>7.4401405082909307</v>
      </c>
      <c r="Q700" s="26"/>
      <c r="R700" s="26">
        <v>7.7760006709425049</v>
      </c>
      <c r="S700" s="24"/>
    </row>
    <row r="701" spans="1:19" x14ac:dyDescent="0.25">
      <c r="A701" s="30">
        <v>6.96</v>
      </c>
      <c r="B701" s="30"/>
      <c r="C701" s="30"/>
      <c r="D701" s="30"/>
      <c r="E701" s="30"/>
      <c r="F701" s="30"/>
      <c r="G701" s="30">
        <v>8.8234206709425056</v>
      </c>
      <c r="H701" s="30"/>
      <c r="I701" s="30">
        <v>8.3445606709425046</v>
      </c>
      <c r="J701" s="30"/>
      <c r="K701" s="30">
        <v>7.4401405082909307</v>
      </c>
      <c r="L701" s="30"/>
      <c r="M701" s="30">
        <v>7.4401405082909307</v>
      </c>
      <c r="N701" s="30">
        <v>7.4401405082909307</v>
      </c>
      <c r="O701" s="30"/>
      <c r="P701" s="30">
        <v>7.4401405082909307</v>
      </c>
      <c r="Q701" s="30"/>
      <c r="R701" s="30">
        <v>7.7760006709425049</v>
      </c>
      <c r="S701" s="25"/>
    </row>
    <row r="702" spans="1:19" x14ac:dyDescent="0.25">
      <c r="A702" s="26">
        <v>6.97</v>
      </c>
      <c r="B702" s="26"/>
      <c r="C702" s="26"/>
      <c r="D702" s="26"/>
      <c r="E702" s="26"/>
      <c r="F702" s="26"/>
      <c r="G702" s="26">
        <v>14.417865951655681</v>
      </c>
      <c r="H702" s="26"/>
      <c r="I702" s="26">
        <v>14.417865951655681</v>
      </c>
      <c r="J702" s="26"/>
      <c r="K702" s="26">
        <v>14.417865951655681</v>
      </c>
      <c r="L702" s="26"/>
      <c r="M702" s="26">
        <v>14.417865951655681</v>
      </c>
      <c r="N702" s="26">
        <v>14.417865951655681</v>
      </c>
      <c r="O702" s="26"/>
      <c r="P702" s="26">
        <v>14.417865951655681</v>
      </c>
      <c r="Q702" s="26"/>
      <c r="R702" s="26">
        <v>14.417865951655681</v>
      </c>
      <c r="S702" s="24"/>
    </row>
    <row r="703" spans="1:19" x14ac:dyDescent="0.25">
      <c r="A703" s="30">
        <v>6.98</v>
      </c>
      <c r="B703" s="30"/>
      <c r="C703" s="30"/>
      <c r="D703" s="30"/>
      <c r="E703" s="30"/>
      <c r="F703" s="30"/>
      <c r="G703" s="30">
        <v>14.417865951655681</v>
      </c>
      <c r="H703" s="30"/>
      <c r="I703" s="30">
        <v>14.417865951655681</v>
      </c>
      <c r="J703" s="30"/>
      <c r="K703" s="30">
        <v>14.417865951655681</v>
      </c>
      <c r="L703" s="30"/>
      <c r="M703" s="30">
        <v>14.417865951655681</v>
      </c>
      <c r="N703" s="30">
        <v>14.417865951655681</v>
      </c>
      <c r="O703" s="30"/>
      <c r="P703" s="30">
        <v>14.417865951655681</v>
      </c>
      <c r="Q703" s="30"/>
      <c r="R703" s="30">
        <v>14.417865951655681</v>
      </c>
      <c r="S703" s="25"/>
    </row>
    <row r="704" spans="1:19" x14ac:dyDescent="0.25">
      <c r="A704" s="26">
        <v>6.99</v>
      </c>
      <c r="B704" s="26"/>
      <c r="C704" s="26"/>
      <c r="D704" s="26"/>
      <c r="E704" s="26"/>
      <c r="F704" s="26"/>
      <c r="G704" s="26">
        <v>14.417865951655681</v>
      </c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4"/>
    </row>
    <row r="705" spans="1:19" x14ac:dyDescent="0.25">
      <c r="A705" s="30">
        <v>7</v>
      </c>
      <c r="B705" s="30"/>
      <c r="C705" s="30"/>
      <c r="D705" s="30"/>
      <c r="E705" s="30"/>
      <c r="F705" s="30"/>
      <c r="G705" s="30">
        <v>14.417865951655681</v>
      </c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5"/>
    </row>
    <row r="706" spans="1:19" x14ac:dyDescent="0.25">
      <c r="A706" s="26">
        <v>7.01</v>
      </c>
      <c r="B706" s="26"/>
      <c r="C706" s="26"/>
      <c r="D706" s="26"/>
      <c r="E706" s="26"/>
      <c r="F706" s="26"/>
      <c r="G706" s="26">
        <v>14.417865951655681</v>
      </c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4"/>
    </row>
    <row r="707" spans="1:19" x14ac:dyDescent="0.25">
      <c r="A707" s="30">
        <v>7.02</v>
      </c>
      <c r="B707" s="30"/>
      <c r="C707" s="30"/>
      <c r="D707" s="30"/>
      <c r="E707" s="30"/>
      <c r="F707" s="30"/>
      <c r="G707" s="30">
        <v>14.417865951655681</v>
      </c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5"/>
    </row>
    <row r="708" spans="1:19" x14ac:dyDescent="0.25">
      <c r="A708" s="26">
        <v>7.03</v>
      </c>
      <c r="B708" s="26"/>
      <c r="C708" s="26"/>
      <c r="D708" s="26"/>
      <c r="E708" s="26"/>
      <c r="F708" s="26"/>
      <c r="G708" s="26">
        <v>14.417865951655681</v>
      </c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4"/>
    </row>
    <row r="709" spans="1:19" x14ac:dyDescent="0.25">
      <c r="A709" s="30">
        <v>7.04</v>
      </c>
      <c r="B709" s="30"/>
      <c r="C709" s="30"/>
      <c r="D709" s="30"/>
      <c r="E709" s="30"/>
      <c r="F709" s="30"/>
      <c r="G709" s="30">
        <v>14.417865951655681</v>
      </c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5"/>
    </row>
    <row r="710" spans="1:19" x14ac:dyDescent="0.25">
      <c r="A710" s="26">
        <v>7.05</v>
      </c>
      <c r="B710" s="26"/>
      <c r="C710" s="26"/>
      <c r="D710" s="26"/>
      <c r="E710" s="26"/>
      <c r="F710" s="26"/>
      <c r="G710" s="26">
        <v>14.417865951655681</v>
      </c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4"/>
    </row>
    <row r="711" spans="1:19" x14ac:dyDescent="0.25">
      <c r="A711" s="30">
        <v>7.06</v>
      </c>
      <c r="B711" s="30"/>
      <c r="C711" s="30"/>
      <c r="D711" s="30"/>
      <c r="E711" s="30"/>
      <c r="F711" s="30"/>
      <c r="G711" s="30">
        <v>14.417865951655681</v>
      </c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5"/>
    </row>
    <row r="712" spans="1:19" x14ac:dyDescent="0.25">
      <c r="A712" s="26">
        <v>7.07</v>
      </c>
      <c r="B712" s="26"/>
      <c r="C712" s="26"/>
      <c r="D712" s="26"/>
      <c r="E712" s="26"/>
      <c r="F712" s="26"/>
      <c r="G712" s="26">
        <v>14.417865951655681</v>
      </c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4"/>
    </row>
    <row r="713" spans="1:19" x14ac:dyDescent="0.25">
      <c r="A713" s="30">
        <v>7.08</v>
      </c>
      <c r="B713" s="30"/>
      <c r="C713" s="30"/>
      <c r="D713" s="30"/>
      <c r="E713" s="30"/>
      <c r="F713" s="30"/>
      <c r="G713" s="30">
        <v>14.417865951655681</v>
      </c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5"/>
    </row>
    <row r="714" spans="1:19" x14ac:dyDescent="0.25">
      <c r="A714" s="26">
        <v>7.09</v>
      </c>
      <c r="B714" s="26"/>
      <c r="C714" s="26"/>
      <c r="D714" s="26"/>
      <c r="E714" s="26"/>
      <c r="F714" s="26"/>
      <c r="G714" s="26">
        <v>14.417865951655681</v>
      </c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4"/>
    </row>
    <row r="715" spans="1:19" x14ac:dyDescent="0.25">
      <c r="A715" s="30">
        <v>7.1</v>
      </c>
      <c r="B715" s="30"/>
      <c r="C715" s="30"/>
      <c r="D715" s="30"/>
      <c r="E715" s="30"/>
      <c r="F715" s="30"/>
      <c r="G715" s="30">
        <v>14.417865951655681</v>
      </c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5"/>
    </row>
    <row r="716" spans="1:19" x14ac:dyDescent="0.25">
      <c r="A716" s="26">
        <v>7.11</v>
      </c>
      <c r="B716" s="26"/>
      <c r="C716" s="26"/>
      <c r="D716" s="26"/>
      <c r="E716" s="26"/>
      <c r="F716" s="26"/>
      <c r="G716" s="26">
        <v>14.417865951655681</v>
      </c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4"/>
    </row>
    <row r="717" spans="1:19" x14ac:dyDescent="0.25">
      <c r="A717" s="30">
        <v>7.12</v>
      </c>
      <c r="B717" s="30"/>
      <c r="C717" s="30"/>
      <c r="D717" s="30"/>
      <c r="E717" s="30"/>
      <c r="F717" s="30"/>
      <c r="G717" s="30">
        <v>14.417865951655681</v>
      </c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5"/>
    </row>
    <row r="718" spans="1:19" x14ac:dyDescent="0.25">
      <c r="A718" s="26">
        <v>7.13</v>
      </c>
      <c r="B718" s="26"/>
      <c r="C718" s="26"/>
      <c r="D718" s="26"/>
      <c r="E718" s="26"/>
      <c r="F718" s="26"/>
      <c r="G718" s="26">
        <v>14.417865951655681</v>
      </c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4"/>
    </row>
    <row r="719" spans="1:19" x14ac:dyDescent="0.25">
      <c r="A719" s="30">
        <v>7.14</v>
      </c>
      <c r="B719" s="30"/>
      <c r="C719" s="30"/>
      <c r="D719" s="30"/>
      <c r="E719" s="30"/>
      <c r="F719" s="30"/>
      <c r="G719" s="30">
        <v>14.417865951655681</v>
      </c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14.417865951655681</v>
      </c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14.417865951655681</v>
      </c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14.417865951655681</v>
      </c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14.417865951655681</v>
      </c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14.417865951655681</v>
      </c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14.417865951655681</v>
      </c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14.417865951655681</v>
      </c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14.417865951655681</v>
      </c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14.417865951655681</v>
      </c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14.417865951655681</v>
      </c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14.417865951655681</v>
      </c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14.417865951655681</v>
      </c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14.417865951655681</v>
      </c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14.417865951655681</v>
      </c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14.417865951655681</v>
      </c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14.417865951655681</v>
      </c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14.417865951655681</v>
      </c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14.417865951655681</v>
      </c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14.417865951655681</v>
      </c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14.417865951655681</v>
      </c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14.417865951655681</v>
      </c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14.417865951655681</v>
      </c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14.417865951655681</v>
      </c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14.417865951655681</v>
      </c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14.417865951655681</v>
      </c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14.417865951655681</v>
      </c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14.417865951655681</v>
      </c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14.417865951655681</v>
      </c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14.417865951655681</v>
      </c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14.417865951655681</v>
      </c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14.417865951655681</v>
      </c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14.417865951655681</v>
      </c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14.417865951655681</v>
      </c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14.417865951655681</v>
      </c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14.417865951655681</v>
      </c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>
        <v>14.417865951655681</v>
      </c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>
        <v>14.417865951655681</v>
      </c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>
        <v>14.417865951655681</v>
      </c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>
        <v>14.417865951655681</v>
      </c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>
        <v>14.417865951655681</v>
      </c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>
        <v>14.417865951655681</v>
      </c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>
        <v>14.417865951655681</v>
      </c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>
        <v>14.417865951655681</v>
      </c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>
        <v>14.417865951655681</v>
      </c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>
        <v>14.417865951655681</v>
      </c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>
        <v>14.417865951655681</v>
      </c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>
        <v>14.417865951655681</v>
      </c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>
        <v>14.417865951655681</v>
      </c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>
        <v>14.417865951655681</v>
      </c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>
        <v>14.417865951655681</v>
      </c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>
        <v>14.417865951655681</v>
      </c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>
        <v>14.417865951655681</v>
      </c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>
        <v>14.417865951655681</v>
      </c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>
        <v>14.417865951655681</v>
      </c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>
        <v>14.417865951655681</v>
      </c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>
        <v>14.417865951655681</v>
      </c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>
        <v>14.417865951655681</v>
      </c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>
        <v>14.417865951655681</v>
      </c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>
        <v>14.417865951655681</v>
      </c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>
        <v>14.417865951655681</v>
      </c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>
        <v>14.417865951655681</v>
      </c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>
        <v>14.417865951655681</v>
      </c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>
        <v>14.417865951655681</v>
      </c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>
        <v>14.417865951655681</v>
      </c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>
        <v>14.417865951655681</v>
      </c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>
        <v>14.417865951655681</v>
      </c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>
        <v>14.417865951655681</v>
      </c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>
        <v>14.417865951655681</v>
      </c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>
        <v>14.417865951655681</v>
      </c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>
        <v>14.417865951655681</v>
      </c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>
        <v>14.417865951655681</v>
      </c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>
        <v>14.417865951655681</v>
      </c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>
        <v>14.417865951655681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>
        <v>14.417865951655681</v>
      </c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>
        <v>14.417865951655681</v>
      </c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>
        <v>14.417865951655681</v>
      </c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>
        <v>14.417865951655681</v>
      </c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>
        <v>14.417865951655681</v>
      </c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>
        <v>14.417865951655681</v>
      </c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>
        <v>14.417865951655681</v>
      </c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>
        <v>14.417865951655681</v>
      </c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>
        <v>14.417865951655681</v>
      </c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>
        <v>14.417865951655681</v>
      </c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>
        <v>14.417865951655681</v>
      </c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>
        <v>14.417865951655681</v>
      </c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>
        <v>14.417865951655681</v>
      </c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>
        <v>14.417865951655681</v>
      </c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>
        <v>14.417865951655681</v>
      </c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>
        <v>14.417865951655681</v>
      </c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>
        <v>14.417865951655681</v>
      </c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>
        <v>14.417865951655681</v>
      </c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>
        <v>14.417865951655681</v>
      </c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>
        <v>14.417865951655681</v>
      </c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>
        <v>14.417865951655681</v>
      </c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>
        <v>14.417865951655681</v>
      </c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>
        <v>14.417865951655681</v>
      </c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>
        <v>14.417865951655681</v>
      </c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>
        <v>14.417865951655681</v>
      </c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>
        <v>14.417865951655681</v>
      </c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>
        <v>14.417865951655681</v>
      </c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>
        <v>14.417865951655681</v>
      </c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>
        <v>14.417865951655681</v>
      </c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>
        <v>14.417865951655681</v>
      </c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>
        <v>14.417865951655681</v>
      </c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>
        <v>14.417865951655681</v>
      </c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>
        <v>14.417865951655681</v>
      </c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>
        <v>14.417865951655681</v>
      </c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>
        <v>14.417865951655681</v>
      </c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>
        <v>14.417865951655681</v>
      </c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>
        <v>14.417865951655681</v>
      </c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>
        <v>14.417865951655681</v>
      </c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>
        <v>14.417865951655681</v>
      </c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>
        <v>14.417865951655681</v>
      </c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>
        <v>14.417865951655681</v>
      </c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>
        <v>14.417865951655681</v>
      </c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>
        <v>14.417865951655681</v>
      </c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>
        <v>14.417865951655681</v>
      </c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>
        <v>14.417865951655681</v>
      </c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>
        <v>14.417865951655681</v>
      </c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>
        <v>14.417865951655681</v>
      </c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>
        <v>14.417865951655681</v>
      </c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>
        <v>14.417865951655681</v>
      </c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>
        <v>14.417865951655681</v>
      </c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>
        <v>14.417865951655681</v>
      </c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>
        <v>14.417865951655681</v>
      </c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>
        <v>14.417865951655681</v>
      </c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>
        <v>14.417865951655681</v>
      </c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>
        <v>14.417865951655681</v>
      </c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>
        <v>14.417865951655681</v>
      </c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>
        <v>14.417865951655681</v>
      </c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>
        <v>14.417865951655681</v>
      </c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>
        <v>14.417865951655681</v>
      </c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>
        <v>14.417865951655681</v>
      </c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>
        <v>14.417865951655681</v>
      </c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>
        <v>14.417865951655681</v>
      </c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>
        <v>14.417865951655681</v>
      </c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>
        <v>14.417865951655681</v>
      </c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>
        <v>14.417865951655681</v>
      </c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>
        <v>14.417865951655681</v>
      </c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>
        <v>14.417865951655681</v>
      </c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>
        <v>14.417865951655681</v>
      </c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>
        <v>14.417865951655681</v>
      </c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>
        <v>14.417865951655681</v>
      </c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>
        <v>14.417865951655681</v>
      </c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>
        <v>14.417865951655681</v>
      </c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>
        <v>14.417865951655681</v>
      </c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>
        <v>14.417865951655681</v>
      </c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>
        <v>14.417865951655681</v>
      </c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>
        <v>14.417865951655681</v>
      </c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>
        <v>14.417865951655681</v>
      </c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>
        <v>14.417865951655681</v>
      </c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>
        <v>14.417865951655681</v>
      </c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>
        <v>14.417865951655681</v>
      </c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>
        <v>14.417865951655681</v>
      </c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>
        <v>14.417865951655681</v>
      </c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>
        <v>14.417865951655681</v>
      </c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>
        <v>14.417865951655681</v>
      </c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>
        <v>14.417865951655681</v>
      </c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>
        <v>14.417865951655681</v>
      </c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>
        <v>14.417865951655681</v>
      </c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>
        <v>14.417865951655681</v>
      </c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>
        <v>14.417865951655681</v>
      </c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>
        <v>14.417865951655681</v>
      </c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>
        <v>14.417865951655681</v>
      </c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>
        <v>14.417865951655681</v>
      </c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>
        <v>14.417865951655681</v>
      </c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>
        <v>14.417865951655681</v>
      </c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>
        <v>14.417865951655681</v>
      </c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>
        <v>14.417865951655681</v>
      </c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>
        <v>14.417865951655681</v>
      </c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>
        <v>14.417865951655681</v>
      </c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>
        <v>14.417865951655681</v>
      </c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>
        <v>14.417865951655681</v>
      </c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>
        <v>14.417865951655681</v>
      </c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>
        <v>14.417865951655681</v>
      </c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>
        <v>14.417865951655681</v>
      </c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>
        <v>14.417865951655681</v>
      </c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>
        <v>14.417865951655681</v>
      </c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>
        <v>14.417865951655681</v>
      </c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>
        <v>14.417865951655681</v>
      </c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>
        <v>14.417865951655681</v>
      </c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>
        <v>14.417865951655681</v>
      </c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>
        <v>14.417865951655681</v>
      </c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>
        <v>14.417865951655681</v>
      </c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>
        <v>14.417865951655681</v>
      </c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>
        <v>14.417865951655681</v>
      </c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M17" sqref="M17"/>
    </sheetView>
    <sheetView workbookViewId="1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topLeftCell="A22" workbookViewId="0">
      <selection activeCell="H35" sqref="H35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/>
    <sheetView workbookViewId="1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419</v>
      </c>
      <c r="U6" s="21" t="str">
        <f>"PipedImporterProduction_"&amp;TEXT(TBL_PIPED_IMPORTERS_PRODUCTION[[#This Row],[Index]],"000")</f>
        <v>PipedImporterProduction_001</v>
      </c>
    </row>
    <row r="7" spans="1:21" ht="45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5650</v>
      </c>
      <c r="D7" s="33">
        <v>5650</v>
      </c>
      <c r="E7" s="33">
        <v>5650</v>
      </c>
      <c r="F7" s="33">
        <v>5650</v>
      </c>
      <c r="G7" s="33">
        <v>5650</v>
      </c>
      <c r="H7" s="33">
        <v>5650</v>
      </c>
      <c r="I7" s="33">
        <v>5650</v>
      </c>
      <c r="J7" s="33">
        <v>5650</v>
      </c>
      <c r="K7" s="33">
        <v>5650</v>
      </c>
      <c r="L7" s="33">
        <v>5650</v>
      </c>
      <c r="M7" s="33">
        <v>5650</v>
      </c>
      <c r="N7" s="33">
        <v>5650</v>
      </c>
      <c r="O7" s="33">
        <v>5650</v>
      </c>
      <c r="P7" s="33">
        <v>5650</v>
      </c>
      <c r="Q7" s="33">
        <v>5650</v>
      </c>
      <c r="R7" s="33">
        <v>5650</v>
      </c>
      <c r="S7" s="33">
        <v>5650</v>
      </c>
      <c r="T7" s="139" t="s">
        <v>420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421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422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423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G33" sqref="G33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404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405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414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61" t="s">
        <v>290</v>
      </c>
      <c r="B31" s="132">
        <f>INDEX(TBL_REGIONS_INDEX[Index],MATCH(TBL_PIPED_IMPORTERS_CONNECTIONS[[#This Row],[Importer]],TBL_PIPED_IMPORTERS[Importer],0))</f>
        <v>2</v>
      </c>
      <c r="C31" s="160" t="s">
        <v>177</v>
      </c>
      <c r="D31" s="132">
        <f>INDEX(TBL_REGIONS_INDEX[Index],MATCH(TBL_PIPED_IMPORTERS_CONNECTIONS[[#This Row],[Region]],TBL_REGIONS_INDEX[Region],0))</f>
        <v>17</v>
      </c>
      <c r="E31" s="158" t="s">
        <v>426</v>
      </c>
      <c r="F31" s="159">
        <v>50.86</v>
      </c>
      <c r="G31" s="159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61" t="s">
        <v>290</v>
      </c>
      <c r="B32" s="132">
        <f>INDEX(TBL_REGIONS_INDEX[Index],MATCH(TBL_PIPED_IMPORTERS_CONNECTIONS[[#This Row],[Importer]],TBL_PIPED_IMPORTERS[Importer],0))</f>
        <v>2</v>
      </c>
      <c r="C32" s="160" t="s">
        <v>187</v>
      </c>
      <c r="D32" s="132">
        <f>INDEX(TBL_REGIONS_INDEX[Index],MATCH(TBL_PIPED_IMPORTERS_CONNECTIONS[[#This Row],[Region]],TBL_REGIONS_INDEX[Region],0))</f>
        <v>28</v>
      </c>
      <c r="E32" s="158" t="s">
        <v>427</v>
      </c>
      <c r="F32" s="159">
        <v>47.92</v>
      </c>
      <c r="G32" s="159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61" t="s">
        <v>290</v>
      </c>
      <c r="B33" s="132">
        <f>INDEX(TBL_REGIONS_INDEX[Index],MATCH(TBL_PIPED_IMPORTERS_CONNECTIONS[[#This Row],[Importer]],TBL_PIPED_IMPORTERS[Importer],0))</f>
        <v>2</v>
      </c>
      <c r="C33" s="160" t="s">
        <v>179</v>
      </c>
      <c r="D33" s="132">
        <f>INDEX(TBL_REGIONS_INDEX[Index],MATCH(TBL_PIPED_IMPORTERS_CONNECTIONS[[#This Row],[Region]],TBL_REGIONS_INDEX[Region],0))</f>
        <v>19</v>
      </c>
      <c r="E33" s="158" t="s">
        <v>428</v>
      </c>
      <c r="F33" s="159">
        <v>48.98</v>
      </c>
      <c r="G33" s="159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61" t="s">
        <v>290</v>
      </c>
      <c r="B34" s="132">
        <f>INDEX(TBL_REGIONS_INDEX[Index],MATCH(TBL_PIPED_IMPORTERS_CONNECTIONS[[#This Row],[Importer]],TBL_PIPED_IMPORTERS[Importer],0))</f>
        <v>2</v>
      </c>
      <c r="C34" s="160" t="s">
        <v>184</v>
      </c>
      <c r="D34" s="132">
        <f>INDEX(TBL_REGIONS_INDEX[Index],MATCH(TBL_PIPED_IMPORTERS_CONNECTIONS[[#This Row],[Region]],TBL_REGIONS_INDEX[Region],0))</f>
        <v>25</v>
      </c>
      <c r="E34" s="158" t="s">
        <v>429</v>
      </c>
      <c r="F34" s="159">
        <v>48.34</v>
      </c>
      <c r="G34" s="159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00" workbookViewId="0">
      <selection activeCell="E106" sqref="E106:U121"/>
    </sheetView>
    <sheetView topLeftCell="B1" workbookViewId="1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416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387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381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416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388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381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416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389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416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410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416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390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413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416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411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416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391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381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416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392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416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401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416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412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413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416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393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417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416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418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418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416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409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416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395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416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396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416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397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416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390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416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6">$A74+1</f>
        <v>19</v>
      </c>
      <c r="B78" s="177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64">
        <v>0</v>
      </c>
      <c r="O78" s="164">
        <v>0</v>
      </c>
      <c r="P78" s="164">
        <v>0</v>
      </c>
      <c r="Q78" s="164">
        <v>0</v>
      </c>
      <c r="R78" s="164">
        <v>0</v>
      </c>
      <c r="S78" s="164">
        <v>0</v>
      </c>
      <c r="T78" s="164">
        <v>0</v>
      </c>
      <c r="U78" s="164">
        <v>0</v>
      </c>
      <c r="V78" s="24" t="s">
        <v>402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2"/>
        <v>19</v>
      </c>
      <c r="B79" s="178"/>
      <c r="C79" s="85" t="str">
        <f t="shared" ref="C79:D79" si="98">IF($B78&lt;&gt;"",C75,"")</f>
        <v>Capacity - Max</v>
      </c>
      <c r="D79" s="85" t="str">
        <f t="shared" si="98"/>
        <v>GWh/day</v>
      </c>
      <c r="E79" s="163">
        <f>1161.64-987.394</f>
        <v>174.24600000000009</v>
      </c>
      <c r="F79" s="163">
        <f t="shared" ref="F79:U79" si="99">1161.64-987.394</f>
        <v>174.24600000000009</v>
      </c>
      <c r="G79" s="163">
        <f t="shared" si="99"/>
        <v>174.24600000000009</v>
      </c>
      <c r="H79" s="163">
        <f t="shared" si="99"/>
        <v>174.24600000000009</v>
      </c>
      <c r="I79" s="163">
        <f t="shared" si="99"/>
        <v>174.24600000000009</v>
      </c>
      <c r="J79" s="163">
        <f t="shared" si="99"/>
        <v>174.24600000000009</v>
      </c>
      <c r="K79" s="163">
        <f t="shared" si="99"/>
        <v>174.24600000000009</v>
      </c>
      <c r="L79" s="163">
        <f t="shared" si="99"/>
        <v>174.24600000000009</v>
      </c>
      <c r="M79" s="163">
        <f t="shared" si="99"/>
        <v>174.24600000000009</v>
      </c>
      <c r="N79" s="163">
        <f t="shared" si="99"/>
        <v>174.24600000000009</v>
      </c>
      <c r="O79" s="163">
        <f t="shared" si="99"/>
        <v>174.24600000000009</v>
      </c>
      <c r="P79" s="163">
        <f t="shared" si="99"/>
        <v>174.24600000000009</v>
      </c>
      <c r="Q79" s="163">
        <f t="shared" si="99"/>
        <v>174.24600000000009</v>
      </c>
      <c r="R79" s="163">
        <f t="shared" si="99"/>
        <v>174.24600000000009</v>
      </c>
      <c r="S79" s="163">
        <f t="shared" si="99"/>
        <v>174.24600000000009</v>
      </c>
      <c r="T79" s="163">
        <f t="shared" si="99"/>
        <v>174.24600000000009</v>
      </c>
      <c r="U79" s="163">
        <f t="shared" si="99"/>
        <v>174.24600000000009</v>
      </c>
      <c r="V79" s="25" t="s">
        <v>381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78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79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416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390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416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398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416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399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416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394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413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416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400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416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390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413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416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62">
        <v>0</v>
      </c>
      <c r="F106" s="162">
        <v>0</v>
      </c>
      <c r="G106" s="162">
        <v>0</v>
      </c>
      <c r="H106" s="162">
        <v>0</v>
      </c>
      <c r="I106" s="162">
        <v>0</v>
      </c>
      <c r="J106" s="162">
        <v>0</v>
      </c>
      <c r="K106" s="162">
        <v>0</v>
      </c>
      <c r="L106" s="162">
        <v>0</v>
      </c>
      <c r="M106" s="162">
        <v>0</v>
      </c>
      <c r="N106" s="162">
        <v>0</v>
      </c>
      <c r="O106" s="162">
        <v>0</v>
      </c>
      <c r="P106" s="162">
        <v>0</v>
      </c>
      <c r="Q106" s="162">
        <v>0</v>
      </c>
      <c r="R106" s="162">
        <v>0</v>
      </c>
      <c r="S106" s="162">
        <v>0</v>
      </c>
      <c r="T106" s="162">
        <v>0</v>
      </c>
      <c r="U106" s="162">
        <v>0</v>
      </c>
      <c r="V106" s="24"/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63">
        <v>135.6</v>
      </c>
      <c r="F107" s="163">
        <v>135.6</v>
      </c>
      <c r="G107" s="163">
        <v>135.6</v>
      </c>
      <c r="H107" s="163">
        <v>135.6</v>
      </c>
      <c r="I107" s="163">
        <v>135.6</v>
      </c>
      <c r="J107" s="163">
        <v>135.6</v>
      </c>
      <c r="K107" s="163">
        <v>135.6</v>
      </c>
      <c r="L107" s="163">
        <v>135.6</v>
      </c>
      <c r="M107" s="163">
        <v>135.6</v>
      </c>
      <c r="N107" s="163">
        <v>135.6</v>
      </c>
      <c r="O107" s="163">
        <v>135.6</v>
      </c>
      <c r="P107" s="163">
        <v>135.6</v>
      </c>
      <c r="Q107" s="163">
        <v>135.6</v>
      </c>
      <c r="R107" s="163">
        <v>135.6</v>
      </c>
      <c r="S107" s="163">
        <v>135.6</v>
      </c>
      <c r="T107" s="163">
        <v>135.6</v>
      </c>
      <c r="U107" s="163">
        <v>135.6</v>
      </c>
      <c r="V107" s="25"/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63">
        <v>14.643221870080128</v>
      </c>
      <c r="F109" s="163">
        <v>14.643221870080128</v>
      </c>
      <c r="G109" s="163">
        <v>14.643221870080128</v>
      </c>
      <c r="H109" s="163">
        <v>14.643221870080128</v>
      </c>
      <c r="I109" s="163">
        <v>14.643221870080128</v>
      </c>
      <c r="J109" s="163">
        <v>14.643221870080128</v>
      </c>
      <c r="K109" s="163">
        <v>14.643221870080128</v>
      </c>
      <c r="L109" s="163">
        <v>14.643221870080128</v>
      </c>
      <c r="M109" s="163">
        <v>14.643221870080128</v>
      </c>
      <c r="N109" s="163">
        <v>14.643221870080128</v>
      </c>
      <c r="O109" s="163">
        <v>14.643221870080128</v>
      </c>
      <c r="P109" s="163">
        <v>14.643221870080128</v>
      </c>
      <c r="Q109" s="163">
        <v>14.643221870080128</v>
      </c>
      <c r="R109" s="163">
        <v>14.643221870080128</v>
      </c>
      <c r="S109" s="163">
        <v>14.643221870080128</v>
      </c>
      <c r="T109" s="163">
        <v>14.643221870080128</v>
      </c>
      <c r="U109" s="163">
        <v>14.643221870080128</v>
      </c>
      <c r="V109" s="25"/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62">
        <v>0</v>
      </c>
      <c r="F110" s="162">
        <v>0</v>
      </c>
      <c r="G110" s="162">
        <v>0</v>
      </c>
      <c r="H110" s="162">
        <v>0</v>
      </c>
      <c r="I110" s="162">
        <v>0</v>
      </c>
      <c r="J110" s="162">
        <v>0</v>
      </c>
      <c r="K110" s="162">
        <v>0</v>
      </c>
      <c r="L110" s="162">
        <v>0</v>
      </c>
      <c r="M110" s="162">
        <v>0</v>
      </c>
      <c r="N110" s="162">
        <v>0</v>
      </c>
      <c r="O110" s="162">
        <v>0</v>
      </c>
      <c r="P110" s="162">
        <v>0</v>
      </c>
      <c r="Q110" s="162">
        <v>0</v>
      </c>
      <c r="R110" s="162">
        <v>0</v>
      </c>
      <c r="S110" s="162">
        <v>0</v>
      </c>
      <c r="T110" s="162">
        <v>0</v>
      </c>
      <c r="U110" s="162">
        <v>0</v>
      </c>
      <c r="V110" s="24"/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63">
        <v>370.9</v>
      </c>
      <c r="F111" s="163">
        <v>370.9</v>
      </c>
      <c r="G111" s="163">
        <v>370.9</v>
      </c>
      <c r="H111" s="163">
        <v>370.9</v>
      </c>
      <c r="I111" s="163">
        <v>370.9</v>
      </c>
      <c r="J111" s="163">
        <v>370.9</v>
      </c>
      <c r="K111" s="163">
        <v>370.9</v>
      </c>
      <c r="L111" s="163">
        <v>370.9</v>
      </c>
      <c r="M111" s="163">
        <v>370.9</v>
      </c>
      <c r="N111" s="163">
        <v>370.9</v>
      </c>
      <c r="O111" s="163">
        <v>370.9</v>
      </c>
      <c r="P111" s="163">
        <v>370.9</v>
      </c>
      <c r="Q111" s="163">
        <v>370.9</v>
      </c>
      <c r="R111" s="163">
        <v>370.9</v>
      </c>
      <c r="S111" s="163">
        <v>370.9</v>
      </c>
      <c r="T111" s="163">
        <v>370.9</v>
      </c>
      <c r="U111" s="163">
        <v>370.9</v>
      </c>
      <c r="V111" s="25"/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63">
        <v>14.793221870080128</v>
      </c>
      <c r="F113" s="163">
        <v>14.793221870080128</v>
      </c>
      <c r="G113" s="163">
        <v>14.793221870080128</v>
      </c>
      <c r="H113" s="163">
        <v>14.793221870080128</v>
      </c>
      <c r="I113" s="163">
        <v>14.793221870080128</v>
      </c>
      <c r="J113" s="163">
        <v>14.793221870080128</v>
      </c>
      <c r="K113" s="163">
        <v>14.793221870080128</v>
      </c>
      <c r="L113" s="163">
        <v>14.793221870080128</v>
      </c>
      <c r="M113" s="163">
        <v>14.793221870080128</v>
      </c>
      <c r="N113" s="163">
        <v>14.793221870080128</v>
      </c>
      <c r="O113" s="163">
        <v>14.793221870080128</v>
      </c>
      <c r="P113" s="163">
        <v>14.793221870080128</v>
      </c>
      <c r="Q113" s="163">
        <v>14.793221870080128</v>
      </c>
      <c r="R113" s="163">
        <v>14.793221870080128</v>
      </c>
      <c r="S113" s="163">
        <v>14.793221870080128</v>
      </c>
      <c r="T113" s="163">
        <v>14.793221870080128</v>
      </c>
      <c r="U113" s="163">
        <v>14.793221870080128</v>
      </c>
      <c r="V113" s="25"/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62">
        <v>0</v>
      </c>
      <c r="F114" s="162">
        <v>0</v>
      </c>
      <c r="G114" s="162">
        <v>0</v>
      </c>
      <c r="H114" s="162">
        <v>0</v>
      </c>
      <c r="I114" s="162">
        <v>0</v>
      </c>
      <c r="J114" s="162">
        <v>0</v>
      </c>
      <c r="K114" s="162">
        <v>0</v>
      </c>
      <c r="L114" s="162">
        <v>0</v>
      </c>
      <c r="M114" s="162">
        <v>0</v>
      </c>
      <c r="N114" s="162">
        <v>0</v>
      </c>
      <c r="O114" s="162">
        <v>0</v>
      </c>
      <c r="P114" s="162">
        <v>0</v>
      </c>
      <c r="Q114" s="162">
        <v>0</v>
      </c>
      <c r="R114" s="162">
        <v>0</v>
      </c>
      <c r="S114" s="162">
        <v>0</v>
      </c>
      <c r="T114" s="162">
        <v>0</v>
      </c>
      <c r="U114" s="162">
        <v>0</v>
      </c>
      <c r="V114" s="24"/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63">
        <v>2277.6</v>
      </c>
      <c r="F115" s="163">
        <v>2277.6</v>
      </c>
      <c r="G115" s="163">
        <v>2277.6</v>
      </c>
      <c r="H115" s="163">
        <v>2277.6</v>
      </c>
      <c r="I115" s="163">
        <v>2277.6</v>
      </c>
      <c r="J115" s="163">
        <v>2277.6</v>
      </c>
      <c r="K115" s="163">
        <v>2277.6</v>
      </c>
      <c r="L115" s="163">
        <v>2277.6</v>
      </c>
      <c r="M115" s="163">
        <v>2277.6</v>
      </c>
      <c r="N115" s="163">
        <v>2277.6</v>
      </c>
      <c r="O115" s="163">
        <v>2277.6</v>
      </c>
      <c r="P115" s="163">
        <v>2277.6</v>
      </c>
      <c r="Q115" s="163">
        <v>2277.6</v>
      </c>
      <c r="R115" s="163">
        <v>2277.6</v>
      </c>
      <c r="S115" s="163">
        <v>2277.6</v>
      </c>
      <c r="T115" s="163">
        <v>2277.6</v>
      </c>
      <c r="U115" s="163">
        <v>2277.6</v>
      </c>
      <c r="V115" s="25"/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63">
        <v>13.723221870080128</v>
      </c>
      <c r="F117" s="163">
        <v>13.723221870080128</v>
      </c>
      <c r="G117" s="163">
        <v>13.723221870080128</v>
      </c>
      <c r="H117" s="163">
        <v>13.723221870080128</v>
      </c>
      <c r="I117" s="163">
        <v>13.723221870080128</v>
      </c>
      <c r="J117" s="163">
        <v>13.723221870080128</v>
      </c>
      <c r="K117" s="163">
        <v>13.723221870080128</v>
      </c>
      <c r="L117" s="163">
        <v>13.723221870080128</v>
      </c>
      <c r="M117" s="163">
        <v>13.723221870080128</v>
      </c>
      <c r="N117" s="163">
        <v>13.723221870080128</v>
      </c>
      <c r="O117" s="163">
        <v>13.723221870080128</v>
      </c>
      <c r="P117" s="163">
        <v>13.723221870080128</v>
      </c>
      <c r="Q117" s="163">
        <v>13.723221870080128</v>
      </c>
      <c r="R117" s="163">
        <v>13.723221870080128</v>
      </c>
      <c r="S117" s="163">
        <v>13.723221870080128</v>
      </c>
      <c r="T117" s="163">
        <v>13.723221870080128</v>
      </c>
      <c r="U117" s="163">
        <v>13.723221870080128</v>
      </c>
      <c r="V117" s="25"/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62">
        <v>0</v>
      </c>
      <c r="F118" s="162">
        <v>0</v>
      </c>
      <c r="G118" s="162">
        <v>0</v>
      </c>
      <c r="H118" s="162">
        <v>0</v>
      </c>
      <c r="I118" s="162">
        <v>0</v>
      </c>
      <c r="J118" s="162">
        <v>0</v>
      </c>
      <c r="K118" s="162">
        <v>0</v>
      </c>
      <c r="L118" s="162">
        <v>0</v>
      </c>
      <c r="M118" s="162">
        <v>0</v>
      </c>
      <c r="N118" s="162">
        <v>0</v>
      </c>
      <c r="O118" s="162">
        <v>0</v>
      </c>
      <c r="P118" s="162">
        <v>0</v>
      </c>
      <c r="Q118" s="162">
        <v>0</v>
      </c>
      <c r="R118" s="162">
        <v>0</v>
      </c>
      <c r="S118" s="162">
        <v>0</v>
      </c>
      <c r="T118" s="162">
        <v>0</v>
      </c>
      <c r="U118" s="162">
        <v>0</v>
      </c>
      <c r="V118" s="24"/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63">
        <v>516.6</v>
      </c>
      <c r="F119" s="163">
        <v>516.6</v>
      </c>
      <c r="G119" s="163">
        <v>516.6</v>
      </c>
      <c r="H119" s="163">
        <v>516.6</v>
      </c>
      <c r="I119" s="163">
        <v>516.6</v>
      </c>
      <c r="J119" s="163">
        <v>516.6</v>
      </c>
      <c r="K119" s="163">
        <v>516.6</v>
      </c>
      <c r="L119" s="163">
        <v>516.6</v>
      </c>
      <c r="M119" s="163">
        <v>516.6</v>
      </c>
      <c r="N119" s="163">
        <v>516.6</v>
      </c>
      <c r="O119" s="163">
        <v>516.6</v>
      </c>
      <c r="P119" s="163">
        <v>516.6</v>
      </c>
      <c r="Q119" s="163">
        <v>516.6</v>
      </c>
      <c r="R119" s="163">
        <v>516.6</v>
      </c>
      <c r="S119" s="163">
        <v>516.6</v>
      </c>
      <c r="T119" s="163">
        <v>516.6</v>
      </c>
      <c r="U119" s="163">
        <v>516.6</v>
      </c>
      <c r="V119" s="25"/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63">
        <v>14.643221870080128</v>
      </c>
      <c r="F121" s="163">
        <v>14.643221870080128</v>
      </c>
      <c r="G121" s="163">
        <v>14.643221870080128</v>
      </c>
      <c r="H121" s="163">
        <v>14.643221870080128</v>
      </c>
      <c r="I121" s="163">
        <v>14.643221870080128</v>
      </c>
      <c r="J121" s="163">
        <v>14.643221870080128</v>
      </c>
      <c r="K121" s="163">
        <v>14.643221870080128</v>
      </c>
      <c r="L121" s="163">
        <v>14.643221870080128</v>
      </c>
      <c r="M121" s="163">
        <v>14.643221870080128</v>
      </c>
      <c r="N121" s="163">
        <v>14.643221870080128</v>
      </c>
      <c r="O121" s="163">
        <v>14.643221870080128</v>
      </c>
      <c r="P121" s="163">
        <v>14.643221870080128</v>
      </c>
      <c r="Q121" s="163">
        <v>14.643221870080128</v>
      </c>
      <c r="R121" s="163">
        <v>14.643221870080128</v>
      </c>
      <c r="S121" s="163">
        <v>14.643221870080128</v>
      </c>
      <c r="T121" s="163">
        <v>14.643221870080128</v>
      </c>
      <c r="U121" s="163">
        <v>14.643221870080128</v>
      </c>
      <c r="V121" s="25"/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G7" sqref="G7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V82" sqref="V82"/>
    </sheetView>
    <sheetView topLeftCell="B1" workbookViewId="1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425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403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425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403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425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403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425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403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425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403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425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403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425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403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425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403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425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403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425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403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425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403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425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403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425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403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425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403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425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403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425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403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425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403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425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403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425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403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425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403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425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403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425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403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425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403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425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403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425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403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425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403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425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403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425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403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2" workbookViewId="0">
      <selection activeCell="G51" sqref="G51"/>
    </sheetView>
    <sheetView tabSelected="1" topLeftCell="A34" workbookViewId="1">
      <selection activeCell="F54" sqref="F54:G54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406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407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408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abSelected="1" topLeftCell="B178" zoomScaleNormal="100" workbookViewId="0">
      <selection activeCell="H190" sqref="H190"/>
    </sheetView>
    <sheetView topLeftCell="B13" workbookViewId="1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413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77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62">
        <v>0</v>
      </c>
      <c r="F194" s="162">
        <v>0</v>
      </c>
      <c r="G194" s="162">
        <v>0</v>
      </c>
      <c r="H194" s="162">
        <v>0</v>
      </c>
      <c r="I194" s="162">
        <v>0</v>
      </c>
      <c r="J194" s="162">
        <v>0</v>
      </c>
      <c r="K194" s="162">
        <v>0</v>
      </c>
      <c r="L194" s="162">
        <v>0</v>
      </c>
      <c r="M194" s="162">
        <v>0</v>
      </c>
      <c r="N194" s="162">
        <v>0</v>
      </c>
      <c r="O194" s="162">
        <v>0</v>
      </c>
      <c r="P194" s="162">
        <v>0</v>
      </c>
      <c r="Q194" s="162">
        <v>0</v>
      </c>
      <c r="R194" s="162">
        <v>0</v>
      </c>
      <c r="S194" s="162">
        <v>0</v>
      </c>
      <c r="T194" s="162">
        <v>0</v>
      </c>
      <c r="U194" s="162">
        <v>0</v>
      </c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78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78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79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77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62">
        <v>0</v>
      </c>
      <c r="F198" s="162">
        <v>0</v>
      </c>
      <c r="G198" s="162">
        <v>0</v>
      </c>
      <c r="H198" s="162">
        <v>0</v>
      </c>
      <c r="I198" s="162">
        <v>0</v>
      </c>
      <c r="J198" s="162">
        <v>0</v>
      </c>
      <c r="K198" s="162">
        <v>0</v>
      </c>
      <c r="L198" s="162">
        <v>0</v>
      </c>
      <c r="M198" s="162">
        <v>0</v>
      </c>
      <c r="N198" s="162">
        <v>0</v>
      </c>
      <c r="O198" s="162">
        <v>0</v>
      </c>
      <c r="P198" s="162">
        <v>0</v>
      </c>
      <c r="Q198" s="162">
        <v>0</v>
      </c>
      <c r="R198" s="162">
        <v>0</v>
      </c>
      <c r="S198" s="162">
        <v>0</v>
      </c>
      <c r="T198" s="162">
        <v>0</v>
      </c>
      <c r="U198" s="162">
        <v>0</v>
      </c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78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78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79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77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62">
        <v>0</v>
      </c>
      <c r="F202" s="162">
        <v>0</v>
      </c>
      <c r="G202" s="162">
        <v>0</v>
      </c>
      <c r="H202" s="162">
        <v>0</v>
      </c>
      <c r="I202" s="162">
        <v>0</v>
      </c>
      <c r="J202" s="162">
        <v>0</v>
      </c>
      <c r="K202" s="162">
        <v>0</v>
      </c>
      <c r="L202" s="162">
        <v>0</v>
      </c>
      <c r="M202" s="162">
        <v>0</v>
      </c>
      <c r="N202" s="162">
        <v>0</v>
      </c>
      <c r="O202" s="162">
        <v>0</v>
      </c>
      <c r="P202" s="162">
        <v>0</v>
      </c>
      <c r="Q202" s="162">
        <v>0</v>
      </c>
      <c r="R202" s="162">
        <v>0</v>
      </c>
      <c r="S202" s="162">
        <v>0</v>
      </c>
      <c r="T202" s="162">
        <v>0</v>
      </c>
      <c r="U202" s="162">
        <v>0</v>
      </c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78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78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79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77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62">
        <v>0</v>
      </c>
      <c r="F206" s="162">
        <v>0</v>
      </c>
      <c r="G206" s="162">
        <v>0</v>
      </c>
      <c r="H206" s="162">
        <v>0</v>
      </c>
      <c r="I206" s="162">
        <v>0</v>
      </c>
      <c r="J206" s="162">
        <v>0</v>
      </c>
      <c r="K206" s="162">
        <v>0</v>
      </c>
      <c r="L206" s="162">
        <v>0</v>
      </c>
      <c r="M206" s="162">
        <v>0</v>
      </c>
      <c r="N206" s="162">
        <v>0</v>
      </c>
      <c r="O206" s="162">
        <v>0</v>
      </c>
      <c r="P206" s="162">
        <v>0</v>
      </c>
      <c r="Q206" s="162">
        <v>0</v>
      </c>
      <c r="R206" s="162">
        <v>0</v>
      </c>
      <c r="S206" s="162">
        <v>0</v>
      </c>
      <c r="T206" s="162">
        <v>0</v>
      </c>
      <c r="U206" s="162">
        <v>0</v>
      </c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78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78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79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413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77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62">
        <v>0</v>
      </c>
      <c r="F214" s="162">
        <v>0</v>
      </c>
      <c r="G214" s="162">
        <v>0</v>
      </c>
      <c r="H214" s="162">
        <v>0</v>
      </c>
      <c r="I214" s="162">
        <v>0</v>
      </c>
      <c r="J214" s="162">
        <v>0</v>
      </c>
      <c r="K214" s="162">
        <v>0</v>
      </c>
      <c r="L214" s="162">
        <v>0</v>
      </c>
      <c r="M214" s="162">
        <v>0</v>
      </c>
      <c r="N214" s="162">
        <v>0</v>
      </c>
      <c r="O214" s="162">
        <v>0</v>
      </c>
      <c r="P214" s="162">
        <v>0</v>
      </c>
      <c r="Q214" s="162">
        <v>0</v>
      </c>
      <c r="R214" s="162">
        <v>0</v>
      </c>
      <c r="S214" s="162">
        <v>0</v>
      </c>
      <c r="T214" s="162">
        <v>0</v>
      </c>
      <c r="U214" s="162">
        <v>0</v>
      </c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78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78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79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  <sheetView workbookViewId="1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  <sheetView workbookViewId="1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/>
    <sheetView workbookViewId="1"/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415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415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415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415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415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415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415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415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415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415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415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415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415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415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415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415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415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415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195</v>
      </c>
      <c r="B24" s="149">
        <v>158990</v>
      </c>
      <c r="C24" s="33">
        <v>90544.805000000008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415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415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R6" sqref="R6"/>
    </sheetView>
    <sheetView workbookViewId="1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98">
        <v>0.45</v>
      </c>
      <c r="H6" s="98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374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E13" sqref="E13"/>
    </sheetView>
    <sheetView workbookViewId="1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  <sheetView workbookViewId="1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  <sheetView workbookViewId="1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  <sheetView workbookViewId="1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  <sheetView workbookViewId="1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2021-11-21T19:40:29Z</dcterms:modified>
</cp:coreProperties>
</file>