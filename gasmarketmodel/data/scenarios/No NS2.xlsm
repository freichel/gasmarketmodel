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22882EE0-3577-47DC-874E-4F0891008B3E}" xr6:coauthVersionLast="47" xr6:coauthVersionMax="47" xr10:uidLastSave="{00000000-0000-0000-0000-000000000000}"/>
  <bookViews>
    <workbookView xWindow="-120" yWindow="-120" windowWidth="29040" windowHeight="15990" firstSheet="10" activeTab="10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1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9" i="10" l="1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E79" i="10"/>
  <c r="I29" i="9"/>
  <c r="I30" i="9"/>
  <c r="I31" i="9"/>
  <c r="I32" i="9"/>
  <c r="I33" i="9"/>
  <c r="B34" i="9"/>
  <c r="D34" i="9"/>
  <c r="I34" i="9"/>
  <c r="B33" i="9"/>
  <c r="D33" i="9"/>
  <c r="B32" i="9"/>
  <c r="D32" i="9"/>
  <c r="B31" i="9"/>
  <c r="D31" i="9"/>
  <c r="G14" i="16"/>
  <c r="H13" i="16"/>
  <c r="F13" i="16"/>
  <c r="F14" i="16" s="1"/>
  <c r="E13" i="16"/>
  <c r="E14" i="16" s="1"/>
  <c r="G12" i="16"/>
  <c r="H12" i="16" s="1"/>
  <c r="E12" i="16"/>
  <c r="F11" i="16"/>
  <c r="G11" i="16" s="1"/>
  <c r="H11" i="16" s="1"/>
  <c r="H34" i="9" l="1"/>
  <c r="K33" i="9"/>
  <c r="H32" i="9"/>
  <c r="K34" i="9"/>
  <c r="H33" i="9"/>
  <c r="K32" i="9"/>
  <c r="H31" i="9"/>
  <c r="K31" i="9"/>
  <c r="F15" i="16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30" i="9" s="1"/>
  <c r="B8" i="2"/>
  <c r="B9" i="2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B23" i="2"/>
  <c r="D30" i="9" s="1"/>
  <c r="B24" i="2"/>
  <c r="B25" i="2"/>
  <c r="E25" i="2" s="1"/>
  <c r="B26" i="2"/>
  <c r="B27" i="2"/>
  <c r="B28" i="2"/>
  <c r="B29" i="2"/>
  <c r="E29" i="2" s="1"/>
  <c r="B30" i="2"/>
  <c r="B31" i="2"/>
  <c r="B31" i="1" s="1"/>
  <c r="U31" i="1" s="1"/>
  <c r="B32" i="2"/>
  <c r="B33" i="2"/>
  <c r="E33" i="2" s="1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K30" i="9" l="1"/>
  <c r="H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H17" i="9" s="1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1" i="12" l="1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6" i="25"/>
  <c r="B7" i="25"/>
  <c r="D6" i="25"/>
  <c r="C6" i="25"/>
  <c r="D7" i="25"/>
  <c r="E6" i="25"/>
  <c r="C7" i="25"/>
  <c r="E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J58" i="12"/>
  <c r="J60" i="12"/>
  <c r="J11" i="12"/>
  <c r="L11" i="12" s="1"/>
  <c r="J40" i="12"/>
  <c r="L40" i="12" s="1"/>
  <c r="J39" i="12"/>
  <c r="J56" i="12"/>
  <c r="L56" i="12" s="1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J20" i="12"/>
  <c r="J22" i="12"/>
  <c r="L22" i="12" s="1"/>
  <c r="J34" i="12"/>
  <c r="L34" i="12" s="1"/>
  <c r="J51" i="12"/>
  <c r="L51" i="12" s="1"/>
  <c r="J45" i="12"/>
  <c r="L45" i="12" s="1"/>
  <c r="J21" i="12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9" i="12"/>
  <c r="L13" i="12"/>
  <c r="L21" i="12"/>
  <c r="L37" i="12"/>
  <c r="L41" i="12"/>
  <c r="L18" i="12"/>
  <c r="L26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7" i="18"/>
  <c r="W10" i="19" s="1"/>
  <c r="X10" i="19" s="1"/>
  <c r="L13" i="18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7" i="25"/>
  <c r="G6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6" i="25"/>
  <c r="L7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O6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6" i="25"/>
  <c r="P7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Q7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7" i="25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<sst xmlns="http://schemas.openxmlformats.org/spreadsheetml/2006/main" count="1382" uniqueCount="437">
  <si>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</si>
  <si>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</si>
  <si>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</si>
  <si>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</si>
  <si>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</si>
  <si>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</si>
  <si>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</si>
  <si>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</si>
  <si>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</si>
  <si>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</si>
  <si>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</si>
  <si>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</si>
  <si>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</si>
  <si>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</si>
  <si>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</si>
  <si>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</si>
  <si>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</si>
  <si>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</si>
  <si>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</si>
  <si>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</si>
  <si>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</si>
  <si>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</si>
  <si>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</si>
  <si>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</si>
  <si>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</si>
  <si>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</si>
  <si>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</si>
  <si>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</si>
  <si>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</si>
  <si>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</si>
  <si>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</si>
  <si>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</si>
  <si>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</si>
  <si>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</si>
  <si>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</si>
  <si>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</si>
  <si>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</si>
  <si>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</si>
  <si>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</si>
  <si>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</si>
  <si>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</si>
  <si>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</si>
  <si>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</si>
  <si>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</si>
  <si>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</si>
  <si>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</si>
  <si>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</si>
  <si>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</si>
  <si>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</si>
  <si>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</si>
  <si>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</si>
  <si>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</si>
  <si>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</si>
  <si>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</si>
  <si>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</si>
  <si>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</si>
  <si>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</si>
  <si>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</si>
  <si>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</si>
  <si>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</si>
  <si>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</si>
  <si>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</si>
  <si>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</si>
  <si>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</si>
  <si>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</si>
  <si>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</si>
  <si>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</si>
  <si>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</si>
  <si>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</si>
  <si>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</si>
  <si>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</si>
  <si>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</si>
  <si>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</si>
  <si>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</si>
  <si>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</si>
  <si>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</si>
  <si>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</si>
  <si>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</si>
  <si>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</si>
  <si>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</si>
  <si>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</si>
  <si>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</si>
  <si>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</si>
  <si>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</si>
  <si>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</si>
  <si>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</si>
  <si>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</si>
  <si>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</si>
  <si>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</si>
  <si>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</si>
  <si>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</si>
  <si>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</si>
  <si>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</si>
  <si>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</si>
  <si>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</si>
  <si>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</si>
  <si>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</si>
  <si>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</si>
  <si>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</si>
  <si>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</si>
  <si>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</si>
  <si>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</si>
  <si>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</si>
  <si>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</si>
  <si>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</si>
  <si>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</si>
  <si>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</si>
  <si>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</si>
  <si>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</si>
  <si>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</si>
  <si>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</si>
  <si>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</si>
  <si>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</si>
  <si>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</si>
  <si>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</si>
  <si>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</si>
  <si>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</si>
  <si>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</si>
  <si>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</si>
  <si>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</si>
  <si>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</si>
  <si>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</si>
  <si>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</si>
  <si>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</si>
  <si>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</si>
  <si>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</si>
  <si>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</si>
  <si>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</si>
  <si>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</si>
  <si>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</si>
  <si>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</si>
  <si>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</si>
  <si>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</si>
  <si>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</si>
  <si>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</si>
  <si>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</si>
  <si>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</si>
  <si>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</si>
  <si>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</si>
  <si>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</si>
  <si>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</si>
  <si>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</si>
  <si>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</si>
  <si>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</si>
  <si>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</si>
  <si>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</si>
  <si>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</si>
  <si>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</si>
  <si>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</si>
  <si>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</si>
  <si>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</si>
  <si>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</si>
  <si>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</si>
  <si>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</si>
  <si>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</si>
  <si>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</si>
  <si>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</si>
  <si>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</si>
  <si>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</si>
  <si>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</si>
  <si>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</si>
  <si>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</si>
  <si>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</si>
  <si>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</si>
  <si>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</si>
  <si>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</si>
  <si>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</si>
  <si>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</si>
  <si>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</si>
  <si>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</si>
  <si>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</si>
  <si>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</si>
  <si>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</si>
  <si>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</si>
  <si>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</si>
  <si>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</si>
  <si>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</si>
  <si>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</si>
  <si>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</si>
  <si>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</si>
  <si>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</si>
  <si>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</si>
  <si>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</si>
  <si>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</si>
  <si>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</si>
  <si>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</si>
  <si>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</si>
  <si>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</si>
  <si>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</si>
  <si>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</si>
  <si>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</si>
  <si>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</si>
  <si>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</si>
  <si>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</si>
  <si>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</si>
  <si>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</si>
  <si>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</si>
  <si>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</si>
  <si>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</si>
  <si>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</si>
  <si>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</si>
  <si>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</si>
  <si>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</si>
  <si>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</si>
  <si>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</si>
  <si>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</si>
  <si>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</si>
  <si>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</si>
  <si>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</si>
  <si>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</si>
  <si>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</si>
  <si>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</si>
  <si>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</si>
  <si>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</si>
  <si>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</si>
  <si>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</si>
  <si>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</si>
  <si>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</si>
  <si>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</si>
  <si>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</si>
  <si>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</si>
  <si>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</si>
  <si>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</si>
  <si>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</si>
  <si>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</si>
  <si>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</si>
  <si>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</si>
  <si>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</si>
  <si>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</si>
  <si>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</si>
  <si>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</si>
  <si>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</si>
  <si>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</si>
  <si>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</si>
  <si>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</si>
  <si>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</si>
  <si>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</si>
  <si>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</si>
  <si>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</si>
  <si>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</si>
  <si>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</si>
  <si>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</si>
  <si>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</si>
  <si>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</si>
  <si>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</si>
  <si>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</si>
  <si>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</si>
  <si>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</si>
  <si>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</si>
  <si>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</si>
  <si>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</si>
  <si>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</si>
  <si>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</si>
  <si>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</si>
  <si>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</si>
  <si>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</si>
  <si>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</si>
  <si>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</si>
  <si>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</si>
  <si>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</si>
  <si>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</si>
  <si>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</si>
  <si>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</si>
  <si>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</si>
  <si>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</si>
  <si>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</si>
  <si>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</si>
  <si>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</si>
  <si>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</si>
  <si>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</si>
  <si>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</si>
  <si>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</si>
  <si>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</si>
  <si>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</si>
  <si>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</si>
  <si>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</si>
  <si>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</si>
  <si>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</si>
  <si>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</si>
  <si>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</si>
  <si>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</si>
  <si>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</si>
  <si>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</si>
  <si>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</si>
  <si>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</si>
  <si>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</si>
  <si>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</si>
  <si>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</si>
  <si>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</si>
  <si>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</si>
  <si>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</si>
  <si>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</si>
  <si>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</si>
  <si>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</si>
  <si>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</si>
  <si>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</si>
  <si>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</si>
  <si>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</si>
  <si>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</si>
  <si>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</si>
  <si>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</si>
  <si>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</si>
  <si>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</si>
  <si>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</si>
  <si>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</si>
  <si>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</si>
  <si>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</si>
  <si>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</si>
  <si>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</si>
  <si>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</si>
  <si>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</si>
  <si>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</si>
  <si>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</si>
  <si>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</si>
  <si>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</si>
  <si>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</si>
  <si>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</si>
  <si>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</si>
  <si>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</si>
  <si>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</si>
  <si>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</si>
  <si>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</si>
  <si>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</si>
  <si>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</si>
  <si>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</si>
  <si>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</si>
  <si>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</si>
  <si>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</si>
  <si>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</si>
  <si>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</si>
  <si>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</si>
  <si>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</si>
  <si>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</si>
  <si>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</si>
  <si>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</si>
  <si>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</si>
  <si>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</si>
  <si>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</si>
  <si>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</si>
  <si>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</si>
  <si>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</si>
  <si>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</si>
  <si>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</si>
  <si>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</si>
  <si>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</si>
  <si>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</si>
  <si>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</si>
  <si>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</si>
  <si>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</si>
  <si>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</si>
  <si>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</si>
  <si>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</si>
  <si>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</si>
  <si>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</si>
  <si>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</si>
  <si>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</si>
  <si>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</si>
  <si>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</si>
  <si>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</si>
  <si>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</si>
  <si>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</si>
  <si>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</si>
  <si>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</si>
  <si>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</si>
  <si>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</si>
  <si>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</si>
  <si>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</si>
  <si>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</si>
  <si>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</si>
  <si>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</si>
  <si>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</si>
  <si>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</si>
  <si>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</si>
  <si>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</si>
  <si>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Europe-2016-10-01-2021-10-31.xls; Tab: Tabelle2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</si>
  <si>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</si>
  <si>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</si>
  <si>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</si>
  <si>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</si>
  <si>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</si>
  <si>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</si>
  <si>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</si>
  <si>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</si>
  <si>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</si>
  <si>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</si>
  <si>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</si>
  <si>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</si>
  <si>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Estland_RU_export_operationaldata_2021_11_11_173307.xlsx</t>
  </si>
  <si>
    <t>FI_RU_export_operationaldata_2021_11_11_173520.xlsx</t>
  </si>
  <si>
    <t>FR_NO_export_operationaldata_2021_11_11_174702.xlsx</t>
  </si>
  <si>
    <t>(keine Angaben verfügbar)</t>
  </si>
  <si>
    <t>LI_RU_export_operationaldata_2021_11_11_182128.xlsx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</si>
  <si>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</si>
  <si>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</si>
  <si>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</si>
  <si>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</si>
  <si>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</si>
  <si>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</si>
  <si>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</si>
  <si>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</si>
  <si>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</si>
  <si>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</si>
  <si>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Annahme: 85% der bereits gebuchten Transitkapazität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</si>
  <si>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</si>
  <si>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</si>
  <si>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</si>
  <si>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</si>
  <si>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</si>
  <si>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</si>
  <si>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</si>
  <si>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</si>
  <si>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</si>
  <si>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</si>
  <si>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</si>
  <si>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</si>
  <si>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</si>
  <si>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</si>
  <si>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</si>
  <si>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</si>
  <si>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</si>
  <si>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nicht mehr als 40% des Gesamt-Demand und nicht weniger als Pipeline-Kapazitäten ohne Nord Stream 2; Zahl entspricht 195 bcm)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</si>
  <si>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</si>
  <si>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</si>
  <si>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</si>
  <si>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Szenario-Annahme</t>
  </si>
  <si>
    <t>LNG-Kurve aus ewi-Papier eingefügt (2020, low LNG Demand);
Nord Stream 2 nicht verfügbar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</si>
  <si>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</si>
  <si>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</si>
  <si>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</si>
  <si>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</si>
  <si>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</si>
  <si>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No NS2</t>
  </si>
  <si>
    <t>SupplyCurveLNG_v7.xlsx; Tab: o1 (alle Zeilen)</t>
  </si>
  <si>
    <t>Sum</t>
  </si>
  <si>
    <t>Average</t>
  </si>
  <si>
    <t>Running Total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</si>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</sst>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4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0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0" fontId="12" fillId="0" borderId="0" xfId="0" applyFont="1" applyAlignment="1">
      <alignment horizontal="left" vertical="center"/>
    </xf>
    <xf numFmtId="164" fontId="12" fillId="0" borderId="0" xfId="0" applyNumberFormat="1" applyFont="1" applyFill="1" applyAlignment="1">
      <alignment horizontal="left" vertical="center"/>
    </xf>
    <xf numFmtId="49" fontId="12" fillId="0" borderId="0" xfId="0" applyNumberFormat="1" applyFont="1" applyFill="1" applyAlignment="1">
      <alignment horizontal="left" vertical="center" wrapText="1"/>
    </xf>
    <xf numFmtId="167" fontId="12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12" fillId="5" borderId="8" xfId="0" applyNumberFormat="1" applyFont="1" applyFill="1" applyBorder="1" applyAlignment="1">
      <alignment horizontal="center" vertical="center"/>
    </xf>
    <xf numFmtId="4" fontId="13" fillId="5" borderId="8" xfId="0" applyNumberFormat="1" applyFont="1" applyFill="1" applyBorder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 wrapText="1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16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4" sqref="A14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>
      <selection activeCell="B4" sqref="B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431</v>
      </c>
    </row>
    <row r="6" spans="1:3" x14ac:dyDescent="0.25">
      <c r="A6" s="167" t="s">
        <v>28</v>
      </c>
      <c r="B6" s="167"/>
      <c r="C6" s="167"/>
    </row>
    <row r="7" spans="1:3" x14ac:dyDescent="0.25">
      <c r="A7" s="168" t="s">
        <v>425</v>
      </c>
      <c r="B7" s="169"/>
      <c r="C7" s="170"/>
    </row>
    <row r="8" spans="1:3" x14ac:dyDescent="0.25">
      <c r="A8" s="171"/>
      <c r="B8" s="172"/>
      <c r="C8" s="173"/>
    </row>
    <row r="9" spans="1:3" x14ac:dyDescent="0.25">
      <c r="A9" s="171"/>
      <c r="B9" s="172"/>
      <c r="C9" s="173"/>
    </row>
    <row r="10" spans="1:3" x14ac:dyDescent="0.25">
      <c r="A10" s="171"/>
      <c r="B10" s="172"/>
      <c r="C10" s="173"/>
    </row>
    <row r="11" spans="1:3" x14ac:dyDescent="0.25">
      <c r="A11" s="171"/>
      <c r="B11" s="172"/>
      <c r="C11" s="173"/>
    </row>
    <row r="12" spans="1:3" x14ac:dyDescent="0.25">
      <c r="A12" s="171"/>
      <c r="B12" s="172"/>
      <c r="C12" s="173"/>
    </row>
    <row r="13" spans="1:3" x14ac:dyDescent="0.25">
      <c r="A13" s="171"/>
      <c r="B13" s="172"/>
      <c r="C13" s="173"/>
    </row>
    <row r="14" spans="1:3" x14ac:dyDescent="0.25">
      <c r="A14" s="171"/>
      <c r="B14" s="172"/>
      <c r="C14" s="173"/>
    </row>
    <row r="15" spans="1:3" x14ac:dyDescent="0.25">
      <c r="A15" s="174"/>
      <c r="B15" s="175"/>
      <c r="C15" s="17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topLeftCell="A5" zoomScale="85" zoomScaleNormal="85" workbookViewId="0">
      <selection activeCell="A6" sqref="A6:S905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432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3.4701747720580229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3.4701747720580229</v>
      </c>
      <c r="K260" s="26">
        <v>2.9123317587198851</v>
      </c>
      <c r="L260" s="26">
        <v>3.4701747720580229</v>
      </c>
      <c r="M260" s="26">
        <v>2.9123317587198851</v>
      </c>
      <c r="N260" s="26">
        <v>2.9123317587198851</v>
      </c>
      <c r="O260" s="26">
        <v>3.4701747720580229</v>
      </c>
      <c r="P260" s="26">
        <v>2.9123317587198851</v>
      </c>
      <c r="Q260" s="26">
        <v>3.4701747720580229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5.305592301154971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5.305592301154971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5.305592301154971</v>
      </c>
      <c r="D332" s="26">
        <v>5.305592301154971</v>
      </c>
      <c r="E332" s="26">
        <v>5.305592301154971</v>
      </c>
      <c r="F332" s="26">
        <v>5.305592301154971</v>
      </c>
      <c r="G332" s="26">
        <v>5.1468442491173727</v>
      </c>
      <c r="H332" s="26">
        <v>5.305592301154971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5.305592301154971</v>
      </c>
      <c r="D333" s="30">
        <v>5.305592301154971</v>
      </c>
      <c r="E333" s="30">
        <v>5.305592301154971</v>
      </c>
      <c r="F333" s="30">
        <v>5.305592301154971</v>
      </c>
      <c r="G333" s="30">
        <v>5.1468442491173727</v>
      </c>
      <c r="H333" s="30">
        <v>5.305592301154971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5.305592301154971</v>
      </c>
      <c r="D334" s="26">
        <v>5.305592301154971</v>
      </c>
      <c r="E334" s="26">
        <v>5.305592301154971</v>
      </c>
      <c r="F334" s="26">
        <v>5.305592301154971</v>
      </c>
      <c r="G334" s="26">
        <v>5.1468442491173727</v>
      </c>
      <c r="H334" s="26">
        <v>5.305592301154971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5.305592301154971</v>
      </c>
      <c r="D335" s="30">
        <v>5.305592301154971</v>
      </c>
      <c r="E335" s="30">
        <v>5.305592301154971</v>
      </c>
      <c r="F335" s="30">
        <v>5.305592301154971</v>
      </c>
      <c r="G335" s="30">
        <v>5.1468442491173727</v>
      </c>
      <c r="H335" s="30">
        <v>5.62012705634534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5.305592301154971</v>
      </c>
      <c r="D336" s="26">
        <v>5.305592301154971</v>
      </c>
      <c r="E336" s="26">
        <v>5.305592301154971</v>
      </c>
      <c r="F336" s="26">
        <v>5.305592301154971</v>
      </c>
      <c r="G336" s="26">
        <v>5.1468442491173727</v>
      </c>
      <c r="H336" s="26">
        <v>5.62012705634534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5.62012705634534</v>
      </c>
      <c r="D337" s="30">
        <v>5.305592301154971</v>
      </c>
      <c r="E337" s="30">
        <v>5.62012705634534</v>
      </c>
      <c r="F337" s="30">
        <v>5.305592301154971</v>
      </c>
      <c r="G337" s="30">
        <v>5.1468442491173727</v>
      </c>
      <c r="H337" s="30">
        <v>5.62012705634534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5.62012705634534</v>
      </c>
      <c r="D338" s="26">
        <v>5.305592301154971</v>
      </c>
      <c r="E338" s="26">
        <v>5.62012705634534</v>
      </c>
      <c r="F338" s="26">
        <v>5.305592301154971</v>
      </c>
      <c r="G338" s="26">
        <v>5.1468442491173727</v>
      </c>
      <c r="H338" s="26">
        <v>5.62012705634534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5.62012705634534</v>
      </c>
      <c r="D339" s="30">
        <v>5.305592301154971</v>
      </c>
      <c r="E339" s="30">
        <v>5.62012705634534</v>
      </c>
      <c r="F339" s="30">
        <v>5.305592301154971</v>
      </c>
      <c r="G339" s="30">
        <v>5.1468442491173727</v>
      </c>
      <c r="H339" s="30">
        <v>5.62012705634534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5.62012705634534</v>
      </c>
      <c r="D340" s="26">
        <v>5.305592301154971</v>
      </c>
      <c r="E340" s="26">
        <v>5.62012705634534</v>
      </c>
      <c r="F340" s="26">
        <v>5.305592301154971</v>
      </c>
      <c r="G340" s="26">
        <v>5.1468442491173727</v>
      </c>
      <c r="H340" s="26">
        <v>5.6746610820285817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5.62012705634534</v>
      </c>
      <c r="D341" s="30">
        <v>5.305592301154971</v>
      </c>
      <c r="E341" s="30">
        <v>5.62012705634534</v>
      </c>
      <c r="F341" s="30">
        <v>5.305592301154971</v>
      </c>
      <c r="G341" s="30">
        <v>5.1468442491173727</v>
      </c>
      <c r="H341" s="30">
        <v>5.6746610820285817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5.62012705634534</v>
      </c>
      <c r="D342" s="26">
        <v>5.305592301154971</v>
      </c>
      <c r="E342" s="26">
        <v>5.62012705634534</v>
      </c>
      <c r="F342" s="26">
        <v>5.305592301154971</v>
      </c>
      <c r="G342" s="26">
        <v>5.1468442491173727</v>
      </c>
      <c r="H342" s="26">
        <v>5.6746610820285817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5.305592301154971</v>
      </c>
      <c r="C343" s="30">
        <v>5.6746610820285817</v>
      </c>
      <c r="D343" s="30">
        <v>5.305592301154971</v>
      </c>
      <c r="E343" s="30">
        <v>5.6746610820285817</v>
      </c>
      <c r="F343" s="30">
        <v>5.305592301154971</v>
      </c>
      <c r="G343" s="30">
        <v>5.1468442491173727</v>
      </c>
      <c r="H343" s="30">
        <v>5.6746610820285817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5.305592301154971</v>
      </c>
      <c r="C344" s="26">
        <v>5.6746610820285817</v>
      </c>
      <c r="D344" s="26">
        <v>5.305592301154971</v>
      </c>
      <c r="E344" s="26">
        <v>5.6746610820285817</v>
      </c>
      <c r="F344" s="26">
        <v>5.305592301154971</v>
      </c>
      <c r="G344" s="26">
        <v>5.1468442491173727</v>
      </c>
      <c r="H344" s="26">
        <v>5.6746610820285817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5.305592301154971</v>
      </c>
      <c r="C345" s="30">
        <v>5.6746610820285817</v>
      </c>
      <c r="D345" s="30">
        <v>5.305592301154971</v>
      </c>
      <c r="E345" s="30">
        <v>5.6746610820285817</v>
      </c>
      <c r="F345" s="30">
        <v>5.305592301154971</v>
      </c>
      <c r="G345" s="30">
        <v>5.1468442491173727</v>
      </c>
      <c r="H345" s="30">
        <v>5.6746610820285817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5.305592301154971</v>
      </c>
      <c r="C346" s="26">
        <v>5.6746610820285817</v>
      </c>
      <c r="D346" s="26">
        <v>5.305592301154971</v>
      </c>
      <c r="E346" s="26">
        <v>5.6746610820285817</v>
      </c>
      <c r="F346" s="26">
        <v>5.305592301154971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5.305592301154971</v>
      </c>
      <c r="C347" s="30">
        <v>5.6746610820285817</v>
      </c>
      <c r="D347" s="30">
        <v>5.305592301154971</v>
      </c>
      <c r="E347" s="30">
        <v>5.6746610820285817</v>
      </c>
      <c r="F347" s="30">
        <v>5.305592301154971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5.62012705634534</v>
      </c>
      <c r="C348" s="26">
        <v>5.6746610820285817</v>
      </c>
      <c r="D348" s="26">
        <v>5.62012705634534</v>
      </c>
      <c r="E348" s="26">
        <v>5.6746610820285817</v>
      </c>
      <c r="F348" s="26">
        <v>5.62012705634534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5.62012705634534</v>
      </c>
      <c r="C349" s="30">
        <v>5.7486774140658703</v>
      </c>
      <c r="D349" s="30">
        <v>5.62012705634534</v>
      </c>
      <c r="E349" s="30">
        <v>5.7486774140658703</v>
      </c>
      <c r="F349" s="30">
        <v>5.62012705634534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5.62012705634534</v>
      </c>
      <c r="C350" s="26">
        <v>5.7486774140658703</v>
      </c>
      <c r="D350" s="26">
        <v>5.62012705634534</v>
      </c>
      <c r="E350" s="26">
        <v>5.7486774140658703</v>
      </c>
      <c r="F350" s="26">
        <v>5.62012705634534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5.62012705634534</v>
      </c>
      <c r="C351" s="30">
        <v>5.7486774140658703</v>
      </c>
      <c r="D351" s="30">
        <v>5.62012705634534</v>
      </c>
      <c r="E351" s="30">
        <v>5.7486774140658703</v>
      </c>
      <c r="F351" s="30">
        <v>5.62012705634534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5.62012705634534</v>
      </c>
      <c r="C352" s="26">
        <v>5.7486774140658703</v>
      </c>
      <c r="D352" s="26">
        <v>5.62012705634534</v>
      </c>
      <c r="E352" s="26">
        <v>5.7486774140658703</v>
      </c>
      <c r="F352" s="26">
        <v>5.62012705634534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5.62012705634534</v>
      </c>
      <c r="C353" s="30">
        <v>5.7486774140658703</v>
      </c>
      <c r="D353" s="30">
        <v>5.62012705634534</v>
      </c>
      <c r="E353" s="30">
        <v>5.7486774140658703</v>
      </c>
      <c r="F353" s="30">
        <v>5.62012705634534</v>
      </c>
      <c r="G353" s="30">
        <v>5.305592301154971</v>
      </c>
      <c r="H353" s="30">
        <v>5.7486774140658703</v>
      </c>
      <c r="I353" s="30">
        <v>5.305592301154971</v>
      </c>
      <c r="J353" s="30">
        <v>5.305592301154971</v>
      </c>
      <c r="K353" s="30">
        <v>5.305592301154971</v>
      </c>
      <c r="L353" s="30">
        <v>5.305592301154971</v>
      </c>
      <c r="M353" s="30">
        <v>5.305592301154971</v>
      </c>
      <c r="N353" s="30">
        <v>5.305592301154971</v>
      </c>
      <c r="O353" s="30">
        <v>5.305592301154971</v>
      </c>
      <c r="P353" s="30">
        <v>5.305592301154971</v>
      </c>
      <c r="Q353" s="30">
        <v>5.305592301154971</v>
      </c>
      <c r="R353" s="30">
        <v>5.305592301154971</v>
      </c>
      <c r="S353" s="25"/>
    </row>
    <row r="354" spans="1:19" x14ac:dyDescent="0.25">
      <c r="A354" s="26">
        <v>3.49</v>
      </c>
      <c r="B354" s="26">
        <v>5.6746610820285817</v>
      </c>
      <c r="C354" s="26">
        <v>5.7486774140658703</v>
      </c>
      <c r="D354" s="26">
        <v>5.6746610820285817</v>
      </c>
      <c r="E354" s="26">
        <v>5.7486774140658703</v>
      </c>
      <c r="F354" s="26">
        <v>5.6746610820285817</v>
      </c>
      <c r="G354" s="26">
        <v>5.305592301154971</v>
      </c>
      <c r="H354" s="26">
        <v>5.7486774140658703</v>
      </c>
      <c r="I354" s="26">
        <v>5.305592301154971</v>
      </c>
      <c r="J354" s="26">
        <v>5.305592301154971</v>
      </c>
      <c r="K354" s="26">
        <v>5.305592301154971</v>
      </c>
      <c r="L354" s="26">
        <v>5.305592301154971</v>
      </c>
      <c r="M354" s="26">
        <v>5.305592301154971</v>
      </c>
      <c r="N354" s="26">
        <v>5.305592301154971</v>
      </c>
      <c r="O354" s="26">
        <v>5.305592301154971</v>
      </c>
      <c r="P354" s="26">
        <v>5.305592301154971</v>
      </c>
      <c r="Q354" s="26">
        <v>5.305592301154971</v>
      </c>
      <c r="R354" s="26">
        <v>5.305592301154971</v>
      </c>
      <c r="S354" s="24"/>
    </row>
    <row r="355" spans="1:19" x14ac:dyDescent="0.25">
      <c r="A355" s="30">
        <v>3.5</v>
      </c>
      <c r="B355" s="30">
        <v>5.6746610820285817</v>
      </c>
      <c r="C355" s="30">
        <v>5.7486774140658703</v>
      </c>
      <c r="D355" s="30">
        <v>5.6746610820285817</v>
      </c>
      <c r="E355" s="30">
        <v>5.7486774140658703</v>
      </c>
      <c r="F355" s="30">
        <v>5.6746610820285817</v>
      </c>
      <c r="G355" s="30">
        <v>5.305592301154971</v>
      </c>
      <c r="H355" s="30">
        <v>5.7486774140658703</v>
      </c>
      <c r="I355" s="30">
        <v>5.305592301154971</v>
      </c>
      <c r="J355" s="30">
        <v>5.305592301154971</v>
      </c>
      <c r="K355" s="30">
        <v>5.305592301154971</v>
      </c>
      <c r="L355" s="30">
        <v>5.305592301154971</v>
      </c>
      <c r="M355" s="30">
        <v>5.305592301154971</v>
      </c>
      <c r="N355" s="30">
        <v>5.305592301154971</v>
      </c>
      <c r="O355" s="30">
        <v>5.305592301154971</v>
      </c>
      <c r="P355" s="30">
        <v>5.305592301154971</v>
      </c>
      <c r="Q355" s="30">
        <v>5.305592301154971</v>
      </c>
      <c r="R355" s="30">
        <v>5.305592301154971</v>
      </c>
      <c r="S355" s="25"/>
    </row>
    <row r="356" spans="1:19" x14ac:dyDescent="0.25">
      <c r="A356" s="26">
        <v>3.51</v>
      </c>
      <c r="B356" s="26">
        <v>5.6746610820285817</v>
      </c>
      <c r="C356" s="26">
        <v>5.7486774140658703</v>
      </c>
      <c r="D356" s="26">
        <v>5.6746610820285817</v>
      </c>
      <c r="E356" s="26">
        <v>5.7486774140658703</v>
      </c>
      <c r="F356" s="26">
        <v>5.6746610820285817</v>
      </c>
      <c r="G356" s="26">
        <v>5.305592301154971</v>
      </c>
      <c r="H356" s="26">
        <v>5.7486774140658703</v>
      </c>
      <c r="I356" s="26">
        <v>5.305592301154971</v>
      </c>
      <c r="J356" s="26">
        <v>5.305592301154971</v>
      </c>
      <c r="K356" s="26">
        <v>5.305592301154971</v>
      </c>
      <c r="L356" s="26">
        <v>5.305592301154971</v>
      </c>
      <c r="M356" s="26">
        <v>5.305592301154971</v>
      </c>
      <c r="N356" s="26">
        <v>5.305592301154971</v>
      </c>
      <c r="O356" s="26">
        <v>5.305592301154971</v>
      </c>
      <c r="P356" s="26">
        <v>5.305592301154971</v>
      </c>
      <c r="Q356" s="26">
        <v>5.305592301154971</v>
      </c>
      <c r="R356" s="26">
        <v>5.305592301154971</v>
      </c>
      <c r="S356" s="24"/>
    </row>
    <row r="357" spans="1:19" x14ac:dyDescent="0.25">
      <c r="A357" s="30">
        <v>3.52</v>
      </c>
      <c r="B357" s="30">
        <v>5.6746610820285817</v>
      </c>
      <c r="C357" s="30">
        <v>5.7486774140658703</v>
      </c>
      <c r="D357" s="30">
        <v>5.6746610820285817</v>
      </c>
      <c r="E357" s="30">
        <v>5.7486774140658703</v>
      </c>
      <c r="F357" s="30">
        <v>5.6746610820285817</v>
      </c>
      <c r="G357" s="30">
        <v>5.305592301154971</v>
      </c>
      <c r="H357" s="30">
        <v>5.7486774140658703</v>
      </c>
      <c r="I357" s="30">
        <v>5.305592301154971</v>
      </c>
      <c r="J357" s="30">
        <v>5.305592301154971</v>
      </c>
      <c r="K357" s="30">
        <v>5.305592301154971</v>
      </c>
      <c r="L357" s="30">
        <v>5.305592301154971</v>
      </c>
      <c r="M357" s="30">
        <v>5.305592301154971</v>
      </c>
      <c r="N357" s="30">
        <v>5.305592301154971</v>
      </c>
      <c r="O357" s="30">
        <v>5.305592301154971</v>
      </c>
      <c r="P357" s="30">
        <v>5.305592301154971</v>
      </c>
      <c r="Q357" s="30">
        <v>5.305592301154971</v>
      </c>
      <c r="R357" s="30">
        <v>5.305592301154971</v>
      </c>
      <c r="S357" s="25"/>
    </row>
    <row r="358" spans="1:19" x14ac:dyDescent="0.25">
      <c r="A358" s="26">
        <v>3.53</v>
      </c>
      <c r="B358" s="26">
        <v>5.6746610820285817</v>
      </c>
      <c r="C358" s="26">
        <v>5.7486774140658703</v>
      </c>
      <c r="D358" s="26">
        <v>5.6746610820285817</v>
      </c>
      <c r="E358" s="26">
        <v>5.7486774140658703</v>
      </c>
      <c r="F358" s="26">
        <v>5.6746610820285817</v>
      </c>
      <c r="G358" s="26">
        <v>5.305592301154971</v>
      </c>
      <c r="H358" s="26">
        <v>5.7486774140658703</v>
      </c>
      <c r="I358" s="26">
        <v>5.305592301154971</v>
      </c>
      <c r="J358" s="26">
        <v>5.305592301154971</v>
      </c>
      <c r="K358" s="26">
        <v>5.305592301154971</v>
      </c>
      <c r="L358" s="26">
        <v>5.305592301154971</v>
      </c>
      <c r="M358" s="26">
        <v>5.305592301154971</v>
      </c>
      <c r="N358" s="26">
        <v>5.305592301154971</v>
      </c>
      <c r="O358" s="26">
        <v>5.305592301154971</v>
      </c>
      <c r="P358" s="26">
        <v>5.305592301154971</v>
      </c>
      <c r="Q358" s="26">
        <v>5.305592301154971</v>
      </c>
      <c r="R358" s="26">
        <v>5.305592301154971</v>
      </c>
      <c r="S358" s="24"/>
    </row>
    <row r="359" spans="1:19" x14ac:dyDescent="0.25">
      <c r="A359" s="30">
        <v>3.54</v>
      </c>
      <c r="B359" s="30">
        <v>5.6746610820285817</v>
      </c>
      <c r="C359" s="30">
        <v>5.7486774140658703</v>
      </c>
      <c r="D359" s="30">
        <v>5.6746610820285817</v>
      </c>
      <c r="E359" s="30">
        <v>5.7486774140658703</v>
      </c>
      <c r="F359" s="30">
        <v>5.6746610820285817</v>
      </c>
      <c r="G359" s="30">
        <v>5.305592301154971</v>
      </c>
      <c r="H359" s="30">
        <v>5.7486774140658703</v>
      </c>
      <c r="I359" s="30">
        <v>5.305592301154971</v>
      </c>
      <c r="J359" s="30">
        <v>5.62012705634534</v>
      </c>
      <c r="K359" s="30">
        <v>5.305592301154971</v>
      </c>
      <c r="L359" s="30">
        <v>5.62012705634534</v>
      </c>
      <c r="M359" s="30">
        <v>5.305592301154971</v>
      </c>
      <c r="N359" s="30">
        <v>5.305592301154971</v>
      </c>
      <c r="O359" s="30">
        <v>5.62012705634534</v>
      </c>
      <c r="P359" s="30">
        <v>5.305592301154971</v>
      </c>
      <c r="Q359" s="30">
        <v>5.62012705634534</v>
      </c>
      <c r="R359" s="30">
        <v>5.305592301154971</v>
      </c>
      <c r="S359" s="25"/>
    </row>
    <row r="360" spans="1:19" x14ac:dyDescent="0.25">
      <c r="A360" s="26">
        <v>3.55</v>
      </c>
      <c r="B360" s="26">
        <v>5.6746610820285817</v>
      </c>
      <c r="C360" s="26">
        <v>5.7486774140658703</v>
      </c>
      <c r="D360" s="26">
        <v>5.6746610820285817</v>
      </c>
      <c r="E360" s="26">
        <v>5.7486774140658703</v>
      </c>
      <c r="F360" s="26">
        <v>5.6746610820285817</v>
      </c>
      <c r="G360" s="26">
        <v>5.305592301154971</v>
      </c>
      <c r="H360" s="26">
        <v>5.7486774140658703</v>
      </c>
      <c r="I360" s="26">
        <v>5.305592301154971</v>
      </c>
      <c r="J360" s="26">
        <v>5.62012705634534</v>
      </c>
      <c r="K360" s="26">
        <v>5.305592301154971</v>
      </c>
      <c r="L360" s="26">
        <v>5.62012705634534</v>
      </c>
      <c r="M360" s="26">
        <v>5.305592301154971</v>
      </c>
      <c r="N360" s="26">
        <v>5.305592301154971</v>
      </c>
      <c r="O360" s="26">
        <v>5.62012705634534</v>
      </c>
      <c r="P360" s="26">
        <v>5.305592301154971</v>
      </c>
      <c r="Q360" s="26">
        <v>5.62012705634534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5.62012705634534</v>
      </c>
      <c r="K361" s="30">
        <v>5.305592301154971</v>
      </c>
      <c r="L361" s="30">
        <v>5.62012705634534</v>
      </c>
      <c r="M361" s="30">
        <v>5.305592301154971</v>
      </c>
      <c r="N361" s="30">
        <v>5.305592301154971</v>
      </c>
      <c r="O361" s="30">
        <v>5.62012705634534</v>
      </c>
      <c r="P361" s="30">
        <v>5.305592301154971</v>
      </c>
      <c r="Q361" s="30">
        <v>5.62012705634534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5.62012705634534</v>
      </c>
      <c r="K362" s="26">
        <v>5.305592301154971</v>
      </c>
      <c r="L362" s="26">
        <v>5.62012705634534</v>
      </c>
      <c r="M362" s="26">
        <v>5.305592301154971</v>
      </c>
      <c r="N362" s="26">
        <v>5.305592301154971</v>
      </c>
      <c r="O362" s="26">
        <v>5.62012705634534</v>
      </c>
      <c r="P362" s="26">
        <v>5.305592301154971</v>
      </c>
      <c r="Q362" s="26">
        <v>5.62012705634534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5.62012705634534</v>
      </c>
      <c r="K363" s="30">
        <v>5.305592301154971</v>
      </c>
      <c r="L363" s="30">
        <v>5.62012705634534</v>
      </c>
      <c r="M363" s="30">
        <v>5.305592301154971</v>
      </c>
      <c r="N363" s="30">
        <v>5.305592301154971</v>
      </c>
      <c r="O363" s="30">
        <v>5.62012705634534</v>
      </c>
      <c r="P363" s="30">
        <v>5.305592301154971</v>
      </c>
      <c r="Q363" s="30">
        <v>5.62012705634534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5.6746610820285817</v>
      </c>
      <c r="K364" s="26">
        <v>5.305592301154971</v>
      </c>
      <c r="L364" s="26">
        <v>5.6746610820285817</v>
      </c>
      <c r="M364" s="26">
        <v>5.305592301154971</v>
      </c>
      <c r="N364" s="26">
        <v>5.305592301154971</v>
      </c>
      <c r="O364" s="26">
        <v>5.6746610820285817</v>
      </c>
      <c r="P364" s="26">
        <v>5.305592301154971</v>
      </c>
      <c r="Q364" s="26">
        <v>5.6746610820285817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5.305592301154971</v>
      </c>
      <c r="H365" s="30">
        <v>5.7486774140658703</v>
      </c>
      <c r="I365" s="30">
        <v>5.305592301154971</v>
      </c>
      <c r="J365" s="30">
        <v>5.6746610820285817</v>
      </c>
      <c r="K365" s="30">
        <v>5.305592301154971</v>
      </c>
      <c r="L365" s="30">
        <v>5.6746610820285817</v>
      </c>
      <c r="M365" s="30">
        <v>5.305592301154971</v>
      </c>
      <c r="N365" s="30">
        <v>5.305592301154971</v>
      </c>
      <c r="O365" s="30">
        <v>5.6746610820285817</v>
      </c>
      <c r="P365" s="30">
        <v>5.305592301154971</v>
      </c>
      <c r="Q365" s="30">
        <v>5.6746610820285817</v>
      </c>
      <c r="R365" s="30">
        <v>5.305592301154971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5.305592301154971</v>
      </c>
      <c r="H366" s="26">
        <v>5.7486774140658703</v>
      </c>
      <c r="I366" s="26">
        <v>5.305592301154971</v>
      </c>
      <c r="J366" s="26">
        <v>5.6746610820285817</v>
      </c>
      <c r="K366" s="26">
        <v>5.305592301154971</v>
      </c>
      <c r="L366" s="26">
        <v>5.6746610820285817</v>
      </c>
      <c r="M366" s="26">
        <v>5.305592301154971</v>
      </c>
      <c r="N366" s="26">
        <v>5.305592301154971</v>
      </c>
      <c r="O366" s="26">
        <v>5.6746610820285817</v>
      </c>
      <c r="P366" s="26">
        <v>5.305592301154971</v>
      </c>
      <c r="Q366" s="26">
        <v>5.6746610820285817</v>
      </c>
      <c r="R366" s="26">
        <v>5.305592301154971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5.305592301154971</v>
      </c>
      <c r="H367" s="30">
        <v>5.7486774140658703</v>
      </c>
      <c r="I367" s="30">
        <v>5.305592301154971</v>
      </c>
      <c r="J367" s="30">
        <v>5.6746610820285817</v>
      </c>
      <c r="K367" s="30">
        <v>5.305592301154971</v>
      </c>
      <c r="L367" s="30">
        <v>5.6746610820285817</v>
      </c>
      <c r="M367" s="30">
        <v>5.305592301154971</v>
      </c>
      <c r="N367" s="30">
        <v>5.305592301154971</v>
      </c>
      <c r="O367" s="30">
        <v>5.6746610820285817</v>
      </c>
      <c r="P367" s="30">
        <v>5.305592301154971</v>
      </c>
      <c r="Q367" s="30">
        <v>5.6746610820285817</v>
      </c>
      <c r="R367" s="30">
        <v>5.305592301154971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5.305592301154971</v>
      </c>
      <c r="H368" s="26">
        <v>5.7486774140658703</v>
      </c>
      <c r="I368" s="26">
        <v>5.305592301154971</v>
      </c>
      <c r="J368" s="26">
        <v>5.6746610820285817</v>
      </c>
      <c r="K368" s="26">
        <v>5.305592301154971</v>
      </c>
      <c r="L368" s="26">
        <v>5.6746610820285817</v>
      </c>
      <c r="M368" s="26">
        <v>5.305592301154971</v>
      </c>
      <c r="N368" s="26">
        <v>5.305592301154971</v>
      </c>
      <c r="O368" s="26">
        <v>5.6746610820285817</v>
      </c>
      <c r="P368" s="26">
        <v>5.305592301154971</v>
      </c>
      <c r="Q368" s="26">
        <v>5.6746610820285817</v>
      </c>
      <c r="R368" s="26">
        <v>5.305592301154971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5.305592301154971</v>
      </c>
      <c r="H369" s="30">
        <v>5.7486774140658703</v>
      </c>
      <c r="I369" s="30">
        <v>5.305592301154971</v>
      </c>
      <c r="J369" s="30">
        <v>5.6746610820285817</v>
      </c>
      <c r="K369" s="30">
        <v>5.305592301154971</v>
      </c>
      <c r="L369" s="30">
        <v>5.6746610820285817</v>
      </c>
      <c r="M369" s="30">
        <v>5.305592301154971</v>
      </c>
      <c r="N369" s="30">
        <v>5.305592301154971</v>
      </c>
      <c r="O369" s="30">
        <v>5.6746610820285817</v>
      </c>
      <c r="P369" s="30">
        <v>5.305592301154971</v>
      </c>
      <c r="Q369" s="30">
        <v>5.6746610820285817</v>
      </c>
      <c r="R369" s="30">
        <v>5.305592301154971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5.62012705634534</v>
      </c>
      <c r="H370" s="26">
        <v>5.7486774140658703</v>
      </c>
      <c r="I370" s="26">
        <v>5.62012705634534</v>
      </c>
      <c r="J370" s="26">
        <v>5.7486774140658703</v>
      </c>
      <c r="K370" s="26">
        <v>5.62012705634534</v>
      </c>
      <c r="L370" s="26">
        <v>5.7486774140658703</v>
      </c>
      <c r="M370" s="26">
        <v>5.62012705634534</v>
      </c>
      <c r="N370" s="26">
        <v>5.62012705634534</v>
      </c>
      <c r="O370" s="26">
        <v>5.7486774140658703</v>
      </c>
      <c r="P370" s="26">
        <v>5.62012705634534</v>
      </c>
      <c r="Q370" s="26">
        <v>5.7486774140658703</v>
      </c>
      <c r="R370" s="26">
        <v>5.62012705634534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5.62012705634534</v>
      </c>
      <c r="H371" s="30">
        <v>5.7486774140658703</v>
      </c>
      <c r="I371" s="30">
        <v>5.62012705634534</v>
      </c>
      <c r="J371" s="30">
        <v>5.7486774140658703</v>
      </c>
      <c r="K371" s="30">
        <v>5.62012705634534</v>
      </c>
      <c r="L371" s="30">
        <v>5.7486774140658703</v>
      </c>
      <c r="M371" s="30">
        <v>5.62012705634534</v>
      </c>
      <c r="N371" s="30">
        <v>5.62012705634534</v>
      </c>
      <c r="O371" s="30">
        <v>5.7486774140658703</v>
      </c>
      <c r="P371" s="30">
        <v>5.62012705634534</v>
      </c>
      <c r="Q371" s="30">
        <v>5.7486774140658703</v>
      </c>
      <c r="R371" s="30">
        <v>5.62012705634534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5.62012705634534</v>
      </c>
      <c r="H372" s="26">
        <v>5.7486774140658703</v>
      </c>
      <c r="I372" s="26">
        <v>5.62012705634534</v>
      </c>
      <c r="J372" s="26">
        <v>5.7486774140658703</v>
      </c>
      <c r="K372" s="26">
        <v>5.62012705634534</v>
      </c>
      <c r="L372" s="26">
        <v>5.7486774140658703</v>
      </c>
      <c r="M372" s="26">
        <v>5.62012705634534</v>
      </c>
      <c r="N372" s="26">
        <v>5.62012705634534</v>
      </c>
      <c r="O372" s="26">
        <v>5.7486774140658703</v>
      </c>
      <c r="P372" s="26">
        <v>5.62012705634534</v>
      </c>
      <c r="Q372" s="26">
        <v>5.7486774140658703</v>
      </c>
      <c r="R372" s="26">
        <v>5.62012705634534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5.62012705634534</v>
      </c>
      <c r="H373" s="30">
        <v>5.7486774140658703</v>
      </c>
      <c r="I373" s="30">
        <v>5.62012705634534</v>
      </c>
      <c r="J373" s="30">
        <v>5.7486774140658703</v>
      </c>
      <c r="K373" s="30">
        <v>5.62012705634534</v>
      </c>
      <c r="L373" s="30">
        <v>5.7486774140658703</v>
      </c>
      <c r="M373" s="30">
        <v>5.62012705634534</v>
      </c>
      <c r="N373" s="30">
        <v>5.62012705634534</v>
      </c>
      <c r="O373" s="30">
        <v>5.7486774140658703</v>
      </c>
      <c r="P373" s="30">
        <v>5.62012705634534</v>
      </c>
      <c r="Q373" s="30">
        <v>5.7486774140658703</v>
      </c>
      <c r="R373" s="30">
        <v>5.62012705634534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5.62012705634534</v>
      </c>
      <c r="H374" s="26">
        <v>5.7486774140658703</v>
      </c>
      <c r="I374" s="26">
        <v>5.62012705634534</v>
      </c>
      <c r="J374" s="26">
        <v>5.7486774140658703</v>
      </c>
      <c r="K374" s="26">
        <v>5.62012705634534</v>
      </c>
      <c r="L374" s="26">
        <v>5.7486774140658703</v>
      </c>
      <c r="M374" s="26">
        <v>5.62012705634534</v>
      </c>
      <c r="N374" s="26">
        <v>5.62012705634534</v>
      </c>
      <c r="O374" s="26">
        <v>5.7486774140658703</v>
      </c>
      <c r="P374" s="26">
        <v>5.62012705634534</v>
      </c>
      <c r="Q374" s="26">
        <v>5.7486774140658703</v>
      </c>
      <c r="R374" s="26">
        <v>5.62012705634534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5.62012705634534</v>
      </c>
      <c r="H375" s="30">
        <v>5.7486774140658703</v>
      </c>
      <c r="I375" s="30">
        <v>5.62012705634534</v>
      </c>
      <c r="J375" s="30">
        <v>5.7486774140658703</v>
      </c>
      <c r="K375" s="30">
        <v>5.62012705634534</v>
      </c>
      <c r="L375" s="30">
        <v>5.7486774140658703</v>
      </c>
      <c r="M375" s="30">
        <v>5.62012705634534</v>
      </c>
      <c r="N375" s="30">
        <v>5.62012705634534</v>
      </c>
      <c r="O375" s="30">
        <v>5.7486774140658703</v>
      </c>
      <c r="P375" s="30">
        <v>5.62012705634534</v>
      </c>
      <c r="Q375" s="30">
        <v>5.7486774140658703</v>
      </c>
      <c r="R375" s="30">
        <v>5.62012705634534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5.6746610820285817</v>
      </c>
      <c r="H376" s="26">
        <v>5.7486774140658703</v>
      </c>
      <c r="I376" s="26">
        <v>5.6746610820285817</v>
      </c>
      <c r="J376" s="26">
        <v>5.7486774140658703</v>
      </c>
      <c r="K376" s="26">
        <v>5.6746610820285817</v>
      </c>
      <c r="L376" s="26">
        <v>5.7486774140658703</v>
      </c>
      <c r="M376" s="26">
        <v>5.6746610820285817</v>
      </c>
      <c r="N376" s="26">
        <v>5.6746610820285817</v>
      </c>
      <c r="O376" s="26">
        <v>5.7486774140658703</v>
      </c>
      <c r="P376" s="26">
        <v>5.6746610820285817</v>
      </c>
      <c r="Q376" s="26">
        <v>5.7486774140658703</v>
      </c>
      <c r="R376" s="26">
        <v>5.6746610820285817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5.6746610820285817</v>
      </c>
      <c r="H377" s="30">
        <v>5.7486774140658703</v>
      </c>
      <c r="I377" s="30">
        <v>5.6746610820285817</v>
      </c>
      <c r="J377" s="30">
        <v>5.7486774140658703</v>
      </c>
      <c r="K377" s="30">
        <v>5.6746610820285817</v>
      </c>
      <c r="L377" s="30">
        <v>5.7486774140658703</v>
      </c>
      <c r="M377" s="30">
        <v>5.6746610820285817</v>
      </c>
      <c r="N377" s="30">
        <v>5.6746610820285817</v>
      </c>
      <c r="O377" s="30">
        <v>5.7486774140658703</v>
      </c>
      <c r="P377" s="30">
        <v>5.6746610820285817</v>
      </c>
      <c r="Q377" s="30">
        <v>5.7486774140658703</v>
      </c>
      <c r="R377" s="30">
        <v>5.6746610820285817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5.6746610820285817</v>
      </c>
      <c r="H378" s="26">
        <v>5.7486774140658703</v>
      </c>
      <c r="I378" s="26">
        <v>5.6746610820285817</v>
      </c>
      <c r="J378" s="26">
        <v>5.7486774140658703</v>
      </c>
      <c r="K378" s="26">
        <v>5.6746610820285817</v>
      </c>
      <c r="L378" s="26">
        <v>5.7486774140658703</v>
      </c>
      <c r="M378" s="26">
        <v>5.6746610820285817</v>
      </c>
      <c r="N378" s="26">
        <v>5.6746610820285817</v>
      </c>
      <c r="O378" s="26">
        <v>5.7486774140658703</v>
      </c>
      <c r="P378" s="26">
        <v>5.6746610820285817</v>
      </c>
      <c r="Q378" s="26">
        <v>5.7486774140658703</v>
      </c>
      <c r="R378" s="26">
        <v>5.6746610820285817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5.6746610820285817</v>
      </c>
      <c r="H379" s="30">
        <v>5.7486774140658703</v>
      </c>
      <c r="I379" s="30">
        <v>5.6746610820285817</v>
      </c>
      <c r="J379" s="30">
        <v>5.7486774140658703</v>
      </c>
      <c r="K379" s="30">
        <v>5.6746610820285817</v>
      </c>
      <c r="L379" s="30">
        <v>5.7486774140658703</v>
      </c>
      <c r="M379" s="30">
        <v>5.6746610820285817</v>
      </c>
      <c r="N379" s="30">
        <v>5.6746610820285817</v>
      </c>
      <c r="O379" s="30">
        <v>5.7486774140658703</v>
      </c>
      <c r="P379" s="30">
        <v>5.6746610820285817</v>
      </c>
      <c r="Q379" s="30">
        <v>5.7486774140658703</v>
      </c>
      <c r="R379" s="30">
        <v>5.6746610820285817</v>
      </c>
      <c r="S379" s="25"/>
    </row>
    <row r="380" spans="1:19" x14ac:dyDescent="0.25">
      <c r="A380" s="26">
        <v>3.75</v>
      </c>
      <c r="B380" s="26">
        <v>5.7486774140658703</v>
      </c>
      <c r="C380" s="26">
        <v>5.7486774140658703</v>
      </c>
      <c r="D380" s="26">
        <v>5.7486774140658703</v>
      </c>
      <c r="E380" s="26">
        <v>5.7486774140658703</v>
      </c>
      <c r="F380" s="26">
        <v>5.7486774140658703</v>
      </c>
      <c r="G380" s="26">
        <v>5.6746610820285817</v>
      </c>
      <c r="H380" s="26">
        <v>5.7486774140658703</v>
      </c>
      <c r="I380" s="26">
        <v>5.6746610820285817</v>
      </c>
      <c r="J380" s="26">
        <v>5.7486774140658703</v>
      </c>
      <c r="K380" s="26">
        <v>5.6746610820285817</v>
      </c>
      <c r="L380" s="26">
        <v>5.7486774140658703</v>
      </c>
      <c r="M380" s="26">
        <v>5.6746610820285817</v>
      </c>
      <c r="N380" s="26">
        <v>5.6746610820285817</v>
      </c>
      <c r="O380" s="26">
        <v>5.7486774140658703</v>
      </c>
      <c r="P380" s="26">
        <v>5.6746610820285817</v>
      </c>
      <c r="Q380" s="26">
        <v>5.7486774140658703</v>
      </c>
      <c r="R380" s="26">
        <v>5.6746610820285817</v>
      </c>
      <c r="S380" s="24"/>
    </row>
    <row r="381" spans="1:19" x14ac:dyDescent="0.25">
      <c r="A381" s="30">
        <v>3.76</v>
      </c>
      <c r="B381" s="30">
        <v>5.7486774140658703</v>
      </c>
      <c r="C381" s="30">
        <v>5.7486774140658703</v>
      </c>
      <c r="D381" s="30">
        <v>5.7486774140658703</v>
      </c>
      <c r="E381" s="30">
        <v>5.7486774140658703</v>
      </c>
      <c r="F381" s="30">
        <v>5.7486774140658703</v>
      </c>
      <c r="G381" s="30">
        <v>5.6746610820285817</v>
      </c>
      <c r="H381" s="30">
        <v>5.7486774140658703</v>
      </c>
      <c r="I381" s="30">
        <v>5.6746610820285817</v>
      </c>
      <c r="J381" s="30">
        <v>5.7486774140658703</v>
      </c>
      <c r="K381" s="30">
        <v>5.6746610820285817</v>
      </c>
      <c r="L381" s="30">
        <v>5.7486774140658703</v>
      </c>
      <c r="M381" s="30">
        <v>5.6746610820285817</v>
      </c>
      <c r="N381" s="30">
        <v>5.6746610820285817</v>
      </c>
      <c r="O381" s="30">
        <v>5.7486774140658703</v>
      </c>
      <c r="P381" s="30">
        <v>5.6746610820285817</v>
      </c>
      <c r="Q381" s="30">
        <v>5.7486774140658703</v>
      </c>
      <c r="R381" s="30">
        <v>5.6746610820285817</v>
      </c>
      <c r="S381" s="25"/>
    </row>
    <row r="382" spans="1:19" x14ac:dyDescent="0.25">
      <c r="A382" s="26">
        <v>3.77</v>
      </c>
      <c r="B382" s="26">
        <v>5.7486774140658703</v>
      </c>
      <c r="C382" s="26">
        <v>5.7486774140658703</v>
      </c>
      <c r="D382" s="26">
        <v>5.7486774140658703</v>
      </c>
      <c r="E382" s="26">
        <v>5.7486774140658703</v>
      </c>
      <c r="F382" s="26">
        <v>5.7486774140658703</v>
      </c>
      <c r="G382" s="26">
        <v>5.7486774140658703</v>
      </c>
      <c r="H382" s="26">
        <v>5.7486774140658703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5.7486774140658703</v>
      </c>
      <c r="D383" s="30">
        <v>5.7486774140658703</v>
      </c>
      <c r="E383" s="30">
        <v>5.7486774140658703</v>
      </c>
      <c r="F383" s="30">
        <v>5.7486774140658703</v>
      </c>
      <c r="G383" s="30">
        <v>5.7486774140658703</v>
      </c>
      <c r="H383" s="30">
        <v>5.7486774140658703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5.7486774140658703</v>
      </c>
      <c r="D384" s="26">
        <v>5.7486774140658703</v>
      </c>
      <c r="E384" s="26">
        <v>5.7486774140658703</v>
      </c>
      <c r="F384" s="26">
        <v>5.7486774140658703</v>
      </c>
      <c r="G384" s="26">
        <v>5.7486774140658703</v>
      </c>
      <c r="H384" s="26">
        <v>5.7486774140658703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5.7486774140658703</v>
      </c>
      <c r="D385" s="30">
        <v>5.7486774140658703</v>
      </c>
      <c r="E385" s="30">
        <v>5.7486774140658703</v>
      </c>
      <c r="F385" s="30">
        <v>5.7486774140658703</v>
      </c>
      <c r="G385" s="30">
        <v>5.7486774140658703</v>
      </c>
      <c r="H385" s="30">
        <v>5.7486774140658703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5.7486774140658703</v>
      </c>
      <c r="D386" s="26">
        <v>5.7486774140658703</v>
      </c>
      <c r="E386" s="26">
        <v>5.7486774140658703</v>
      </c>
      <c r="F386" s="26">
        <v>5.7486774140658703</v>
      </c>
      <c r="G386" s="26">
        <v>5.7486774140658703</v>
      </c>
      <c r="H386" s="26">
        <v>5.7486774140658703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5.7486774140658703</v>
      </c>
      <c r="D387" s="30">
        <v>5.7486774140658703</v>
      </c>
      <c r="E387" s="30">
        <v>5.7486774140658703</v>
      </c>
      <c r="F387" s="30">
        <v>5.7486774140658703</v>
      </c>
      <c r="G387" s="30">
        <v>5.7486774140658703</v>
      </c>
      <c r="H387" s="30">
        <v>5.7486774140658703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5.7486774140658703</v>
      </c>
      <c r="D388" s="26">
        <v>5.7486774140658703</v>
      </c>
      <c r="E388" s="26">
        <v>5.7486774140658703</v>
      </c>
      <c r="F388" s="26">
        <v>5.7486774140658703</v>
      </c>
      <c r="G388" s="26">
        <v>5.7486774140658703</v>
      </c>
      <c r="H388" s="26">
        <v>5.7486774140658703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5.7486774140658703</v>
      </c>
      <c r="D389" s="30">
        <v>5.7486774140658703</v>
      </c>
      <c r="E389" s="30">
        <v>5.7486774140658703</v>
      </c>
      <c r="F389" s="30">
        <v>5.7486774140658703</v>
      </c>
      <c r="G389" s="30">
        <v>5.7486774140658703</v>
      </c>
      <c r="H389" s="30">
        <v>5.7486774140658703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5.7486774140658703</v>
      </c>
      <c r="D390" s="26">
        <v>5.7486774140658703</v>
      </c>
      <c r="E390" s="26">
        <v>5.7486774140658703</v>
      </c>
      <c r="F390" s="26">
        <v>5.7486774140658703</v>
      </c>
      <c r="G390" s="26">
        <v>5.7486774140658703</v>
      </c>
      <c r="H390" s="26">
        <v>5.7486774140658703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5.7486774140658703</v>
      </c>
      <c r="D391" s="30">
        <v>5.7486774140658703</v>
      </c>
      <c r="E391" s="30">
        <v>5.7486774140658703</v>
      </c>
      <c r="F391" s="30">
        <v>5.7486774140658703</v>
      </c>
      <c r="G391" s="30">
        <v>5.7486774140658703</v>
      </c>
      <c r="H391" s="30">
        <v>5.7486774140658703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5.7486774140658703</v>
      </c>
      <c r="C392" s="26">
        <v>5.7486774140658703</v>
      </c>
      <c r="D392" s="26">
        <v>5.7486774140658703</v>
      </c>
      <c r="E392" s="26">
        <v>5.7486774140658703</v>
      </c>
      <c r="F392" s="26">
        <v>5.7486774140658703</v>
      </c>
      <c r="G392" s="26">
        <v>5.7486774140658703</v>
      </c>
      <c r="H392" s="26">
        <v>5.7486774140658703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5.7486774140658703</v>
      </c>
      <c r="C393" s="30">
        <v>5.7486774140658703</v>
      </c>
      <c r="D393" s="30">
        <v>5.7486774140658703</v>
      </c>
      <c r="E393" s="30">
        <v>5.7486774140658703</v>
      </c>
      <c r="F393" s="30">
        <v>5.7486774140658703</v>
      </c>
      <c r="G393" s="30">
        <v>5.7486774140658703</v>
      </c>
      <c r="H393" s="30">
        <v>5.9296819666963678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5.7486774140658703</v>
      </c>
      <c r="C394" s="26">
        <v>5.7486774140658703</v>
      </c>
      <c r="D394" s="26">
        <v>5.7486774140658703</v>
      </c>
      <c r="E394" s="26">
        <v>5.7486774140658703</v>
      </c>
      <c r="F394" s="26">
        <v>5.7486774140658703</v>
      </c>
      <c r="G394" s="26">
        <v>5.7486774140658703</v>
      </c>
      <c r="H394" s="26">
        <v>5.9296819666963678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5.7486774140658703</v>
      </c>
      <c r="C395" s="30">
        <v>5.7486774140658703</v>
      </c>
      <c r="D395" s="30">
        <v>5.7486774140658703</v>
      </c>
      <c r="E395" s="30">
        <v>5.7486774140658703</v>
      </c>
      <c r="F395" s="30">
        <v>5.7486774140658703</v>
      </c>
      <c r="G395" s="30">
        <v>5.7486774140658703</v>
      </c>
      <c r="H395" s="30">
        <v>5.9296819666963678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5.7486774140658703</v>
      </c>
      <c r="C396" s="26">
        <v>5.7486774140658703</v>
      </c>
      <c r="D396" s="26">
        <v>5.7486774140658703</v>
      </c>
      <c r="E396" s="26">
        <v>5.7486774140658703</v>
      </c>
      <c r="F396" s="26">
        <v>5.7486774140658703</v>
      </c>
      <c r="G396" s="26">
        <v>5.7486774140658703</v>
      </c>
      <c r="H396" s="26">
        <v>5.9296819666963678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5.7486774140658703</v>
      </c>
      <c r="C397" s="30">
        <v>5.7486774140658703</v>
      </c>
      <c r="D397" s="30">
        <v>5.7486774140658703</v>
      </c>
      <c r="E397" s="30">
        <v>5.7486774140658703</v>
      </c>
      <c r="F397" s="30">
        <v>5.7486774140658703</v>
      </c>
      <c r="G397" s="30">
        <v>5.7486774140658703</v>
      </c>
      <c r="H397" s="30">
        <v>5.9296819666963678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5.7486774140658703</v>
      </c>
      <c r="C398" s="26">
        <v>5.7486774140658703</v>
      </c>
      <c r="D398" s="26">
        <v>5.7486774140658703</v>
      </c>
      <c r="E398" s="26">
        <v>5.7486774140658703</v>
      </c>
      <c r="F398" s="26">
        <v>5.7486774140658703</v>
      </c>
      <c r="G398" s="26">
        <v>5.7486774140658703</v>
      </c>
      <c r="H398" s="26">
        <v>5.9296819666963678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5.7486774140658703</v>
      </c>
      <c r="C399" s="30">
        <v>5.7486774140658703</v>
      </c>
      <c r="D399" s="30">
        <v>5.7486774140658703</v>
      </c>
      <c r="E399" s="30">
        <v>5.7486774140658703</v>
      </c>
      <c r="F399" s="30">
        <v>5.7486774140658703</v>
      </c>
      <c r="G399" s="30">
        <v>5.7486774140658703</v>
      </c>
      <c r="H399" s="30">
        <v>5.9296819666963678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5.7486774140658703</v>
      </c>
      <c r="C400" s="26">
        <v>5.9296819666963678</v>
      </c>
      <c r="D400" s="26">
        <v>5.7486774140658703</v>
      </c>
      <c r="E400" s="26">
        <v>5.9296819666963678</v>
      </c>
      <c r="F400" s="26">
        <v>5.7486774140658703</v>
      </c>
      <c r="G400" s="26">
        <v>5.7486774140658703</v>
      </c>
      <c r="H400" s="26">
        <v>5.9296819666963678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5.7486774140658703</v>
      </c>
      <c r="C401" s="30">
        <v>5.9296819666963678</v>
      </c>
      <c r="D401" s="30">
        <v>5.7486774140658703</v>
      </c>
      <c r="E401" s="30">
        <v>5.9296819666963678</v>
      </c>
      <c r="F401" s="30">
        <v>5.7486774140658703</v>
      </c>
      <c r="G401" s="30">
        <v>5.7486774140658703</v>
      </c>
      <c r="H401" s="30">
        <v>7.2496673844221462</v>
      </c>
      <c r="I401" s="30">
        <v>5.7486774140658703</v>
      </c>
      <c r="J401" s="30">
        <v>5.7486774140658703</v>
      </c>
      <c r="K401" s="30">
        <v>5.7486774140658703</v>
      </c>
      <c r="L401" s="30">
        <v>5.7486774140658703</v>
      </c>
      <c r="M401" s="30">
        <v>5.7486774140658703</v>
      </c>
      <c r="N401" s="30">
        <v>5.7486774140658703</v>
      </c>
      <c r="O401" s="30">
        <v>5.7486774140658703</v>
      </c>
      <c r="P401" s="30">
        <v>5.7486774140658703</v>
      </c>
      <c r="Q401" s="30">
        <v>5.7486774140658703</v>
      </c>
      <c r="R401" s="30">
        <v>5.7486774140658703</v>
      </c>
      <c r="S401" s="25"/>
    </row>
    <row r="402" spans="1:19" x14ac:dyDescent="0.25">
      <c r="A402" s="26">
        <v>3.97</v>
      </c>
      <c r="B402" s="26">
        <v>5.7486774140658703</v>
      </c>
      <c r="C402" s="26">
        <v>5.9296819666963678</v>
      </c>
      <c r="D402" s="26">
        <v>5.7486774140658703</v>
      </c>
      <c r="E402" s="26">
        <v>5.9296819666963678</v>
      </c>
      <c r="F402" s="26">
        <v>5.7486774140658703</v>
      </c>
      <c r="G402" s="26">
        <v>5.7486774140658703</v>
      </c>
      <c r="H402" s="26">
        <v>7.2496673844221462</v>
      </c>
      <c r="I402" s="26">
        <v>5.7486774140658703</v>
      </c>
      <c r="J402" s="26">
        <v>5.7486774140658703</v>
      </c>
      <c r="K402" s="26">
        <v>5.7486774140658703</v>
      </c>
      <c r="L402" s="26">
        <v>5.7486774140658703</v>
      </c>
      <c r="M402" s="26">
        <v>5.7486774140658703</v>
      </c>
      <c r="N402" s="26">
        <v>5.7486774140658703</v>
      </c>
      <c r="O402" s="26">
        <v>5.7486774140658703</v>
      </c>
      <c r="P402" s="26">
        <v>5.7486774140658703</v>
      </c>
      <c r="Q402" s="26">
        <v>5.7486774140658703</v>
      </c>
      <c r="R402" s="26">
        <v>5.7486774140658703</v>
      </c>
      <c r="S402" s="24"/>
    </row>
    <row r="403" spans="1:19" x14ac:dyDescent="0.25">
      <c r="A403" s="30">
        <v>3.98</v>
      </c>
      <c r="B403" s="30">
        <v>5.7486774140658703</v>
      </c>
      <c r="C403" s="30">
        <v>5.9296819666963678</v>
      </c>
      <c r="D403" s="30">
        <v>5.7486774140658703</v>
      </c>
      <c r="E403" s="30">
        <v>5.9296819666963678</v>
      </c>
      <c r="F403" s="30">
        <v>5.7486774140658703</v>
      </c>
      <c r="G403" s="30">
        <v>5.7486774140658703</v>
      </c>
      <c r="H403" s="30">
        <v>7.2496673844221462</v>
      </c>
      <c r="I403" s="30">
        <v>5.7486774140658703</v>
      </c>
      <c r="J403" s="30">
        <v>5.7486774140658703</v>
      </c>
      <c r="K403" s="30">
        <v>5.7486774140658703</v>
      </c>
      <c r="L403" s="30">
        <v>5.7486774140658703</v>
      </c>
      <c r="M403" s="30">
        <v>5.7486774140658703</v>
      </c>
      <c r="N403" s="30">
        <v>5.7486774140658703</v>
      </c>
      <c r="O403" s="30">
        <v>5.7486774140658703</v>
      </c>
      <c r="P403" s="30">
        <v>5.7486774140658703</v>
      </c>
      <c r="Q403" s="30">
        <v>5.7486774140658703</v>
      </c>
      <c r="R403" s="30">
        <v>5.7486774140658703</v>
      </c>
      <c r="S403" s="25"/>
    </row>
    <row r="404" spans="1:19" x14ac:dyDescent="0.25">
      <c r="A404" s="26">
        <v>3.99</v>
      </c>
      <c r="B404" s="26">
        <v>5.7486774140658703</v>
      </c>
      <c r="C404" s="26">
        <v>5.9296819666963678</v>
      </c>
      <c r="D404" s="26">
        <v>5.7486774140658703</v>
      </c>
      <c r="E404" s="26">
        <v>5.9296819666963678</v>
      </c>
      <c r="F404" s="26">
        <v>5.7486774140658703</v>
      </c>
      <c r="G404" s="26">
        <v>5.7486774140658703</v>
      </c>
      <c r="H404" s="26">
        <v>7.2496673844221462</v>
      </c>
      <c r="I404" s="26">
        <v>5.7486774140658703</v>
      </c>
      <c r="J404" s="26">
        <v>5.7486774140658703</v>
      </c>
      <c r="K404" s="26">
        <v>5.7486774140658703</v>
      </c>
      <c r="L404" s="26">
        <v>5.7486774140658703</v>
      </c>
      <c r="M404" s="26">
        <v>5.7486774140658703</v>
      </c>
      <c r="N404" s="26">
        <v>5.7486774140658703</v>
      </c>
      <c r="O404" s="26">
        <v>5.7486774140658703</v>
      </c>
      <c r="P404" s="26">
        <v>5.7486774140658703</v>
      </c>
      <c r="Q404" s="26">
        <v>5.7486774140658703</v>
      </c>
      <c r="R404" s="26">
        <v>5.7486774140658703</v>
      </c>
      <c r="S404" s="24"/>
    </row>
    <row r="405" spans="1:19" x14ac:dyDescent="0.25">
      <c r="A405" s="30">
        <v>4</v>
      </c>
      <c r="B405" s="30">
        <v>5.7486774140658703</v>
      </c>
      <c r="C405" s="30">
        <v>5.9296819666963678</v>
      </c>
      <c r="D405" s="30">
        <v>5.7486774140658703</v>
      </c>
      <c r="E405" s="30">
        <v>5.9296819666963678</v>
      </c>
      <c r="F405" s="30">
        <v>5.7486774140658703</v>
      </c>
      <c r="G405" s="30">
        <v>5.7486774140658703</v>
      </c>
      <c r="H405" s="30">
        <v>7.2496673844221462</v>
      </c>
      <c r="I405" s="30">
        <v>5.7486774140658703</v>
      </c>
      <c r="J405" s="30">
        <v>5.7486774140658703</v>
      </c>
      <c r="K405" s="30">
        <v>5.7486774140658703</v>
      </c>
      <c r="L405" s="30">
        <v>5.7486774140658703</v>
      </c>
      <c r="M405" s="30">
        <v>5.7486774140658703</v>
      </c>
      <c r="N405" s="30">
        <v>5.7486774140658703</v>
      </c>
      <c r="O405" s="30">
        <v>5.7486774140658703</v>
      </c>
      <c r="P405" s="30">
        <v>5.7486774140658703</v>
      </c>
      <c r="Q405" s="30">
        <v>5.7486774140658703</v>
      </c>
      <c r="R405" s="30">
        <v>5.7486774140658703</v>
      </c>
      <c r="S405" s="25"/>
    </row>
    <row r="406" spans="1:19" x14ac:dyDescent="0.25">
      <c r="A406" s="26">
        <v>4.01</v>
      </c>
      <c r="B406" s="26">
        <v>5.7486774140658703</v>
      </c>
      <c r="C406" s="26">
        <v>5.9296819666963678</v>
      </c>
      <c r="D406" s="26">
        <v>5.7486774140658703</v>
      </c>
      <c r="E406" s="26">
        <v>5.9296819666963678</v>
      </c>
      <c r="F406" s="26">
        <v>5.7486774140658703</v>
      </c>
      <c r="G406" s="26">
        <v>5.7486774140658703</v>
      </c>
      <c r="H406" s="26">
        <v>7.2496673844221462</v>
      </c>
      <c r="I406" s="26">
        <v>5.7486774140658703</v>
      </c>
      <c r="J406" s="26">
        <v>5.7486774140658703</v>
      </c>
      <c r="K406" s="26">
        <v>5.7486774140658703</v>
      </c>
      <c r="L406" s="26">
        <v>5.7486774140658703</v>
      </c>
      <c r="M406" s="26">
        <v>5.7486774140658703</v>
      </c>
      <c r="N406" s="26">
        <v>5.7486774140658703</v>
      </c>
      <c r="O406" s="26">
        <v>5.7486774140658703</v>
      </c>
      <c r="P406" s="26">
        <v>5.7486774140658703</v>
      </c>
      <c r="Q406" s="26">
        <v>5.7486774140658703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5.7486774140658703</v>
      </c>
      <c r="C407" s="30">
        <v>5.9296819666963678</v>
      </c>
      <c r="D407" s="30">
        <v>5.7486774140658703</v>
      </c>
      <c r="E407" s="30">
        <v>5.9296819666963678</v>
      </c>
      <c r="F407" s="30">
        <v>5.7486774140658703</v>
      </c>
      <c r="G407" s="30">
        <v>5.7486774140658703</v>
      </c>
      <c r="H407" s="30">
        <v>7.2496673844221462</v>
      </c>
      <c r="I407" s="30">
        <v>5.7486774140658703</v>
      </c>
      <c r="J407" s="30">
        <v>5.7486774140658703</v>
      </c>
      <c r="K407" s="30">
        <v>5.7486774140658703</v>
      </c>
      <c r="L407" s="30">
        <v>5.7486774140658703</v>
      </c>
      <c r="M407" s="30">
        <v>5.7486774140658703</v>
      </c>
      <c r="N407" s="30">
        <v>5.7486774140658703</v>
      </c>
      <c r="O407" s="30">
        <v>5.7486774140658703</v>
      </c>
      <c r="P407" s="30">
        <v>5.7486774140658703</v>
      </c>
      <c r="Q407" s="30">
        <v>5.7486774140658703</v>
      </c>
      <c r="R407" s="30">
        <v>5.7486774140658703</v>
      </c>
      <c r="S407" s="25"/>
    </row>
    <row r="408" spans="1:19" x14ac:dyDescent="0.25">
      <c r="A408" s="26">
        <v>4.03</v>
      </c>
      <c r="B408" s="26">
        <v>5.7486774140658703</v>
      </c>
      <c r="C408" s="26">
        <v>7.2496673844221462</v>
      </c>
      <c r="D408" s="26">
        <v>5.7486774140658703</v>
      </c>
      <c r="E408" s="26">
        <v>7.2496673844221462</v>
      </c>
      <c r="F408" s="26">
        <v>5.7486774140658703</v>
      </c>
      <c r="G408" s="26">
        <v>5.7486774140658703</v>
      </c>
      <c r="H408" s="26">
        <v>7.2496673844221462</v>
      </c>
      <c r="I408" s="26">
        <v>5.7486774140658703</v>
      </c>
      <c r="J408" s="26">
        <v>5.7486774140658703</v>
      </c>
      <c r="K408" s="26">
        <v>5.7486774140658703</v>
      </c>
      <c r="L408" s="26">
        <v>5.7486774140658703</v>
      </c>
      <c r="M408" s="26">
        <v>5.7486774140658703</v>
      </c>
      <c r="N408" s="26">
        <v>5.7486774140658703</v>
      </c>
      <c r="O408" s="26">
        <v>5.7486774140658703</v>
      </c>
      <c r="P408" s="26">
        <v>5.7486774140658703</v>
      </c>
      <c r="Q408" s="26">
        <v>5.7486774140658703</v>
      </c>
      <c r="R408" s="26">
        <v>5.7486774140658703</v>
      </c>
      <c r="S408" s="24"/>
    </row>
    <row r="409" spans="1:19" x14ac:dyDescent="0.25">
      <c r="A409" s="30">
        <v>4.04</v>
      </c>
      <c r="B409" s="30">
        <v>5.7486774140658703</v>
      </c>
      <c r="C409" s="30">
        <v>7.2496673844221462</v>
      </c>
      <c r="D409" s="30">
        <v>5.7486774140658703</v>
      </c>
      <c r="E409" s="30">
        <v>7.2496673844221462</v>
      </c>
      <c r="F409" s="30">
        <v>5.7486774140658703</v>
      </c>
      <c r="G409" s="30">
        <v>5.7486774140658703</v>
      </c>
      <c r="H409" s="30">
        <v>7.2496673844221462</v>
      </c>
      <c r="I409" s="30">
        <v>5.7486774140658703</v>
      </c>
      <c r="J409" s="30">
        <v>5.7486774140658703</v>
      </c>
      <c r="K409" s="30">
        <v>5.7486774140658703</v>
      </c>
      <c r="L409" s="30">
        <v>5.7486774140658703</v>
      </c>
      <c r="M409" s="30">
        <v>5.7486774140658703</v>
      </c>
      <c r="N409" s="30">
        <v>5.7486774140658703</v>
      </c>
      <c r="O409" s="30">
        <v>5.7486774140658703</v>
      </c>
      <c r="P409" s="30">
        <v>5.7486774140658703</v>
      </c>
      <c r="Q409" s="30">
        <v>5.7486774140658703</v>
      </c>
      <c r="R409" s="30">
        <v>5.7486774140658703</v>
      </c>
      <c r="S409" s="25"/>
    </row>
    <row r="410" spans="1:19" x14ac:dyDescent="0.25">
      <c r="A410" s="26">
        <v>4.05</v>
      </c>
      <c r="B410" s="26">
        <v>5.7486774140658703</v>
      </c>
      <c r="C410" s="26">
        <v>7.2496673844221462</v>
      </c>
      <c r="D410" s="26">
        <v>5.7486774140658703</v>
      </c>
      <c r="E410" s="26">
        <v>7.2496673844221462</v>
      </c>
      <c r="F410" s="26">
        <v>5.7486774140658703</v>
      </c>
      <c r="G410" s="26">
        <v>5.7486774140658703</v>
      </c>
      <c r="H410" s="26">
        <v>7.2496673844221462</v>
      </c>
      <c r="I410" s="26">
        <v>5.7486774140658703</v>
      </c>
      <c r="J410" s="26">
        <v>5.7486774140658703</v>
      </c>
      <c r="K410" s="26">
        <v>5.7486774140658703</v>
      </c>
      <c r="L410" s="26">
        <v>5.7486774140658703</v>
      </c>
      <c r="M410" s="26">
        <v>5.7486774140658703</v>
      </c>
      <c r="N410" s="26">
        <v>5.7486774140658703</v>
      </c>
      <c r="O410" s="26">
        <v>5.7486774140658703</v>
      </c>
      <c r="P410" s="26">
        <v>5.7486774140658703</v>
      </c>
      <c r="Q410" s="26">
        <v>5.7486774140658703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5.7486774140658703</v>
      </c>
      <c r="C411" s="30">
        <v>7.2496673844221462</v>
      </c>
      <c r="D411" s="30">
        <v>5.7486774140658703</v>
      </c>
      <c r="E411" s="30">
        <v>7.2496673844221462</v>
      </c>
      <c r="F411" s="30">
        <v>5.7486774140658703</v>
      </c>
      <c r="G411" s="30">
        <v>5.7486774140658703</v>
      </c>
      <c r="H411" s="30">
        <v>7.2496673844221462</v>
      </c>
      <c r="I411" s="30">
        <v>5.7486774140658703</v>
      </c>
      <c r="J411" s="30">
        <v>5.7486774140658703</v>
      </c>
      <c r="K411" s="30">
        <v>5.7486774140658703</v>
      </c>
      <c r="L411" s="30">
        <v>5.7486774140658703</v>
      </c>
      <c r="M411" s="30">
        <v>5.7486774140658703</v>
      </c>
      <c r="N411" s="30">
        <v>5.7486774140658703</v>
      </c>
      <c r="O411" s="30">
        <v>5.7486774140658703</v>
      </c>
      <c r="P411" s="30">
        <v>5.7486774140658703</v>
      </c>
      <c r="Q411" s="30">
        <v>5.7486774140658703</v>
      </c>
      <c r="R411" s="30">
        <v>5.7486774140658703</v>
      </c>
      <c r="S411" s="25"/>
    </row>
    <row r="412" spans="1:19" x14ac:dyDescent="0.25">
      <c r="A412" s="26">
        <v>4.07</v>
      </c>
      <c r="B412" s="26">
        <v>5.7486774140658703</v>
      </c>
      <c r="C412" s="26">
        <v>7.2496673844221462</v>
      </c>
      <c r="D412" s="26">
        <v>5.7486774140658703</v>
      </c>
      <c r="E412" s="26">
        <v>7.2496673844221462</v>
      </c>
      <c r="F412" s="26">
        <v>5.7486774140658703</v>
      </c>
      <c r="G412" s="26">
        <v>5.7486774140658703</v>
      </c>
      <c r="H412" s="26">
        <v>7.2496673844221462</v>
      </c>
      <c r="I412" s="26">
        <v>5.7486774140658703</v>
      </c>
      <c r="J412" s="26">
        <v>5.7486774140658703</v>
      </c>
      <c r="K412" s="26">
        <v>5.7486774140658703</v>
      </c>
      <c r="L412" s="26">
        <v>5.7486774140658703</v>
      </c>
      <c r="M412" s="26">
        <v>5.7486774140658703</v>
      </c>
      <c r="N412" s="26">
        <v>5.7486774140658703</v>
      </c>
      <c r="O412" s="26">
        <v>5.7486774140658703</v>
      </c>
      <c r="P412" s="26">
        <v>5.7486774140658703</v>
      </c>
      <c r="Q412" s="26">
        <v>5.7486774140658703</v>
      </c>
      <c r="R412" s="26">
        <v>5.7486774140658703</v>
      </c>
      <c r="S412" s="24"/>
    </row>
    <row r="413" spans="1:19" x14ac:dyDescent="0.25">
      <c r="A413" s="30">
        <v>4.08</v>
      </c>
      <c r="B413" s="30">
        <v>5.9296819666963678</v>
      </c>
      <c r="C413" s="30">
        <v>7.2496673844221462</v>
      </c>
      <c r="D413" s="30">
        <v>5.9296819666963678</v>
      </c>
      <c r="E413" s="30">
        <v>7.2496673844221462</v>
      </c>
      <c r="F413" s="30">
        <v>5.9296819666963678</v>
      </c>
      <c r="G413" s="30">
        <v>5.7486774140658703</v>
      </c>
      <c r="H413" s="30">
        <v>7.2496673844221462</v>
      </c>
      <c r="I413" s="30">
        <v>5.7486774140658703</v>
      </c>
      <c r="J413" s="30">
        <v>5.7486774140658703</v>
      </c>
      <c r="K413" s="30">
        <v>5.7486774140658703</v>
      </c>
      <c r="L413" s="30">
        <v>5.7486774140658703</v>
      </c>
      <c r="M413" s="30">
        <v>5.7486774140658703</v>
      </c>
      <c r="N413" s="30">
        <v>5.7486774140658703</v>
      </c>
      <c r="O413" s="30">
        <v>5.7486774140658703</v>
      </c>
      <c r="P413" s="30">
        <v>5.7486774140658703</v>
      </c>
      <c r="Q413" s="30">
        <v>5.7486774140658703</v>
      </c>
      <c r="R413" s="30">
        <v>5.7486774140658703</v>
      </c>
      <c r="S413" s="25"/>
    </row>
    <row r="414" spans="1:19" x14ac:dyDescent="0.25">
      <c r="A414" s="26">
        <v>4.09</v>
      </c>
      <c r="B414" s="26">
        <v>5.9296819666963678</v>
      </c>
      <c r="C414" s="26">
        <v>7.2496673844221462</v>
      </c>
      <c r="D414" s="26">
        <v>5.9296819666963678</v>
      </c>
      <c r="E414" s="26">
        <v>7.2496673844221462</v>
      </c>
      <c r="F414" s="26">
        <v>5.9296819666963678</v>
      </c>
      <c r="G414" s="26">
        <v>5.7486774140658703</v>
      </c>
      <c r="H414" s="26">
        <v>7.2496673844221462</v>
      </c>
      <c r="I414" s="26">
        <v>5.7486774140658703</v>
      </c>
      <c r="J414" s="26">
        <v>5.7486774140658703</v>
      </c>
      <c r="K414" s="26">
        <v>5.7486774140658703</v>
      </c>
      <c r="L414" s="26">
        <v>5.7486774140658703</v>
      </c>
      <c r="M414" s="26">
        <v>5.7486774140658703</v>
      </c>
      <c r="N414" s="26">
        <v>5.7486774140658703</v>
      </c>
      <c r="O414" s="26">
        <v>5.7486774140658703</v>
      </c>
      <c r="P414" s="26">
        <v>5.7486774140658703</v>
      </c>
      <c r="Q414" s="26">
        <v>5.7486774140658703</v>
      </c>
      <c r="R414" s="26">
        <v>5.7486774140658703</v>
      </c>
      <c r="S414" s="24"/>
    </row>
    <row r="415" spans="1:19" x14ac:dyDescent="0.25">
      <c r="A415" s="30">
        <v>4.0999999999999996</v>
      </c>
      <c r="B415" s="30">
        <v>5.9296819666963678</v>
      </c>
      <c r="C415" s="30">
        <v>7.2496673844221462</v>
      </c>
      <c r="D415" s="30">
        <v>5.9296819666963678</v>
      </c>
      <c r="E415" s="30">
        <v>7.2496673844221462</v>
      </c>
      <c r="F415" s="30">
        <v>5.9296819666963678</v>
      </c>
      <c r="G415" s="30">
        <v>5.7486774140658703</v>
      </c>
      <c r="H415" s="30">
        <v>7.2496673844221462</v>
      </c>
      <c r="I415" s="30">
        <v>5.7486774140658703</v>
      </c>
      <c r="J415" s="30">
        <v>5.7486774140658703</v>
      </c>
      <c r="K415" s="30">
        <v>5.7486774140658703</v>
      </c>
      <c r="L415" s="30">
        <v>5.7486774140658703</v>
      </c>
      <c r="M415" s="30">
        <v>5.7486774140658703</v>
      </c>
      <c r="N415" s="30">
        <v>5.7486774140658703</v>
      </c>
      <c r="O415" s="30">
        <v>5.7486774140658703</v>
      </c>
      <c r="P415" s="30">
        <v>5.7486774140658703</v>
      </c>
      <c r="Q415" s="30">
        <v>5.7486774140658703</v>
      </c>
      <c r="R415" s="30">
        <v>5.7486774140658703</v>
      </c>
      <c r="S415" s="25"/>
    </row>
    <row r="416" spans="1:19" x14ac:dyDescent="0.25">
      <c r="A416" s="26">
        <v>4.1100000000000003</v>
      </c>
      <c r="B416" s="26">
        <v>5.9296819666963678</v>
      </c>
      <c r="C416" s="26">
        <v>7.2496673844221462</v>
      </c>
      <c r="D416" s="26">
        <v>5.9296819666963678</v>
      </c>
      <c r="E416" s="26">
        <v>7.2496673844221462</v>
      </c>
      <c r="F416" s="26">
        <v>5.9296819666963678</v>
      </c>
      <c r="G416" s="26">
        <v>5.7486774140658703</v>
      </c>
      <c r="H416" s="26">
        <v>7.2496673844221462</v>
      </c>
      <c r="I416" s="26">
        <v>5.7486774140658703</v>
      </c>
      <c r="J416" s="26">
        <v>5.7486774140658703</v>
      </c>
      <c r="K416" s="26">
        <v>5.7486774140658703</v>
      </c>
      <c r="L416" s="26">
        <v>5.7486774140658703</v>
      </c>
      <c r="M416" s="26">
        <v>5.7486774140658703</v>
      </c>
      <c r="N416" s="26">
        <v>5.7486774140658703</v>
      </c>
      <c r="O416" s="26">
        <v>5.7486774140658703</v>
      </c>
      <c r="P416" s="26">
        <v>5.7486774140658703</v>
      </c>
      <c r="Q416" s="26">
        <v>5.7486774140658703</v>
      </c>
      <c r="R416" s="26">
        <v>5.7486774140658703</v>
      </c>
      <c r="S416" s="24"/>
    </row>
    <row r="417" spans="1:19" x14ac:dyDescent="0.25">
      <c r="A417" s="30">
        <v>4.12</v>
      </c>
      <c r="B417" s="30">
        <v>5.9296819666963678</v>
      </c>
      <c r="C417" s="30">
        <v>7.2496673844221462</v>
      </c>
      <c r="D417" s="30">
        <v>5.9296819666963678</v>
      </c>
      <c r="E417" s="30">
        <v>7.2496673844221462</v>
      </c>
      <c r="F417" s="30">
        <v>5.9296819666963678</v>
      </c>
      <c r="G417" s="30">
        <v>5.7486774140658703</v>
      </c>
      <c r="H417" s="30">
        <v>7.4401405082909307</v>
      </c>
      <c r="I417" s="30">
        <v>5.7486774140658703</v>
      </c>
      <c r="J417" s="30">
        <v>5.7486774140658703</v>
      </c>
      <c r="K417" s="30">
        <v>5.7486774140658703</v>
      </c>
      <c r="L417" s="30">
        <v>5.7486774140658703</v>
      </c>
      <c r="M417" s="30">
        <v>5.7486774140658703</v>
      </c>
      <c r="N417" s="30">
        <v>5.7486774140658703</v>
      </c>
      <c r="O417" s="30">
        <v>5.7486774140658703</v>
      </c>
      <c r="P417" s="30">
        <v>5.7486774140658703</v>
      </c>
      <c r="Q417" s="30">
        <v>5.7486774140658703</v>
      </c>
      <c r="R417" s="30">
        <v>5.7486774140658703</v>
      </c>
      <c r="S417" s="25"/>
    </row>
    <row r="418" spans="1:19" x14ac:dyDescent="0.25">
      <c r="A418" s="26">
        <v>4.13</v>
      </c>
      <c r="B418" s="26">
        <v>5.9296819666963678</v>
      </c>
      <c r="C418" s="26">
        <v>7.2496673844221462</v>
      </c>
      <c r="D418" s="26">
        <v>5.9296819666963678</v>
      </c>
      <c r="E418" s="26">
        <v>7.2496673844221462</v>
      </c>
      <c r="F418" s="26">
        <v>5.9296819666963678</v>
      </c>
      <c r="G418" s="26">
        <v>5.7486774140658703</v>
      </c>
      <c r="H418" s="26">
        <v>7.4401405082909307</v>
      </c>
      <c r="I418" s="26">
        <v>5.7486774140658703</v>
      </c>
      <c r="J418" s="26">
        <v>5.7486774140658703</v>
      </c>
      <c r="K418" s="26">
        <v>5.7486774140658703</v>
      </c>
      <c r="L418" s="26">
        <v>5.7486774140658703</v>
      </c>
      <c r="M418" s="26">
        <v>5.7486774140658703</v>
      </c>
      <c r="N418" s="26">
        <v>5.7486774140658703</v>
      </c>
      <c r="O418" s="26">
        <v>5.7486774140658703</v>
      </c>
      <c r="P418" s="26">
        <v>5.7486774140658703</v>
      </c>
      <c r="Q418" s="26">
        <v>5.7486774140658703</v>
      </c>
      <c r="R418" s="26">
        <v>5.7486774140658703</v>
      </c>
      <c r="S418" s="24"/>
    </row>
    <row r="419" spans="1:19" x14ac:dyDescent="0.25">
      <c r="A419" s="30">
        <v>4.1399999999999997</v>
      </c>
      <c r="B419" s="30">
        <v>5.9296819666963678</v>
      </c>
      <c r="C419" s="30">
        <v>7.2496673844221462</v>
      </c>
      <c r="D419" s="30">
        <v>5.9296819666963678</v>
      </c>
      <c r="E419" s="30">
        <v>7.2496673844221462</v>
      </c>
      <c r="F419" s="30">
        <v>5.9296819666963678</v>
      </c>
      <c r="G419" s="30">
        <v>5.7486774140658703</v>
      </c>
      <c r="H419" s="30">
        <v>7.4401405082909307</v>
      </c>
      <c r="I419" s="30">
        <v>5.7486774140658703</v>
      </c>
      <c r="J419" s="30">
        <v>5.7486774140658703</v>
      </c>
      <c r="K419" s="30">
        <v>5.7486774140658703</v>
      </c>
      <c r="L419" s="30">
        <v>5.7486774140658703</v>
      </c>
      <c r="M419" s="30">
        <v>5.7486774140658703</v>
      </c>
      <c r="N419" s="30">
        <v>5.7486774140658703</v>
      </c>
      <c r="O419" s="30">
        <v>5.7486774140658703</v>
      </c>
      <c r="P419" s="30">
        <v>5.7486774140658703</v>
      </c>
      <c r="Q419" s="30">
        <v>5.7486774140658703</v>
      </c>
      <c r="R419" s="30">
        <v>5.7486774140658703</v>
      </c>
      <c r="S419" s="25"/>
    </row>
    <row r="420" spans="1:19" x14ac:dyDescent="0.25">
      <c r="A420" s="26">
        <v>4.1500000000000004</v>
      </c>
      <c r="B420" s="26">
        <v>5.9296819666963678</v>
      </c>
      <c r="C420" s="26">
        <v>7.2496673844221462</v>
      </c>
      <c r="D420" s="26">
        <v>5.9296819666963678</v>
      </c>
      <c r="E420" s="26">
        <v>7.2496673844221462</v>
      </c>
      <c r="F420" s="26">
        <v>5.9296819666963678</v>
      </c>
      <c r="G420" s="26">
        <v>5.7486774140658703</v>
      </c>
      <c r="H420" s="26">
        <v>7.4401405082909307</v>
      </c>
      <c r="I420" s="26">
        <v>5.7486774140658703</v>
      </c>
      <c r="J420" s="26">
        <v>5.7486774140658703</v>
      </c>
      <c r="K420" s="26">
        <v>5.7486774140658703</v>
      </c>
      <c r="L420" s="26">
        <v>5.7486774140658703</v>
      </c>
      <c r="M420" s="26">
        <v>5.7486774140658703</v>
      </c>
      <c r="N420" s="26">
        <v>5.7486774140658703</v>
      </c>
      <c r="O420" s="26">
        <v>5.7486774140658703</v>
      </c>
      <c r="P420" s="26">
        <v>5.7486774140658703</v>
      </c>
      <c r="Q420" s="26">
        <v>5.7486774140658703</v>
      </c>
      <c r="R420" s="26">
        <v>5.7486774140658703</v>
      </c>
      <c r="S420" s="24"/>
    </row>
    <row r="421" spans="1:19" x14ac:dyDescent="0.25">
      <c r="A421" s="30">
        <v>4.16</v>
      </c>
      <c r="B421" s="30">
        <v>7.1206189521793286</v>
      </c>
      <c r="C421" s="30">
        <v>7.2496673844221462</v>
      </c>
      <c r="D421" s="30">
        <v>7.2496673844221462</v>
      </c>
      <c r="E421" s="30">
        <v>7.2496673844221462</v>
      </c>
      <c r="F421" s="30">
        <v>7.2496673844221462</v>
      </c>
      <c r="G421" s="30">
        <v>5.7486774140658703</v>
      </c>
      <c r="H421" s="30">
        <v>7.4401405082909307</v>
      </c>
      <c r="I421" s="30">
        <v>5.7486774140658703</v>
      </c>
      <c r="J421" s="30">
        <v>5.9296819666963678</v>
      </c>
      <c r="K421" s="30">
        <v>5.7486774140658703</v>
      </c>
      <c r="L421" s="30">
        <v>5.9296819666963678</v>
      </c>
      <c r="M421" s="30">
        <v>5.7486774140658703</v>
      </c>
      <c r="N421" s="30">
        <v>5.7486774140658703</v>
      </c>
      <c r="O421" s="30">
        <v>5.9296819666963678</v>
      </c>
      <c r="P421" s="30">
        <v>5.7486774140658703</v>
      </c>
      <c r="Q421" s="30">
        <v>5.9296819666963678</v>
      </c>
      <c r="R421" s="30">
        <v>5.7486774140658703</v>
      </c>
      <c r="S421" s="25"/>
    </row>
    <row r="422" spans="1:19" x14ac:dyDescent="0.25">
      <c r="A422" s="26">
        <v>4.17</v>
      </c>
      <c r="B422" s="26">
        <v>7.1206189521793286</v>
      </c>
      <c r="C422" s="26">
        <v>7.2496673844221462</v>
      </c>
      <c r="D422" s="26">
        <v>7.2496673844221462</v>
      </c>
      <c r="E422" s="26">
        <v>7.2496673844221462</v>
      </c>
      <c r="F422" s="26">
        <v>7.2496673844221462</v>
      </c>
      <c r="G422" s="26">
        <v>5.7486774140658703</v>
      </c>
      <c r="H422" s="26">
        <v>7.4401405082909307</v>
      </c>
      <c r="I422" s="26">
        <v>5.7486774140658703</v>
      </c>
      <c r="J422" s="26">
        <v>5.9296819666963678</v>
      </c>
      <c r="K422" s="26">
        <v>5.7486774140658703</v>
      </c>
      <c r="L422" s="26">
        <v>5.9296819666963678</v>
      </c>
      <c r="M422" s="26">
        <v>5.7486774140658703</v>
      </c>
      <c r="N422" s="26">
        <v>5.7486774140658703</v>
      </c>
      <c r="O422" s="26">
        <v>5.9296819666963678</v>
      </c>
      <c r="P422" s="26">
        <v>5.7486774140658703</v>
      </c>
      <c r="Q422" s="26">
        <v>5.9296819666963678</v>
      </c>
      <c r="R422" s="26">
        <v>5.7486774140658703</v>
      </c>
      <c r="S422" s="24"/>
    </row>
    <row r="423" spans="1:19" x14ac:dyDescent="0.25">
      <c r="A423" s="30">
        <v>4.18</v>
      </c>
      <c r="B423" s="30">
        <v>7.1206189521793286</v>
      </c>
      <c r="C423" s="30">
        <v>7.2496673844221462</v>
      </c>
      <c r="D423" s="30">
        <v>7.2496673844221462</v>
      </c>
      <c r="E423" s="30">
        <v>7.2496673844221462</v>
      </c>
      <c r="F423" s="30">
        <v>7.2496673844221462</v>
      </c>
      <c r="G423" s="30">
        <v>5.7486774140658703</v>
      </c>
      <c r="H423" s="30">
        <v>7.4401405082909307</v>
      </c>
      <c r="I423" s="30">
        <v>5.7486774140658703</v>
      </c>
      <c r="J423" s="30">
        <v>5.9296819666963678</v>
      </c>
      <c r="K423" s="30">
        <v>5.7486774140658703</v>
      </c>
      <c r="L423" s="30">
        <v>5.9296819666963678</v>
      </c>
      <c r="M423" s="30">
        <v>5.7486774140658703</v>
      </c>
      <c r="N423" s="30">
        <v>5.7486774140658703</v>
      </c>
      <c r="O423" s="30">
        <v>5.9296819666963678</v>
      </c>
      <c r="P423" s="30">
        <v>5.7486774140658703</v>
      </c>
      <c r="Q423" s="30">
        <v>5.9296819666963678</v>
      </c>
      <c r="R423" s="30">
        <v>5.7486774140658703</v>
      </c>
      <c r="S423" s="25"/>
    </row>
    <row r="424" spans="1:19" x14ac:dyDescent="0.25">
      <c r="A424" s="26">
        <v>4.1900000000000004</v>
      </c>
      <c r="B424" s="26">
        <v>7.1206189521793286</v>
      </c>
      <c r="C424" s="26">
        <v>7.2496673844221462</v>
      </c>
      <c r="D424" s="26">
        <v>7.2496673844221462</v>
      </c>
      <c r="E424" s="26">
        <v>7.2496673844221462</v>
      </c>
      <c r="F424" s="26">
        <v>7.2496673844221462</v>
      </c>
      <c r="G424" s="26">
        <v>5.7486774140658703</v>
      </c>
      <c r="H424" s="26">
        <v>7.4401405082909307</v>
      </c>
      <c r="I424" s="26">
        <v>5.7486774140658703</v>
      </c>
      <c r="J424" s="26">
        <v>5.9296819666963678</v>
      </c>
      <c r="K424" s="26">
        <v>5.7486774140658703</v>
      </c>
      <c r="L424" s="26">
        <v>5.9296819666963678</v>
      </c>
      <c r="M424" s="26">
        <v>5.7486774140658703</v>
      </c>
      <c r="N424" s="26">
        <v>5.7486774140658703</v>
      </c>
      <c r="O424" s="26">
        <v>5.9296819666963678</v>
      </c>
      <c r="P424" s="26">
        <v>5.7486774140658703</v>
      </c>
      <c r="Q424" s="26">
        <v>5.9296819666963678</v>
      </c>
      <c r="R424" s="26">
        <v>5.7486774140658703</v>
      </c>
      <c r="S424" s="24"/>
    </row>
    <row r="425" spans="1:19" x14ac:dyDescent="0.25">
      <c r="A425" s="30">
        <v>4.2</v>
      </c>
      <c r="B425" s="30">
        <v>7.1206189521793286</v>
      </c>
      <c r="C425" s="30">
        <v>7.4401405082909307</v>
      </c>
      <c r="D425" s="30">
        <v>7.2496673844221462</v>
      </c>
      <c r="E425" s="30">
        <v>7.4401405082909307</v>
      </c>
      <c r="F425" s="30">
        <v>7.2496673844221462</v>
      </c>
      <c r="G425" s="30">
        <v>5.7486774140658703</v>
      </c>
      <c r="H425" s="30">
        <v>7.4401405082909307</v>
      </c>
      <c r="I425" s="30">
        <v>5.7486774140658703</v>
      </c>
      <c r="J425" s="30">
        <v>5.9296819666963678</v>
      </c>
      <c r="K425" s="30">
        <v>5.7486774140658703</v>
      </c>
      <c r="L425" s="30">
        <v>5.9296819666963678</v>
      </c>
      <c r="M425" s="30">
        <v>5.7486774140658703</v>
      </c>
      <c r="N425" s="30">
        <v>5.7486774140658703</v>
      </c>
      <c r="O425" s="30">
        <v>5.9296819666963678</v>
      </c>
      <c r="P425" s="30">
        <v>5.7486774140658703</v>
      </c>
      <c r="Q425" s="30">
        <v>5.9296819666963678</v>
      </c>
      <c r="R425" s="30">
        <v>5.7486774140658703</v>
      </c>
      <c r="S425" s="25"/>
    </row>
    <row r="426" spans="1:19" x14ac:dyDescent="0.25">
      <c r="A426" s="26">
        <v>4.21</v>
      </c>
      <c r="B426" s="26">
        <v>7.1206189521793286</v>
      </c>
      <c r="C426" s="26">
        <v>7.4401405082909307</v>
      </c>
      <c r="D426" s="26">
        <v>7.2496673844221462</v>
      </c>
      <c r="E426" s="26">
        <v>7.4401405082909307</v>
      </c>
      <c r="F426" s="26">
        <v>7.2496673844221462</v>
      </c>
      <c r="G426" s="26">
        <v>5.7486774140658703</v>
      </c>
      <c r="H426" s="26">
        <v>7.4401405082909307</v>
      </c>
      <c r="I426" s="26">
        <v>5.7486774140658703</v>
      </c>
      <c r="J426" s="26">
        <v>5.9296819666963678</v>
      </c>
      <c r="K426" s="26">
        <v>5.7486774140658703</v>
      </c>
      <c r="L426" s="26">
        <v>5.9296819666963678</v>
      </c>
      <c r="M426" s="26">
        <v>5.7486774140658703</v>
      </c>
      <c r="N426" s="26">
        <v>5.7486774140658703</v>
      </c>
      <c r="O426" s="26">
        <v>5.9296819666963678</v>
      </c>
      <c r="P426" s="26">
        <v>5.7486774140658703</v>
      </c>
      <c r="Q426" s="26">
        <v>5.9296819666963678</v>
      </c>
      <c r="R426" s="26">
        <v>5.7486774140658703</v>
      </c>
      <c r="S426" s="24"/>
    </row>
    <row r="427" spans="1:19" x14ac:dyDescent="0.25">
      <c r="A427" s="30">
        <v>4.22</v>
      </c>
      <c r="B427" s="30">
        <v>7.1206189521793286</v>
      </c>
      <c r="C427" s="30">
        <v>7.4401405082909307</v>
      </c>
      <c r="D427" s="30">
        <v>7.2496673844221462</v>
      </c>
      <c r="E427" s="30">
        <v>7.4401405082909307</v>
      </c>
      <c r="F427" s="30">
        <v>7.2496673844221462</v>
      </c>
      <c r="G427" s="30">
        <v>5.7486774140658703</v>
      </c>
      <c r="H427" s="30">
        <v>8.2301389521793276</v>
      </c>
      <c r="I427" s="30">
        <v>5.7486774140658703</v>
      </c>
      <c r="J427" s="30">
        <v>5.9296819666963678</v>
      </c>
      <c r="K427" s="30">
        <v>5.7486774140658703</v>
      </c>
      <c r="L427" s="30">
        <v>5.9296819666963678</v>
      </c>
      <c r="M427" s="30">
        <v>5.7486774140658703</v>
      </c>
      <c r="N427" s="30">
        <v>5.7486774140658703</v>
      </c>
      <c r="O427" s="30">
        <v>5.9296819666963678</v>
      </c>
      <c r="P427" s="30">
        <v>5.7486774140658703</v>
      </c>
      <c r="Q427" s="30">
        <v>5.9296819666963678</v>
      </c>
      <c r="R427" s="30">
        <v>5.7486774140658703</v>
      </c>
      <c r="S427" s="25"/>
    </row>
    <row r="428" spans="1:19" x14ac:dyDescent="0.25">
      <c r="A428" s="26">
        <v>4.2300000000000004</v>
      </c>
      <c r="B428" s="26">
        <v>7.1206189521793286</v>
      </c>
      <c r="C428" s="26">
        <v>7.4401405082909307</v>
      </c>
      <c r="D428" s="26">
        <v>7.2496673844221462</v>
      </c>
      <c r="E428" s="26">
        <v>7.4401405082909307</v>
      </c>
      <c r="F428" s="26">
        <v>7.2496673844221462</v>
      </c>
      <c r="G428" s="26">
        <v>5.7486774140658703</v>
      </c>
      <c r="H428" s="26">
        <v>8.2301389521793276</v>
      </c>
      <c r="I428" s="26">
        <v>5.7486774140658703</v>
      </c>
      <c r="J428" s="26">
        <v>5.9296819666963678</v>
      </c>
      <c r="K428" s="26">
        <v>5.7486774140658703</v>
      </c>
      <c r="L428" s="26">
        <v>5.9296819666963678</v>
      </c>
      <c r="M428" s="26">
        <v>5.7486774140658703</v>
      </c>
      <c r="N428" s="26">
        <v>5.7486774140658703</v>
      </c>
      <c r="O428" s="26">
        <v>5.9296819666963678</v>
      </c>
      <c r="P428" s="26">
        <v>5.7486774140658703</v>
      </c>
      <c r="Q428" s="26">
        <v>5.9296819666963678</v>
      </c>
      <c r="R428" s="26">
        <v>5.7486774140658703</v>
      </c>
      <c r="S428" s="24"/>
    </row>
    <row r="429" spans="1:19" x14ac:dyDescent="0.25">
      <c r="A429" s="30">
        <v>4.24</v>
      </c>
      <c r="B429" s="30">
        <v>7.1206189521793286</v>
      </c>
      <c r="C429" s="30">
        <v>7.4401405082909307</v>
      </c>
      <c r="D429" s="30">
        <v>7.2496673844221462</v>
      </c>
      <c r="E429" s="30">
        <v>7.4401405082909307</v>
      </c>
      <c r="F429" s="30">
        <v>7.2496673844221462</v>
      </c>
      <c r="G429" s="30">
        <v>5.7486774140658703</v>
      </c>
      <c r="H429" s="30">
        <v>8.2301389521793276</v>
      </c>
      <c r="I429" s="30">
        <v>5.7486774140658703</v>
      </c>
      <c r="J429" s="30">
        <v>6.9384589521793281</v>
      </c>
      <c r="K429" s="30">
        <v>5.7486774140658703</v>
      </c>
      <c r="L429" s="30">
        <v>6.8860189521793274</v>
      </c>
      <c r="M429" s="30">
        <v>5.7486774140658703</v>
      </c>
      <c r="N429" s="30">
        <v>5.7486774140658703</v>
      </c>
      <c r="O429" s="30">
        <v>6.9260389521793284</v>
      </c>
      <c r="P429" s="30">
        <v>5.7486774140658703</v>
      </c>
      <c r="Q429" s="30">
        <v>7.0902589521793278</v>
      </c>
      <c r="R429" s="30">
        <v>5.7486774140658703</v>
      </c>
      <c r="S429" s="25"/>
    </row>
    <row r="430" spans="1:19" x14ac:dyDescent="0.25">
      <c r="A430" s="26">
        <v>4.25</v>
      </c>
      <c r="B430" s="26">
        <v>7.1206189521793286</v>
      </c>
      <c r="C430" s="26">
        <v>7.4401405082909307</v>
      </c>
      <c r="D430" s="26">
        <v>7.2496673844221462</v>
      </c>
      <c r="E430" s="26">
        <v>7.4401405082909307</v>
      </c>
      <c r="F430" s="26">
        <v>7.2496673844221462</v>
      </c>
      <c r="G430" s="26">
        <v>5.7486774140658703</v>
      </c>
      <c r="H430" s="26">
        <v>8.2301389521793276</v>
      </c>
      <c r="I430" s="26">
        <v>5.7486774140658703</v>
      </c>
      <c r="J430" s="26">
        <v>6.9384589521793281</v>
      </c>
      <c r="K430" s="26">
        <v>5.7486774140658703</v>
      </c>
      <c r="L430" s="26">
        <v>6.8860189521793274</v>
      </c>
      <c r="M430" s="26">
        <v>5.7486774140658703</v>
      </c>
      <c r="N430" s="26">
        <v>5.7486774140658703</v>
      </c>
      <c r="O430" s="26">
        <v>6.9260389521793284</v>
      </c>
      <c r="P430" s="26">
        <v>5.7486774140658703</v>
      </c>
      <c r="Q430" s="26">
        <v>7.0902589521793278</v>
      </c>
      <c r="R430" s="26">
        <v>5.7486774140658703</v>
      </c>
      <c r="S430" s="24"/>
    </row>
    <row r="431" spans="1:19" x14ac:dyDescent="0.25">
      <c r="A431" s="30">
        <v>4.26</v>
      </c>
      <c r="B431" s="30">
        <v>7.1206189521793286</v>
      </c>
      <c r="C431" s="30">
        <v>7.4401405082909307</v>
      </c>
      <c r="D431" s="30">
        <v>7.2496673844221462</v>
      </c>
      <c r="E431" s="30">
        <v>7.4401405082909307</v>
      </c>
      <c r="F431" s="30">
        <v>7.2496673844221462</v>
      </c>
      <c r="G431" s="30">
        <v>5.7486774140658703</v>
      </c>
      <c r="H431" s="30">
        <v>8.2301389521793276</v>
      </c>
      <c r="I431" s="30">
        <v>5.7486774140658703</v>
      </c>
      <c r="J431" s="30">
        <v>6.9384589521793281</v>
      </c>
      <c r="K431" s="30">
        <v>5.7486774140658703</v>
      </c>
      <c r="L431" s="30">
        <v>6.8860189521793274</v>
      </c>
      <c r="M431" s="30">
        <v>5.7486774140658703</v>
      </c>
      <c r="N431" s="30">
        <v>5.7486774140658703</v>
      </c>
      <c r="O431" s="30">
        <v>6.9260389521793284</v>
      </c>
      <c r="P431" s="30">
        <v>5.7486774140658703</v>
      </c>
      <c r="Q431" s="30">
        <v>7.0902589521793278</v>
      </c>
      <c r="R431" s="30">
        <v>5.7486774140658703</v>
      </c>
      <c r="S431" s="25"/>
    </row>
    <row r="432" spans="1:19" x14ac:dyDescent="0.25">
      <c r="A432" s="26">
        <v>4.2699999999999996</v>
      </c>
      <c r="B432" s="26">
        <v>7.1206189521793286</v>
      </c>
      <c r="C432" s="26">
        <v>7.4401405082909307</v>
      </c>
      <c r="D432" s="26">
        <v>7.2496673844221462</v>
      </c>
      <c r="E432" s="26">
        <v>7.4401405082909307</v>
      </c>
      <c r="F432" s="26">
        <v>7.2496673844221462</v>
      </c>
      <c r="G432" s="26">
        <v>5.7486774140658703</v>
      </c>
      <c r="H432" s="26">
        <v>8.2301389521793276</v>
      </c>
      <c r="I432" s="26">
        <v>5.7486774140658703</v>
      </c>
      <c r="J432" s="26">
        <v>6.9384589521793281</v>
      </c>
      <c r="K432" s="26">
        <v>5.7486774140658703</v>
      </c>
      <c r="L432" s="26">
        <v>6.8860189521793274</v>
      </c>
      <c r="M432" s="26">
        <v>5.7486774140658703</v>
      </c>
      <c r="N432" s="26">
        <v>5.7486774140658703</v>
      </c>
      <c r="O432" s="26">
        <v>6.9260389521793284</v>
      </c>
      <c r="P432" s="26">
        <v>5.7486774140658703</v>
      </c>
      <c r="Q432" s="26">
        <v>7.0902589521793278</v>
      </c>
      <c r="R432" s="26">
        <v>5.7486774140658703</v>
      </c>
      <c r="S432" s="24"/>
    </row>
    <row r="433" spans="1:19" x14ac:dyDescent="0.25">
      <c r="A433" s="30">
        <v>4.28</v>
      </c>
      <c r="B433" s="30">
        <v>7.1206189521793286</v>
      </c>
      <c r="C433" s="30">
        <v>7.4401405082909307</v>
      </c>
      <c r="D433" s="30">
        <v>7.2496673844221462</v>
      </c>
      <c r="E433" s="30">
        <v>7.4401405082909307</v>
      </c>
      <c r="F433" s="30">
        <v>7.2496673844221462</v>
      </c>
      <c r="G433" s="30">
        <v>5.7486774140658703</v>
      </c>
      <c r="H433" s="30">
        <v>8.2301389521793276</v>
      </c>
      <c r="I433" s="30">
        <v>5.7486774140658703</v>
      </c>
      <c r="J433" s="30">
        <v>6.9384589521793281</v>
      </c>
      <c r="K433" s="30">
        <v>5.7486774140658703</v>
      </c>
      <c r="L433" s="30">
        <v>6.8860189521793274</v>
      </c>
      <c r="M433" s="30">
        <v>5.7486774140658703</v>
      </c>
      <c r="N433" s="30">
        <v>5.7486774140658703</v>
      </c>
      <c r="O433" s="30">
        <v>6.9260389521793284</v>
      </c>
      <c r="P433" s="30">
        <v>5.7486774140658703</v>
      </c>
      <c r="Q433" s="30">
        <v>7.0902589521793278</v>
      </c>
      <c r="R433" s="30">
        <v>5.7486774140658703</v>
      </c>
      <c r="S433" s="25"/>
    </row>
    <row r="434" spans="1:19" x14ac:dyDescent="0.25">
      <c r="A434" s="26">
        <v>4.29</v>
      </c>
      <c r="B434" s="26">
        <v>7.1206189521793286</v>
      </c>
      <c r="C434" s="26">
        <v>7.4401405082909307</v>
      </c>
      <c r="D434" s="26">
        <v>7.2496673844221462</v>
      </c>
      <c r="E434" s="26">
        <v>7.4401405082909307</v>
      </c>
      <c r="F434" s="26">
        <v>7.2496673844221462</v>
      </c>
      <c r="G434" s="26">
        <v>5.7486774140658703</v>
      </c>
      <c r="H434" s="26">
        <v>8.2301389521793276</v>
      </c>
      <c r="I434" s="26">
        <v>5.7486774140658703</v>
      </c>
      <c r="J434" s="26">
        <v>6.9384589521793281</v>
      </c>
      <c r="K434" s="26">
        <v>5.7486774140658703</v>
      </c>
      <c r="L434" s="26">
        <v>6.8860189521793274</v>
      </c>
      <c r="M434" s="26">
        <v>5.7486774140658703</v>
      </c>
      <c r="N434" s="26">
        <v>5.7486774140658703</v>
      </c>
      <c r="O434" s="26">
        <v>6.9260389521793284</v>
      </c>
      <c r="P434" s="26">
        <v>5.7486774140658703</v>
      </c>
      <c r="Q434" s="26">
        <v>7.0902589521793278</v>
      </c>
      <c r="R434" s="26">
        <v>5.7486774140658703</v>
      </c>
      <c r="S434" s="24"/>
    </row>
    <row r="435" spans="1:19" x14ac:dyDescent="0.25">
      <c r="A435" s="30">
        <v>4.3</v>
      </c>
      <c r="B435" s="30">
        <v>7.1206189521793286</v>
      </c>
      <c r="C435" s="30">
        <v>8.6248189521793286</v>
      </c>
      <c r="D435" s="30">
        <v>7.2496673844221462</v>
      </c>
      <c r="E435" s="30">
        <v>8.6751889521793295</v>
      </c>
      <c r="F435" s="30">
        <v>7.2496673844221462</v>
      </c>
      <c r="G435" s="30">
        <v>5.9296819666963678</v>
      </c>
      <c r="H435" s="30">
        <v>8.2301389521793276</v>
      </c>
      <c r="I435" s="30">
        <v>5.9296819666963678</v>
      </c>
      <c r="J435" s="30">
        <v>6.9384589521793281</v>
      </c>
      <c r="K435" s="30">
        <v>5.9296819666963678</v>
      </c>
      <c r="L435" s="30">
        <v>6.8860189521793274</v>
      </c>
      <c r="M435" s="30">
        <v>5.9296819666963678</v>
      </c>
      <c r="N435" s="30">
        <v>5.9296819666963678</v>
      </c>
      <c r="O435" s="30">
        <v>6.9260389521793284</v>
      </c>
      <c r="P435" s="30">
        <v>5.9296819666963678</v>
      </c>
      <c r="Q435" s="30">
        <v>7.0902589521793278</v>
      </c>
      <c r="R435" s="30">
        <v>5.9296819666963678</v>
      </c>
      <c r="S435" s="25"/>
    </row>
    <row r="436" spans="1:19" x14ac:dyDescent="0.25">
      <c r="A436" s="26">
        <v>4.3099999999999996</v>
      </c>
      <c r="B436" s="26">
        <v>7.1206189521793286</v>
      </c>
      <c r="C436" s="26">
        <v>8.6248189521793286</v>
      </c>
      <c r="D436" s="26">
        <v>7.2496673844221462</v>
      </c>
      <c r="E436" s="26">
        <v>8.6751889521793295</v>
      </c>
      <c r="F436" s="26">
        <v>7.2496673844221462</v>
      </c>
      <c r="G436" s="26">
        <v>5.9296819666963678</v>
      </c>
      <c r="H436" s="26">
        <v>8.2301389521793276</v>
      </c>
      <c r="I436" s="26">
        <v>5.9296819666963678</v>
      </c>
      <c r="J436" s="26">
        <v>6.9384589521793281</v>
      </c>
      <c r="K436" s="26">
        <v>5.9296819666963678</v>
      </c>
      <c r="L436" s="26">
        <v>6.8860189521793274</v>
      </c>
      <c r="M436" s="26">
        <v>5.9296819666963678</v>
      </c>
      <c r="N436" s="26">
        <v>5.9296819666963678</v>
      </c>
      <c r="O436" s="26">
        <v>6.9260389521793284</v>
      </c>
      <c r="P436" s="26">
        <v>5.9296819666963678</v>
      </c>
      <c r="Q436" s="26">
        <v>7.0902589521793278</v>
      </c>
      <c r="R436" s="26">
        <v>5.9296819666963678</v>
      </c>
      <c r="S436" s="24"/>
    </row>
    <row r="437" spans="1:19" x14ac:dyDescent="0.25">
      <c r="A437" s="30">
        <v>4.32</v>
      </c>
      <c r="B437" s="30">
        <v>7.2496673844221462</v>
      </c>
      <c r="C437" s="30">
        <v>8.6248189521793286</v>
      </c>
      <c r="D437" s="30">
        <v>7.2496673844221462</v>
      </c>
      <c r="E437" s="30">
        <v>8.6751889521793295</v>
      </c>
      <c r="F437" s="30">
        <v>7.2496673844221462</v>
      </c>
      <c r="G437" s="30">
        <v>5.9296819666963678</v>
      </c>
      <c r="H437" s="30">
        <v>8.2301389521793276</v>
      </c>
      <c r="I437" s="30">
        <v>5.9296819666963678</v>
      </c>
      <c r="J437" s="30">
        <v>6.9384589521793281</v>
      </c>
      <c r="K437" s="30">
        <v>5.9296819666963678</v>
      </c>
      <c r="L437" s="30">
        <v>6.8860189521793274</v>
      </c>
      <c r="M437" s="30">
        <v>5.9296819666963678</v>
      </c>
      <c r="N437" s="30">
        <v>5.9296819666963678</v>
      </c>
      <c r="O437" s="30">
        <v>6.9260389521793284</v>
      </c>
      <c r="P437" s="30">
        <v>5.9296819666963678</v>
      </c>
      <c r="Q437" s="30">
        <v>7.0902589521793278</v>
      </c>
      <c r="R437" s="30">
        <v>5.9296819666963678</v>
      </c>
      <c r="S437" s="25"/>
    </row>
    <row r="438" spans="1:19" x14ac:dyDescent="0.25">
      <c r="A438" s="26">
        <v>4.33</v>
      </c>
      <c r="B438" s="26">
        <v>7.2496673844221462</v>
      </c>
      <c r="C438" s="26">
        <v>8.6248189521793286</v>
      </c>
      <c r="D438" s="26">
        <v>7.2496673844221462</v>
      </c>
      <c r="E438" s="26">
        <v>8.6751889521793295</v>
      </c>
      <c r="F438" s="26">
        <v>7.2496673844221462</v>
      </c>
      <c r="G438" s="26">
        <v>5.9296819666963678</v>
      </c>
      <c r="H438" s="26">
        <v>8.6840406709425046</v>
      </c>
      <c r="I438" s="26">
        <v>5.9296819666963678</v>
      </c>
      <c r="J438" s="26">
        <v>6.9384589521793281</v>
      </c>
      <c r="K438" s="26">
        <v>5.9296819666963678</v>
      </c>
      <c r="L438" s="26">
        <v>6.8860189521793274</v>
      </c>
      <c r="M438" s="26">
        <v>5.9296819666963678</v>
      </c>
      <c r="N438" s="26">
        <v>5.9296819666963678</v>
      </c>
      <c r="O438" s="26">
        <v>6.9260389521793284</v>
      </c>
      <c r="P438" s="26">
        <v>5.9296819666963678</v>
      </c>
      <c r="Q438" s="26">
        <v>7.0902589521793278</v>
      </c>
      <c r="R438" s="26">
        <v>5.9296819666963678</v>
      </c>
      <c r="S438" s="24"/>
    </row>
    <row r="439" spans="1:19" x14ac:dyDescent="0.25">
      <c r="A439" s="30">
        <v>4.34</v>
      </c>
      <c r="B439" s="30">
        <v>7.2496673844221462</v>
      </c>
      <c r="C439" s="30">
        <v>8.6248189521793286</v>
      </c>
      <c r="D439" s="30">
        <v>7.4401405082909307</v>
      </c>
      <c r="E439" s="30">
        <v>8.6751889521793295</v>
      </c>
      <c r="F439" s="30">
        <v>7.4401405082909307</v>
      </c>
      <c r="G439" s="30">
        <v>5.9296819666963678</v>
      </c>
      <c r="H439" s="30">
        <v>8.6840406709425046</v>
      </c>
      <c r="I439" s="30">
        <v>5.9296819666963678</v>
      </c>
      <c r="J439" s="30">
        <v>6.9384589521793281</v>
      </c>
      <c r="K439" s="30">
        <v>5.9296819666963678</v>
      </c>
      <c r="L439" s="30">
        <v>6.8860189521793274</v>
      </c>
      <c r="M439" s="30">
        <v>5.9296819666963678</v>
      </c>
      <c r="N439" s="30">
        <v>5.9296819666963678</v>
      </c>
      <c r="O439" s="30">
        <v>6.9260389521793284</v>
      </c>
      <c r="P439" s="30">
        <v>5.9296819666963678</v>
      </c>
      <c r="Q439" s="30">
        <v>7.0902589521793278</v>
      </c>
      <c r="R439" s="30">
        <v>5.9296819666963678</v>
      </c>
      <c r="S439" s="25"/>
    </row>
    <row r="440" spans="1:19" x14ac:dyDescent="0.25">
      <c r="A440" s="26">
        <v>4.3499999999999996</v>
      </c>
      <c r="B440" s="26">
        <v>7.2496673844221462</v>
      </c>
      <c r="C440" s="26">
        <v>8.6248189521793286</v>
      </c>
      <c r="D440" s="26">
        <v>7.4401405082909307</v>
      </c>
      <c r="E440" s="26">
        <v>8.6751889521793295</v>
      </c>
      <c r="F440" s="26">
        <v>7.4401405082909307</v>
      </c>
      <c r="G440" s="26">
        <v>5.9296819666963678</v>
      </c>
      <c r="H440" s="26">
        <v>8.6840406709425046</v>
      </c>
      <c r="I440" s="26">
        <v>5.9296819666963678</v>
      </c>
      <c r="J440" s="26">
        <v>6.9384589521793281</v>
      </c>
      <c r="K440" s="26">
        <v>5.9296819666963678</v>
      </c>
      <c r="L440" s="26">
        <v>6.8860189521793274</v>
      </c>
      <c r="M440" s="26">
        <v>5.9296819666963678</v>
      </c>
      <c r="N440" s="26">
        <v>5.9296819666963678</v>
      </c>
      <c r="O440" s="26">
        <v>6.9260389521793284</v>
      </c>
      <c r="P440" s="26">
        <v>5.9296819666963678</v>
      </c>
      <c r="Q440" s="26">
        <v>7.0902589521793278</v>
      </c>
      <c r="R440" s="26">
        <v>5.9296819666963678</v>
      </c>
      <c r="S440" s="24"/>
    </row>
    <row r="441" spans="1:19" x14ac:dyDescent="0.25">
      <c r="A441" s="30">
        <v>4.3600000000000003</v>
      </c>
      <c r="B441" s="30">
        <v>7.2496673844221462</v>
      </c>
      <c r="C441" s="30">
        <v>8.6248189521793286</v>
      </c>
      <c r="D441" s="30">
        <v>7.4401405082909307</v>
      </c>
      <c r="E441" s="30">
        <v>8.6751889521793295</v>
      </c>
      <c r="F441" s="30">
        <v>7.4401405082909307</v>
      </c>
      <c r="G441" s="30">
        <v>5.9296819666963678</v>
      </c>
      <c r="H441" s="30">
        <v>8.6840406709425046</v>
      </c>
      <c r="I441" s="30">
        <v>5.9296819666963678</v>
      </c>
      <c r="J441" s="30">
        <v>7.2496673844221462</v>
      </c>
      <c r="K441" s="30">
        <v>5.9296819666963678</v>
      </c>
      <c r="L441" s="30">
        <v>7.2496673844221462</v>
      </c>
      <c r="M441" s="30">
        <v>5.9296819666963678</v>
      </c>
      <c r="N441" s="30">
        <v>5.9296819666963678</v>
      </c>
      <c r="O441" s="30">
        <v>7.2496673844221462</v>
      </c>
      <c r="P441" s="30">
        <v>5.9296819666963678</v>
      </c>
      <c r="Q441" s="30">
        <v>7.2496673844221462</v>
      </c>
      <c r="R441" s="30">
        <v>5.9296819666963678</v>
      </c>
      <c r="S441" s="25"/>
    </row>
    <row r="442" spans="1:19" x14ac:dyDescent="0.25">
      <c r="A442" s="26">
        <v>4.37</v>
      </c>
      <c r="B442" s="26">
        <v>7.2496673844221462</v>
      </c>
      <c r="C442" s="26">
        <v>8.6248189521793286</v>
      </c>
      <c r="D442" s="26">
        <v>7.4401405082909307</v>
      </c>
      <c r="E442" s="26">
        <v>8.6751889521793295</v>
      </c>
      <c r="F442" s="26">
        <v>7.4401405082909307</v>
      </c>
      <c r="G442" s="26">
        <v>5.9296819666963678</v>
      </c>
      <c r="H442" s="26">
        <v>8.6840406709425046</v>
      </c>
      <c r="I442" s="26">
        <v>5.9296819666963678</v>
      </c>
      <c r="J442" s="26">
        <v>7.2496673844221462</v>
      </c>
      <c r="K442" s="26">
        <v>5.9296819666963678</v>
      </c>
      <c r="L442" s="26">
        <v>7.2496673844221462</v>
      </c>
      <c r="M442" s="26">
        <v>5.9296819666963678</v>
      </c>
      <c r="N442" s="26">
        <v>5.9296819666963678</v>
      </c>
      <c r="O442" s="26">
        <v>7.2496673844221462</v>
      </c>
      <c r="P442" s="26">
        <v>5.9296819666963678</v>
      </c>
      <c r="Q442" s="26">
        <v>7.2496673844221462</v>
      </c>
      <c r="R442" s="26">
        <v>5.9296819666963678</v>
      </c>
      <c r="S442" s="24"/>
    </row>
    <row r="443" spans="1:19" x14ac:dyDescent="0.25">
      <c r="A443" s="30">
        <v>4.38</v>
      </c>
      <c r="B443" s="30">
        <v>7.2496673844221462</v>
      </c>
      <c r="C443" s="30">
        <v>8.6248189521793286</v>
      </c>
      <c r="D443" s="30">
        <v>7.4401405082909307</v>
      </c>
      <c r="E443" s="30">
        <v>8.6751889521793295</v>
      </c>
      <c r="F443" s="30">
        <v>7.4401405082909307</v>
      </c>
      <c r="G443" s="30">
        <v>7.2496673844221462</v>
      </c>
      <c r="H443" s="30">
        <v>8.6840406709425046</v>
      </c>
      <c r="I443" s="30">
        <v>7.2496673844221462</v>
      </c>
      <c r="J443" s="30">
        <v>7.2496673844221462</v>
      </c>
      <c r="K443" s="30">
        <v>6.8446189521793279</v>
      </c>
      <c r="L443" s="30">
        <v>7.2496673844221462</v>
      </c>
      <c r="M443" s="30">
        <v>6.9274189521793286</v>
      </c>
      <c r="N443" s="30">
        <v>6.9356989521793277</v>
      </c>
      <c r="O443" s="30">
        <v>7.2496673844221462</v>
      </c>
      <c r="P443" s="30">
        <v>6.9508789521793277</v>
      </c>
      <c r="Q443" s="30">
        <v>7.2496673844221462</v>
      </c>
      <c r="R443" s="30">
        <v>7.2496673844221462</v>
      </c>
      <c r="S443" s="25"/>
    </row>
    <row r="444" spans="1:19" x14ac:dyDescent="0.25">
      <c r="A444" s="26">
        <v>4.3899999999999997</v>
      </c>
      <c r="B444" s="26">
        <v>7.2496673844221462</v>
      </c>
      <c r="C444" s="26">
        <v>8.6248189521793286</v>
      </c>
      <c r="D444" s="26">
        <v>7.4401405082909307</v>
      </c>
      <c r="E444" s="26">
        <v>8.6751889521793295</v>
      </c>
      <c r="F444" s="26">
        <v>7.4401405082909307</v>
      </c>
      <c r="G444" s="26">
        <v>7.2496673844221462</v>
      </c>
      <c r="H444" s="26">
        <v>8.6840406709425046</v>
      </c>
      <c r="I444" s="26">
        <v>7.2496673844221462</v>
      </c>
      <c r="J444" s="26">
        <v>7.2496673844221462</v>
      </c>
      <c r="K444" s="26">
        <v>6.8446189521793279</v>
      </c>
      <c r="L444" s="26">
        <v>7.2496673844221462</v>
      </c>
      <c r="M444" s="26">
        <v>6.9274189521793286</v>
      </c>
      <c r="N444" s="26">
        <v>6.9356989521793277</v>
      </c>
      <c r="O444" s="26">
        <v>7.2496673844221462</v>
      </c>
      <c r="P444" s="26">
        <v>6.9508789521793277</v>
      </c>
      <c r="Q444" s="26">
        <v>7.2496673844221462</v>
      </c>
      <c r="R444" s="26">
        <v>7.2496673844221462</v>
      </c>
      <c r="S444" s="24"/>
    </row>
    <row r="445" spans="1:19" x14ac:dyDescent="0.25">
      <c r="A445" s="30">
        <v>4.4000000000000004</v>
      </c>
      <c r="B445" s="30">
        <v>7.2496673844221462</v>
      </c>
      <c r="C445" s="30">
        <v>8.6248189521793286</v>
      </c>
      <c r="D445" s="30">
        <v>7.4401405082909307</v>
      </c>
      <c r="E445" s="30">
        <v>8.6751889521793295</v>
      </c>
      <c r="F445" s="30">
        <v>7.4401405082909307</v>
      </c>
      <c r="G445" s="30">
        <v>7.2496673844221462</v>
      </c>
      <c r="H445" s="30">
        <v>8.6840406709425046</v>
      </c>
      <c r="I445" s="30">
        <v>7.2496673844221462</v>
      </c>
      <c r="J445" s="30">
        <v>7.2496673844221462</v>
      </c>
      <c r="K445" s="30">
        <v>6.8446189521793279</v>
      </c>
      <c r="L445" s="30">
        <v>7.2496673844221462</v>
      </c>
      <c r="M445" s="30">
        <v>6.9274189521793286</v>
      </c>
      <c r="N445" s="30">
        <v>6.9356989521793277</v>
      </c>
      <c r="O445" s="30">
        <v>7.2496673844221462</v>
      </c>
      <c r="P445" s="30">
        <v>6.9508789521793277</v>
      </c>
      <c r="Q445" s="30">
        <v>7.2496673844221462</v>
      </c>
      <c r="R445" s="30">
        <v>7.2496673844221462</v>
      </c>
      <c r="S445" s="25"/>
    </row>
    <row r="446" spans="1:19" x14ac:dyDescent="0.25">
      <c r="A446" s="26">
        <v>4.41</v>
      </c>
      <c r="B446" s="26">
        <v>7.2496673844221462</v>
      </c>
      <c r="C446" s="26">
        <v>8.6248189521793286</v>
      </c>
      <c r="D446" s="26">
        <v>7.4401405082909307</v>
      </c>
      <c r="E446" s="26">
        <v>8.6751889521793295</v>
      </c>
      <c r="F446" s="26">
        <v>7.4401405082909307</v>
      </c>
      <c r="G446" s="26">
        <v>7.2496673844221462</v>
      </c>
      <c r="H446" s="26">
        <v>8.6840406709425046</v>
      </c>
      <c r="I446" s="26">
        <v>7.2496673844221462</v>
      </c>
      <c r="J446" s="26">
        <v>7.2496673844221462</v>
      </c>
      <c r="K446" s="26">
        <v>6.8446189521793279</v>
      </c>
      <c r="L446" s="26">
        <v>7.2496673844221462</v>
      </c>
      <c r="M446" s="26">
        <v>6.9274189521793286</v>
      </c>
      <c r="N446" s="26">
        <v>6.9356989521793277</v>
      </c>
      <c r="O446" s="26">
        <v>7.2496673844221462</v>
      </c>
      <c r="P446" s="26">
        <v>6.9508789521793277</v>
      </c>
      <c r="Q446" s="26">
        <v>7.2496673844221462</v>
      </c>
      <c r="R446" s="26">
        <v>7.2496673844221462</v>
      </c>
      <c r="S446" s="24"/>
    </row>
    <row r="447" spans="1:19" x14ac:dyDescent="0.25">
      <c r="A447" s="30">
        <v>4.42</v>
      </c>
      <c r="B447" s="30">
        <v>7.2496673844221462</v>
      </c>
      <c r="C447" s="30">
        <v>8.6248189521793286</v>
      </c>
      <c r="D447" s="30">
        <v>7.4401405082909307</v>
      </c>
      <c r="E447" s="30">
        <v>8.6751889521793295</v>
      </c>
      <c r="F447" s="30">
        <v>7.4401405082909307</v>
      </c>
      <c r="G447" s="30">
        <v>7.2496673844221462</v>
      </c>
      <c r="H447" s="30">
        <v>8.6840406709425046</v>
      </c>
      <c r="I447" s="30">
        <v>7.2496673844221462</v>
      </c>
      <c r="J447" s="30">
        <v>7.2496673844221462</v>
      </c>
      <c r="K447" s="30">
        <v>6.8446189521793279</v>
      </c>
      <c r="L447" s="30">
        <v>7.2496673844221462</v>
      </c>
      <c r="M447" s="30">
        <v>6.9274189521793286</v>
      </c>
      <c r="N447" s="30">
        <v>6.9356989521793277</v>
      </c>
      <c r="O447" s="30">
        <v>7.2496673844221462</v>
      </c>
      <c r="P447" s="30">
        <v>6.9508789521793277</v>
      </c>
      <c r="Q447" s="30">
        <v>7.2496673844221462</v>
      </c>
      <c r="R447" s="30">
        <v>7.2496673844221462</v>
      </c>
      <c r="S447" s="25"/>
    </row>
    <row r="448" spans="1:19" x14ac:dyDescent="0.25">
      <c r="A448" s="26">
        <v>4.43</v>
      </c>
      <c r="B448" s="26">
        <v>7.2496673844221462</v>
      </c>
      <c r="C448" s="26">
        <v>8.6248189521793286</v>
      </c>
      <c r="D448" s="26">
        <v>7.4401405082909307</v>
      </c>
      <c r="E448" s="26">
        <v>8.6751889521793295</v>
      </c>
      <c r="F448" s="26">
        <v>7.4401405082909307</v>
      </c>
      <c r="G448" s="26">
        <v>7.2496673844221462</v>
      </c>
      <c r="H448" s="26">
        <v>8.6840406709425046</v>
      </c>
      <c r="I448" s="26">
        <v>7.2496673844221462</v>
      </c>
      <c r="J448" s="26">
        <v>7.2496673844221462</v>
      </c>
      <c r="K448" s="26">
        <v>6.8446189521793279</v>
      </c>
      <c r="L448" s="26">
        <v>7.2496673844221462</v>
      </c>
      <c r="M448" s="26">
        <v>6.9274189521793286</v>
      </c>
      <c r="N448" s="26">
        <v>6.9356989521793277</v>
      </c>
      <c r="O448" s="26">
        <v>7.2496673844221462</v>
      </c>
      <c r="P448" s="26">
        <v>6.9508789521793277</v>
      </c>
      <c r="Q448" s="26">
        <v>7.2496673844221462</v>
      </c>
      <c r="R448" s="26">
        <v>7.2496673844221462</v>
      </c>
      <c r="S448" s="24"/>
    </row>
    <row r="449" spans="1:19" x14ac:dyDescent="0.25">
      <c r="A449" s="30">
        <v>4.4400000000000004</v>
      </c>
      <c r="B449" s="30">
        <v>7.2496673844221462</v>
      </c>
      <c r="C449" s="30">
        <v>8.6248189521793286</v>
      </c>
      <c r="D449" s="30">
        <v>7.4401405082909307</v>
      </c>
      <c r="E449" s="30">
        <v>8.6751889521793295</v>
      </c>
      <c r="F449" s="30">
        <v>7.4401405082909307</v>
      </c>
      <c r="G449" s="30">
        <v>7.2496673844221462</v>
      </c>
      <c r="H449" s="30">
        <v>8.6840406709425046</v>
      </c>
      <c r="I449" s="30">
        <v>7.2496673844221462</v>
      </c>
      <c r="J449" s="30">
        <v>7.2496673844221462</v>
      </c>
      <c r="K449" s="30">
        <v>6.8446189521793279</v>
      </c>
      <c r="L449" s="30">
        <v>7.2496673844221462</v>
      </c>
      <c r="M449" s="30">
        <v>6.9274189521793286</v>
      </c>
      <c r="N449" s="30">
        <v>6.9356989521793277</v>
      </c>
      <c r="O449" s="30">
        <v>7.2496673844221462</v>
      </c>
      <c r="P449" s="30">
        <v>6.9508789521793277</v>
      </c>
      <c r="Q449" s="30">
        <v>7.2496673844221462</v>
      </c>
      <c r="R449" s="30">
        <v>7.2496673844221462</v>
      </c>
      <c r="S449" s="25"/>
    </row>
    <row r="450" spans="1:19" x14ac:dyDescent="0.25">
      <c r="A450" s="26">
        <v>4.45</v>
      </c>
      <c r="B450" s="26">
        <v>7.2496673844221462</v>
      </c>
      <c r="C450" s="26">
        <v>8.6248189521793286</v>
      </c>
      <c r="D450" s="26">
        <v>9.1078189521793274</v>
      </c>
      <c r="E450" s="26">
        <v>8.6751889521793295</v>
      </c>
      <c r="F450" s="26">
        <v>8.2425589521793281</v>
      </c>
      <c r="G450" s="26">
        <v>7.2496673844221462</v>
      </c>
      <c r="H450" s="26">
        <v>8.6840406709425046</v>
      </c>
      <c r="I450" s="26">
        <v>7.2496673844221462</v>
      </c>
      <c r="J450" s="26">
        <v>7.2496673844221462</v>
      </c>
      <c r="K450" s="26">
        <v>6.8446189521793279</v>
      </c>
      <c r="L450" s="26">
        <v>7.2496673844221462</v>
      </c>
      <c r="M450" s="26">
        <v>6.9274189521793286</v>
      </c>
      <c r="N450" s="26">
        <v>6.9356989521793277</v>
      </c>
      <c r="O450" s="26">
        <v>7.2496673844221462</v>
      </c>
      <c r="P450" s="26">
        <v>6.9508789521793277</v>
      </c>
      <c r="Q450" s="26">
        <v>7.2496673844221462</v>
      </c>
      <c r="R450" s="26">
        <v>7.2496673844221462</v>
      </c>
      <c r="S450" s="24"/>
    </row>
    <row r="451" spans="1:19" x14ac:dyDescent="0.25">
      <c r="A451" s="30">
        <v>4.46</v>
      </c>
      <c r="B451" s="30">
        <v>7.2496673844221462</v>
      </c>
      <c r="C451" s="30">
        <v>9.0787206709425057</v>
      </c>
      <c r="D451" s="30">
        <v>9.1078189521793274</v>
      </c>
      <c r="E451" s="30">
        <v>9.1290906709425066</v>
      </c>
      <c r="F451" s="30">
        <v>8.2425589521793281</v>
      </c>
      <c r="G451" s="30">
        <v>7.2496673844221462</v>
      </c>
      <c r="H451" s="30">
        <v>8.6840406709425046</v>
      </c>
      <c r="I451" s="30">
        <v>7.2496673844221462</v>
      </c>
      <c r="J451" s="30">
        <v>7.2496673844221462</v>
      </c>
      <c r="K451" s="30">
        <v>6.8446189521793279</v>
      </c>
      <c r="L451" s="30">
        <v>7.2496673844221462</v>
      </c>
      <c r="M451" s="30">
        <v>6.9274189521793286</v>
      </c>
      <c r="N451" s="30">
        <v>6.9356989521793277</v>
      </c>
      <c r="O451" s="30">
        <v>7.2496673844221462</v>
      </c>
      <c r="P451" s="30">
        <v>6.9508789521793277</v>
      </c>
      <c r="Q451" s="30">
        <v>7.2496673844221462</v>
      </c>
      <c r="R451" s="30">
        <v>7.2496673844221462</v>
      </c>
      <c r="S451" s="25"/>
    </row>
    <row r="452" spans="1:19" x14ac:dyDescent="0.25">
      <c r="A452" s="26">
        <v>4.47</v>
      </c>
      <c r="B452" s="26">
        <v>7.2496673844221462</v>
      </c>
      <c r="C452" s="26">
        <v>9.0787206709425057</v>
      </c>
      <c r="D452" s="26">
        <v>9.1078189521793274</v>
      </c>
      <c r="E452" s="26">
        <v>9.1290906709425066</v>
      </c>
      <c r="F452" s="26">
        <v>8.2425589521793281</v>
      </c>
      <c r="G452" s="26">
        <v>7.2496673844221462</v>
      </c>
      <c r="H452" s="26">
        <v>8.6840406709425046</v>
      </c>
      <c r="I452" s="26">
        <v>7.2496673844221462</v>
      </c>
      <c r="J452" s="26">
        <v>7.2496673844221462</v>
      </c>
      <c r="K452" s="26">
        <v>6.8446189521793279</v>
      </c>
      <c r="L452" s="26">
        <v>7.2496673844221462</v>
      </c>
      <c r="M452" s="26">
        <v>6.9274189521793286</v>
      </c>
      <c r="N452" s="26">
        <v>6.9356989521793277</v>
      </c>
      <c r="O452" s="26">
        <v>7.2496673844221462</v>
      </c>
      <c r="P452" s="26">
        <v>6.9508789521793277</v>
      </c>
      <c r="Q452" s="26">
        <v>7.2496673844221462</v>
      </c>
      <c r="R452" s="26">
        <v>7.2496673844221462</v>
      </c>
      <c r="S452" s="24"/>
    </row>
    <row r="453" spans="1:19" x14ac:dyDescent="0.25">
      <c r="A453" s="30">
        <v>4.4800000000000004</v>
      </c>
      <c r="B453" s="30">
        <v>7.2496673844221462</v>
      </c>
      <c r="C453" s="30">
        <v>9.0787206709425057</v>
      </c>
      <c r="D453" s="30">
        <v>9.1078189521793274</v>
      </c>
      <c r="E453" s="30">
        <v>9.1290906709425066</v>
      </c>
      <c r="F453" s="30">
        <v>8.2425589521793281</v>
      </c>
      <c r="G453" s="30">
        <v>7.2496673844221462</v>
      </c>
      <c r="H453" s="30">
        <v>8.6840406709425046</v>
      </c>
      <c r="I453" s="30">
        <v>7.2496673844221462</v>
      </c>
      <c r="J453" s="30">
        <v>7.2496673844221462</v>
      </c>
      <c r="K453" s="30">
        <v>6.8446189521793279</v>
      </c>
      <c r="L453" s="30">
        <v>7.2496673844221462</v>
      </c>
      <c r="M453" s="30">
        <v>6.9274189521793286</v>
      </c>
      <c r="N453" s="30">
        <v>6.9356989521793277</v>
      </c>
      <c r="O453" s="30">
        <v>7.2496673844221462</v>
      </c>
      <c r="P453" s="30">
        <v>6.9508789521793277</v>
      </c>
      <c r="Q453" s="30">
        <v>7.2496673844221462</v>
      </c>
      <c r="R453" s="30">
        <v>7.2496673844221462</v>
      </c>
      <c r="S453" s="25"/>
    </row>
    <row r="454" spans="1:19" x14ac:dyDescent="0.25">
      <c r="A454" s="26">
        <v>4.49</v>
      </c>
      <c r="B454" s="26">
        <v>7.2496673844221462</v>
      </c>
      <c r="C454" s="26">
        <v>9.0787206709425057</v>
      </c>
      <c r="D454" s="26">
        <v>9.1078189521793274</v>
      </c>
      <c r="E454" s="26">
        <v>9.1290906709425066</v>
      </c>
      <c r="F454" s="26">
        <v>8.2425589521793281</v>
      </c>
      <c r="G454" s="26">
        <v>7.2496673844221462</v>
      </c>
      <c r="H454" s="26">
        <v>8.6840406709425046</v>
      </c>
      <c r="I454" s="26">
        <v>7.2496673844221462</v>
      </c>
      <c r="J454" s="26">
        <v>7.2496673844221462</v>
      </c>
      <c r="K454" s="26">
        <v>6.8446189521793279</v>
      </c>
      <c r="L454" s="26">
        <v>7.2496673844221462</v>
      </c>
      <c r="M454" s="26">
        <v>6.9274189521793286</v>
      </c>
      <c r="N454" s="26">
        <v>6.9356989521793277</v>
      </c>
      <c r="O454" s="26">
        <v>7.2496673844221462</v>
      </c>
      <c r="P454" s="26">
        <v>6.9508789521793277</v>
      </c>
      <c r="Q454" s="26">
        <v>7.2496673844221462</v>
      </c>
      <c r="R454" s="26">
        <v>7.2496673844221462</v>
      </c>
      <c r="S454" s="24"/>
    </row>
    <row r="455" spans="1:19" x14ac:dyDescent="0.25">
      <c r="A455" s="30">
        <v>4.5</v>
      </c>
      <c r="B455" s="30">
        <v>7.4401405082909307</v>
      </c>
      <c r="C455" s="30">
        <v>9.0787206709425057</v>
      </c>
      <c r="D455" s="30">
        <v>9.1078189521793274</v>
      </c>
      <c r="E455" s="30">
        <v>9.1290906709425066</v>
      </c>
      <c r="F455" s="30">
        <v>8.2425589521793281</v>
      </c>
      <c r="G455" s="30">
        <v>7.2496673844221462</v>
      </c>
      <c r="H455" s="30">
        <v>8.6840406709425046</v>
      </c>
      <c r="I455" s="30">
        <v>7.2496673844221462</v>
      </c>
      <c r="J455" s="30">
        <v>7.2496673844221462</v>
      </c>
      <c r="K455" s="30">
        <v>6.8446189521793279</v>
      </c>
      <c r="L455" s="30">
        <v>7.2496673844221462</v>
      </c>
      <c r="M455" s="30">
        <v>6.9274189521793286</v>
      </c>
      <c r="N455" s="30">
        <v>6.9356989521793277</v>
      </c>
      <c r="O455" s="30">
        <v>7.2496673844221462</v>
      </c>
      <c r="P455" s="30">
        <v>6.9508789521793277</v>
      </c>
      <c r="Q455" s="30">
        <v>7.2496673844221462</v>
      </c>
      <c r="R455" s="30">
        <v>7.2496673844221462</v>
      </c>
      <c r="S455" s="25"/>
    </row>
    <row r="456" spans="1:19" x14ac:dyDescent="0.25">
      <c r="A456" s="26">
        <v>4.51</v>
      </c>
      <c r="B456" s="26">
        <v>7.4401405082909307</v>
      </c>
      <c r="C456" s="26">
        <v>9.0787206709425057</v>
      </c>
      <c r="D456" s="26">
        <v>9.1078189521793274</v>
      </c>
      <c r="E456" s="26">
        <v>9.1290906709425066</v>
      </c>
      <c r="F456" s="26">
        <v>8.2425589521793281</v>
      </c>
      <c r="G456" s="26">
        <v>7.2496673844221462</v>
      </c>
      <c r="H456" s="26">
        <v>8.6840406709425046</v>
      </c>
      <c r="I456" s="26">
        <v>7.2496673844221462</v>
      </c>
      <c r="J456" s="26">
        <v>7.2496673844221462</v>
      </c>
      <c r="K456" s="26">
        <v>7.2496673844221462</v>
      </c>
      <c r="L456" s="26">
        <v>7.2496673844221462</v>
      </c>
      <c r="M456" s="26">
        <v>7.2496673844221462</v>
      </c>
      <c r="N456" s="26">
        <v>7.2496673844221462</v>
      </c>
      <c r="O456" s="26">
        <v>7.2496673844221462</v>
      </c>
      <c r="P456" s="26">
        <v>7.2496673844221462</v>
      </c>
      <c r="Q456" s="26">
        <v>7.2496673844221462</v>
      </c>
      <c r="R456" s="26">
        <v>7.2496673844221462</v>
      </c>
      <c r="S456" s="24"/>
    </row>
    <row r="457" spans="1:19" x14ac:dyDescent="0.25">
      <c r="A457" s="30">
        <v>4.5199999999999996</v>
      </c>
      <c r="B457" s="30">
        <v>7.4401405082909307</v>
      </c>
      <c r="C457" s="30">
        <v>9.0787206709425057</v>
      </c>
      <c r="D457" s="30">
        <v>9.1078189521793274</v>
      </c>
      <c r="E457" s="30">
        <v>9.1290906709425066</v>
      </c>
      <c r="F457" s="30">
        <v>8.2425589521793281</v>
      </c>
      <c r="G457" s="30">
        <v>7.2496673844221462</v>
      </c>
      <c r="H457" s="30">
        <v>8.6840406709425046</v>
      </c>
      <c r="I457" s="30">
        <v>7.2496673844221462</v>
      </c>
      <c r="J457" s="30">
        <v>7.2496673844221462</v>
      </c>
      <c r="K457" s="30">
        <v>7.2496673844221462</v>
      </c>
      <c r="L457" s="30">
        <v>7.2496673844221462</v>
      </c>
      <c r="M457" s="30">
        <v>7.2496673844221462</v>
      </c>
      <c r="N457" s="30">
        <v>7.2496673844221462</v>
      </c>
      <c r="O457" s="30">
        <v>7.2496673844221462</v>
      </c>
      <c r="P457" s="30">
        <v>7.2496673844221462</v>
      </c>
      <c r="Q457" s="30">
        <v>7.2496673844221462</v>
      </c>
      <c r="R457" s="30">
        <v>7.2496673844221462</v>
      </c>
      <c r="S457" s="25"/>
    </row>
    <row r="458" spans="1:19" x14ac:dyDescent="0.25">
      <c r="A458" s="26">
        <v>4.53</v>
      </c>
      <c r="B458" s="26">
        <v>7.4401405082909307</v>
      </c>
      <c r="C458" s="26">
        <v>9.0787206709425057</v>
      </c>
      <c r="D458" s="26">
        <v>9.1078189521793274</v>
      </c>
      <c r="E458" s="26">
        <v>9.1290906709425066</v>
      </c>
      <c r="F458" s="26">
        <v>8.2425589521793281</v>
      </c>
      <c r="G458" s="26">
        <v>7.2496673844221462</v>
      </c>
      <c r="H458" s="26">
        <v>8.6840406709425046</v>
      </c>
      <c r="I458" s="26">
        <v>7.2496673844221462</v>
      </c>
      <c r="J458" s="26">
        <v>7.3923606709425052</v>
      </c>
      <c r="K458" s="26">
        <v>7.2496673844221462</v>
      </c>
      <c r="L458" s="26">
        <v>7.3399206709425044</v>
      </c>
      <c r="M458" s="26">
        <v>7.2496673844221462</v>
      </c>
      <c r="N458" s="26">
        <v>7.2496673844221462</v>
      </c>
      <c r="O458" s="26">
        <v>7.3799406709425055</v>
      </c>
      <c r="P458" s="26">
        <v>7.2496673844221462</v>
      </c>
      <c r="Q458" s="26">
        <v>7.4401405082909307</v>
      </c>
      <c r="R458" s="26">
        <v>7.2496673844221462</v>
      </c>
      <c r="S458" s="24"/>
    </row>
    <row r="459" spans="1:19" x14ac:dyDescent="0.25">
      <c r="A459" s="30">
        <v>4.54</v>
      </c>
      <c r="B459" s="30">
        <v>7.4401405082909307</v>
      </c>
      <c r="C459" s="30">
        <v>9.0787206709425057</v>
      </c>
      <c r="D459" s="30">
        <v>9.1078189521793274</v>
      </c>
      <c r="E459" s="30">
        <v>9.1290906709425066</v>
      </c>
      <c r="F459" s="30">
        <v>8.2425589521793281</v>
      </c>
      <c r="G459" s="30">
        <v>7.2496673844221462</v>
      </c>
      <c r="H459" s="30">
        <v>8.6840406709425046</v>
      </c>
      <c r="I459" s="30">
        <v>7.2496673844221462</v>
      </c>
      <c r="J459" s="30">
        <v>7.3923606709425052</v>
      </c>
      <c r="K459" s="30">
        <v>7.2496673844221462</v>
      </c>
      <c r="L459" s="30">
        <v>7.3399206709425044</v>
      </c>
      <c r="M459" s="30">
        <v>7.2496673844221462</v>
      </c>
      <c r="N459" s="30">
        <v>7.2496673844221462</v>
      </c>
      <c r="O459" s="30">
        <v>7.3799406709425055</v>
      </c>
      <c r="P459" s="30">
        <v>7.2496673844221462</v>
      </c>
      <c r="Q459" s="30">
        <v>7.4401405082909307</v>
      </c>
      <c r="R459" s="30">
        <v>7.2496673844221462</v>
      </c>
      <c r="S459" s="25"/>
    </row>
    <row r="460" spans="1:19" x14ac:dyDescent="0.25">
      <c r="A460" s="26">
        <v>4.55</v>
      </c>
      <c r="B460" s="26">
        <v>7.4401405082909307</v>
      </c>
      <c r="C460" s="26">
        <v>9.0787206709425057</v>
      </c>
      <c r="D460" s="26">
        <v>9.1078189521793274</v>
      </c>
      <c r="E460" s="26">
        <v>9.1290906709425066</v>
      </c>
      <c r="F460" s="26">
        <v>8.2425589521793281</v>
      </c>
      <c r="G460" s="26">
        <v>7.2496673844221462</v>
      </c>
      <c r="H460" s="26">
        <v>8.6840406709425046</v>
      </c>
      <c r="I460" s="26">
        <v>7.2496673844221462</v>
      </c>
      <c r="J460" s="26">
        <v>7.3923606709425052</v>
      </c>
      <c r="K460" s="26">
        <v>7.2496673844221462</v>
      </c>
      <c r="L460" s="26">
        <v>7.3399206709425044</v>
      </c>
      <c r="M460" s="26">
        <v>7.2496673844221462</v>
      </c>
      <c r="N460" s="26">
        <v>7.2496673844221462</v>
      </c>
      <c r="O460" s="26">
        <v>7.3799406709425055</v>
      </c>
      <c r="P460" s="26">
        <v>7.2496673844221462</v>
      </c>
      <c r="Q460" s="26">
        <v>7.4401405082909307</v>
      </c>
      <c r="R460" s="26">
        <v>7.2496673844221462</v>
      </c>
      <c r="S460" s="24"/>
    </row>
    <row r="461" spans="1:19" x14ac:dyDescent="0.25">
      <c r="A461" s="30">
        <v>4.5599999999999996</v>
      </c>
      <c r="B461" s="30">
        <v>7.4401405082909307</v>
      </c>
      <c r="C461" s="30">
        <v>9.0787206709425057</v>
      </c>
      <c r="D461" s="30">
        <v>9.1078189521793274</v>
      </c>
      <c r="E461" s="30">
        <v>9.1290906709425066</v>
      </c>
      <c r="F461" s="30">
        <v>8.2425589521793281</v>
      </c>
      <c r="G461" s="30">
        <v>7.4401405082909307</v>
      </c>
      <c r="H461" s="30">
        <v>8.6840406709425046</v>
      </c>
      <c r="I461" s="30">
        <v>7.4401405082909307</v>
      </c>
      <c r="J461" s="30">
        <v>7.3923606709425052</v>
      </c>
      <c r="K461" s="30">
        <v>7.2496673844221462</v>
      </c>
      <c r="L461" s="30">
        <v>7.3399206709425044</v>
      </c>
      <c r="M461" s="30">
        <v>7.2496673844221462</v>
      </c>
      <c r="N461" s="30">
        <v>7.2496673844221462</v>
      </c>
      <c r="O461" s="30">
        <v>7.3799406709425055</v>
      </c>
      <c r="P461" s="30">
        <v>7.2496673844221462</v>
      </c>
      <c r="Q461" s="30">
        <v>7.4401405082909307</v>
      </c>
      <c r="R461" s="30">
        <v>7.3220989521793278</v>
      </c>
      <c r="S461" s="25"/>
    </row>
    <row r="462" spans="1:19" x14ac:dyDescent="0.25">
      <c r="A462" s="26">
        <v>4.57</v>
      </c>
      <c r="B462" s="26">
        <v>7.4401405082909307</v>
      </c>
      <c r="C462" s="26">
        <v>9.0787206709425057</v>
      </c>
      <c r="D462" s="26">
        <v>9.1078189521793274</v>
      </c>
      <c r="E462" s="26">
        <v>9.1290906709425066</v>
      </c>
      <c r="F462" s="26">
        <v>8.2425589521793281</v>
      </c>
      <c r="G462" s="26">
        <v>7.4401405082909307</v>
      </c>
      <c r="H462" s="26">
        <v>8.6840406709425046</v>
      </c>
      <c r="I462" s="26">
        <v>7.4401405082909307</v>
      </c>
      <c r="J462" s="26">
        <v>7.3923606709425052</v>
      </c>
      <c r="K462" s="26">
        <v>7.2496673844221462</v>
      </c>
      <c r="L462" s="26">
        <v>7.3399206709425044</v>
      </c>
      <c r="M462" s="26">
        <v>7.2496673844221462</v>
      </c>
      <c r="N462" s="26">
        <v>7.2496673844221462</v>
      </c>
      <c r="O462" s="26">
        <v>7.3799406709425055</v>
      </c>
      <c r="P462" s="26">
        <v>7.2496673844221462</v>
      </c>
      <c r="Q462" s="26">
        <v>7.4401405082909307</v>
      </c>
      <c r="R462" s="26">
        <v>7.3220989521793278</v>
      </c>
      <c r="S462" s="24"/>
    </row>
    <row r="463" spans="1:19" x14ac:dyDescent="0.25">
      <c r="A463" s="30">
        <v>4.58</v>
      </c>
      <c r="B463" s="30">
        <v>7.4401405082909307</v>
      </c>
      <c r="C463" s="30">
        <v>9.0787206709425057</v>
      </c>
      <c r="D463" s="30">
        <v>9.1078189521793274</v>
      </c>
      <c r="E463" s="30">
        <v>9.1290906709425066</v>
      </c>
      <c r="F463" s="30">
        <v>8.2425589521793281</v>
      </c>
      <c r="G463" s="30">
        <v>7.4401405082909307</v>
      </c>
      <c r="H463" s="30">
        <v>8.6840406709425046</v>
      </c>
      <c r="I463" s="30">
        <v>7.4401405082909307</v>
      </c>
      <c r="J463" s="30">
        <v>7.3923606709425052</v>
      </c>
      <c r="K463" s="30">
        <v>7.2496673844221462</v>
      </c>
      <c r="L463" s="30">
        <v>7.3399206709425044</v>
      </c>
      <c r="M463" s="30">
        <v>7.2496673844221462</v>
      </c>
      <c r="N463" s="30">
        <v>7.2496673844221462</v>
      </c>
      <c r="O463" s="30">
        <v>7.3799406709425055</v>
      </c>
      <c r="P463" s="30">
        <v>7.2496673844221462</v>
      </c>
      <c r="Q463" s="30">
        <v>7.4401405082909307</v>
      </c>
      <c r="R463" s="30">
        <v>7.3220989521793278</v>
      </c>
      <c r="S463" s="25"/>
    </row>
    <row r="464" spans="1:19" x14ac:dyDescent="0.25">
      <c r="A464" s="26">
        <v>4.59</v>
      </c>
      <c r="B464" s="26">
        <v>7.4401405082909307</v>
      </c>
      <c r="C464" s="26">
        <v>9.0787206709425057</v>
      </c>
      <c r="D464" s="26">
        <v>9.1078189521793274</v>
      </c>
      <c r="E464" s="26">
        <v>9.1290906709425066</v>
      </c>
      <c r="F464" s="26">
        <v>8.2425589521793281</v>
      </c>
      <c r="G464" s="26">
        <v>7.4401405082909307</v>
      </c>
      <c r="H464" s="26">
        <v>8.6840406709425046</v>
      </c>
      <c r="I464" s="26">
        <v>7.4401405082909307</v>
      </c>
      <c r="J464" s="26">
        <v>7.3923606709425052</v>
      </c>
      <c r="K464" s="26">
        <v>7.2496673844221462</v>
      </c>
      <c r="L464" s="26">
        <v>7.3399206709425044</v>
      </c>
      <c r="M464" s="26">
        <v>7.2496673844221462</v>
      </c>
      <c r="N464" s="26">
        <v>7.2496673844221462</v>
      </c>
      <c r="O464" s="26">
        <v>7.3799406709425055</v>
      </c>
      <c r="P464" s="26">
        <v>7.2496673844221462</v>
      </c>
      <c r="Q464" s="26">
        <v>7.4401405082909307</v>
      </c>
      <c r="R464" s="26">
        <v>7.3220989521793278</v>
      </c>
      <c r="S464" s="24"/>
    </row>
    <row r="465" spans="1:19" x14ac:dyDescent="0.25">
      <c r="A465" s="30">
        <v>4.5999999999999996</v>
      </c>
      <c r="B465" s="30">
        <v>7.4401405082909307</v>
      </c>
      <c r="C465" s="30">
        <v>9.0787206709425057</v>
      </c>
      <c r="D465" s="30">
        <v>9.1078189521793274</v>
      </c>
      <c r="E465" s="30">
        <v>9.1290906709425066</v>
      </c>
      <c r="F465" s="30">
        <v>8.2425589521793281</v>
      </c>
      <c r="G465" s="30">
        <v>7.4401405082909307</v>
      </c>
      <c r="H465" s="30">
        <v>8.6840406709425046</v>
      </c>
      <c r="I465" s="30">
        <v>7.4401405082909307</v>
      </c>
      <c r="J465" s="30">
        <v>7.3923606709425052</v>
      </c>
      <c r="K465" s="30">
        <v>7.2496673844221462</v>
      </c>
      <c r="L465" s="30">
        <v>7.3399206709425044</v>
      </c>
      <c r="M465" s="30">
        <v>7.2496673844221462</v>
      </c>
      <c r="N465" s="30">
        <v>7.2496673844221462</v>
      </c>
      <c r="O465" s="30">
        <v>7.3799406709425055</v>
      </c>
      <c r="P465" s="30">
        <v>7.2496673844221462</v>
      </c>
      <c r="Q465" s="30">
        <v>7.4401405082909307</v>
      </c>
      <c r="R465" s="30">
        <v>7.3220989521793278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9.5617206709425044</v>
      </c>
      <c r="E466" s="26">
        <v>9.1290906709425066</v>
      </c>
      <c r="F466" s="26">
        <v>8.6964606709425052</v>
      </c>
      <c r="G466" s="26">
        <v>7.4401405082909307</v>
      </c>
      <c r="H466" s="26">
        <v>8.6840406709425046</v>
      </c>
      <c r="I466" s="26">
        <v>7.4401405082909307</v>
      </c>
      <c r="J466" s="26">
        <v>7.3923606709425052</v>
      </c>
      <c r="K466" s="26">
        <v>7.2496673844221462</v>
      </c>
      <c r="L466" s="26">
        <v>7.3399206709425044</v>
      </c>
      <c r="M466" s="26">
        <v>7.2496673844221462</v>
      </c>
      <c r="N466" s="26">
        <v>7.2496673844221462</v>
      </c>
      <c r="O466" s="26">
        <v>7.3799406709425055</v>
      </c>
      <c r="P466" s="26">
        <v>7.2496673844221462</v>
      </c>
      <c r="Q466" s="26">
        <v>7.4401405082909307</v>
      </c>
      <c r="R466" s="26">
        <v>7.3220989521793278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9.5617206709425044</v>
      </c>
      <c r="E467" s="30">
        <v>9.1290906709425066</v>
      </c>
      <c r="F467" s="30">
        <v>8.6964606709425052</v>
      </c>
      <c r="G467" s="30">
        <v>7.4401405082909307</v>
      </c>
      <c r="H467" s="30">
        <v>8.6840406709425046</v>
      </c>
      <c r="I467" s="30">
        <v>7.4401405082909307</v>
      </c>
      <c r="J467" s="30">
        <v>7.3923606709425052</v>
      </c>
      <c r="K467" s="30">
        <v>7.2496673844221462</v>
      </c>
      <c r="L467" s="30">
        <v>7.3399206709425044</v>
      </c>
      <c r="M467" s="30">
        <v>7.2496673844221462</v>
      </c>
      <c r="N467" s="30">
        <v>7.2496673844221462</v>
      </c>
      <c r="O467" s="30">
        <v>7.3799406709425055</v>
      </c>
      <c r="P467" s="30">
        <v>7.2496673844221462</v>
      </c>
      <c r="Q467" s="30">
        <v>7.4401405082909307</v>
      </c>
      <c r="R467" s="30">
        <v>7.3220989521793278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9.5617206709425044</v>
      </c>
      <c r="E468" s="26">
        <v>9.1290906709425066</v>
      </c>
      <c r="F468" s="26">
        <v>8.6964606709425052</v>
      </c>
      <c r="G468" s="26">
        <v>7.4401405082909307</v>
      </c>
      <c r="H468" s="26">
        <v>8.6840406709425046</v>
      </c>
      <c r="I468" s="26">
        <v>7.4401405082909307</v>
      </c>
      <c r="J468" s="26">
        <v>7.3923606709425052</v>
      </c>
      <c r="K468" s="26">
        <v>7.2496673844221462</v>
      </c>
      <c r="L468" s="26">
        <v>7.3399206709425044</v>
      </c>
      <c r="M468" s="26">
        <v>7.2496673844221462</v>
      </c>
      <c r="N468" s="26">
        <v>7.2496673844221462</v>
      </c>
      <c r="O468" s="26">
        <v>7.3799406709425055</v>
      </c>
      <c r="P468" s="26">
        <v>7.2496673844221462</v>
      </c>
      <c r="Q468" s="26">
        <v>7.4401405082909307</v>
      </c>
      <c r="R468" s="26">
        <v>7.3220989521793278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9.5617206709425044</v>
      </c>
      <c r="E469" s="30">
        <v>9.1290906709425066</v>
      </c>
      <c r="F469" s="30">
        <v>8.6964606709425052</v>
      </c>
      <c r="G469" s="30">
        <v>7.4401405082909307</v>
      </c>
      <c r="H469" s="30">
        <v>8.6840406709425046</v>
      </c>
      <c r="I469" s="30">
        <v>7.4401405082909307</v>
      </c>
      <c r="J469" s="30">
        <v>7.3923606709425052</v>
      </c>
      <c r="K469" s="30">
        <v>7.2496673844221462</v>
      </c>
      <c r="L469" s="30">
        <v>7.3399206709425044</v>
      </c>
      <c r="M469" s="30">
        <v>7.2496673844221462</v>
      </c>
      <c r="N469" s="30">
        <v>7.2496673844221462</v>
      </c>
      <c r="O469" s="30">
        <v>7.3799406709425055</v>
      </c>
      <c r="P469" s="30">
        <v>7.2496673844221462</v>
      </c>
      <c r="Q469" s="30">
        <v>7.5441606709425049</v>
      </c>
      <c r="R469" s="30">
        <v>7.3220989521793278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7.4401405082909307</v>
      </c>
      <c r="H470" s="26">
        <v>8.6840406709425046</v>
      </c>
      <c r="I470" s="26">
        <v>7.4401405082909307</v>
      </c>
      <c r="J470" s="26">
        <v>7.3923606709425052</v>
      </c>
      <c r="K470" s="26">
        <v>7.2496673844221462</v>
      </c>
      <c r="L470" s="26">
        <v>7.3399206709425044</v>
      </c>
      <c r="M470" s="26">
        <v>7.2496673844221462</v>
      </c>
      <c r="N470" s="26">
        <v>7.2496673844221462</v>
      </c>
      <c r="O470" s="26">
        <v>7.3799406709425055</v>
      </c>
      <c r="P470" s="26">
        <v>7.2496673844221462</v>
      </c>
      <c r="Q470" s="26">
        <v>7.5441606709425049</v>
      </c>
      <c r="R470" s="26">
        <v>7.3220989521793278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7.4401405082909307</v>
      </c>
      <c r="H471" s="30">
        <v>8.6840406709425046</v>
      </c>
      <c r="I471" s="30">
        <v>7.4401405082909307</v>
      </c>
      <c r="J471" s="30">
        <v>7.3923606709425052</v>
      </c>
      <c r="K471" s="30">
        <v>7.2496673844221462</v>
      </c>
      <c r="L471" s="30">
        <v>7.3399206709425044</v>
      </c>
      <c r="M471" s="30">
        <v>7.2496673844221462</v>
      </c>
      <c r="N471" s="30">
        <v>7.2496673844221462</v>
      </c>
      <c r="O471" s="30">
        <v>7.3799406709425055</v>
      </c>
      <c r="P471" s="30">
        <v>7.2496673844221462</v>
      </c>
      <c r="Q471" s="30">
        <v>7.5441606709425049</v>
      </c>
      <c r="R471" s="30">
        <v>7.3220989521793278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8.3695189521793285</v>
      </c>
      <c r="H472" s="26">
        <v>8.6840406709425046</v>
      </c>
      <c r="I472" s="26">
        <v>7.8906589521793276</v>
      </c>
      <c r="J472" s="26">
        <v>7.3923606709425052</v>
      </c>
      <c r="K472" s="26">
        <v>7.2496673844221462</v>
      </c>
      <c r="L472" s="26">
        <v>7.3399206709425044</v>
      </c>
      <c r="M472" s="26">
        <v>7.2496673844221462</v>
      </c>
      <c r="N472" s="26">
        <v>7.2496673844221462</v>
      </c>
      <c r="O472" s="26">
        <v>7.3799406709425055</v>
      </c>
      <c r="P472" s="26">
        <v>7.2496673844221462</v>
      </c>
      <c r="Q472" s="26">
        <v>7.5441606709425049</v>
      </c>
      <c r="R472" s="26">
        <v>7.3220989521793278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8.3695189521793285</v>
      </c>
      <c r="H473" s="30">
        <v>8.6840406709425046</v>
      </c>
      <c r="I473" s="30">
        <v>7.8906589521793276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7.4401405082909307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8.3695189521793285</v>
      </c>
      <c r="H474" s="26">
        <v>8.6840406709425046</v>
      </c>
      <c r="I474" s="26">
        <v>7.8906589521793276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7.4401405082909307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8.3695189521793285</v>
      </c>
      <c r="H475" s="30">
        <v>8.6840406709425046</v>
      </c>
      <c r="I475" s="30">
        <v>7.8906589521793276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7.4401405082909307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8.3695189521793285</v>
      </c>
      <c r="H476" s="26">
        <v>8.6840406709425046</v>
      </c>
      <c r="I476" s="26">
        <v>7.8906589521793276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7.4401405082909307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8.3695189521793285</v>
      </c>
      <c r="H477" s="30">
        <v>8.6840406709425046</v>
      </c>
      <c r="I477" s="30">
        <v>7.8906589521793276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7.4401405082909307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8.3695189521793285</v>
      </c>
      <c r="H478" s="26">
        <v>8.6840406709425046</v>
      </c>
      <c r="I478" s="26">
        <v>7.8906589521793276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7.4401405082909307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8.3695189521793285</v>
      </c>
      <c r="H479" s="30">
        <v>8.6840406709425046</v>
      </c>
      <c r="I479" s="30">
        <v>7.8906589521793276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7.4401405082909307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8.3695189521793285</v>
      </c>
      <c r="H480" s="26">
        <v>8.6840406709425046</v>
      </c>
      <c r="I480" s="26">
        <v>7.8906589521793276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7.4401405082909307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8.3695189521793285</v>
      </c>
      <c r="H481" s="30">
        <v>8.6840406709425046</v>
      </c>
      <c r="I481" s="30">
        <v>7.8906589521793276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7.4401405082909307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8.3695189521793285</v>
      </c>
      <c r="H482" s="26">
        <v>8.6840406709425046</v>
      </c>
      <c r="I482" s="26">
        <v>7.8906589521793276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7.4401405082909307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8.3695189521793285</v>
      </c>
      <c r="H483" s="30">
        <v>8.6840406709425046</v>
      </c>
      <c r="I483" s="30">
        <v>7.8906589521793276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7.4401405082909307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8.6840406709425046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8.6840406709425046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8.6840406709425046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8.6840406709425046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8.6840406709425046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8.6840406709425046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8.6840406709425046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8.6840406709425046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8.6840406709425046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8.6840406709425046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8.6840406709425046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8.6840406709425046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8.6840406709425046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8.6840406709425046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8.6840406709425046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8.6840406709425046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9.5617206709425044</v>
      </c>
      <c r="E534" s="26">
        <v>9.1290906709425066</v>
      </c>
      <c r="F534" s="26">
        <v>8.6964606709425052</v>
      </c>
      <c r="G534" s="26">
        <v>8.8234206709425056</v>
      </c>
      <c r="H534" s="26">
        <v>8.6840406709425046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9.5617206709425044</v>
      </c>
      <c r="E535" s="30">
        <v>9.1290906709425066</v>
      </c>
      <c r="F535" s="30">
        <v>8.6964606709425052</v>
      </c>
      <c r="G535" s="30">
        <v>8.8234206709425056</v>
      </c>
      <c r="H535" s="30">
        <v>8.6840406709425046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9.5617206709425044</v>
      </c>
      <c r="E536" s="26">
        <v>9.1290906709425066</v>
      </c>
      <c r="F536" s="26">
        <v>8.6964606709425052</v>
      </c>
      <c r="G536" s="26">
        <v>8.8234206709425056</v>
      </c>
      <c r="H536" s="26">
        <v>8.6840406709425046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8.8234206709425056</v>
      </c>
      <c r="H537" s="30">
        <v>8.6840406709425046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8.8234206709425056</v>
      </c>
      <c r="H538" s="26">
        <v>8.6840406709425046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8.8234206709425056</v>
      </c>
      <c r="H539" s="30">
        <v>8.6840406709425046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8.8234206709425056</v>
      </c>
      <c r="H540" s="26">
        <v>8.6840406709425046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8.8234206709425056</v>
      </c>
      <c r="H541" s="30">
        <v>8.6840406709425046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8.8234206709425056</v>
      </c>
      <c r="H542" s="26">
        <v>8.6840406709425046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8.8234206709425056</v>
      </c>
      <c r="H543" s="30">
        <v>8.6840406709425046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14.417865951655681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14.417865951655681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14.417865951655681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/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/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/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/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/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/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/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/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14.417865951655681</v>
      </c>
      <c r="D645" s="30">
        <v>9.5617206709425044</v>
      </c>
      <c r="E645" s="30">
        <v>14.417865951655681</v>
      </c>
      <c r="F645" s="30">
        <v>8.6964606709425052</v>
      </c>
      <c r="G645" s="30">
        <v>8.8234206709425056</v>
      </c>
      <c r="H645" s="30"/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14.417865951655681</v>
      </c>
      <c r="D646" s="26">
        <v>9.5617206709425044</v>
      </c>
      <c r="E646" s="26">
        <v>14.417865951655681</v>
      </c>
      <c r="F646" s="26">
        <v>8.6964606709425052</v>
      </c>
      <c r="G646" s="26">
        <v>8.8234206709425056</v>
      </c>
      <c r="H646" s="26"/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14.417865951655681</v>
      </c>
      <c r="D647" s="30">
        <v>9.5617206709425044</v>
      </c>
      <c r="E647" s="30">
        <v>14.417865951655681</v>
      </c>
      <c r="F647" s="30">
        <v>8.6964606709425052</v>
      </c>
      <c r="G647" s="30">
        <v>8.8234206709425056</v>
      </c>
      <c r="H647" s="30"/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/>
      <c r="D648" s="26">
        <v>9.5617206709425044</v>
      </c>
      <c r="E648" s="26"/>
      <c r="F648" s="26">
        <v>8.6964606709425052</v>
      </c>
      <c r="G648" s="26">
        <v>8.8234206709425056</v>
      </c>
      <c r="H648" s="26"/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/>
      <c r="D649" s="30">
        <v>9.5617206709425044</v>
      </c>
      <c r="E649" s="30"/>
      <c r="F649" s="30">
        <v>8.6964606709425052</v>
      </c>
      <c r="G649" s="30">
        <v>8.8234206709425056</v>
      </c>
      <c r="H649" s="30"/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/>
      <c r="D650" s="26">
        <v>9.5617206709425044</v>
      </c>
      <c r="E650" s="26"/>
      <c r="F650" s="26">
        <v>8.6964606709425052</v>
      </c>
      <c r="G650" s="26">
        <v>8.8234206709425056</v>
      </c>
      <c r="H650" s="26"/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/>
      <c r="D651" s="30">
        <v>9.5617206709425044</v>
      </c>
      <c r="E651" s="30"/>
      <c r="F651" s="30">
        <v>8.6964606709425052</v>
      </c>
      <c r="G651" s="30">
        <v>8.8234206709425056</v>
      </c>
      <c r="H651" s="30"/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/>
      <c r="D652" s="26">
        <v>9.5617206709425044</v>
      </c>
      <c r="E652" s="26"/>
      <c r="F652" s="26">
        <v>8.6964606709425052</v>
      </c>
      <c r="G652" s="26">
        <v>8.8234206709425056</v>
      </c>
      <c r="H652" s="26"/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/>
      <c r="D653" s="30">
        <v>9.5617206709425044</v>
      </c>
      <c r="E653" s="30"/>
      <c r="F653" s="30">
        <v>8.6964606709425052</v>
      </c>
      <c r="G653" s="30">
        <v>8.8234206709425056</v>
      </c>
      <c r="H653" s="30"/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/>
      <c r="D654" s="26">
        <v>9.5617206709425044</v>
      </c>
      <c r="E654" s="26"/>
      <c r="F654" s="26">
        <v>8.6964606709425052</v>
      </c>
      <c r="G654" s="26">
        <v>8.8234206709425056</v>
      </c>
      <c r="H654" s="26"/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/>
      <c r="D655" s="30">
        <v>9.5617206709425044</v>
      </c>
      <c r="E655" s="30"/>
      <c r="F655" s="30">
        <v>8.6964606709425052</v>
      </c>
      <c r="G655" s="30">
        <v>8.8234206709425056</v>
      </c>
      <c r="H655" s="30"/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/>
      <c r="D656" s="26">
        <v>9.5617206709425044</v>
      </c>
      <c r="E656" s="26"/>
      <c r="F656" s="26">
        <v>8.6964606709425052</v>
      </c>
      <c r="G656" s="26">
        <v>8.8234206709425056</v>
      </c>
      <c r="H656" s="26"/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/>
      <c r="D657" s="30">
        <v>9.5617206709425044</v>
      </c>
      <c r="E657" s="30"/>
      <c r="F657" s="30">
        <v>8.6964606709425052</v>
      </c>
      <c r="G657" s="30">
        <v>8.8234206709425056</v>
      </c>
      <c r="H657" s="30"/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/>
      <c r="D658" s="26">
        <v>9.5617206709425044</v>
      </c>
      <c r="E658" s="26"/>
      <c r="F658" s="26">
        <v>8.6964606709425052</v>
      </c>
      <c r="G658" s="26">
        <v>8.8234206709425056</v>
      </c>
      <c r="H658" s="26"/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/>
      <c r="D659" s="30">
        <v>9.5617206709425044</v>
      </c>
      <c r="E659" s="30"/>
      <c r="F659" s="30">
        <v>8.6964606709425052</v>
      </c>
      <c r="G659" s="30">
        <v>8.8234206709425056</v>
      </c>
      <c r="H659" s="30"/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/>
      <c r="D660" s="26">
        <v>9.5617206709425044</v>
      </c>
      <c r="E660" s="26"/>
      <c r="F660" s="26">
        <v>8.6964606709425052</v>
      </c>
      <c r="G660" s="26">
        <v>8.8234206709425056</v>
      </c>
      <c r="H660" s="26"/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/>
      <c r="D661" s="30">
        <v>9.5617206709425044</v>
      </c>
      <c r="E661" s="30"/>
      <c r="F661" s="30">
        <v>8.6964606709425052</v>
      </c>
      <c r="G661" s="30">
        <v>8.8234206709425056</v>
      </c>
      <c r="H661" s="30"/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/>
      <c r="D662" s="26">
        <v>9.5617206709425044</v>
      </c>
      <c r="E662" s="26"/>
      <c r="F662" s="26">
        <v>8.6964606709425052</v>
      </c>
      <c r="G662" s="26">
        <v>8.8234206709425056</v>
      </c>
      <c r="H662" s="26"/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/>
      <c r="D663" s="30">
        <v>9.5617206709425044</v>
      </c>
      <c r="E663" s="30"/>
      <c r="F663" s="30">
        <v>8.6964606709425052</v>
      </c>
      <c r="G663" s="30">
        <v>8.8234206709425056</v>
      </c>
      <c r="H663" s="30"/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/>
      <c r="D664" s="26">
        <v>9.5617206709425044</v>
      </c>
      <c r="E664" s="26"/>
      <c r="F664" s="26">
        <v>8.6964606709425052</v>
      </c>
      <c r="G664" s="26">
        <v>8.8234206709425056</v>
      </c>
      <c r="H664" s="26"/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/>
      <c r="D665" s="30">
        <v>9.5617206709425044</v>
      </c>
      <c r="E665" s="30"/>
      <c r="F665" s="30">
        <v>8.6964606709425052</v>
      </c>
      <c r="G665" s="30">
        <v>8.8234206709425056</v>
      </c>
      <c r="H665" s="30"/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/>
      <c r="D666" s="26">
        <v>9.5617206709425044</v>
      </c>
      <c r="E666" s="26"/>
      <c r="F666" s="26">
        <v>8.6964606709425052</v>
      </c>
      <c r="G666" s="26">
        <v>8.8234206709425056</v>
      </c>
      <c r="H666" s="26"/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14.417865951655681</v>
      </c>
      <c r="C667" s="30"/>
      <c r="D667" s="30">
        <v>14.417865951655681</v>
      </c>
      <c r="E667" s="30"/>
      <c r="F667" s="30">
        <v>14.417865951655681</v>
      </c>
      <c r="G667" s="30">
        <v>8.8234206709425056</v>
      </c>
      <c r="H667" s="30"/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14.417865951655681</v>
      </c>
      <c r="C668" s="26"/>
      <c r="D668" s="26">
        <v>14.417865951655681</v>
      </c>
      <c r="E668" s="26"/>
      <c r="F668" s="26">
        <v>14.417865951655681</v>
      </c>
      <c r="G668" s="26">
        <v>8.8234206709425056</v>
      </c>
      <c r="H668" s="26"/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/>
      <c r="C669" s="30"/>
      <c r="D669" s="30"/>
      <c r="E669" s="30"/>
      <c r="F669" s="30"/>
      <c r="G669" s="30">
        <v>8.8234206709425056</v>
      </c>
      <c r="H669" s="30"/>
      <c r="I669" s="30">
        <v>8.3445606709425046</v>
      </c>
      <c r="J669" s="30">
        <v>7.4401405082909307</v>
      </c>
      <c r="K669" s="30">
        <v>7.298520670942505</v>
      </c>
      <c r="L669" s="30">
        <v>7.4401405082909307</v>
      </c>
      <c r="M669" s="30">
        <v>7.3813206709425057</v>
      </c>
      <c r="N669" s="30">
        <v>7.3896006709425048</v>
      </c>
      <c r="O669" s="30">
        <v>7.4401405082909307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/>
      <c r="C670" s="26"/>
      <c r="D670" s="26"/>
      <c r="E670" s="26"/>
      <c r="F670" s="26"/>
      <c r="G670" s="26">
        <v>8.8234206709425056</v>
      </c>
      <c r="H670" s="26"/>
      <c r="I670" s="26">
        <v>8.3445606709425046</v>
      </c>
      <c r="J670" s="26">
        <v>7.4401405082909307</v>
      </c>
      <c r="K670" s="26">
        <v>7.298520670942505</v>
      </c>
      <c r="L670" s="26">
        <v>7.4401405082909307</v>
      </c>
      <c r="M670" s="26">
        <v>7.3813206709425057</v>
      </c>
      <c r="N670" s="26">
        <v>7.3896006709425048</v>
      </c>
      <c r="O670" s="26">
        <v>7.4401405082909307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/>
      <c r="C671" s="30"/>
      <c r="D671" s="30"/>
      <c r="E671" s="30"/>
      <c r="F671" s="30"/>
      <c r="G671" s="30">
        <v>8.8234206709425056</v>
      </c>
      <c r="H671" s="30"/>
      <c r="I671" s="30">
        <v>8.3445606709425046</v>
      </c>
      <c r="J671" s="30">
        <v>7.4401405082909307</v>
      </c>
      <c r="K671" s="30">
        <v>7.298520670942505</v>
      </c>
      <c r="L671" s="30">
        <v>7.4401405082909307</v>
      </c>
      <c r="M671" s="30">
        <v>7.3813206709425057</v>
      </c>
      <c r="N671" s="30">
        <v>7.3896006709425048</v>
      </c>
      <c r="O671" s="30">
        <v>7.4401405082909307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/>
      <c r="C672" s="26"/>
      <c r="D672" s="26"/>
      <c r="E672" s="26"/>
      <c r="F672" s="26"/>
      <c r="G672" s="26">
        <v>8.8234206709425056</v>
      </c>
      <c r="H672" s="26"/>
      <c r="I672" s="26">
        <v>8.3445606709425046</v>
      </c>
      <c r="J672" s="26">
        <v>7.4401405082909307</v>
      </c>
      <c r="K672" s="26">
        <v>7.298520670942505</v>
      </c>
      <c r="L672" s="26">
        <v>7.4401405082909307</v>
      </c>
      <c r="M672" s="26">
        <v>7.3813206709425057</v>
      </c>
      <c r="N672" s="26">
        <v>7.3896006709425048</v>
      </c>
      <c r="O672" s="26">
        <v>7.4401405082909307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/>
      <c r="C673" s="30"/>
      <c r="D673" s="30"/>
      <c r="E673" s="30"/>
      <c r="F673" s="30"/>
      <c r="G673" s="30">
        <v>8.8234206709425056</v>
      </c>
      <c r="H673" s="30"/>
      <c r="I673" s="30">
        <v>8.3445606709425046</v>
      </c>
      <c r="J673" s="30">
        <v>7.4401405082909307</v>
      </c>
      <c r="K673" s="30">
        <v>7.298520670942505</v>
      </c>
      <c r="L673" s="30">
        <v>7.4401405082909307</v>
      </c>
      <c r="M673" s="30">
        <v>7.3813206709425057</v>
      </c>
      <c r="N673" s="30">
        <v>7.3896006709425048</v>
      </c>
      <c r="O673" s="30">
        <v>7.4401405082909307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/>
      <c r="C674" s="26"/>
      <c r="D674" s="26"/>
      <c r="E674" s="26"/>
      <c r="F674" s="26"/>
      <c r="G674" s="26">
        <v>8.8234206709425056</v>
      </c>
      <c r="H674" s="26"/>
      <c r="I674" s="26">
        <v>8.3445606709425046</v>
      </c>
      <c r="J674" s="26">
        <v>7.4401405082909307</v>
      </c>
      <c r="K674" s="26">
        <v>7.298520670942505</v>
      </c>
      <c r="L674" s="26">
        <v>7.4401405082909307</v>
      </c>
      <c r="M674" s="26">
        <v>7.3813206709425057</v>
      </c>
      <c r="N674" s="26">
        <v>7.3896006709425048</v>
      </c>
      <c r="O674" s="26">
        <v>7.4401405082909307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/>
      <c r="C675" s="30"/>
      <c r="D675" s="30"/>
      <c r="E675" s="30"/>
      <c r="F675" s="30"/>
      <c r="G675" s="30">
        <v>8.8234206709425056</v>
      </c>
      <c r="H675" s="30"/>
      <c r="I675" s="30">
        <v>8.3445606709425046</v>
      </c>
      <c r="J675" s="30">
        <v>7.4401405082909307</v>
      </c>
      <c r="K675" s="30">
        <v>7.298520670942505</v>
      </c>
      <c r="L675" s="30">
        <v>7.4401405082909307</v>
      </c>
      <c r="M675" s="30">
        <v>7.3813206709425057</v>
      </c>
      <c r="N675" s="30">
        <v>7.3896006709425048</v>
      </c>
      <c r="O675" s="30">
        <v>7.4401405082909307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/>
      <c r="C676" s="26"/>
      <c r="D676" s="26"/>
      <c r="E676" s="26"/>
      <c r="F676" s="26"/>
      <c r="G676" s="26">
        <v>8.8234206709425056</v>
      </c>
      <c r="H676" s="26"/>
      <c r="I676" s="26">
        <v>8.3445606709425046</v>
      </c>
      <c r="J676" s="26">
        <v>7.4401405082909307</v>
      </c>
      <c r="K676" s="26">
        <v>7.298520670942505</v>
      </c>
      <c r="L676" s="26">
        <v>7.4401405082909307</v>
      </c>
      <c r="M676" s="26">
        <v>7.3813206709425057</v>
      </c>
      <c r="N676" s="26">
        <v>7.3896006709425048</v>
      </c>
      <c r="O676" s="26">
        <v>7.4401405082909307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/>
      <c r="C677" s="30"/>
      <c r="D677" s="30"/>
      <c r="E677" s="30"/>
      <c r="F677" s="30"/>
      <c r="G677" s="30">
        <v>8.8234206709425056</v>
      </c>
      <c r="H677" s="30"/>
      <c r="I677" s="30">
        <v>8.3445606709425046</v>
      </c>
      <c r="J677" s="30">
        <v>7.4401405082909307</v>
      </c>
      <c r="K677" s="30">
        <v>7.298520670942505</v>
      </c>
      <c r="L677" s="30">
        <v>7.4401405082909307</v>
      </c>
      <c r="M677" s="30">
        <v>7.3813206709425057</v>
      </c>
      <c r="N677" s="30">
        <v>7.3896006709425048</v>
      </c>
      <c r="O677" s="30">
        <v>7.4401405082909307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/>
      <c r="C678" s="26"/>
      <c r="D678" s="26"/>
      <c r="E678" s="26"/>
      <c r="F678" s="26"/>
      <c r="G678" s="26">
        <v>8.8234206709425056</v>
      </c>
      <c r="H678" s="26"/>
      <c r="I678" s="26">
        <v>8.3445606709425046</v>
      </c>
      <c r="J678" s="26">
        <v>7.4401405082909307</v>
      </c>
      <c r="K678" s="26">
        <v>7.298520670942505</v>
      </c>
      <c r="L678" s="26">
        <v>7.4401405082909307</v>
      </c>
      <c r="M678" s="26">
        <v>7.3813206709425057</v>
      </c>
      <c r="N678" s="26">
        <v>7.3896006709425048</v>
      </c>
      <c r="O678" s="26">
        <v>7.4401405082909307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/>
      <c r="C679" s="30"/>
      <c r="D679" s="30"/>
      <c r="E679" s="30"/>
      <c r="F679" s="30"/>
      <c r="G679" s="30">
        <v>8.8234206709425056</v>
      </c>
      <c r="H679" s="30"/>
      <c r="I679" s="30">
        <v>8.3445606709425046</v>
      </c>
      <c r="J679" s="30">
        <v>14.417865951655681</v>
      </c>
      <c r="K679" s="30">
        <v>7.298520670942505</v>
      </c>
      <c r="L679" s="30">
        <v>14.417865951655681</v>
      </c>
      <c r="M679" s="30">
        <v>7.3813206709425057</v>
      </c>
      <c r="N679" s="30">
        <v>7.3896006709425048</v>
      </c>
      <c r="O679" s="30">
        <v>14.417865951655681</v>
      </c>
      <c r="P679" s="30">
        <v>7.4047806709425048</v>
      </c>
      <c r="Q679" s="30">
        <v>14.417865951655681</v>
      </c>
      <c r="R679" s="30">
        <v>7.7760006709425049</v>
      </c>
      <c r="S679" s="25"/>
    </row>
    <row r="680" spans="1:19" x14ac:dyDescent="0.25">
      <c r="A680" s="26">
        <v>6.75</v>
      </c>
      <c r="B680" s="26"/>
      <c r="C680" s="26"/>
      <c r="D680" s="26"/>
      <c r="E680" s="26"/>
      <c r="F680" s="26"/>
      <c r="G680" s="26">
        <v>8.8234206709425056</v>
      </c>
      <c r="H680" s="26"/>
      <c r="I680" s="26">
        <v>8.3445606709425046</v>
      </c>
      <c r="J680" s="26">
        <v>14.417865951655681</v>
      </c>
      <c r="K680" s="26">
        <v>7.298520670942505</v>
      </c>
      <c r="L680" s="26">
        <v>14.417865951655681</v>
      </c>
      <c r="M680" s="26">
        <v>7.3813206709425057</v>
      </c>
      <c r="N680" s="26">
        <v>7.3896006709425048</v>
      </c>
      <c r="O680" s="26">
        <v>14.417865951655681</v>
      </c>
      <c r="P680" s="26">
        <v>7.4047806709425048</v>
      </c>
      <c r="Q680" s="26">
        <v>14.417865951655681</v>
      </c>
      <c r="R680" s="26">
        <v>7.7760006709425049</v>
      </c>
      <c r="S680" s="24"/>
    </row>
    <row r="681" spans="1:19" x14ac:dyDescent="0.25">
      <c r="A681" s="30">
        <v>6.76</v>
      </c>
      <c r="B681" s="30"/>
      <c r="C681" s="30"/>
      <c r="D681" s="30"/>
      <c r="E681" s="30"/>
      <c r="F681" s="30"/>
      <c r="G681" s="30">
        <v>8.8234206709425056</v>
      </c>
      <c r="H681" s="30"/>
      <c r="I681" s="30">
        <v>8.3445606709425046</v>
      </c>
      <c r="J681" s="30">
        <v>14.417865951655681</v>
      </c>
      <c r="K681" s="30">
        <v>7.298520670942505</v>
      </c>
      <c r="L681" s="30">
        <v>14.417865951655681</v>
      </c>
      <c r="M681" s="30">
        <v>7.3813206709425057</v>
      </c>
      <c r="N681" s="30">
        <v>7.3896006709425048</v>
      </c>
      <c r="O681" s="30">
        <v>14.417865951655681</v>
      </c>
      <c r="P681" s="30">
        <v>7.4047806709425048</v>
      </c>
      <c r="Q681" s="30">
        <v>14.417865951655681</v>
      </c>
      <c r="R681" s="30">
        <v>7.7760006709425049</v>
      </c>
      <c r="S681" s="25"/>
    </row>
    <row r="682" spans="1:19" x14ac:dyDescent="0.25">
      <c r="A682" s="26">
        <v>6.77</v>
      </c>
      <c r="B682" s="26"/>
      <c r="C682" s="26"/>
      <c r="D682" s="26"/>
      <c r="E682" s="26"/>
      <c r="F682" s="26"/>
      <c r="G682" s="26">
        <v>8.8234206709425056</v>
      </c>
      <c r="H682" s="26"/>
      <c r="I682" s="26">
        <v>8.3445606709425046</v>
      </c>
      <c r="J682" s="26"/>
      <c r="K682" s="26">
        <v>7.298520670942505</v>
      </c>
      <c r="L682" s="26"/>
      <c r="M682" s="26">
        <v>7.3813206709425057</v>
      </c>
      <c r="N682" s="26">
        <v>7.3896006709425048</v>
      </c>
      <c r="O682" s="26"/>
      <c r="P682" s="26">
        <v>7.4047806709425048</v>
      </c>
      <c r="Q682" s="26"/>
      <c r="R682" s="26">
        <v>7.7760006709425049</v>
      </c>
      <c r="S682" s="24"/>
    </row>
    <row r="683" spans="1:19" x14ac:dyDescent="0.25">
      <c r="A683" s="30">
        <v>6.78</v>
      </c>
      <c r="B683" s="30"/>
      <c r="C683" s="30"/>
      <c r="D683" s="30"/>
      <c r="E683" s="30"/>
      <c r="F683" s="30"/>
      <c r="G683" s="30">
        <v>8.8234206709425056</v>
      </c>
      <c r="H683" s="30"/>
      <c r="I683" s="30">
        <v>8.3445606709425046</v>
      </c>
      <c r="J683" s="30"/>
      <c r="K683" s="30">
        <v>7.298520670942505</v>
      </c>
      <c r="L683" s="30"/>
      <c r="M683" s="30">
        <v>7.3813206709425057</v>
      </c>
      <c r="N683" s="30">
        <v>7.3896006709425048</v>
      </c>
      <c r="O683" s="30"/>
      <c r="P683" s="30">
        <v>7.4047806709425048</v>
      </c>
      <c r="Q683" s="30"/>
      <c r="R683" s="30">
        <v>7.7760006709425049</v>
      </c>
      <c r="S683" s="25"/>
    </row>
    <row r="684" spans="1:19" x14ac:dyDescent="0.25">
      <c r="A684" s="26">
        <v>6.79</v>
      </c>
      <c r="B684" s="26"/>
      <c r="C684" s="26"/>
      <c r="D684" s="26"/>
      <c r="E684" s="26"/>
      <c r="F684" s="26"/>
      <c r="G684" s="26">
        <v>8.8234206709425056</v>
      </c>
      <c r="H684" s="26"/>
      <c r="I684" s="26">
        <v>8.3445606709425046</v>
      </c>
      <c r="J684" s="26"/>
      <c r="K684" s="26">
        <v>7.298520670942505</v>
      </c>
      <c r="L684" s="26"/>
      <c r="M684" s="26">
        <v>7.3813206709425057</v>
      </c>
      <c r="N684" s="26">
        <v>7.3896006709425048</v>
      </c>
      <c r="O684" s="26"/>
      <c r="P684" s="26">
        <v>7.4047806709425048</v>
      </c>
      <c r="Q684" s="26"/>
      <c r="R684" s="26">
        <v>7.7760006709425049</v>
      </c>
      <c r="S684" s="24"/>
    </row>
    <row r="685" spans="1:19" x14ac:dyDescent="0.25">
      <c r="A685" s="30">
        <v>6.8</v>
      </c>
      <c r="B685" s="30"/>
      <c r="C685" s="30"/>
      <c r="D685" s="30"/>
      <c r="E685" s="30"/>
      <c r="F685" s="30"/>
      <c r="G685" s="30">
        <v>8.8234206709425056</v>
      </c>
      <c r="H685" s="30"/>
      <c r="I685" s="30">
        <v>8.3445606709425046</v>
      </c>
      <c r="J685" s="30"/>
      <c r="K685" s="30">
        <v>7.298520670942505</v>
      </c>
      <c r="L685" s="30"/>
      <c r="M685" s="30">
        <v>7.3813206709425057</v>
      </c>
      <c r="N685" s="30">
        <v>7.3896006709425048</v>
      </c>
      <c r="O685" s="30"/>
      <c r="P685" s="30">
        <v>7.4047806709425048</v>
      </c>
      <c r="Q685" s="30"/>
      <c r="R685" s="30">
        <v>7.7760006709425049</v>
      </c>
      <c r="S685" s="25"/>
    </row>
    <row r="686" spans="1:19" x14ac:dyDescent="0.25">
      <c r="A686" s="26">
        <v>6.81</v>
      </c>
      <c r="B686" s="26"/>
      <c r="C686" s="26"/>
      <c r="D686" s="26"/>
      <c r="E686" s="26"/>
      <c r="F686" s="26"/>
      <c r="G686" s="26">
        <v>8.8234206709425056</v>
      </c>
      <c r="H686" s="26"/>
      <c r="I686" s="26">
        <v>8.3445606709425046</v>
      </c>
      <c r="J686" s="26"/>
      <c r="K686" s="26">
        <v>7.298520670942505</v>
      </c>
      <c r="L686" s="26"/>
      <c r="M686" s="26">
        <v>7.3813206709425057</v>
      </c>
      <c r="N686" s="26">
        <v>7.3896006709425048</v>
      </c>
      <c r="O686" s="26"/>
      <c r="P686" s="26">
        <v>7.4047806709425048</v>
      </c>
      <c r="Q686" s="26"/>
      <c r="R686" s="26">
        <v>7.7760006709425049</v>
      </c>
      <c r="S686" s="24"/>
    </row>
    <row r="687" spans="1:19" x14ac:dyDescent="0.25">
      <c r="A687" s="30">
        <v>6.82</v>
      </c>
      <c r="B687" s="30"/>
      <c r="C687" s="30"/>
      <c r="D687" s="30"/>
      <c r="E687" s="30"/>
      <c r="F687" s="30"/>
      <c r="G687" s="30">
        <v>8.8234206709425056</v>
      </c>
      <c r="H687" s="30"/>
      <c r="I687" s="30">
        <v>8.3445606709425046</v>
      </c>
      <c r="J687" s="30"/>
      <c r="K687" s="30">
        <v>7.298520670942505</v>
      </c>
      <c r="L687" s="30"/>
      <c r="M687" s="30">
        <v>7.3813206709425057</v>
      </c>
      <c r="N687" s="30">
        <v>7.3896006709425048</v>
      </c>
      <c r="O687" s="30"/>
      <c r="P687" s="30">
        <v>7.4047806709425048</v>
      </c>
      <c r="Q687" s="30"/>
      <c r="R687" s="30">
        <v>7.7760006709425049</v>
      </c>
      <c r="S687" s="25"/>
    </row>
    <row r="688" spans="1:19" x14ac:dyDescent="0.25">
      <c r="A688" s="26">
        <v>6.83</v>
      </c>
      <c r="B688" s="26"/>
      <c r="C688" s="26"/>
      <c r="D688" s="26"/>
      <c r="E688" s="26"/>
      <c r="F688" s="26"/>
      <c r="G688" s="26">
        <v>8.8234206709425056</v>
      </c>
      <c r="H688" s="26"/>
      <c r="I688" s="26">
        <v>8.3445606709425046</v>
      </c>
      <c r="J688" s="26"/>
      <c r="K688" s="26">
        <v>7.298520670942505</v>
      </c>
      <c r="L688" s="26"/>
      <c r="M688" s="26">
        <v>7.3813206709425057</v>
      </c>
      <c r="N688" s="26">
        <v>7.3896006709425048</v>
      </c>
      <c r="O688" s="26"/>
      <c r="P688" s="26">
        <v>7.4047806709425048</v>
      </c>
      <c r="Q688" s="26"/>
      <c r="R688" s="26">
        <v>7.7760006709425049</v>
      </c>
      <c r="S688" s="24"/>
    </row>
    <row r="689" spans="1:19" x14ac:dyDescent="0.25">
      <c r="A689" s="30">
        <v>6.84</v>
      </c>
      <c r="B689" s="30"/>
      <c r="C689" s="30"/>
      <c r="D689" s="30"/>
      <c r="E689" s="30"/>
      <c r="F689" s="30"/>
      <c r="G689" s="30">
        <v>8.8234206709425056</v>
      </c>
      <c r="H689" s="30"/>
      <c r="I689" s="30">
        <v>8.3445606709425046</v>
      </c>
      <c r="J689" s="30"/>
      <c r="K689" s="30">
        <v>7.298520670942505</v>
      </c>
      <c r="L689" s="30"/>
      <c r="M689" s="30">
        <v>7.3813206709425057</v>
      </c>
      <c r="N689" s="30">
        <v>7.3896006709425048</v>
      </c>
      <c r="O689" s="30"/>
      <c r="P689" s="30">
        <v>7.4047806709425048</v>
      </c>
      <c r="Q689" s="30"/>
      <c r="R689" s="30">
        <v>7.7760006709425049</v>
      </c>
      <c r="S689" s="25"/>
    </row>
    <row r="690" spans="1:19" x14ac:dyDescent="0.25">
      <c r="A690" s="26">
        <v>6.85</v>
      </c>
      <c r="B690" s="26"/>
      <c r="C690" s="26"/>
      <c r="D690" s="26"/>
      <c r="E690" s="26"/>
      <c r="F690" s="26"/>
      <c r="G690" s="26">
        <v>8.8234206709425056</v>
      </c>
      <c r="H690" s="26"/>
      <c r="I690" s="26">
        <v>8.3445606709425046</v>
      </c>
      <c r="J690" s="26"/>
      <c r="K690" s="26">
        <v>7.298520670942505</v>
      </c>
      <c r="L690" s="26"/>
      <c r="M690" s="26">
        <v>7.3813206709425057</v>
      </c>
      <c r="N690" s="26">
        <v>7.3896006709425048</v>
      </c>
      <c r="O690" s="26"/>
      <c r="P690" s="26">
        <v>7.4047806709425048</v>
      </c>
      <c r="Q690" s="26"/>
      <c r="R690" s="26">
        <v>7.7760006709425049</v>
      </c>
      <c r="S690" s="24"/>
    </row>
    <row r="691" spans="1:19" x14ac:dyDescent="0.25">
      <c r="A691" s="30">
        <v>6.86</v>
      </c>
      <c r="B691" s="30"/>
      <c r="C691" s="30"/>
      <c r="D691" s="30"/>
      <c r="E691" s="30"/>
      <c r="F691" s="30"/>
      <c r="G691" s="30">
        <v>8.8234206709425056</v>
      </c>
      <c r="H691" s="30"/>
      <c r="I691" s="30">
        <v>8.3445606709425046</v>
      </c>
      <c r="J691" s="30"/>
      <c r="K691" s="30">
        <v>7.4401405082909307</v>
      </c>
      <c r="L691" s="30"/>
      <c r="M691" s="30">
        <v>7.4401405082909307</v>
      </c>
      <c r="N691" s="30">
        <v>7.4401405082909307</v>
      </c>
      <c r="O691" s="30"/>
      <c r="P691" s="30">
        <v>7.4401405082909307</v>
      </c>
      <c r="Q691" s="30"/>
      <c r="R691" s="30">
        <v>7.7760006709425049</v>
      </c>
      <c r="S691" s="25"/>
    </row>
    <row r="692" spans="1:19" x14ac:dyDescent="0.25">
      <c r="A692" s="26">
        <v>6.87</v>
      </c>
      <c r="B692" s="26"/>
      <c r="C692" s="26"/>
      <c r="D692" s="26"/>
      <c r="E692" s="26"/>
      <c r="F692" s="26"/>
      <c r="G692" s="26">
        <v>8.8234206709425056</v>
      </c>
      <c r="H692" s="26"/>
      <c r="I692" s="26">
        <v>8.3445606709425046</v>
      </c>
      <c r="J692" s="26"/>
      <c r="K692" s="26">
        <v>7.4401405082909307</v>
      </c>
      <c r="L692" s="26"/>
      <c r="M692" s="26">
        <v>7.4401405082909307</v>
      </c>
      <c r="N692" s="26">
        <v>7.4401405082909307</v>
      </c>
      <c r="O692" s="26"/>
      <c r="P692" s="26">
        <v>7.4401405082909307</v>
      </c>
      <c r="Q692" s="26"/>
      <c r="R692" s="26">
        <v>7.7760006709425049</v>
      </c>
      <c r="S692" s="24"/>
    </row>
    <row r="693" spans="1:19" x14ac:dyDescent="0.25">
      <c r="A693" s="30">
        <v>6.88</v>
      </c>
      <c r="B693" s="30"/>
      <c r="C693" s="30"/>
      <c r="D693" s="30"/>
      <c r="E693" s="30"/>
      <c r="F693" s="30"/>
      <c r="G693" s="30">
        <v>8.8234206709425056</v>
      </c>
      <c r="H693" s="30"/>
      <c r="I693" s="30">
        <v>8.3445606709425046</v>
      </c>
      <c r="J693" s="30"/>
      <c r="K693" s="30">
        <v>7.4401405082909307</v>
      </c>
      <c r="L693" s="30"/>
      <c r="M693" s="30">
        <v>7.4401405082909307</v>
      </c>
      <c r="N693" s="30">
        <v>7.4401405082909307</v>
      </c>
      <c r="O693" s="30"/>
      <c r="P693" s="30">
        <v>7.4401405082909307</v>
      </c>
      <c r="Q693" s="30"/>
      <c r="R693" s="30">
        <v>7.7760006709425049</v>
      </c>
      <c r="S693" s="25"/>
    </row>
    <row r="694" spans="1:19" x14ac:dyDescent="0.25">
      <c r="A694" s="26">
        <v>6.89</v>
      </c>
      <c r="B694" s="26"/>
      <c r="C694" s="26"/>
      <c r="D694" s="26"/>
      <c r="E694" s="26"/>
      <c r="F694" s="26"/>
      <c r="G694" s="26">
        <v>8.8234206709425056</v>
      </c>
      <c r="H694" s="26"/>
      <c r="I694" s="26">
        <v>8.3445606709425046</v>
      </c>
      <c r="J694" s="26"/>
      <c r="K694" s="26">
        <v>7.4401405082909307</v>
      </c>
      <c r="L694" s="26"/>
      <c r="M694" s="26">
        <v>7.4401405082909307</v>
      </c>
      <c r="N694" s="26">
        <v>7.4401405082909307</v>
      </c>
      <c r="O694" s="26"/>
      <c r="P694" s="26">
        <v>7.4401405082909307</v>
      </c>
      <c r="Q694" s="26"/>
      <c r="R694" s="26">
        <v>7.7760006709425049</v>
      </c>
      <c r="S694" s="24"/>
    </row>
    <row r="695" spans="1:19" x14ac:dyDescent="0.25">
      <c r="A695" s="30">
        <v>6.9</v>
      </c>
      <c r="B695" s="30"/>
      <c r="C695" s="30"/>
      <c r="D695" s="30"/>
      <c r="E695" s="30"/>
      <c r="F695" s="30"/>
      <c r="G695" s="30">
        <v>8.8234206709425056</v>
      </c>
      <c r="H695" s="30"/>
      <c r="I695" s="30">
        <v>8.3445606709425046</v>
      </c>
      <c r="J695" s="30"/>
      <c r="K695" s="30">
        <v>7.4401405082909307</v>
      </c>
      <c r="L695" s="30"/>
      <c r="M695" s="30">
        <v>7.4401405082909307</v>
      </c>
      <c r="N695" s="30">
        <v>7.4401405082909307</v>
      </c>
      <c r="O695" s="30"/>
      <c r="P695" s="30">
        <v>7.4401405082909307</v>
      </c>
      <c r="Q695" s="30"/>
      <c r="R695" s="30">
        <v>7.7760006709425049</v>
      </c>
      <c r="S695" s="25"/>
    </row>
    <row r="696" spans="1:19" x14ac:dyDescent="0.25">
      <c r="A696" s="26">
        <v>6.91</v>
      </c>
      <c r="B696" s="26"/>
      <c r="C696" s="26"/>
      <c r="D696" s="26"/>
      <c r="E696" s="26"/>
      <c r="F696" s="26"/>
      <c r="G696" s="26">
        <v>8.8234206709425056</v>
      </c>
      <c r="H696" s="26"/>
      <c r="I696" s="26">
        <v>8.3445606709425046</v>
      </c>
      <c r="J696" s="26"/>
      <c r="K696" s="26">
        <v>7.4401405082909307</v>
      </c>
      <c r="L696" s="26"/>
      <c r="M696" s="26">
        <v>7.4401405082909307</v>
      </c>
      <c r="N696" s="26">
        <v>7.4401405082909307</v>
      </c>
      <c r="O696" s="26"/>
      <c r="P696" s="26">
        <v>7.4401405082909307</v>
      </c>
      <c r="Q696" s="26"/>
      <c r="R696" s="26">
        <v>7.7760006709425049</v>
      </c>
      <c r="S696" s="24"/>
    </row>
    <row r="697" spans="1:19" x14ac:dyDescent="0.25">
      <c r="A697" s="30">
        <v>6.92</v>
      </c>
      <c r="B697" s="30"/>
      <c r="C697" s="30"/>
      <c r="D697" s="30"/>
      <c r="E697" s="30"/>
      <c r="F697" s="30"/>
      <c r="G697" s="30">
        <v>8.8234206709425056</v>
      </c>
      <c r="H697" s="30"/>
      <c r="I697" s="30">
        <v>8.3445606709425046</v>
      </c>
      <c r="J697" s="30"/>
      <c r="K697" s="30">
        <v>7.4401405082909307</v>
      </c>
      <c r="L697" s="30"/>
      <c r="M697" s="30">
        <v>7.4401405082909307</v>
      </c>
      <c r="N697" s="30">
        <v>7.4401405082909307</v>
      </c>
      <c r="O697" s="30"/>
      <c r="P697" s="30">
        <v>7.4401405082909307</v>
      </c>
      <c r="Q697" s="30"/>
      <c r="R697" s="30">
        <v>7.7760006709425049</v>
      </c>
      <c r="S697" s="25"/>
    </row>
    <row r="698" spans="1:19" x14ac:dyDescent="0.25">
      <c r="A698" s="26">
        <v>6.93</v>
      </c>
      <c r="B698" s="26"/>
      <c r="C698" s="26"/>
      <c r="D698" s="26"/>
      <c r="E698" s="26"/>
      <c r="F698" s="26"/>
      <c r="G698" s="26">
        <v>8.8234206709425056</v>
      </c>
      <c r="H698" s="26"/>
      <c r="I698" s="26">
        <v>8.3445606709425046</v>
      </c>
      <c r="J698" s="26"/>
      <c r="K698" s="26">
        <v>7.4401405082909307</v>
      </c>
      <c r="L698" s="26"/>
      <c r="M698" s="26">
        <v>7.4401405082909307</v>
      </c>
      <c r="N698" s="26">
        <v>7.4401405082909307</v>
      </c>
      <c r="O698" s="26"/>
      <c r="P698" s="26">
        <v>7.4401405082909307</v>
      </c>
      <c r="Q698" s="26"/>
      <c r="R698" s="26">
        <v>7.7760006709425049</v>
      </c>
      <c r="S698" s="24"/>
    </row>
    <row r="699" spans="1:19" x14ac:dyDescent="0.25">
      <c r="A699" s="30">
        <v>6.94</v>
      </c>
      <c r="B699" s="30"/>
      <c r="C699" s="30"/>
      <c r="D699" s="30"/>
      <c r="E699" s="30"/>
      <c r="F699" s="30"/>
      <c r="G699" s="30">
        <v>8.8234206709425056</v>
      </c>
      <c r="H699" s="30"/>
      <c r="I699" s="30">
        <v>8.3445606709425046</v>
      </c>
      <c r="J699" s="30"/>
      <c r="K699" s="30">
        <v>7.4401405082909307</v>
      </c>
      <c r="L699" s="30"/>
      <c r="M699" s="30">
        <v>7.4401405082909307</v>
      </c>
      <c r="N699" s="30">
        <v>7.4401405082909307</v>
      </c>
      <c r="O699" s="30"/>
      <c r="P699" s="30">
        <v>7.4401405082909307</v>
      </c>
      <c r="Q699" s="30"/>
      <c r="R699" s="30">
        <v>7.7760006709425049</v>
      </c>
      <c r="S699" s="25"/>
    </row>
    <row r="700" spans="1:19" x14ac:dyDescent="0.25">
      <c r="A700" s="26">
        <v>6.95</v>
      </c>
      <c r="B700" s="26"/>
      <c r="C700" s="26"/>
      <c r="D700" s="26"/>
      <c r="E700" s="26"/>
      <c r="F700" s="26"/>
      <c r="G700" s="26">
        <v>8.8234206709425056</v>
      </c>
      <c r="H700" s="26"/>
      <c r="I700" s="26">
        <v>8.3445606709425046</v>
      </c>
      <c r="J700" s="26"/>
      <c r="K700" s="26">
        <v>7.4401405082909307</v>
      </c>
      <c r="L700" s="26"/>
      <c r="M700" s="26">
        <v>7.4401405082909307</v>
      </c>
      <c r="N700" s="26">
        <v>7.4401405082909307</v>
      </c>
      <c r="O700" s="26"/>
      <c r="P700" s="26">
        <v>7.4401405082909307</v>
      </c>
      <c r="Q700" s="26"/>
      <c r="R700" s="26">
        <v>7.7760006709425049</v>
      </c>
      <c r="S700" s="24"/>
    </row>
    <row r="701" spans="1:19" x14ac:dyDescent="0.25">
      <c r="A701" s="30">
        <v>6.96</v>
      </c>
      <c r="B701" s="30"/>
      <c r="C701" s="30"/>
      <c r="D701" s="30"/>
      <c r="E701" s="30"/>
      <c r="F701" s="30"/>
      <c r="G701" s="30">
        <v>8.8234206709425056</v>
      </c>
      <c r="H701" s="30"/>
      <c r="I701" s="30">
        <v>8.3445606709425046</v>
      </c>
      <c r="J701" s="30"/>
      <c r="K701" s="30">
        <v>7.4401405082909307</v>
      </c>
      <c r="L701" s="30"/>
      <c r="M701" s="30">
        <v>7.4401405082909307</v>
      </c>
      <c r="N701" s="30">
        <v>7.4401405082909307</v>
      </c>
      <c r="O701" s="30"/>
      <c r="P701" s="30">
        <v>7.4401405082909307</v>
      </c>
      <c r="Q701" s="30"/>
      <c r="R701" s="30">
        <v>7.7760006709425049</v>
      </c>
      <c r="S701" s="25"/>
    </row>
    <row r="702" spans="1:19" x14ac:dyDescent="0.25">
      <c r="A702" s="26">
        <v>6.97</v>
      </c>
      <c r="B702" s="26"/>
      <c r="C702" s="26"/>
      <c r="D702" s="26"/>
      <c r="E702" s="26"/>
      <c r="F702" s="26"/>
      <c r="G702" s="26">
        <v>14.417865951655681</v>
      </c>
      <c r="H702" s="26"/>
      <c r="I702" s="26">
        <v>14.417865951655681</v>
      </c>
      <c r="J702" s="26"/>
      <c r="K702" s="26">
        <v>14.417865951655681</v>
      </c>
      <c r="L702" s="26"/>
      <c r="M702" s="26">
        <v>14.417865951655681</v>
      </c>
      <c r="N702" s="26">
        <v>14.417865951655681</v>
      </c>
      <c r="O702" s="26"/>
      <c r="P702" s="26">
        <v>14.417865951655681</v>
      </c>
      <c r="Q702" s="26"/>
      <c r="R702" s="26">
        <v>14.417865951655681</v>
      </c>
      <c r="S702" s="24"/>
    </row>
    <row r="703" spans="1:19" x14ac:dyDescent="0.25">
      <c r="A703" s="30">
        <v>6.98</v>
      </c>
      <c r="B703" s="30"/>
      <c r="C703" s="30"/>
      <c r="D703" s="30"/>
      <c r="E703" s="30"/>
      <c r="F703" s="30"/>
      <c r="G703" s="30">
        <v>14.417865951655681</v>
      </c>
      <c r="H703" s="30"/>
      <c r="I703" s="30">
        <v>14.417865951655681</v>
      </c>
      <c r="J703" s="30"/>
      <c r="K703" s="30">
        <v>14.417865951655681</v>
      </c>
      <c r="L703" s="30"/>
      <c r="M703" s="30">
        <v>14.417865951655681</v>
      </c>
      <c r="N703" s="30">
        <v>14.417865951655681</v>
      </c>
      <c r="O703" s="30"/>
      <c r="P703" s="30">
        <v>14.417865951655681</v>
      </c>
      <c r="Q703" s="30"/>
      <c r="R703" s="30">
        <v>14.417865951655681</v>
      </c>
      <c r="S703" s="25"/>
    </row>
    <row r="704" spans="1:19" x14ac:dyDescent="0.25">
      <c r="A704" s="26">
        <v>6.99</v>
      </c>
      <c r="B704" s="26"/>
      <c r="C704" s="26"/>
      <c r="D704" s="26"/>
      <c r="E704" s="26"/>
      <c r="F704" s="26"/>
      <c r="G704" s="26">
        <v>14.417865951655681</v>
      </c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4"/>
    </row>
    <row r="705" spans="1:19" x14ac:dyDescent="0.25">
      <c r="A705" s="30">
        <v>7</v>
      </c>
      <c r="B705" s="30"/>
      <c r="C705" s="30"/>
      <c r="D705" s="30"/>
      <c r="E705" s="30"/>
      <c r="F705" s="30"/>
      <c r="G705" s="30">
        <v>14.417865951655681</v>
      </c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5"/>
    </row>
    <row r="706" spans="1:19" x14ac:dyDescent="0.25">
      <c r="A706" s="26">
        <v>7.01</v>
      </c>
      <c r="B706" s="26"/>
      <c r="C706" s="26"/>
      <c r="D706" s="26"/>
      <c r="E706" s="26"/>
      <c r="F706" s="26"/>
      <c r="G706" s="26">
        <v>14.417865951655681</v>
      </c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4"/>
    </row>
    <row r="707" spans="1:19" x14ac:dyDescent="0.25">
      <c r="A707" s="30">
        <v>7.02</v>
      </c>
      <c r="B707" s="30"/>
      <c r="C707" s="30"/>
      <c r="D707" s="30"/>
      <c r="E707" s="30"/>
      <c r="F707" s="30"/>
      <c r="G707" s="30">
        <v>14.417865951655681</v>
      </c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5"/>
    </row>
    <row r="708" spans="1:19" x14ac:dyDescent="0.25">
      <c r="A708" s="26">
        <v>7.03</v>
      </c>
      <c r="B708" s="26"/>
      <c r="C708" s="26"/>
      <c r="D708" s="26"/>
      <c r="E708" s="26"/>
      <c r="F708" s="26"/>
      <c r="G708" s="26">
        <v>14.417865951655681</v>
      </c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4"/>
    </row>
    <row r="709" spans="1:19" x14ac:dyDescent="0.25">
      <c r="A709" s="30">
        <v>7.04</v>
      </c>
      <c r="B709" s="30"/>
      <c r="C709" s="30"/>
      <c r="D709" s="30"/>
      <c r="E709" s="30"/>
      <c r="F709" s="30"/>
      <c r="G709" s="30">
        <v>14.417865951655681</v>
      </c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5"/>
    </row>
    <row r="710" spans="1:19" x14ac:dyDescent="0.25">
      <c r="A710" s="26">
        <v>7.05</v>
      </c>
      <c r="B710" s="26"/>
      <c r="C710" s="26"/>
      <c r="D710" s="26"/>
      <c r="E710" s="26"/>
      <c r="F710" s="26"/>
      <c r="G710" s="26">
        <v>14.417865951655681</v>
      </c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4"/>
    </row>
    <row r="711" spans="1:19" x14ac:dyDescent="0.25">
      <c r="A711" s="30">
        <v>7.06</v>
      </c>
      <c r="B711" s="30"/>
      <c r="C711" s="30"/>
      <c r="D711" s="30"/>
      <c r="E711" s="30"/>
      <c r="F711" s="30"/>
      <c r="G711" s="30">
        <v>14.417865951655681</v>
      </c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5"/>
    </row>
    <row r="712" spans="1:19" x14ac:dyDescent="0.25">
      <c r="A712" s="26">
        <v>7.07</v>
      </c>
      <c r="B712" s="26"/>
      <c r="C712" s="26"/>
      <c r="D712" s="26"/>
      <c r="E712" s="26"/>
      <c r="F712" s="26"/>
      <c r="G712" s="26">
        <v>14.417865951655681</v>
      </c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4"/>
    </row>
    <row r="713" spans="1:19" x14ac:dyDescent="0.25">
      <c r="A713" s="30">
        <v>7.08</v>
      </c>
      <c r="B713" s="30"/>
      <c r="C713" s="30"/>
      <c r="D713" s="30"/>
      <c r="E713" s="30"/>
      <c r="F713" s="30"/>
      <c r="G713" s="30">
        <v>14.417865951655681</v>
      </c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5"/>
    </row>
    <row r="714" spans="1:19" x14ac:dyDescent="0.25">
      <c r="A714" s="26">
        <v>7.09</v>
      </c>
      <c r="B714" s="26"/>
      <c r="C714" s="26"/>
      <c r="D714" s="26"/>
      <c r="E714" s="26"/>
      <c r="F714" s="26"/>
      <c r="G714" s="26">
        <v>14.417865951655681</v>
      </c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4"/>
    </row>
    <row r="715" spans="1:19" x14ac:dyDescent="0.25">
      <c r="A715" s="30">
        <v>7.1</v>
      </c>
      <c r="B715" s="30"/>
      <c r="C715" s="30"/>
      <c r="D715" s="30"/>
      <c r="E715" s="30"/>
      <c r="F715" s="30"/>
      <c r="G715" s="30">
        <v>14.417865951655681</v>
      </c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5"/>
    </row>
    <row r="716" spans="1:19" x14ac:dyDescent="0.25">
      <c r="A716" s="26">
        <v>7.11</v>
      </c>
      <c r="B716" s="26"/>
      <c r="C716" s="26"/>
      <c r="D716" s="26"/>
      <c r="E716" s="26"/>
      <c r="F716" s="26"/>
      <c r="G716" s="26">
        <v>14.417865951655681</v>
      </c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4"/>
    </row>
    <row r="717" spans="1:19" x14ac:dyDescent="0.25">
      <c r="A717" s="30">
        <v>7.12</v>
      </c>
      <c r="B717" s="30"/>
      <c r="C717" s="30"/>
      <c r="D717" s="30"/>
      <c r="E717" s="30"/>
      <c r="F717" s="30"/>
      <c r="G717" s="30">
        <v>14.417865951655681</v>
      </c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5"/>
    </row>
    <row r="718" spans="1:19" x14ac:dyDescent="0.25">
      <c r="A718" s="26">
        <v>7.13</v>
      </c>
      <c r="B718" s="26"/>
      <c r="C718" s="26"/>
      <c r="D718" s="26"/>
      <c r="E718" s="26"/>
      <c r="F718" s="26"/>
      <c r="G718" s="26">
        <v>14.417865951655681</v>
      </c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4"/>
    </row>
    <row r="719" spans="1:19" x14ac:dyDescent="0.25">
      <c r="A719" s="30">
        <v>7.14</v>
      </c>
      <c r="B719" s="30"/>
      <c r="C719" s="30"/>
      <c r="D719" s="30"/>
      <c r="E719" s="30"/>
      <c r="F719" s="30"/>
      <c r="G719" s="30">
        <v>14.417865951655681</v>
      </c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5"/>
    </row>
    <row r="720" spans="1:19" x14ac:dyDescent="0.25">
      <c r="A720" s="26">
        <v>7.15</v>
      </c>
      <c r="B720" s="26"/>
      <c r="C720" s="26"/>
      <c r="D720" s="26"/>
      <c r="E720" s="26"/>
      <c r="F720" s="26"/>
      <c r="G720" s="26">
        <v>14.417865951655681</v>
      </c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4"/>
    </row>
    <row r="721" spans="1:19" x14ac:dyDescent="0.25">
      <c r="A721" s="30">
        <v>7.16</v>
      </c>
      <c r="B721" s="30"/>
      <c r="C721" s="30"/>
      <c r="D721" s="30"/>
      <c r="E721" s="30"/>
      <c r="F721" s="30"/>
      <c r="G721" s="30">
        <v>14.417865951655681</v>
      </c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5"/>
    </row>
    <row r="722" spans="1:19" x14ac:dyDescent="0.25">
      <c r="A722" s="26">
        <v>7.17</v>
      </c>
      <c r="B722" s="26"/>
      <c r="C722" s="26"/>
      <c r="D722" s="26"/>
      <c r="E722" s="26"/>
      <c r="F722" s="26"/>
      <c r="G722" s="26">
        <v>14.417865951655681</v>
      </c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4"/>
    </row>
    <row r="723" spans="1:19" x14ac:dyDescent="0.25">
      <c r="A723" s="30">
        <v>7.18</v>
      </c>
      <c r="B723" s="30"/>
      <c r="C723" s="30"/>
      <c r="D723" s="30"/>
      <c r="E723" s="30"/>
      <c r="F723" s="30"/>
      <c r="G723" s="30">
        <v>14.417865951655681</v>
      </c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5"/>
    </row>
    <row r="724" spans="1:19" x14ac:dyDescent="0.25">
      <c r="A724" s="26">
        <v>7.19</v>
      </c>
      <c r="B724" s="26"/>
      <c r="C724" s="26"/>
      <c r="D724" s="26"/>
      <c r="E724" s="26"/>
      <c r="F724" s="26"/>
      <c r="G724" s="26">
        <v>14.417865951655681</v>
      </c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4"/>
    </row>
    <row r="725" spans="1:19" x14ac:dyDescent="0.25">
      <c r="A725" s="30">
        <v>7.2</v>
      </c>
      <c r="B725" s="30"/>
      <c r="C725" s="30"/>
      <c r="D725" s="30"/>
      <c r="E725" s="30"/>
      <c r="F725" s="30"/>
      <c r="G725" s="30">
        <v>14.417865951655681</v>
      </c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5"/>
    </row>
    <row r="726" spans="1:19" x14ac:dyDescent="0.25">
      <c r="A726" s="26">
        <v>7.21</v>
      </c>
      <c r="B726" s="26"/>
      <c r="C726" s="26"/>
      <c r="D726" s="26"/>
      <c r="E726" s="26"/>
      <c r="F726" s="26"/>
      <c r="G726" s="26">
        <v>14.417865951655681</v>
      </c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4"/>
    </row>
    <row r="727" spans="1:19" x14ac:dyDescent="0.25">
      <c r="A727" s="30">
        <v>7.22</v>
      </c>
      <c r="B727" s="30"/>
      <c r="C727" s="30"/>
      <c r="D727" s="30"/>
      <c r="E727" s="30"/>
      <c r="F727" s="30"/>
      <c r="G727" s="30">
        <v>14.417865951655681</v>
      </c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5"/>
    </row>
    <row r="728" spans="1:19" x14ac:dyDescent="0.25">
      <c r="A728" s="26">
        <v>7.23</v>
      </c>
      <c r="B728" s="26"/>
      <c r="C728" s="26"/>
      <c r="D728" s="26"/>
      <c r="E728" s="26"/>
      <c r="F728" s="26"/>
      <c r="G728" s="26">
        <v>14.417865951655681</v>
      </c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4"/>
    </row>
    <row r="729" spans="1:19" x14ac:dyDescent="0.25">
      <c r="A729" s="30">
        <v>7.24</v>
      </c>
      <c r="B729" s="30"/>
      <c r="C729" s="30"/>
      <c r="D729" s="30"/>
      <c r="E729" s="30"/>
      <c r="F729" s="30"/>
      <c r="G729" s="30">
        <v>14.417865951655681</v>
      </c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5"/>
    </row>
    <row r="730" spans="1:19" x14ac:dyDescent="0.25">
      <c r="A730" s="26">
        <v>7.25</v>
      </c>
      <c r="B730" s="26"/>
      <c r="C730" s="26"/>
      <c r="D730" s="26"/>
      <c r="E730" s="26"/>
      <c r="F730" s="26"/>
      <c r="G730" s="26">
        <v>14.417865951655681</v>
      </c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4"/>
    </row>
    <row r="731" spans="1:19" x14ac:dyDescent="0.25">
      <c r="A731" s="30">
        <v>7.26</v>
      </c>
      <c r="B731" s="30"/>
      <c r="C731" s="30"/>
      <c r="D731" s="30"/>
      <c r="E731" s="30"/>
      <c r="F731" s="30"/>
      <c r="G731" s="30">
        <v>14.417865951655681</v>
      </c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5"/>
    </row>
    <row r="732" spans="1:19" x14ac:dyDescent="0.25">
      <c r="A732" s="26">
        <v>7.27</v>
      </c>
      <c r="B732" s="26"/>
      <c r="C732" s="26"/>
      <c r="D732" s="26"/>
      <c r="E732" s="26"/>
      <c r="F732" s="26"/>
      <c r="G732" s="26">
        <v>14.417865951655681</v>
      </c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4"/>
    </row>
    <row r="733" spans="1:19" x14ac:dyDescent="0.25">
      <c r="A733" s="30">
        <v>7.28</v>
      </c>
      <c r="B733" s="30"/>
      <c r="C733" s="30"/>
      <c r="D733" s="30"/>
      <c r="E733" s="30"/>
      <c r="F733" s="30"/>
      <c r="G733" s="30">
        <v>14.417865951655681</v>
      </c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5"/>
    </row>
    <row r="734" spans="1:19" x14ac:dyDescent="0.25">
      <c r="A734" s="26">
        <v>7.29</v>
      </c>
      <c r="B734" s="26"/>
      <c r="C734" s="26"/>
      <c r="D734" s="26"/>
      <c r="E734" s="26"/>
      <c r="F734" s="26"/>
      <c r="G734" s="26">
        <v>14.417865951655681</v>
      </c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4"/>
    </row>
    <row r="735" spans="1:19" x14ac:dyDescent="0.25">
      <c r="A735" s="30">
        <v>7.3000000000000096</v>
      </c>
      <c r="B735" s="30"/>
      <c r="C735" s="30"/>
      <c r="D735" s="30"/>
      <c r="E735" s="30"/>
      <c r="F735" s="30"/>
      <c r="G735" s="30">
        <v>14.417865951655681</v>
      </c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5"/>
    </row>
    <row r="736" spans="1:19" x14ac:dyDescent="0.25">
      <c r="A736" s="26">
        <v>7.3100000000000103</v>
      </c>
      <c r="B736" s="26"/>
      <c r="C736" s="26"/>
      <c r="D736" s="26"/>
      <c r="E736" s="26"/>
      <c r="F736" s="26"/>
      <c r="G736" s="26">
        <v>14.417865951655681</v>
      </c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4"/>
    </row>
    <row r="737" spans="1:19" x14ac:dyDescent="0.25">
      <c r="A737" s="30">
        <v>7.3200000000000101</v>
      </c>
      <c r="B737" s="30"/>
      <c r="C737" s="30"/>
      <c r="D737" s="30"/>
      <c r="E737" s="30"/>
      <c r="F737" s="30"/>
      <c r="G737" s="30">
        <v>14.417865951655681</v>
      </c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14.417865951655681</v>
      </c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14.417865951655681</v>
      </c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14.417865951655681</v>
      </c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14.417865951655681</v>
      </c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14.417865951655681</v>
      </c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14.417865951655681</v>
      </c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14.417865951655681</v>
      </c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14.417865951655681</v>
      </c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14.417865951655681</v>
      </c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14.417865951655681</v>
      </c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14.417865951655681</v>
      </c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14.417865951655681</v>
      </c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14.417865951655681</v>
      </c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14.417865951655681</v>
      </c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14.417865951655681</v>
      </c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14.417865951655681</v>
      </c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14.417865951655681</v>
      </c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>
        <v>14.417865951655681</v>
      </c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>
        <v>14.417865951655681</v>
      </c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>
        <v>14.417865951655681</v>
      </c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>
        <v>14.417865951655681</v>
      </c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>
        <v>14.417865951655681</v>
      </c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>
        <v>14.417865951655681</v>
      </c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>
        <v>14.417865951655681</v>
      </c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>
        <v>14.417865951655681</v>
      </c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>
        <v>14.417865951655681</v>
      </c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>
        <v>14.417865951655681</v>
      </c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>
        <v>14.417865951655681</v>
      </c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>
        <v>14.417865951655681</v>
      </c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>
        <v>14.417865951655681</v>
      </c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>
        <v>14.417865951655681</v>
      </c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>
        <v>14.417865951655681</v>
      </c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>
        <v>14.417865951655681</v>
      </c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>
        <v>14.417865951655681</v>
      </c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>
        <v>14.417865951655681</v>
      </c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>
        <v>14.417865951655681</v>
      </c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>
        <v>14.417865951655681</v>
      </c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>
        <v>14.417865951655681</v>
      </c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>
        <v>14.417865951655681</v>
      </c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>
        <v>14.417865951655681</v>
      </c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>
        <v>14.417865951655681</v>
      </c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>
        <v>14.417865951655681</v>
      </c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>
        <v>14.417865951655681</v>
      </c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>
        <v>14.417865951655681</v>
      </c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>
        <v>14.417865951655681</v>
      </c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>
        <v>14.417865951655681</v>
      </c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>
        <v>14.417865951655681</v>
      </c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>
        <v>14.417865951655681</v>
      </c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>
        <v>14.417865951655681</v>
      </c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>
        <v>14.417865951655681</v>
      </c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>
        <v>14.417865951655681</v>
      </c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>
        <v>14.417865951655681</v>
      </c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>
        <v>14.417865951655681</v>
      </c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>
        <v>14.417865951655681</v>
      </c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>
        <v>14.417865951655681</v>
      </c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>
        <v>14.417865951655681</v>
      </c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>
        <v>14.417865951655681</v>
      </c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>
        <v>14.417865951655681</v>
      </c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>
        <v>14.417865951655681</v>
      </c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>
        <v>14.417865951655681</v>
      </c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>
        <v>14.417865951655681</v>
      </c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>
        <v>14.417865951655681</v>
      </c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>
        <v>14.417865951655681</v>
      </c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>
        <v>14.417865951655681</v>
      </c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>
        <v>14.417865951655681</v>
      </c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>
        <v>14.417865951655681</v>
      </c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>
        <v>14.417865951655681</v>
      </c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>
        <v>14.417865951655681</v>
      </c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>
        <v>14.417865951655681</v>
      </c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>
        <v>14.417865951655681</v>
      </c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>
        <v>14.417865951655681</v>
      </c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>
        <v>14.417865951655681</v>
      </c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>
        <v>14.417865951655681</v>
      </c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>
        <v>14.417865951655681</v>
      </c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>
        <v>14.417865951655681</v>
      </c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>
        <v>14.417865951655681</v>
      </c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>
        <v>14.417865951655681</v>
      </c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>
        <v>14.417865951655681</v>
      </c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>
        <v>14.417865951655681</v>
      </c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>
        <v>14.417865951655681</v>
      </c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>
        <v>14.417865951655681</v>
      </c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>
        <v>14.417865951655681</v>
      </c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>
        <v>14.417865951655681</v>
      </c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>
        <v>14.417865951655681</v>
      </c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>
        <v>14.417865951655681</v>
      </c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>
        <v>14.417865951655681</v>
      </c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>
        <v>14.417865951655681</v>
      </c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>
        <v>14.417865951655681</v>
      </c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>
        <v>14.417865951655681</v>
      </c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>
        <v>14.417865951655681</v>
      </c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>
        <v>14.417865951655681</v>
      </c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>
        <v>14.417865951655681</v>
      </c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>
        <v>14.417865951655681</v>
      </c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>
        <v>14.417865951655681</v>
      </c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>
        <v>14.417865951655681</v>
      </c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>
        <v>14.417865951655681</v>
      </c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>
        <v>14.417865951655681</v>
      </c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>
        <v>14.417865951655681</v>
      </c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>
        <v>14.417865951655681</v>
      </c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>
        <v>14.417865951655681</v>
      </c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>
        <v>14.417865951655681</v>
      </c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>
        <v>14.417865951655681</v>
      </c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>
        <v>14.417865951655681</v>
      </c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>
        <v>14.417865951655681</v>
      </c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>
        <v>14.417865951655681</v>
      </c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>
        <v>14.417865951655681</v>
      </c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>
        <v>14.417865951655681</v>
      </c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>
        <v>14.417865951655681</v>
      </c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>
        <v>14.417865951655681</v>
      </c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>
        <v>14.417865951655681</v>
      </c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>
        <v>14.417865951655681</v>
      </c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>
        <v>14.417865951655681</v>
      </c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>
        <v>14.417865951655681</v>
      </c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>
        <v>14.417865951655681</v>
      </c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>
        <v>14.417865951655681</v>
      </c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>
        <v>14.417865951655681</v>
      </c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>
        <v>14.417865951655681</v>
      </c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>
        <v>14.417865951655681</v>
      </c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>
        <v>14.417865951655681</v>
      </c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>
        <v>14.417865951655681</v>
      </c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>
        <v>14.417865951655681</v>
      </c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>
        <v>14.417865951655681</v>
      </c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>
        <v>14.417865951655681</v>
      </c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>
        <v>14.417865951655681</v>
      </c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>
        <v>14.417865951655681</v>
      </c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>
        <v>14.417865951655681</v>
      </c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>
        <v>14.417865951655681</v>
      </c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>
        <v>14.417865951655681</v>
      </c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>
        <v>14.417865951655681</v>
      </c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>
        <v>14.417865951655681</v>
      </c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>
        <v>14.417865951655681</v>
      </c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>
        <v>14.417865951655681</v>
      </c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>
        <v>14.417865951655681</v>
      </c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>
        <v>14.417865951655681</v>
      </c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>
        <v>14.417865951655681</v>
      </c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>
        <v>14.417865951655681</v>
      </c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>
        <v>14.417865951655681</v>
      </c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>
        <v>14.417865951655681</v>
      </c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>
        <v>14.417865951655681</v>
      </c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>
        <v>14.417865951655681</v>
      </c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>
        <v>14.417865951655681</v>
      </c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>
        <v>14.417865951655681</v>
      </c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>
        <v>14.417865951655681</v>
      </c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>
        <v>14.417865951655681</v>
      </c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>
        <v>14.417865951655681</v>
      </c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>
        <v>14.417865951655681</v>
      </c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>
        <v>14.417865951655681</v>
      </c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>
        <v>14.417865951655681</v>
      </c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>
        <v>14.417865951655681</v>
      </c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>
        <v>14.417865951655681</v>
      </c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>
        <v>14.417865951655681</v>
      </c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>
        <v>14.417865951655681</v>
      </c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>
        <v>14.417865951655681</v>
      </c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>
        <v>14.417865951655681</v>
      </c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>
        <v>14.417865951655681</v>
      </c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>
        <v>14.417865951655681</v>
      </c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>
        <v>14.417865951655681</v>
      </c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>
        <v>14.417865951655681</v>
      </c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>
        <v>14.417865951655681</v>
      </c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>
        <v>14.417865951655681</v>
      </c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>
        <v>14.417865951655681</v>
      </c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>
        <v>14.417865951655681</v>
      </c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>
        <v>14.417865951655681</v>
      </c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>
        <v>14.417865951655681</v>
      </c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>
        <v>14.417865951655681</v>
      </c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>
        <v>14.417865951655681</v>
      </c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>
        <v>14.417865951655681</v>
      </c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>
        <v>14.417865951655681</v>
      </c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M17" sqref="M17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>
      <selection activeCell="H35" sqref="H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352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352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352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352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352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354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352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355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352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352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356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357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358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359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352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360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H16" sqref="H16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380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380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380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380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380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380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380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380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380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380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380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380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380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380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380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380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380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380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380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380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419</v>
      </c>
      <c r="U6" s="21" t="str">
        <f>"PipedImporterProduction_"&amp;TEXT(TBL_PIPED_IMPORTERS_PRODUCTION[[#This Row],[Index]],"000")</f>
        <v>PipedImporterProduction_001</v>
      </c>
    </row>
    <row r="7" spans="1:21" ht="45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5650</v>
      </c>
      <c r="D7" s="33">
        <v>5650</v>
      </c>
      <c r="E7" s="33">
        <v>5650</v>
      </c>
      <c r="F7" s="33">
        <v>5650</v>
      </c>
      <c r="G7" s="33">
        <v>5650</v>
      </c>
      <c r="H7" s="33">
        <v>5650</v>
      </c>
      <c r="I7" s="33">
        <v>5650</v>
      </c>
      <c r="J7" s="33">
        <v>5650</v>
      </c>
      <c r="K7" s="33">
        <v>5650</v>
      </c>
      <c r="L7" s="33">
        <v>5650</v>
      </c>
      <c r="M7" s="33">
        <v>5650</v>
      </c>
      <c r="N7" s="33">
        <v>5650</v>
      </c>
      <c r="O7" s="33">
        <v>5650</v>
      </c>
      <c r="P7" s="33">
        <v>5650</v>
      </c>
      <c r="Q7" s="33">
        <v>5650</v>
      </c>
      <c r="R7" s="33">
        <v>5650</v>
      </c>
      <c r="S7" s="33">
        <v>5650</v>
      </c>
      <c r="T7" s="139" t="s">
        <v>420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421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422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423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abSelected="1" topLeftCell="A4" workbookViewId="0">
      <selection activeCell="F31" sqref="F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404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405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369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366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370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367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371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368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414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58" t="s">
        <v>290</v>
      </c>
      <c r="B31" s="132">
        <f>INDEX(TBL_REGIONS_INDEX[Index],MATCH(TBL_PIPED_IMPORTERS_CONNECTIONS[[#This Row],[Importer]],TBL_PIPED_IMPORTERS[Importer],0))</f>
        <v>2</v>
      </c>
      <c r="C31" s="159" t="s">
        <v>177</v>
      </c>
      <c r="D31" s="132">
        <f>INDEX(TBL_REGIONS_INDEX[Index],MATCH(TBL_PIPED_IMPORTERS_CONNECTIONS[[#This Row],[Region]],TBL_REGIONS_INDEX[Region],0))</f>
        <v>17</v>
      </c>
      <c r="E31" s="160" t="s">
        <v>427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COUNTIF($F$6:$F34,$F31)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58" t="s">
        <v>290</v>
      </c>
      <c r="B32" s="132">
        <f>INDEX(TBL_REGIONS_INDEX[Index],MATCH(TBL_PIPED_IMPORTERS_CONNECTIONS[[#This Row],[Importer]],TBL_PIPED_IMPORTERS[Importer],0))</f>
        <v>2</v>
      </c>
      <c r="C32" s="159" t="s">
        <v>187</v>
      </c>
      <c r="D32" s="132">
        <f>INDEX(TBL_REGIONS_INDEX[Index],MATCH(TBL_PIPED_IMPORTERS_CONNECTIONS[[#This Row],[Region]],TBL_REGIONS_INDEX[Region],0))</f>
        <v>28</v>
      </c>
      <c r="E32" s="160" t="s">
        <v>428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COUNTIF($F$6:$F34,$F32)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58" t="s">
        <v>290</v>
      </c>
      <c r="B33" s="132">
        <f>INDEX(TBL_REGIONS_INDEX[Index],MATCH(TBL_PIPED_IMPORTERS_CONNECTIONS[[#This Row],[Importer]],TBL_PIPED_IMPORTERS[Importer],0))</f>
        <v>2</v>
      </c>
      <c r="C33" s="159" t="s">
        <v>179</v>
      </c>
      <c r="D33" s="132">
        <f>INDEX(TBL_REGIONS_INDEX[Index],MATCH(TBL_PIPED_IMPORTERS_CONNECTIONS[[#This Row],[Region]],TBL_REGIONS_INDEX[Region],0))</f>
        <v>19</v>
      </c>
      <c r="E33" s="160" t="s">
        <v>429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COUNTIF($F$6:$F34,$F33)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58" t="s">
        <v>290</v>
      </c>
      <c r="B34" s="132">
        <f>INDEX(TBL_REGIONS_INDEX[Index],MATCH(TBL_PIPED_IMPORTERS_CONNECTIONS[[#This Row],[Importer]],TBL_PIPED_IMPORTERS[Importer],0))</f>
        <v>2</v>
      </c>
      <c r="C34" s="159" t="s">
        <v>184</v>
      </c>
      <c r="D34" s="132">
        <f>INDEX(TBL_REGIONS_INDEX[Index],MATCH(TBL_PIPED_IMPORTERS_CONNECTIONS[[#This Row],[Region]],TBL_REGIONS_INDEX[Region],0))</f>
        <v>25</v>
      </c>
      <c r="E34" s="160" t="s">
        <v>430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91" workbookViewId="0">
      <selection activeCell="E106" sqref="E106:U118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7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386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381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416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387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214.2</v>
      </c>
      <c r="F11" s="147">
        <v>214.2</v>
      </c>
      <c r="G11" s="147">
        <v>214.2</v>
      </c>
      <c r="H11" s="147">
        <v>214.2</v>
      </c>
      <c r="I11" s="147">
        <v>214.2</v>
      </c>
      <c r="J11" s="147">
        <v>214.2</v>
      </c>
      <c r="K11" s="147">
        <v>214.2</v>
      </c>
      <c r="L11" s="147">
        <v>214.2</v>
      </c>
      <c r="M11" s="147">
        <v>214.2</v>
      </c>
      <c r="N11" s="147">
        <v>214.2</v>
      </c>
      <c r="O11" s="147">
        <v>214.2</v>
      </c>
      <c r="P11" s="147">
        <v>214.2</v>
      </c>
      <c r="Q11" s="147">
        <v>214.2</v>
      </c>
      <c r="R11" s="147">
        <v>214.2</v>
      </c>
      <c r="S11" s="147">
        <v>214.2</v>
      </c>
      <c r="T11" s="147">
        <v>214.2</v>
      </c>
      <c r="U11" s="147">
        <v>214.2</v>
      </c>
      <c r="V11" s="25" t="s">
        <v>381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416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46.195202890410961</v>
      </c>
      <c r="F14" s="146">
        <v>46.195202890410961</v>
      </c>
      <c r="G14" s="146">
        <v>46.195202890410961</v>
      </c>
      <c r="H14" s="146">
        <v>46.195202890410961</v>
      </c>
      <c r="I14" s="146">
        <v>46.195202890410961</v>
      </c>
      <c r="J14" s="146">
        <v>46.195202890410961</v>
      </c>
      <c r="K14" s="146">
        <v>46.195202890410961</v>
      </c>
      <c r="L14" s="146">
        <v>46.195202890410961</v>
      </c>
      <c r="M14" s="146">
        <v>46.195202890410961</v>
      </c>
      <c r="N14" s="146">
        <v>46.195202890410961</v>
      </c>
      <c r="O14" s="146">
        <v>46.195202890410961</v>
      </c>
      <c r="P14" s="146">
        <v>46.195202890410961</v>
      </c>
      <c r="Q14" s="146">
        <v>46.195202890410961</v>
      </c>
      <c r="R14" s="146">
        <v>46.195202890410961</v>
      </c>
      <c r="S14" s="146">
        <v>46.195202890410961</v>
      </c>
      <c r="T14" s="146">
        <v>46.195202890410961</v>
      </c>
      <c r="U14" s="146">
        <v>46.195202890410961</v>
      </c>
      <c r="V14" s="24" t="s">
        <v>388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222</v>
      </c>
      <c r="F15" s="147">
        <v>222</v>
      </c>
      <c r="G15" s="147">
        <v>222</v>
      </c>
      <c r="H15" s="147">
        <v>222</v>
      </c>
      <c r="I15" s="147">
        <v>222</v>
      </c>
      <c r="J15" s="147">
        <v>222</v>
      </c>
      <c r="K15" s="147">
        <v>222</v>
      </c>
      <c r="L15" s="147">
        <v>222</v>
      </c>
      <c r="M15" s="147">
        <v>222</v>
      </c>
      <c r="N15" s="147">
        <v>222</v>
      </c>
      <c r="O15" s="147">
        <v>222</v>
      </c>
      <c r="P15" s="147">
        <v>222</v>
      </c>
      <c r="Q15" s="147">
        <v>222</v>
      </c>
      <c r="R15" s="147">
        <v>222</v>
      </c>
      <c r="S15" s="147">
        <v>222</v>
      </c>
      <c r="T15" s="147">
        <v>222</v>
      </c>
      <c r="U15" s="147">
        <v>222</v>
      </c>
      <c r="V15" s="25" t="s">
        <v>381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416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389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381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416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410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381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416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7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390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25" t="s">
        <v>424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416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7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411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381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416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7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89.549513734246588</v>
      </c>
      <c r="F34" s="146">
        <v>89.549513734246588</v>
      </c>
      <c r="G34" s="146">
        <v>89.549513734246588</v>
      </c>
      <c r="H34" s="146">
        <v>89.549513734246588</v>
      </c>
      <c r="I34" s="146">
        <v>89.549513734246588</v>
      </c>
      <c r="J34" s="146">
        <v>89.549513734246588</v>
      </c>
      <c r="K34" s="146">
        <v>89.549513734246588</v>
      </c>
      <c r="L34" s="146">
        <v>89.549513734246588</v>
      </c>
      <c r="M34" s="146">
        <v>89.549513734246588</v>
      </c>
      <c r="N34" s="146">
        <v>89.549513734246588</v>
      </c>
      <c r="O34" s="146">
        <v>89.549513734246588</v>
      </c>
      <c r="P34" s="146">
        <v>89.549513734246588</v>
      </c>
      <c r="Q34" s="146">
        <v>89.549513734246588</v>
      </c>
      <c r="R34" s="146">
        <v>89.549513734246588</v>
      </c>
      <c r="S34" s="146">
        <v>89.549513734246588</v>
      </c>
      <c r="T34" s="146">
        <v>89.549513734246588</v>
      </c>
      <c r="U34" s="146">
        <v>89.549513734246588</v>
      </c>
      <c r="V34" s="24" t="s">
        <v>391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47">
        <v>325.39999999999998</v>
      </c>
      <c r="F35" s="147">
        <v>325.39999999999998</v>
      </c>
      <c r="G35" s="147">
        <v>325.39999999999998</v>
      </c>
      <c r="H35" s="147">
        <v>325.39999999999998</v>
      </c>
      <c r="I35" s="147">
        <v>325.39999999999998</v>
      </c>
      <c r="J35" s="147">
        <v>325.39999999999998</v>
      </c>
      <c r="K35" s="147">
        <v>325.39999999999998</v>
      </c>
      <c r="L35" s="147">
        <v>325.39999999999998</v>
      </c>
      <c r="M35" s="147">
        <v>325.39999999999998</v>
      </c>
      <c r="N35" s="147">
        <v>325.39999999999998</v>
      </c>
      <c r="O35" s="147">
        <v>325.39999999999998</v>
      </c>
      <c r="P35" s="147">
        <v>325.39999999999998</v>
      </c>
      <c r="Q35" s="147">
        <v>325.39999999999998</v>
      </c>
      <c r="R35" s="147">
        <v>325.39999999999998</v>
      </c>
      <c r="S35" s="147">
        <v>325.39999999999998</v>
      </c>
      <c r="T35" s="147">
        <v>325.39999999999998</v>
      </c>
      <c r="U35" s="147">
        <v>325.39999999999998</v>
      </c>
      <c r="V35" s="25" t="s">
        <v>381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8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9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416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7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392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8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381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8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9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416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7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401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8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381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8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9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416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7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412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8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413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8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9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416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7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393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8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417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8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9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416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7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418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8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418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8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9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416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7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409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8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381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8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9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416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7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395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8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381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8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9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416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7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396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8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381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8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9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416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7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397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8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381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8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9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416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7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390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8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381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8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9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416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6">
        <f t="shared" ref="A78" si="96">$A74+1</f>
        <v>19</v>
      </c>
      <c r="B78" s="177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164">
        <v>0</v>
      </c>
      <c r="O78" s="164">
        <v>0</v>
      </c>
      <c r="P78" s="164">
        <v>0</v>
      </c>
      <c r="Q78" s="164">
        <v>0</v>
      </c>
      <c r="R78" s="164">
        <v>0</v>
      </c>
      <c r="S78" s="164">
        <v>0</v>
      </c>
      <c r="T78" s="164">
        <v>0</v>
      </c>
      <c r="U78" s="164">
        <v>0</v>
      </c>
      <c r="V78" s="24" t="s">
        <v>402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6">
        <f t="shared" si="82"/>
        <v>19</v>
      </c>
      <c r="B79" s="178"/>
      <c r="C79" s="85" t="str">
        <f t="shared" ref="C79:D79" si="98">IF($B78&lt;&gt;"",C75,"")</f>
        <v>Capacity - Max</v>
      </c>
      <c r="D79" s="85" t="str">
        <f t="shared" si="98"/>
        <v>GWh/day</v>
      </c>
      <c r="E79" s="162">
        <f>1161.64-987.394</f>
        <v>174.24600000000009</v>
      </c>
      <c r="F79" s="162">
        <f t="shared" ref="F79:U79" si="99">1161.64-987.394</f>
        <v>174.24600000000009</v>
      </c>
      <c r="G79" s="162">
        <f t="shared" si="99"/>
        <v>174.24600000000009</v>
      </c>
      <c r="H79" s="162">
        <f t="shared" si="99"/>
        <v>174.24600000000009</v>
      </c>
      <c r="I79" s="162">
        <f t="shared" si="99"/>
        <v>174.24600000000009</v>
      </c>
      <c r="J79" s="162">
        <f t="shared" si="99"/>
        <v>174.24600000000009</v>
      </c>
      <c r="K79" s="162">
        <f t="shared" si="99"/>
        <v>174.24600000000009</v>
      </c>
      <c r="L79" s="162">
        <f t="shared" si="99"/>
        <v>174.24600000000009</v>
      </c>
      <c r="M79" s="162">
        <f t="shared" si="99"/>
        <v>174.24600000000009</v>
      </c>
      <c r="N79" s="162">
        <f t="shared" si="99"/>
        <v>174.24600000000009</v>
      </c>
      <c r="O79" s="162">
        <f t="shared" si="99"/>
        <v>174.24600000000009</v>
      </c>
      <c r="P79" s="162">
        <f t="shared" si="99"/>
        <v>174.24600000000009</v>
      </c>
      <c r="Q79" s="162">
        <f t="shared" si="99"/>
        <v>174.24600000000009</v>
      </c>
      <c r="R79" s="162">
        <f t="shared" si="99"/>
        <v>174.24600000000009</v>
      </c>
      <c r="S79" s="162">
        <f t="shared" si="99"/>
        <v>174.24600000000009</v>
      </c>
      <c r="T79" s="162">
        <f t="shared" si="99"/>
        <v>174.24600000000009</v>
      </c>
      <c r="U79" s="162">
        <f t="shared" si="99"/>
        <v>174.24600000000009</v>
      </c>
      <c r="V79" s="25" t="s">
        <v>381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78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79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416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7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390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8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381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8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9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416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7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398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8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381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8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79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416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7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399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8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381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8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79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416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7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394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8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413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8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79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416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7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400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8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381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8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79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416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7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390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8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0</v>
      </c>
      <c r="F103" s="147">
        <v>0</v>
      </c>
      <c r="G103" s="147">
        <v>0</v>
      </c>
      <c r="H103" s="147">
        <v>0</v>
      </c>
      <c r="I103" s="147">
        <v>0</v>
      </c>
      <c r="J103" s="147">
        <v>0</v>
      </c>
      <c r="K103" s="147">
        <v>0</v>
      </c>
      <c r="L103" s="147">
        <v>0</v>
      </c>
      <c r="M103" s="147">
        <v>0</v>
      </c>
      <c r="N103" s="147">
        <v>0</v>
      </c>
      <c r="O103" s="147">
        <v>0</v>
      </c>
      <c r="P103" s="147">
        <v>0</v>
      </c>
      <c r="Q103" s="147">
        <v>0</v>
      </c>
      <c r="R103" s="147">
        <v>0</v>
      </c>
      <c r="S103" s="147">
        <v>0</v>
      </c>
      <c r="T103" s="147">
        <v>0</v>
      </c>
      <c r="U103" s="147">
        <v>0</v>
      </c>
      <c r="V103" s="25" t="s">
        <v>424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8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79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416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x14ac:dyDescent="0.25">
      <c r="A106" s="86">
        <f t="shared" ref="A106" si="135">$A102+1</f>
        <v>26</v>
      </c>
      <c r="B106" s="177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63">
        <v>0</v>
      </c>
      <c r="F106" s="163">
        <v>0</v>
      </c>
      <c r="G106" s="163">
        <v>0</v>
      </c>
      <c r="H106" s="163">
        <v>0</v>
      </c>
      <c r="I106" s="163">
        <v>0</v>
      </c>
      <c r="J106" s="163">
        <v>0</v>
      </c>
      <c r="K106" s="163">
        <v>0</v>
      </c>
      <c r="L106" s="163">
        <v>0</v>
      </c>
      <c r="M106" s="163">
        <v>0</v>
      </c>
      <c r="N106" s="163">
        <v>0</v>
      </c>
      <c r="O106" s="163">
        <v>0</v>
      </c>
      <c r="P106" s="163">
        <v>0</v>
      </c>
      <c r="Q106" s="163">
        <v>0</v>
      </c>
      <c r="R106" s="163">
        <v>0</v>
      </c>
      <c r="S106" s="163">
        <v>0</v>
      </c>
      <c r="T106" s="163">
        <v>0</v>
      </c>
      <c r="U106" s="163">
        <v>0</v>
      </c>
      <c r="V106" s="24"/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x14ac:dyDescent="0.25">
      <c r="A107" s="86">
        <f t="shared" si="121"/>
        <v>26</v>
      </c>
      <c r="B107" s="178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62">
        <v>135.6</v>
      </c>
      <c r="F107" s="162">
        <v>135.6</v>
      </c>
      <c r="G107" s="162">
        <v>135.6</v>
      </c>
      <c r="H107" s="162">
        <v>135.6</v>
      </c>
      <c r="I107" s="162">
        <v>135.6</v>
      </c>
      <c r="J107" s="162">
        <v>135.6</v>
      </c>
      <c r="K107" s="162">
        <v>135.6</v>
      </c>
      <c r="L107" s="162">
        <v>135.6</v>
      </c>
      <c r="M107" s="162">
        <v>135.6</v>
      </c>
      <c r="N107" s="162">
        <v>135.6</v>
      </c>
      <c r="O107" s="162">
        <v>135.6</v>
      </c>
      <c r="P107" s="162">
        <v>135.6</v>
      </c>
      <c r="Q107" s="162">
        <v>135.6</v>
      </c>
      <c r="R107" s="162">
        <v>135.6</v>
      </c>
      <c r="S107" s="162">
        <v>135.6</v>
      </c>
      <c r="T107" s="162">
        <v>135.6</v>
      </c>
      <c r="U107" s="162">
        <v>135.6</v>
      </c>
      <c r="V107" s="25"/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8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x14ac:dyDescent="0.25">
      <c r="A109" s="86">
        <f t="shared" si="121"/>
        <v>26</v>
      </c>
      <c r="B109" s="179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62">
        <v>14.643221870080128</v>
      </c>
      <c r="F109" s="162">
        <v>14.643221870080128</v>
      </c>
      <c r="G109" s="162">
        <v>14.643221870080128</v>
      </c>
      <c r="H109" s="162">
        <v>14.643221870080128</v>
      </c>
      <c r="I109" s="162">
        <v>14.643221870080128</v>
      </c>
      <c r="J109" s="162">
        <v>14.643221870080128</v>
      </c>
      <c r="K109" s="162">
        <v>14.643221870080128</v>
      </c>
      <c r="L109" s="162">
        <v>14.643221870080128</v>
      </c>
      <c r="M109" s="162">
        <v>14.643221870080128</v>
      </c>
      <c r="N109" s="162">
        <v>14.643221870080128</v>
      </c>
      <c r="O109" s="162">
        <v>14.643221870080128</v>
      </c>
      <c r="P109" s="162">
        <v>14.643221870080128</v>
      </c>
      <c r="Q109" s="162">
        <v>14.643221870080128</v>
      </c>
      <c r="R109" s="162">
        <v>14.643221870080128</v>
      </c>
      <c r="S109" s="162">
        <v>14.643221870080128</v>
      </c>
      <c r="T109" s="162">
        <v>14.643221870080128</v>
      </c>
      <c r="U109" s="162">
        <v>14.643221870080128</v>
      </c>
      <c r="V109" s="25"/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x14ac:dyDescent="0.25">
      <c r="A110" s="86">
        <f t="shared" ref="A110" si="140">$A106+1</f>
        <v>27</v>
      </c>
      <c r="B110" s="177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63">
        <v>0</v>
      </c>
      <c r="F110" s="163">
        <v>0</v>
      </c>
      <c r="G110" s="163">
        <v>0</v>
      </c>
      <c r="H110" s="163">
        <v>0</v>
      </c>
      <c r="I110" s="163">
        <v>0</v>
      </c>
      <c r="J110" s="163">
        <v>0</v>
      </c>
      <c r="K110" s="163">
        <v>0</v>
      </c>
      <c r="L110" s="163">
        <v>0</v>
      </c>
      <c r="M110" s="163">
        <v>0</v>
      </c>
      <c r="N110" s="163">
        <v>0</v>
      </c>
      <c r="O110" s="163">
        <v>0</v>
      </c>
      <c r="P110" s="163">
        <v>0</v>
      </c>
      <c r="Q110" s="163">
        <v>0</v>
      </c>
      <c r="R110" s="163">
        <v>0</v>
      </c>
      <c r="S110" s="163">
        <v>0</v>
      </c>
      <c r="T110" s="163">
        <v>0</v>
      </c>
      <c r="U110" s="163">
        <v>0</v>
      </c>
      <c r="V110" s="24"/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x14ac:dyDescent="0.25">
      <c r="A111" s="86">
        <f t="shared" si="121"/>
        <v>27</v>
      </c>
      <c r="B111" s="178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62">
        <v>370.9</v>
      </c>
      <c r="F111" s="162">
        <v>370.9</v>
      </c>
      <c r="G111" s="162">
        <v>370.9</v>
      </c>
      <c r="H111" s="162">
        <v>370.9</v>
      </c>
      <c r="I111" s="162">
        <v>370.9</v>
      </c>
      <c r="J111" s="162">
        <v>370.9</v>
      </c>
      <c r="K111" s="162">
        <v>370.9</v>
      </c>
      <c r="L111" s="162">
        <v>370.9</v>
      </c>
      <c r="M111" s="162">
        <v>370.9</v>
      </c>
      <c r="N111" s="162">
        <v>370.9</v>
      </c>
      <c r="O111" s="162">
        <v>370.9</v>
      </c>
      <c r="P111" s="162">
        <v>370.9</v>
      </c>
      <c r="Q111" s="162">
        <v>370.9</v>
      </c>
      <c r="R111" s="162">
        <v>370.9</v>
      </c>
      <c r="S111" s="162">
        <v>370.9</v>
      </c>
      <c r="T111" s="162">
        <v>370.9</v>
      </c>
      <c r="U111" s="162">
        <v>370.9</v>
      </c>
      <c r="V111" s="25"/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8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x14ac:dyDescent="0.25">
      <c r="A113" s="86">
        <f t="shared" si="121"/>
        <v>27</v>
      </c>
      <c r="B113" s="179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62">
        <v>14.793221870080128</v>
      </c>
      <c r="F113" s="162">
        <v>14.793221870080128</v>
      </c>
      <c r="G113" s="162">
        <v>14.793221870080128</v>
      </c>
      <c r="H113" s="162">
        <v>14.793221870080128</v>
      </c>
      <c r="I113" s="162">
        <v>14.793221870080128</v>
      </c>
      <c r="J113" s="162">
        <v>14.793221870080128</v>
      </c>
      <c r="K113" s="162">
        <v>14.793221870080128</v>
      </c>
      <c r="L113" s="162">
        <v>14.793221870080128</v>
      </c>
      <c r="M113" s="162">
        <v>14.793221870080128</v>
      </c>
      <c r="N113" s="162">
        <v>14.793221870080128</v>
      </c>
      <c r="O113" s="162">
        <v>14.793221870080128</v>
      </c>
      <c r="P113" s="162">
        <v>14.793221870080128</v>
      </c>
      <c r="Q113" s="162">
        <v>14.793221870080128</v>
      </c>
      <c r="R113" s="162">
        <v>14.793221870080128</v>
      </c>
      <c r="S113" s="162">
        <v>14.793221870080128</v>
      </c>
      <c r="T113" s="162">
        <v>14.793221870080128</v>
      </c>
      <c r="U113" s="162">
        <v>14.793221870080128</v>
      </c>
      <c r="V113" s="25"/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x14ac:dyDescent="0.25">
      <c r="A114" s="86">
        <f t="shared" ref="A114" si="145">$A110+1</f>
        <v>28</v>
      </c>
      <c r="B114" s="177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63">
        <v>0</v>
      </c>
      <c r="F114" s="163">
        <v>0</v>
      </c>
      <c r="G114" s="163">
        <v>0</v>
      </c>
      <c r="H114" s="163">
        <v>0</v>
      </c>
      <c r="I114" s="163">
        <v>0</v>
      </c>
      <c r="J114" s="163">
        <v>0</v>
      </c>
      <c r="K114" s="163">
        <v>0</v>
      </c>
      <c r="L114" s="163">
        <v>0</v>
      </c>
      <c r="M114" s="163">
        <v>0</v>
      </c>
      <c r="N114" s="163">
        <v>0</v>
      </c>
      <c r="O114" s="163">
        <v>0</v>
      </c>
      <c r="P114" s="163">
        <v>0</v>
      </c>
      <c r="Q114" s="163">
        <v>0</v>
      </c>
      <c r="R114" s="163">
        <v>0</v>
      </c>
      <c r="S114" s="163">
        <v>0</v>
      </c>
      <c r="T114" s="163">
        <v>0</v>
      </c>
      <c r="U114" s="163">
        <v>0</v>
      </c>
      <c r="V114" s="24"/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x14ac:dyDescent="0.25">
      <c r="A115" s="86">
        <f t="shared" ref="A115:A117" si="147">$A114</f>
        <v>28</v>
      </c>
      <c r="B115" s="178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62">
        <v>2277.6</v>
      </c>
      <c r="F115" s="162">
        <v>2277.6</v>
      </c>
      <c r="G115" s="162">
        <v>2277.6</v>
      </c>
      <c r="H115" s="162">
        <v>2277.6</v>
      </c>
      <c r="I115" s="162">
        <v>2277.6</v>
      </c>
      <c r="J115" s="162">
        <v>2277.6</v>
      </c>
      <c r="K115" s="162">
        <v>2277.6</v>
      </c>
      <c r="L115" s="162">
        <v>2277.6</v>
      </c>
      <c r="M115" s="162">
        <v>2277.6</v>
      </c>
      <c r="N115" s="162">
        <v>2277.6</v>
      </c>
      <c r="O115" s="162">
        <v>2277.6</v>
      </c>
      <c r="P115" s="162">
        <v>2277.6</v>
      </c>
      <c r="Q115" s="162">
        <v>2277.6</v>
      </c>
      <c r="R115" s="162">
        <v>2277.6</v>
      </c>
      <c r="S115" s="162">
        <v>2277.6</v>
      </c>
      <c r="T115" s="162">
        <v>2277.6</v>
      </c>
      <c r="U115" s="162">
        <v>2277.6</v>
      </c>
      <c r="V115" s="25"/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8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x14ac:dyDescent="0.25">
      <c r="A117" s="86">
        <f t="shared" si="147"/>
        <v>28</v>
      </c>
      <c r="B117" s="179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62">
        <v>13.723221870080128</v>
      </c>
      <c r="F117" s="162">
        <v>13.723221870080128</v>
      </c>
      <c r="G117" s="162">
        <v>13.723221870080128</v>
      </c>
      <c r="H117" s="162">
        <v>13.723221870080128</v>
      </c>
      <c r="I117" s="162">
        <v>13.723221870080128</v>
      </c>
      <c r="J117" s="162">
        <v>13.723221870080128</v>
      </c>
      <c r="K117" s="162">
        <v>13.723221870080128</v>
      </c>
      <c r="L117" s="162">
        <v>13.723221870080128</v>
      </c>
      <c r="M117" s="162">
        <v>13.723221870080128</v>
      </c>
      <c r="N117" s="162">
        <v>13.723221870080128</v>
      </c>
      <c r="O117" s="162">
        <v>13.723221870080128</v>
      </c>
      <c r="P117" s="162">
        <v>13.723221870080128</v>
      </c>
      <c r="Q117" s="162">
        <v>13.723221870080128</v>
      </c>
      <c r="R117" s="162">
        <v>13.723221870080128</v>
      </c>
      <c r="S117" s="162">
        <v>13.723221870080128</v>
      </c>
      <c r="T117" s="162">
        <v>13.723221870080128</v>
      </c>
      <c r="U117" s="162">
        <v>13.723221870080128</v>
      </c>
      <c r="V117" s="25"/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x14ac:dyDescent="0.25">
      <c r="A118" s="86">
        <f t="shared" ref="A118" si="151">$A114+1</f>
        <v>29</v>
      </c>
      <c r="B118" s="177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63">
        <v>0</v>
      </c>
      <c r="F118" s="163">
        <v>0</v>
      </c>
      <c r="G118" s="163">
        <v>0</v>
      </c>
      <c r="H118" s="163">
        <v>0</v>
      </c>
      <c r="I118" s="163">
        <v>0</v>
      </c>
      <c r="J118" s="163">
        <v>0</v>
      </c>
      <c r="K118" s="163">
        <v>0</v>
      </c>
      <c r="L118" s="163">
        <v>0</v>
      </c>
      <c r="M118" s="163">
        <v>0</v>
      </c>
      <c r="N118" s="163">
        <v>0</v>
      </c>
      <c r="O118" s="163">
        <v>0</v>
      </c>
      <c r="P118" s="163">
        <v>0</v>
      </c>
      <c r="Q118" s="163">
        <v>0</v>
      </c>
      <c r="R118" s="163">
        <v>0</v>
      </c>
      <c r="S118" s="163">
        <v>0</v>
      </c>
      <c r="T118" s="163">
        <v>0</v>
      </c>
      <c r="U118" s="163">
        <v>0</v>
      </c>
      <c r="V118" s="24"/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x14ac:dyDescent="0.25">
      <c r="A119" s="86">
        <f t="shared" ref="A119:A121" si="153">$A118</f>
        <v>29</v>
      </c>
      <c r="B119" s="178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62">
        <v>516.6</v>
      </c>
      <c r="F119" s="162">
        <v>516.6</v>
      </c>
      <c r="G119" s="162">
        <v>516.6</v>
      </c>
      <c r="H119" s="162">
        <v>516.6</v>
      </c>
      <c r="I119" s="162">
        <v>516.6</v>
      </c>
      <c r="J119" s="162">
        <v>516.6</v>
      </c>
      <c r="K119" s="162">
        <v>516.6</v>
      </c>
      <c r="L119" s="162">
        <v>516.6</v>
      </c>
      <c r="M119" s="162">
        <v>516.6</v>
      </c>
      <c r="N119" s="162">
        <v>516.6</v>
      </c>
      <c r="O119" s="162">
        <v>516.6</v>
      </c>
      <c r="P119" s="162">
        <v>516.6</v>
      </c>
      <c r="Q119" s="162">
        <v>516.6</v>
      </c>
      <c r="R119" s="162">
        <v>516.6</v>
      </c>
      <c r="S119" s="162">
        <v>516.6</v>
      </c>
      <c r="T119" s="162">
        <v>516.6</v>
      </c>
      <c r="U119" s="162">
        <v>516.6</v>
      </c>
      <c r="V119" s="25"/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8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x14ac:dyDescent="0.25">
      <c r="A121" s="86">
        <f t="shared" si="153"/>
        <v>29</v>
      </c>
      <c r="B121" s="179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62">
        <v>14.643221870080128</v>
      </c>
      <c r="F121" s="162">
        <v>14.643221870080128</v>
      </c>
      <c r="G121" s="162">
        <v>14.643221870080128</v>
      </c>
      <c r="H121" s="162">
        <v>14.643221870080128</v>
      </c>
      <c r="I121" s="162">
        <v>14.643221870080128</v>
      </c>
      <c r="J121" s="162">
        <v>14.643221870080128</v>
      </c>
      <c r="K121" s="162">
        <v>14.643221870080128</v>
      </c>
      <c r="L121" s="162">
        <v>14.643221870080128</v>
      </c>
      <c r="M121" s="162">
        <v>14.643221870080128</v>
      </c>
      <c r="N121" s="162">
        <v>14.643221870080128</v>
      </c>
      <c r="O121" s="162">
        <v>14.643221870080128</v>
      </c>
      <c r="P121" s="162">
        <v>14.643221870080128</v>
      </c>
      <c r="Q121" s="162">
        <v>14.643221870080128</v>
      </c>
      <c r="R121" s="162">
        <v>14.643221870080128</v>
      </c>
      <c r="S121" s="162">
        <v>14.643221870080128</v>
      </c>
      <c r="T121" s="162">
        <v>14.643221870080128</v>
      </c>
      <c r="U121" s="162">
        <v>14.643221870080128</v>
      </c>
      <c r="V121" s="25"/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7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8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8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79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7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8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8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79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7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8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8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79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7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8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8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79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7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8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8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79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7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8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8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79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7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8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8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79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7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8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8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79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7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8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8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79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7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8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8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79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7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8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8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79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7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8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8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79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7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8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8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79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7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8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8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79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7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8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8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79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7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8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8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79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7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8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8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79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7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8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8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79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7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8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8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79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7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8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8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79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7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8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8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79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7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8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8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79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7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8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8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79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7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8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8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79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7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8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8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79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7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8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8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79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7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8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8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79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7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8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8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79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7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8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8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79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7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8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8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79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7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8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8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79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7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8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8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79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7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8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8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79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7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8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8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79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7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8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8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79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7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8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8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79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7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8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8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79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7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8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8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79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7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8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8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79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7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8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8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79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7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8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8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79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7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8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8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79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7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8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8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79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7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8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8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79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7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8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8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79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7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8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8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79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7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8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8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79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7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8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8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79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7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8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8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79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7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8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8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79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7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8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8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79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7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8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8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79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7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8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8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79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7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8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8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79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7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8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8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79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7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8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8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79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7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8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8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79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7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8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8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79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7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8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8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79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7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8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8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79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7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8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8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79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7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8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8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79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7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8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8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79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7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8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8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79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7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8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8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79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7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8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8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79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7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8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8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79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7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8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8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79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7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8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8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79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7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8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8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79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7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8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8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79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7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8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8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79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7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8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8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79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7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8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8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79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7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8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8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79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7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8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8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79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7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8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8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79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7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8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8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79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7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426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382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403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426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382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403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426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382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403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426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382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403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426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382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403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426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382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403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426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382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403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426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382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403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426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382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403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426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382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403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426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382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403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426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382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403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426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382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403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426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382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403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426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382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403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426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384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403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426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384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403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426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384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403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426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384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403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426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384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403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426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384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403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426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383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403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426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383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403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426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383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403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426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385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403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426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385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403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426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385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403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426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385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403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43" workbookViewId="0">
      <selection activeCell="F56" sqref="F56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406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407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408</v>
      </c>
      <c r="F57" s="134">
        <v>53.202742000000001</v>
      </c>
      <c r="G57" s="134">
        <v>14.449337999999999</v>
      </c>
      <c r="H57" s="136">
        <v>180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379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376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377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80" zoomScaleNormal="100" workbookViewId="0">
      <selection activeCell="E192" sqref="E192:U24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7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8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381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378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381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378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381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378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381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378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381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378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381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378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381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378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381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378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413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378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381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378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381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378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381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378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381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378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381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378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381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378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381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378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381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378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381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378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381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378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381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378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381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378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381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378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381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378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381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378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381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378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381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378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381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378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381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378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7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381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378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381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378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381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378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381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378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381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378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381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378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381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378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381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378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381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378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381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378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381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378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381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378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381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378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381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378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381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378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381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378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381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378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381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378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381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378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77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63">
        <v>0</v>
      </c>
      <c r="F194" s="163">
        <v>0</v>
      </c>
      <c r="G194" s="163">
        <v>0</v>
      </c>
      <c r="H194" s="163">
        <v>0</v>
      </c>
      <c r="I194" s="163">
        <v>0</v>
      </c>
      <c r="J194" s="163">
        <v>0</v>
      </c>
      <c r="K194" s="163">
        <v>0</v>
      </c>
      <c r="L194" s="163">
        <v>0</v>
      </c>
      <c r="M194" s="163">
        <v>0</v>
      </c>
      <c r="N194" s="163">
        <v>0</v>
      </c>
      <c r="O194" s="163">
        <v>0</v>
      </c>
      <c r="P194" s="163">
        <v>0</v>
      </c>
      <c r="Q194" s="163">
        <v>0</v>
      </c>
      <c r="R194" s="163">
        <v>0</v>
      </c>
      <c r="S194" s="163">
        <v>0</v>
      </c>
      <c r="T194" s="163">
        <v>0</v>
      </c>
      <c r="U194" s="163">
        <v>0</v>
      </c>
      <c r="V194" s="154"/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78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381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78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79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378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77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63">
        <v>0</v>
      </c>
      <c r="F198" s="163">
        <v>0</v>
      </c>
      <c r="G198" s="163">
        <v>0</v>
      </c>
      <c r="H198" s="163">
        <v>0</v>
      </c>
      <c r="I198" s="163">
        <v>0</v>
      </c>
      <c r="J198" s="163">
        <v>0</v>
      </c>
      <c r="K198" s="163">
        <v>0</v>
      </c>
      <c r="L198" s="163">
        <v>0</v>
      </c>
      <c r="M198" s="163">
        <v>0</v>
      </c>
      <c r="N198" s="163">
        <v>0</v>
      </c>
      <c r="O198" s="163">
        <v>0</v>
      </c>
      <c r="P198" s="163">
        <v>0</v>
      </c>
      <c r="Q198" s="163">
        <v>0</v>
      </c>
      <c r="R198" s="163">
        <v>0</v>
      </c>
      <c r="S198" s="163">
        <v>0</v>
      </c>
      <c r="T198" s="163">
        <v>0</v>
      </c>
      <c r="U198" s="163">
        <v>0</v>
      </c>
      <c r="V198" s="154"/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78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381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78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79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378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77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63">
        <v>0</v>
      </c>
      <c r="F202" s="163">
        <v>0</v>
      </c>
      <c r="G202" s="163">
        <v>0</v>
      </c>
      <c r="H202" s="163">
        <v>0</v>
      </c>
      <c r="I202" s="163">
        <v>0</v>
      </c>
      <c r="J202" s="163">
        <v>0</v>
      </c>
      <c r="K202" s="163">
        <v>0</v>
      </c>
      <c r="L202" s="163">
        <v>0</v>
      </c>
      <c r="M202" s="163">
        <v>0</v>
      </c>
      <c r="N202" s="163">
        <v>0</v>
      </c>
      <c r="O202" s="163">
        <v>0</v>
      </c>
      <c r="P202" s="163">
        <v>0</v>
      </c>
      <c r="Q202" s="163">
        <v>0</v>
      </c>
      <c r="R202" s="163">
        <v>0</v>
      </c>
      <c r="S202" s="163">
        <v>0</v>
      </c>
      <c r="T202" s="163">
        <v>0</v>
      </c>
      <c r="U202" s="163">
        <v>0</v>
      </c>
      <c r="V202" s="154"/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78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381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78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79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378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77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63">
        <v>0</v>
      </c>
      <c r="F206" s="163">
        <v>0</v>
      </c>
      <c r="G206" s="163">
        <v>0</v>
      </c>
      <c r="H206" s="163">
        <v>0</v>
      </c>
      <c r="I206" s="163">
        <v>0</v>
      </c>
      <c r="J206" s="163">
        <v>0</v>
      </c>
      <c r="K206" s="163">
        <v>0</v>
      </c>
      <c r="L206" s="163">
        <v>0</v>
      </c>
      <c r="M206" s="163">
        <v>0</v>
      </c>
      <c r="N206" s="163">
        <v>0</v>
      </c>
      <c r="O206" s="163">
        <v>0</v>
      </c>
      <c r="P206" s="163">
        <v>0</v>
      </c>
      <c r="Q206" s="163">
        <v>0</v>
      </c>
      <c r="R206" s="163">
        <v>0</v>
      </c>
      <c r="S206" s="163">
        <v>0</v>
      </c>
      <c r="T206" s="163">
        <v>0</v>
      </c>
      <c r="U206" s="163">
        <v>0</v>
      </c>
      <c r="V206" s="154"/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78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381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78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79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378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7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413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378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77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63">
        <v>0</v>
      </c>
      <c r="F214" s="163">
        <v>0</v>
      </c>
      <c r="G214" s="163">
        <v>0</v>
      </c>
      <c r="H214" s="163">
        <v>0</v>
      </c>
      <c r="I214" s="163">
        <v>0</v>
      </c>
      <c r="J214" s="163">
        <v>0</v>
      </c>
      <c r="K214" s="163">
        <v>0</v>
      </c>
      <c r="L214" s="163">
        <v>0</v>
      </c>
      <c r="M214" s="163">
        <v>0</v>
      </c>
      <c r="N214" s="163">
        <v>0</v>
      </c>
      <c r="O214" s="163">
        <v>0</v>
      </c>
      <c r="P214" s="163">
        <v>0</v>
      </c>
      <c r="Q214" s="163">
        <v>0</v>
      </c>
      <c r="R214" s="163">
        <v>0</v>
      </c>
      <c r="S214" s="163">
        <v>0</v>
      </c>
      <c r="T214" s="163">
        <v>0</v>
      </c>
      <c r="U214" s="163">
        <v>0</v>
      </c>
      <c r="V214" s="24"/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78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381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78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79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378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381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378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381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378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7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8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8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9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361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362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362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361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372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362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373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C23" sqref="C23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375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415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415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415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415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415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415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415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415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415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415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415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415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415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415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415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415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415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415</v>
      </c>
      <c r="V23" s="135" t="str">
        <f>"Storage_"&amp;TEXT(INDEX(TBL_REGIONS_INDEX[Index],MATCH(TBL_STORAGE[[#This Row],[Storage]],TBL_REGIONS_INDEX[Region],0)),"000")</f>
        <v>Storage_014</v>
      </c>
    </row>
    <row r="24" spans="1:22" x14ac:dyDescent="0.25">
      <c r="A24" s="133" t="s">
        <v>195</v>
      </c>
      <c r="B24" s="149">
        <v>158990</v>
      </c>
      <c r="C24" s="33">
        <v>90544.805000000008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39" t="s">
        <v>415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415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R6" sqref="R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0.70369814661287045</v>
      </c>
      <c r="F6" s="98">
        <v>0.58836849057646601</v>
      </c>
      <c r="G6" s="98">
        <v>0.45</v>
      </c>
      <c r="H6" s="98">
        <v>0.33</v>
      </c>
      <c r="I6" s="98">
        <v>0.28173333333333334</v>
      </c>
      <c r="J6" s="98">
        <v>0.34720000000000001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374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>
      <selection activeCell="E13" sqref="E13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>
      <selection activeCell="D6" sqref="D6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B6" sqref="B6"/>
    </sheetView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9" sqref="B9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2021-11-21T19:41:19Z</dcterms:modified>
</cp:coreProperties>
</file>